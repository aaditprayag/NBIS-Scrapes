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Payback_Floor" sheetId="4" state="visible" r:id="rId6"/>
    <sheet name="Funding" sheetId="5" state="visible" r:id="rId7"/>
    <sheet name="Funding_Stack" sheetId="6" state="visible" r:id="rId8"/>
    <sheet name="Outputs" sheetId="7" state="visible" r:id="rId9"/>
    <sheet name="Checks" sheetId="8" state="visible" r:id="rId10"/>
    <sheet name="Inputs" sheetId="9" state="visible" r:id="rId11"/>
    <sheet name="Timeline" sheetId="10" state="visible" r:id="rId12"/>
    <sheet name="Hist" sheetId="11" state="visible" r:id="rId13"/>
    <sheet name="Sites" sheetId="12" state="visible" r:id="rId14"/>
    <sheet name="Pricing" sheetId="13" state="visible" r:id="rId15"/>
    <sheet name="Contracts" sheetId="14" state="visible" r:id="rId16"/>
    <sheet name="Revenue" sheetId="15" state="visible" r:id="rId17"/>
    <sheet name="Capex_DA" sheetId="16" state="visible" r:id="rId18"/>
    <sheet name="Financing" sheetId="17" state="visible" r:id="rId19"/>
    <sheet name="PnL" sheetId="18" state="visible" r:id="rId20"/>
    <sheet name="CashFlow" sheetId="19" state="visible" r:id="rId21"/>
    <sheet name="Shares" sheetId="20" state="visible" r:id="rId22"/>
    <sheet name="Valuation" sheetId="21" state="visible" r:id="rId23"/>
    <sheet name="KPIs" sheetId="22" state="visible" r:id="rId24"/>
    <sheet name="Sensitivity" sheetId="23" state="visible" r:id="rId25"/>
    <sheet name="Sources" sheetId="24" state="visible" r:id="rId26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Inputs!$F$366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Inputs!$F$207</definedName>
    <definedName function="false" hidden="false" name="ACV_Q2" vbProcedure="false">Inputs!$F$208</definedName>
    <definedName function="false" hidden="false" name="AIRev" vbProcedure="false">Revenue!$F$105:$AG$105</definedName>
    <definedName function="false" hidden="false" name="AIRev_E" vbProcedure="false">Revenue!$E$105</definedName>
    <definedName function="false" hidden="false" name="AI_Model" vbProcedure="false">Revenue!$F$101:$AG$101</definedName>
    <definedName function="false" hidden="false" name="AI_Model_E" vbProcedure="false">Revenue!$E$101</definedName>
    <definedName function="false" hidden="false" name="ARR_JunMo" vbProcedure="false">Revenue!$E$123</definedName>
    <definedName function="false" hidden="false" name="ARR_Q2Mo" vbProcedure="false">Revenue!$E$124</definedName>
    <definedName function="false" hidden="false" name="ARR_Rep" vbProcedure="false">Revenue!$E$116</definedName>
    <definedName function="false" hidden="false" name="ARR_Res" vbProcedure="false">Revenue!$E$121</definedName>
    <definedName function="false" hidden="false" name="ARR_ResMW" vbProcedure="false">Revenue!$E$122</definedName>
    <definedName function="false" hidden="false" name="ARR_ResMW_THi" vbProcedure="false">Revenue!$E$130</definedName>
    <definedName function="false" hidden="false" name="ARR_ResMW_TLo" vbProcedure="false">Revenue!$E$129</definedName>
    <definedName function="false" hidden="false" name="ARR_ResTB_Hi" vbProcedure="false">Revenue!$E$128</definedName>
    <definedName function="false" hidden="false" name="ARR_ResTB_Lo" vbProcedure="false">Revenue!$E$127</definedName>
    <definedName function="false" hidden="false" name="ARR_ResTeamHi" vbProcedure="false">Inputs!$F$84</definedName>
    <definedName function="false" hidden="false" name="ARR_ResTeamLo" vbProcedure="false">Inputs!$F$83</definedName>
    <definedName function="false" hidden="false" name="ARR_RR" vbProcedure="false">Revenue!$E$119</definedName>
    <definedName function="false" hidden="false" name="ARR_RRa" vbProcedure="false">Revenue!$E$117</definedName>
    <definedName function="false" hidden="false" name="ARR_RRbc" vbProcedure="false">Revenue!$E$118</definedName>
    <definedName function="false" hidden="false" name="ARR_RRMW" vbProcedure="false">Revenue!$E$120</definedName>
    <definedName function="false" hidden="false" name="ARR_RRMW_Hi" vbProcedure="false">Inputs!$F$82</definedName>
    <definedName function="false" hidden="false" name="ARR_RRMW_Lo" vbProcedure="false">Inputs!$F$81</definedName>
    <definedName function="false" hidden="false" name="ARR_Step" vbProcedure="false">Revenue!$E$125</definedName>
    <definedName function="false" hidden="false" name="ARR_StepMW" vbProcedure="false">Revenue!$E$126</definedName>
    <definedName function="false" hidden="false" name="AssetLight" vbProcedure="false">Inputs!$C$422:$I$422</definedName>
    <definedName function="false" hidden="false" name="ATMOn" vbProcedure="false">Inputs!$F$295</definedName>
    <definedName function="false" hidden="false" name="ATM_Q3" vbProcedure="false">Inputs!$F$329</definedName>
    <definedName function="false" hidden="false" name="ATM_Rem" vbProcedure="false">Inputs!$F$338</definedName>
    <definedName function="false" hidden="false" name="AugGross" vbProcedure="false">Inputs!$F$296</definedName>
    <definedName function="false" hidden="false" name="AugNet" vbProcedure="false">Inputs!$F$326</definedName>
    <definedName function="false" hidden="false" name="AuthAvail" vbProcedure="false">Inputs!$F$67</definedName>
    <definedName function="false" hidden="false" name="AuthBase" vbProcedure="false">Inputs!$F$76</definedName>
    <definedName function="false" hidden="false" name="AuthPct" vbProcedure="false">Inputs!$F$77</definedName>
    <definedName function="false" hidden="false" name="AvailIdx_B200" vbProcedure="false">Inputs!$F$252</definedName>
    <definedName function="false" hidden="false" name="AvailIdx_GB300" vbProcedure="false">Inputs!$F$253</definedName>
    <definedName function="false" hidden="false" name="AvailIdx_H200" vbProcedure="false">Inputs!$F$251</definedName>
    <definedName function="false" hidden="false" name="AvailIdx_VR" vbProcedure="false">Inputs!$F$254</definedName>
    <definedName function="false" hidden="false" name="AVBurnOn" vbProcedure="false">Inputs!$F$382</definedName>
    <definedName function="false" hidden="false" name="AVBurnQ" vbProcedure="false">Inputs!$F$381</definedName>
    <definedName function="false" hidden="false" name="AVPt" vbProcedure="false">Inputs!$F$401</definedName>
    <definedName function="false" hidden="false" name="AV_Hi" vbProcedure="false">Inputs!$F$400</definedName>
    <definedName function="false" hidden="false" name="AV_Lo" vbProcedure="false">Inputs!$F$399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Inputs!$F$63</definedName>
    <definedName function="false" hidden="false" name="BackstopMW" vbProcedure="false">Inputs!$F$61</definedName>
    <definedName function="false" hidden="false" name="BackstopPx" vbProcedure="false">Inputs!$F$62</definedName>
    <definedName function="false" hidden="false" name="BaseRateMW" vbProcedure="false">Inputs!$F$259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Inputs!$F$249</definedName>
    <definedName function="false" hidden="false" name="BloomIdx" vbProcedure="false">Inputs!$F$213</definedName>
    <definedName function="false" hidden="false" name="BloomOn" vbProcedure="false">Inputs!$F$212</definedName>
    <definedName function="false" hidden="false" name="BloomSlipOn" vbProcedure="false">Inputs!$F$101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Inputs!$F$69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Calib" vbProcedure="false">Revenue!$F$106:$AG$106</definedName>
    <definedName function="false" hidden="false" name="Calib_E" vbProcedure="false">Revenue!$E$106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Inputs!$F$260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Inputs!$F$74</definedName>
    <definedName function="false" hidden="false" name="CapIntLife" vbProcedure="false">Inputs!$F$262</definedName>
    <definedName function="false" hidden="false" name="CapIntPct" vbProcedure="false">Inputs!$F$261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Inputs!$F$75</definedName>
    <definedName function="false" hidden="false" name="CashYield" vbProcedure="false">Inputs!$F$317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Inputs!$F$315</definedName>
    <definedName function="false" hidden="false" name="Chk_RevGPUhr" vbProcedure="false">Inputs!$F$312</definedName>
    <definedName function="false" hidden="false" name="Chk_RevSrv" vbProcedure="false">Inputs!$F$313</definedName>
    <definedName function="false" hidden="false" name="Chk_SrvCap" vbProcedure="false">Inputs!$F$314</definedName>
    <definedName function="false" hidden="false" name="Chk_SrvHi" vbProcedure="false">Inputs!$F$166</definedName>
    <definedName function="false" hidden="false" name="Chk_SrvLo" vbProcedure="false">Inputs!$F$165</definedName>
    <definedName function="false" hidden="false" name="CH_Hi" vbProcedure="false">Inputs!$F$396</definedName>
    <definedName function="false" hidden="false" name="CH_Lo" vbProcedure="false">Inputs!$F$395</definedName>
    <definedName function="false" hidden="false" name="CIPRel1" vbProcedure="false">Inputs!$F$263</definedName>
    <definedName function="false" hidden="false" name="CIPRel2" vbProcedure="false">Inputs!$F$264</definedName>
    <definedName function="false" hidden="false" name="CLT1Prepay" vbProcedure="false">Inputs!$F$92</definedName>
    <definedName function="false" hidden="false" name="CLT1Rent" vbProcedure="false">Inputs!$F$91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Inputs!$F$90</definedName>
    <definedName function="false" hidden="false" name="Cons_Cx" vbProcedure="false">Inputs!$C$425:$I$425</definedName>
    <definedName function="false" hidden="false" name="Cons_EB" vbProcedure="false">Inputs!$C$424:$I$424</definedName>
    <definedName function="false" hidden="false" name="Cons_Q4" vbProcedure="false">Inputs!$F$255</definedName>
    <definedName function="false" hidden="false" name="Cons_Rev" vbProcedure="false">Inputs!$C$423:$I$423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Inputs!$F$167</definedName>
    <definedName function="false" hidden="false" name="CRWV_Commit" vbProcedure="false">Inputs!$F$347</definedName>
    <definedName function="false" hidden="false" name="CRWV_Contr" vbProcedure="false">Inputs!$F$345</definedName>
    <definedName function="false" hidden="false" name="CRWV_EV" vbProcedure="false">Inputs!$F$343</definedName>
    <definedName function="false" hidden="false" name="CRWV_EVEB27" vbProcedure="false">Inputs!$F$311</definedName>
    <definedName function="false" hidden="false" name="CRWV_Lease" vbProcedure="false">Inputs!$F$346</definedName>
    <definedName function="false" hidden="false" name="CRWV_MW" vbProcedure="false">Inputs!$F$344</definedName>
    <definedName function="false" hidden="false" name="CS_Cash" vbProcedure="false">Inputs!$F$297</definedName>
    <definedName function="false" hidden="false" name="CS_ConvCarry" vbProcedure="false">Inputs!$F$299</definedName>
    <definedName function="false" hidden="false" name="CS_CurDebt" vbProcedure="false">Inputs!$F$300</definedName>
    <definedName function="false" hidden="false" name="CS_Restr" vbProcedure="false">Inputs!$F$298</definedName>
    <definedName function="false" hidden="false" name="Curve" vbProcedure="false">Inputs!$C$434:$J$434</definedName>
    <definedName function="false" hidden="false" name="Curve_Base" vbProcedure="false">Inputs!$C$432:$J$432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Inputs!$F$351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Inputs!$F$392</definedName>
    <definedName function="false" hidden="false" name="DCLead" vbProcedure="false">Inputs!$F$267</definedName>
    <definedName function="false" hidden="false" name="DelivFactor" vbProcedure="false">Inputs!$F$210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Inputs!$F$330</definedName>
    <definedName function="false" hidden="false" name="DilPx" vbProcedure="false">Valuation!$E$265</definedName>
    <definedName function="false" hidden="false" name="DilPxMode" vbProcedure="false">Inputs!$F$348</definedName>
    <definedName function="false" hidden="false" name="DRRefPct" vbProcedure="false">Inputs!$F$36</definedName>
    <definedName function="false" hidden="false" name="DRSchedMode" vbProcedure="false">Inputs!$F$119</definedName>
    <definedName function="false" hidden="false" name="DRTermOn" vbProcedure="false">Inputs!$F$138</definedName>
    <definedName function="false" hidden="false" name="DR_24" vbProcedure="false">Inputs!$F$125</definedName>
    <definedName function="false" hidden="false" name="DR_AmortQ" vbProcedure="false">Inputs!$F$292</definedName>
    <definedName function="false" hidden="false" name="DR_Cur" vbProcedure="false">Inputs!$F$124</definedName>
    <definedName function="false" hidden="false" name="DR_Open" vbProcedure="false">Inputs!$F$288</definedName>
    <definedName function="false" hidden="false" name="DR_TailQ" vbProcedure="false">Inputs!$F$126</definedName>
    <definedName function="false" hidden="false" name="DR_YE25" vbProcedure="false">Inputs!$F$289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Inputs!$F$336</definedName>
    <definedName function="false" hidden="false" name="EigenIn" vbProcedure="false">Inputs!$F$337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Inputs!$F$325</definedName>
    <definedName function="false" hidden="false" name="ExchIdx" vbProcedure="false">Inputs!$F$328</definedName>
    <definedName function="false" hidden="false" name="ExchShares" vbProcedure="false">Inputs!$F$327</definedName>
    <definedName function="false" hidden="false" name="ExitMult" vbProcedure="false">Inputs!$F$391</definedName>
    <definedName function="false" hidden="false" name="FD_Filings" vbProcedure="false">Inputs!$F$339</definedName>
    <definedName function="false" hidden="false" name="FD_FilingsATM" vbProcedure="false">Inputs!$F$340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Inputs!$F$373</definedName>
    <definedName function="false" hidden="false" name="FP_AccS" vbProcedure="false">Inputs!$F$372</definedName>
    <definedName function="false" hidden="false" name="FP_ATMAmt" vbProcedure="false">Inputs!$F$357</definedName>
    <definedName function="false" hidden="false" name="FP_ATMDisc" vbProcedure="false">Inputs!$F$356</definedName>
    <definedName function="false" hidden="false" name="FP_ATMIdx" vbProcedure="false">Inputs!$F$355</definedName>
    <definedName function="false" hidden="false" name="FP_ATMMode" vbProcedure="false">Inputs!$F$354</definedName>
    <definedName function="false" hidden="false" name="FP_ATMProc" vbProcedure="false">Inputs!$F$360</definedName>
    <definedName function="false" hidden="false" name="FP_ATMPx" vbProcedure="false">Inputs!$F$358</definedName>
    <definedName function="false" hidden="false" name="FP_ATMSh" vbProcedure="false">Inputs!$F$359</definedName>
    <definedName function="false" hidden="false" name="FP_CpnL" vbProcedure="false">Inputs!$F$371</definedName>
    <definedName function="false" hidden="false" name="FP_CpnS" vbProcedure="false">Inputs!$F$370</definedName>
    <definedName function="false" hidden="false" name="FP_CV1Amt" vbProcedure="false">Inputs!$F$364</definedName>
    <definedName function="false" hidden="false" name="FP_CV1Idx" vbProcedure="false">Inputs!$F$362</definedName>
    <definedName function="false" hidden="false" name="FP_CV1Net" vbProcedure="false">Inputs!$F$367</definedName>
    <definedName function="false" hidden="false" name="FP_CV2Amt" vbProcedure="false">Inputs!$F$365</definedName>
    <definedName function="false" hidden="false" name="FP_CV2Idx" vbProcedure="false">Inputs!$F$363</definedName>
    <definedName function="false" hidden="false" name="FP_CV2Net" vbProcedure="false">Inputs!$F$368</definedName>
    <definedName function="false" hidden="false" name="FP_CVOpen" vbProcedure="false">Inputs!$F$361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Inputs!$F$379</definedName>
    <definedName function="false" hidden="false" name="FP_MinBuf" vbProcedure="false">Inputs!$F$47</definedName>
    <definedName function="false" hidden="false" name="FP_On" vbProcedure="false">Inputs!$F$353</definedName>
    <definedName function="false" hidden="false" name="FP_PathQ" vbProcedure="false">Inputs!$F$66</definedName>
    <definedName function="false" hidden="false" name="FP_PostQ" vbProcedure="false">Inputs!$F$380</definedName>
    <definedName function="false" hidden="false" name="FP_PremL" vbProcedure="false">Inputs!$F$375</definedName>
    <definedName function="false" hidden="false" name="FP_PremS" vbProcedure="false">Inputs!$F$374</definedName>
    <definedName function="false" hidden="false" name="FP_RefPx" vbProcedure="false">Inputs!$F$378</definedName>
    <definedName function="false" hidden="false" name="FP_Resize" vbProcedure="false">Inputs!$F$46</definedName>
    <definedName function="false" hidden="false" name="FP_ShortSh" vbProcedure="false">Inputs!$F$369</definedName>
    <definedName function="false" hidden="false" name="FP_TenL" vbProcedure="false">Inputs!$F$377</definedName>
    <definedName function="false" hidden="false" name="FP_TenS" vbProcedure="false">Inputs!$F$376</definedName>
    <definedName function="false" hidden="false" name="FP_TopEnd" vbProcedure="false">Inputs!$F$48</definedName>
    <definedName function="false" hidden="false" name="FS_ABS" vbProcedure="false">Funding_Stack!$B$12</definedName>
    <definedName function="false" hidden="false" name="FS_ABSInt" vbProcedure="false">Funding_Stack!$B$14</definedName>
    <definedName function="false" hidden="false" name="FS_ABSPk" vbProcedure="false">Funding_Stack!$B$13</definedName>
    <definedName function="false" hidden="false" name="FS_CV" vbProcedure="false">Funding_Stack!$B$20</definedName>
    <definedName function="false" hidden="false" name="FS_Cx" vbProcedure="false">Funding_Stack!$B$15</definedName>
    <definedName function="false" hidden="false" name="FS_Eq" vbProcedure="false">Funding_Stack!$B$19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Funding_Stack!$B$11</definedName>
    <definedName function="false" hidden="false" name="FS_wABS" vbProcedure="false">Funding_Stack!$B$16</definedName>
    <definedName function="false" hidden="false" name="FS_WACCb" vbProcedure="false">Funding_Stack!$B$18</definedName>
    <definedName function="false" hidden="false" name="FS_WBase" vbProcedure="false">Funding_Stack!$B$17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Inputs!$F$190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Inputs!$F$211</definedName>
    <definedName function="false" hidden="false" name="GPUAnchorD" vbProcedure="false">Sites!$F$370</definedName>
    <definedName function="false" hidden="false" name="GPUAnchorOn" vbProcedure="false">Inputs!$F$141</definedName>
    <definedName function="false" hidden="false" name="GPUCost_B" vbProcedure="false">Inputs!$F$242</definedName>
    <definedName function="false" hidden="false" name="GPUCost_H" vbProcedure="false">Inputs!$F$241</definedName>
    <definedName function="false" hidden="false" name="GPUCost_N" vbProcedure="false">Inputs!$F$243</definedName>
    <definedName function="false" hidden="false" name="GPULead" vbProcedure="false">Inputs!$F$247</definedName>
    <definedName function="false" hidden="false" name="GPUMW_B" vbProcedure="false">Inputs!$F$177</definedName>
    <definedName function="false" hidden="false" name="GPUMW_H" vbProcedure="false">Inputs!$F$176</definedName>
    <definedName function="false" hidden="false" name="GPUMW_N" vbProcedure="false">Inputs!$F$178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Inputs!$F$142</definedName>
    <definedName function="false" hidden="false" name="GPU_Resid" vbProcedure="false">Inputs!$F$72</definedName>
    <definedName function="false" hidden="false" name="HallLife" vbProcedure="false">Inputs!$F$73</definedName>
    <definedName function="false" hidden="false" name="HeadStart" vbProcedure="false">Inputs!$F$194</definedName>
    <definedName function="false" hidden="false" name="HistGPUsh" vbProcedure="false">Inputs!$F$269</definedName>
    <definedName function="false" hidden="false" name="HistMWBasis" vbProcedure="false">Inputs!$F$89</definedName>
    <definedName function="false" hidden="false" name="HistPowSh" vbProcedure="false">Inputs!$F$271</definedName>
    <definedName function="false" hidden="false" name="HistShellSh" vbProcedure="false">Inputs!$F$270</definedName>
    <definedName function="false" hidden="false" name="HSPre" vbProcedure="false">Inputs!$F$137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Inputs!$F$282</definedName>
    <definedName function="false" hidden="false" name="ImpPct_H" vbProcedure="false">Inputs!$F$280</definedName>
    <definedName function="false" hidden="false" name="ImpPct_N" vbProcedure="false">Inputs!$F$284</definedName>
    <definedName function="false" hidden="false" name="ImpQ_B" vbProcedure="false">Inputs!$F$281</definedName>
    <definedName function="false" hidden="false" name="ImpQ_H" vbProcedure="false">Inputs!$F$279</definedName>
    <definedName function="false" hidden="false" name="ImpQ_N" vbProcedure="false">Inputs!$F$283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Inputs!$F$94</definedName>
    <definedName function="false" hidden="false" name="InferizeOn" vbProcedure="false">Inputs!$F$93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Inputs!$F$244</definedName>
    <definedName function="false" hidden="false" name="ITM_Prin_Chk" vbProcedure="false">Inputs!$F$342</definedName>
    <definedName function="false" hidden="false" name="ITM_Sh_Chk" vbProcedure="false">Inputs!$F$341</definedName>
    <definedName function="false" hidden="false" name="JuneExitOn" vbProcedure="false">Inputs!$F$95</definedName>
    <definedName function="false" hidden="false" name="JuneOv" vbProcedure="false">Revenue!$F$100:$AG$100</definedName>
    <definedName function="false" hidden="false" name="JuneOv_E" vbProcedure="false">Revenue!$E$100</definedName>
    <definedName function="false" hidden="false" name="Ke" vbProcedure="false">Inputs!$F$385</definedName>
    <definedName function="false" hidden="false" name="LastHist" vbProcedure="false">Inputs!$F$9</definedName>
    <definedName function="false" hidden="false" name="LaunchOn" vbProcedure="false">Inputs!$F$192</definedName>
    <definedName function="false" hidden="false" name="LaunchPrem" vbProcedure="false">Inputs!$F$193</definedName>
    <definedName function="false" hidden="false" name="LD_Pct" vbProcedure="false">Inputs!$F$231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ifeChgFY26" vbProcedure="false">Inputs!$F$250</definedName>
    <definedName function="false" hidden="false" name="LifeOverride" vbProcedure="false">Inputs!$F$275</definedName>
    <definedName function="false" hidden="false" name="Life_B" vbProcedure="false">Inputs!$F$273</definedName>
    <definedName function="false" hidden="false" name="Life_H" vbProcedure="false">Inputs!$F$272</definedName>
    <definedName function="false" hidden="false" name="Life_Maint" vbProcedure="false">Inputs!$F$278</definedName>
    <definedName function="false" hidden="false" name="Life_N" vbProcedure="false">Inputs!$F$274</definedName>
    <definedName function="false" hidden="false" name="Life_Pow" vbProcedure="false">Inputs!$F$277</definedName>
    <definedName function="false" hidden="false" name="Life_Shell" vbProcedure="false">Inputs!$F$276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Inputs!$F$175</definedName>
    <definedName function="false" hidden="false" name="LoanOn" vbProcedure="false">Inputs!$F$294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Inputs!$F$268</definedName>
    <definedName function="false" hidden="false" name="MaintRatio" vbProcedure="false">Inputs!$F$393</definedName>
    <definedName function="false" hidden="false" name="MarginCons28" vbProcedure="false">Inputs!$F$85</definedName>
    <definedName function="false" hidden="false" name="MarginPeer" vbProcedure="false">Inputs!$F$86</definedName>
    <definedName function="false" hidden="false" name="MarMo" vbProcedure="false">Inputs!$F$96</definedName>
    <definedName function="false" hidden="false" name="Meta1Q" vbProcedure="false">Inputs!$F$217</definedName>
    <definedName function="false" hidden="false" name="MinCash" vbProcedure="false">Inputs!$F$316</definedName>
    <definedName function="false" hidden="false" name="MixA_Q2" vbProcedure="false">Inputs!$F$225</definedName>
    <definedName function="false" hidden="false" name="MixB_Q2" vbProcedure="false">Inputs!$F$226</definedName>
    <definedName function="false" hidden="false" name="MixC_Q2" vbProcedure="false">Inputs!$F$227</definedName>
    <definedName function="false" hidden="false" name="Mix_B" vbProcedure="false">Inputs!$C$417:$I$417</definedName>
    <definedName function="false" hidden="false" name="Mix_H" vbProcedure="false">Inputs!$C$416:$I$416</definedName>
    <definedName function="false" hidden="false" name="Mix_N" vbProcedure="false">Inputs!$C$418:$I$418</definedName>
    <definedName function="false" hidden="false" name="MSFT_Ceil" vbProcedure="false">Inputs!$F$214</definedName>
    <definedName function="false" hidden="false" name="MSFT_Chk" vbProcedure="false">Contracts!$K$31</definedName>
    <definedName function="false" hidden="false" name="MSFT_MW" vbProcedure="false">Inputs!$F$205</definedName>
    <definedName function="false" hidden="false" name="MSFT_N" vbProcedure="false">Inputs!$F$206</definedName>
    <definedName function="false" hidden="false" name="MSFT_TCV" vbProcedure="false">Inputs!$F$204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Inputs!$F$216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Inputs!$F$173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Inputs!$F$172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Inputs!$F$109</definedName>
    <definedName function="false" hidden="false" name="MYDeclIdx" vbProcedure="false">Inputs!$F$110</definedName>
    <definedName function="false" hidden="false" name="MYPathMode" vbProcedure="false">Inputs!$F$108</definedName>
    <definedName function="false" hidden="false" name="MYRate" vbProcedure="false">Inputs!$F$107</definedName>
    <definedName function="false" hidden="false" name="MYRateU" vbProcedure="false">Inputs!$F$121</definedName>
    <definedName function="false" hidden="false" name="MYStressCut" vbProcedure="false">Inputs!$F$112</definedName>
    <definedName function="false" hidden="false" name="MYStressOn" vbProcedure="false">Inputs!$F$111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Inputs!$F$127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Revenue!$F$94:$AG$94</definedName>
    <definedName function="false" hidden="false" name="ND_Adj_E" vbProcedure="false">Revenue!$E$94</definedName>
    <definedName function="false" hidden="false" name="ND_GenOn" vbProcedure="false">Inputs!$F$113</definedName>
    <definedName function="false" hidden="false" name="ND_GPUMW_GB" vbProcedure="false">Inputs!$F$105</definedName>
    <definedName function="false" hidden="false" name="ND_GrossX" vbProcedure="false">Inputs!$F$128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Occ" vbProcedure="false">Inputs!$F$106</definedName>
    <definedName function="false" hidden="false" name="ND_Px" vbProcedure="false">Inputs!$F$104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Revenue!$F$95:$AG$95</definedName>
    <definedName function="false" hidden="false" name="ND_RevMW_E" vbProcedure="false">Revenue!$E$95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Revenue!$F$92:$AG$92</definedName>
    <definedName function="false" hidden="false" name="ND_UncRen_E" vbProcedure="false">Revenue!$E$92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Inputs!$F$258</definedName>
    <definedName function="false" hidden="false" name="NewDealIdx" vbProcedure="false">Inputs!$F$103</definedName>
    <definedName function="false" hidden="false" name="NewDealLo" vbProcedure="false">Inputs!$F$257</definedName>
    <definedName function="false" hidden="false" name="NewDealOn" vbProcedure="false">Inputs!$F$102</definedName>
    <definedName function="false" hidden="false" name="NextLaunchIdx" vbProcedure="false">Inputs!$F$195</definedName>
    <definedName function="false" hidden="false" name="NVDA_Idx" vbProcedure="false">Inputs!$F$332</definedName>
    <definedName function="false" hidden="false" name="NVDA_W" vbProcedure="false">Inputs!$F$331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Inputs!$F$80</definedName>
    <definedName function="false" hidden="false" name="ODq_N" vbProcedure="false">Pricing!$J$23</definedName>
    <definedName function="false" hidden="false" name="OffBSWt" vbProcedure="false">Inputs!$F$407</definedName>
    <definedName function="false" hidden="false" name="OffBS_Energy" vbProcedure="false">Inputs!$F$404</definedName>
    <definedName function="false" hidden="false" name="OffBS_Lease" vbProcedure="false">Inputs!$F$405</definedName>
    <definedName function="false" hidden="false" name="OM_MW" vbProcedure="false">Inputs!$F$29</definedName>
    <definedName function="false" hidden="false" name="OpenGPU_H" vbProcedure="false">Inputs!$F$285</definedName>
    <definedName function="false" hidden="false" name="OpexHold" vbProcedure="false">Inputs!$F$144</definedName>
    <definedName function="false" hidden="false" name="OpLease" vbProcedure="false">Inputs!$F$406</definedName>
    <definedName function="false" hidden="false" name="Options" vbProcedure="false">Inputs!$F$333</definedName>
    <definedName function="false" hidden="false" name="OptK" vbProcedure="false">Inputs!$F$334</definedName>
    <definedName function="false" hidden="false" name="OtherCOR" vbProcedure="false">Inputs!$F$238</definedName>
    <definedName function="false" hidden="false" name="OtherDA" vbProcedure="false">Inputs!$F$286</definedName>
    <definedName function="false" hidden="false" name="Other_Val" vbProcedure="false">Inputs!$F$402</definedName>
    <definedName function="false" hidden="false" name="OthRev_g" vbProcedure="false">Inputs!$F$233</definedName>
    <definedName function="false" hidden="false" name="OwnedSh" vbProcedure="false">Inputs!$C$415:$I$415</definedName>
    <definedName function="false" hidden="false" name="OwnOpex" vbProcedure="false">Inputs!$F$71</definedName>
    <definedName function="false" hidden="false" name="OwnOpexOn" vbProcedure="false">Inputs!$F$70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Dpct" vbProcedure="false">Inputs!$C$426:$I$426</definedName>
    <definedName function="false" hidden="false" name="PeerEVMW" vbProcedure="false">Inputs!$F$394</definedName>
    <definedName function="false" hidden="false" name="PeerMarginOn" vbProcedure="false">Inputs!$F$97</definedName>
    <definedName function="false" hidden="false" name="PeerMarginYr" vbProcedure="false">Inputs!$F$98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Inputs!$F$248</definedName>
    <definedName function="false" hidden="false" name="PlugDebtSh" vbProcedure="false">Inputs!$F$324</definedName>
    <definedName function="false" hidden="false" name="PlugSpread" vbProcedure="false">Inputs!$F$323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Inputs!$F$246</definedName>
    <definedName function="false" hidden="false" name="PowerPx" vbProcedure="false">Inputs!$F$235</definedName>
    <definedName function="false" hidden="false" name="Prepay26" vbProcedure="false">Inputs!$F$290</definedName>
    <definedName function="false" hidden="false" name="PrepayBase" vbProcedure="false">Inputs!$F$140</definedName>
    <definedName function="false" hidden="false" name="PrepayByCust" vbProcedure="false">Inputs!$F$139</definedName>
    <definedName function="false" hidden="false" name="PrepayDecayOn" vbProcedure="false">Inputs!$F$133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Inputs!$F$136</definedName>
    <definedName function="false" hidden="false" name="PrepayMode" vbProcedure="false">Inputs!$F$32</definedName>
    <definedName function="false" hidden="false" name="PrepayOn" vbProcedure="false">Inputs!$F$132</definedName>
    <definedName function="false" hidden="false" name="PrepayPct" vbProcedure="false">Inputs!$F$291</definedName>
    <definedName function="false" hidden="false" name="PrepayPct27" vbProcedure="false">Inputs!$F$134</definedName>
    <definedName function="false" hidden="false" name="PrepayPct28" vbProcedure="false">Inputs!$F$135</definedName>
    <definedName function="false" hidden="false" name="PrepayQ" vbProcedure="false">Inputs!$F$33</definedName>
    <definedName function="false" hidden="false" name="PTBasis" vbProcedure="false">Inputs!$F$64</definedName>
    <definedName function="false" hidden="false" name="PUE" vbProcedure="false">Inputs!$F$174</definedName>
    <definedName function="false" hidden="false" name="PUE_B" vbProcedure="false">Inputs!$D$174</definedName>
    <definedName function="false" hidden="false" name="PwrLooseDecl" vbProcedure="false">Inputs!$F$184</definedName>
    <definedName function="false" hidden="false" name="PwrLooseIdx" vbProcedure="false">Inputs!$F$185</definedName>
    <definedName function="false" hidden="false" name="PwrLooseOn" vbProcedure="false">Inputs!$F$183</definedName>
    <definedName function="false" hidden="false" name="PxBaseIdx" vbProcedure="false">Inputs!$F$189</definedName>
    <definedName function="false" hidden="false" name="PxChg_B" vbProcedure="false">Inputs!$F$187</definedName>
    <definedName function="false" hidden="false" name="PxChg_H" vbProcedure="false">Inputs!$F$186</definedName>
    <definedName function="false" hidden="false" name="PxChg_N" vbProcedure="false">Inputs!$F$188</definedName>
    <definedName function="false" hidden="false" name="PxCyc" vbProcedure="false">Inputs!$F$169</definedName>
    <definedName function="false" hidden="false" name="PxCycIdx" vbProcedure="false">Inputs!$F$170</definedName>
    <definedName function="false" hidden="false" name="PxCycleOn" vbProcedure="false">Inputs!$F$168</definedName>
    <definedName function="false" hidden="false" name="PxLine_Hi" vbProcedure="false">Inputs!$F$219</definedName>
    <definedName function="false" hidden="false" name="PxLine_Lo" vbProcedure="false">Inputs!$F$218</definedName>
    <definedName function="false" hidden="false" name="PxMult" vbProcedure="false">Inputs!$F$181</definedName>
    <definedName function="false" hidden="false" name="PxPathMode" vbProcedure="false">Inputs!$F$182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Inputs!$F$256</definedName>
    <definedName function="false" hidden="false" name="Q3TransAct" vbProcedure="false">Inputs!$F$265</definedName>
    <definedName function="false" hidden="false" name="Q3TransChk" vbProcedure="false">Capex_DA!$P$84</definedName>
    <definedName function="false" hidden="false" name="Q3TransMin" vbProcedure="false">Inputs!$F$266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Inputs!$F$196</definedName>
    <definedName function="false" hidden="false" name="RampMS_B" vbProcedure="false">Inputs!$D$196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Inputs!$F$197</definedName>
    <definedName function="false" hidden="false" name="RealOD_B" vbProcedure="false">Inputs!$D$197</definedName>
    <definedName function="false" hidden="false" name="RealRes" vbProcedure="false">Inputs!$F$198</definedName>
    <definedName function="false" hidden="false" name="RealRes_B" vbProcedure="false">Inputs!$D$198</definedName>
    <definedName function="false" hidden="false" name="RedSites" vbProcedure="false">Sites!$F$389</definedName>
    <definedName function="false" hidden="false" name="RenewIdx" vbProcedure="false">Inputs!$F$147</definedName>
    <definedName function="false" hidden="false" name="RenewRate" vbProcedure="false">Inputs!$F$146</definedName>
    <definedName function="false" hidden="false" name="RenewUp" vbProcedure="false">Inputs!$F$79</definedName>
    <definedName function="false" hidden="false" name="RentMW" vbProcedure="false">Inputs!$F$236</definedName>
    <definedName function="false" hidden="false" name="ReplOn" vbProcedure="false">Inputs!$F$88</definedName>
    <definedName function="false" hidden="false" name="ReplPxOn" vbProcedure="false">Inputs!$F$143</definedName>
    <definedName function="false" hidden="false" name="RepriceOn" vbProcedure="false">Inputs!$F$78</definedName>
    <definedName function="false" hidden="false" name="ResDisc" vbProcedure="false">Inputs!$F$180</definedName>
    <definedName function="false" hidden="false" name="ResidBearCut" vbProcedure="false">Inputs!$F$230</definedName>
    <definedName function="false" hidden="false" name="ResidUtil" vbProcedure="false">Inputs!$F$202</definedName>
    <definedName function="false" hidden="false" name="ResLag" vbProcedure="false">Inputs!$F$224</definedName>
    <definedName function="false" hidden="false" name="ResSh" vbProcedure="false">Inputs!$C$419:$I$419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Revenue!$F$104:$AG$104</definedName>
    <definedName function="false" hidden="false" name="Rev_E" vbProcedure="false">Revenue!$E$104</definedName>
    <definedName function="false" hidden="false" name="Rev_Model" vbProcedure="false">Revenue!$F$103:$AG$103</definedName>
    <definedName function="false" hidden="false" name="Rev_Model_E" vbProcedure="false">Revenue!$E$103</definedName>
    <definedName function="false" hidden="false" name="Rev_PxSens" vbProcedure="false">Revenue!$F$113:$AG$113</definedName>
    <definedName function="false" hidden="false" name="Rev_PxSens_E" vbProcedure="false">Revenue!$E$113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Inputs!$F$123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Inputs!$F$122</definedName>
    <definedName function="false" hidden="false" name="RSU" vbProcedure="false">Inputs!$F$335</definedName>
    <definedName function="false" hidden="false" name="RubinGPUMW_D" vbProcedure="false">Inputs!$F$116</definedName>
    <definedName function="false" hidden="false" name="RubinMode" vbProcedure="false">Inputs!$F$114</definedName>
    <definedName function="false" hidden="false" name="RubinMW" vbProcedure="false">Inputs!$F$115</definedName>
    <definedName function="false" hidden="false" name="Rubin_Prem" vbProcedure="false">Inputs!$F$191</definedName>
    <definedName function="false" hidden="false" name="SBCpct" vbProcedure="false">Inputs!$F$239</definedName>
    <definedName function="false" hidden="false" name="SBCsh" vbProcedure="false">Inputs!$F$349</definedName>
    <definedName function="false" hidden="false" name="Scen" vbProcedure="false">Inputs!$D$4</definedName>
    <definedName function="false" hidden="false" name="SC_Disc" vbProcedure="false">Inputs!$F$65</definedName>
    <definedName function="false" hidden="false" name="SecAmt" vbProcedure="false">Inputs!$F$320</definedName>
    <definedName function="false" hidden="false" name="SecIdx" vbProcedure="false">Inputs!$F$321</definedName>
    <definedName function="false" hidden="false" name="SecMatIdx" vbProcedure="false">Inputs!$F$322</definedName>
    <definedName function="false" hidden="false" name="SecSpread" vbProcedure="false">Inputs!$F$319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Inputs!$C$427:$I$427</definedName>
    <definedName function="false" hidden="false" name="SharePx" vbProcedure="false">Inputs!$F$11</definedName>
    <definedName function="false" hidden="false" name="ShellMW" vbProcedure="false">Inputs!$F$245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Inputs!$F$158</definedName>
    <definedName function="false" hidden="false" name="Sk3C_ZeroQ" vbProcedure="false">Inputs!$F$157</definedName>
    <definedName function="false" hidden="false" name="Sk3H_YE27" vbProcedure="false">Inputs!$F$155</definedName>
    <definedName function="false" hidden="false" name="Sk3H_YE28" vbProcedure="false">Inputs!$F$156</definedName>
    <definedName function="false" hidden="false" name="Sk3H_ZeroQ" vbProcedure="false">Inputs!$F$154</definedName>
    <definedName function="false" hidden="false" name="Sk3L_YE27" vbProcedure="false">Inputs!$F$152</definedName>
    <definedName function="false" hidden="false" name="Sk3L_YE28" vbProcedure="false">Inputs!$F$153</definedName>
    <definedName function="false" hidden="false" name="Sk3L_ZeroQ" vbProcedure="false">Inputs!$F$151</definedName>
    <definedName function="false" hidden="false" name="Sk3_DCF4" vbProcedure="false">Inputs!$F$159</definedName>
    <definedName function="false" hidden="false" name="Sk3_DCF5" vbProcedure="false">Inputs!$F$160</definedName>
    <definedName function="false" hidden="false" name="Sk3_DCF6" vbProcedure="false">Inputs!$F$161</definedName>
    <definedName function="false" hidden="false" name="Sk3_PC27" vbProcedure="false">Inputs!$F$162</definedName>
    <definedName function="false" hidden="false" name="Sk3_PC27Bear" vbProcedure="false">Inputs!$F$163</definedName>
    <definedName function="false" hidden="false" name="Sk3_PC28" vbProcedure="false">Inputs!$F$164</definedName>
    <definedName function="false" hidden="false" name="Sk3_YE27" vbProcedure="false">Inputs!$F$149</definedName>
    <definedName function="false" hidden="false" name="Sk3_YE28" vbProcedure="false">Inputs!$F$150</definedName>
    <definedName function="false" hidden="false" name="Sk3_ZeroQ" vbProcedure="false">Inputs!$F$148</definedName>
    <definedName function="false" hidden="false" name="SkEBIT4" vbProcedure="false">Inputs!$F$408</definedName>
    <definedName function="false" hidden="false" name="SkEBIT5" vbProcedure="false">Inputs!$F$409</definedName>
    <definedName function="false" hidden="false" name="SkEBIT6" vbProcedure="false">Inputs!$F$410</definedName>
    <definedName function="false" hidden="false" name="Sk_EVEB27" vbProcedure="false">Inputs!$F$310</definedName>
    <definedName function="false" hidden="false" name="Sk_Q127" vbProcedure="false">Inputs!$F$302</definedName>
    <definedName function="false" hidden="false" name="Sk_Q227" vbProcedure="false">Inputs!$F$303</definedName>
    <definedName function="false" hidden="false" name="Sk_Rev27Base" vbProcedure="false">Inputs!$F$306</definedName>
    <definedName function="false" hidden="false" name="Sk_Rev27Hi" vbProcedure="false">Inputs!$F$307</definedName>
    <definedName function="false" hidden="false" name="Sk_Rev27Lo" vbProcedure="false">Inputs!$F$305</definedName>
    <definedName function="false" hidden="false" name="Sk_Rev27St" vbProcedure="false">Inputs!$F$308</definedName>
    <definedName function="false" hidden="false" name="Sk_Rev28" vbProcedure="false">Inputs!$F$309</definedName>
    <definedName function="false" hidden="false" name="Sk_Start" vbProcedure="false">Inputs!$F$301</definedName>
    <definedName function="false" hidden="false" name="Sk_YE27" vbProcedure="false">Inputs!$F$304</definedName>
    <definedName function="false" hidden="false" name="SOFR" vbProcedure="false">Inputs!$F$318</definedName>
    <definedName function="false" hidden="false" name="SOTPPt" vbProcedure="false">Inputs!$F$403</definedName>
    <definedName function="false" hidden="false" name="SOTP_Disc" vbProcedure="false">Inputs!$F$411</definedName>
    <definedName function="false" hidden="false" name="SpotSh" vbProcedure="false">Inputs!$C$420:$I$420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Inputs!$F$130</definedName>
    <definedName function="false" hidden="false" name="STMode" vbProcedure="false">Inputs!$F$118</definedName>
    <definedName function="false" hidden="false" name="STOcc" vbProcedure="false">Inputs!$F$120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Inputs!$F$129</definedName>
    <definedName function="false" hidden="false" name="STRecov" vbProcedure="false">Inputs!$F$131</definedName>
    <definedName function="false" hidden="false" name="STShare" vbProcedure="false">Inputs!$F$117</definedName>
    <definedName function="false" hidden="false" name="StudioUp" vbProcedure="false">Inputs!$C$421:$I$421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Inputs!$F$209</definedName>
    <definedName function="false" hidden="false" name="TaxRate" vbProcedure="false">Inputs!$F$350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Inputs!$F$145</definedName>
    <definedName function="false" hidden="false" name="TermRONC" vbProcedure="false">Inputs!$F$388</definedName>
    <definedName function="false" hidden="false" name="TermRR" vbProcedure="false">Inputs!$F$389</definedName>
    <definedName function="false" hidden="false" name="TG" vbProcedure="false">Inputs!$F$386</definedName>
    <definedName function="false" hidden="false" name="TGCap" vbProcedure="false">Inputs!$F$390</definedName>
    <definedName function="false" hidden="false" name="TGMode" vbProcedure="false">Inputs!$F$387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Inputs!$F$215</definedName>
    <definedName function="false" hidden="false" name="TO_Hi" vbProcedure="false">Inputs!$F$398</definedName>
    <definedName function="false" hidden="false" name="TO_Lo" vbProcedure="false">Inputs!$F$397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OResOn" vbProcedure="false">Inputs!$F$68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Renew" vbProcedure="false">Inputs!$F$60</definedName>
    <definedName function="false" hidden="false" name="UnseenChkHi" vbProcedure="false">Inputs!$F$229</definedName>
    <definedName function="false" hidden="false" name="UnseenChkLo" vbProcedure="false">Inputs!$F$228</definedName>
    <definedName function="false" hidden="false" name="Unseen_MN" vbProcedure="false">Inputs!$F$221</definedName>
    <definedName function="false" hidden="false" name="Unseen_OK" vbProcedure="false">Inputs!$F$220</definedName>
    <definedName function="false" hidden="false" name="Unseen_OT" vbProcedure="false">Inputs!$F$222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Inputs!$F$199</definedName>
    <definedName function="false" hidden="false" name="Util_Res" vbProcedure="false">Inputs!$F$200</definedName>
    <definedName function="false" hidden="false" name="Util_Spot" vbProcedure="false">Inputs!$F$201</definedName>
    <definedName function="false" hidden="false" name="ValDate" vbProcedure="false">Inputs!$F$8</definedName>
    <definedName function="false" hidden="false" name="VinCapOn" vbProcedure="false">Inputs!$F$87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Inputs!$F$237</definedName>
    <definedName function="false" hidden="false" name="VinPUE" vbProcedure="false">Inputs!$F$223</definedName>
    <definedName function="false" hidden="false" name="VinRedGap" vbProcedure="false">Inputs!$F$43</definedName>
    <definedName function="false" hidden="false" name="VinRevMW" vbProcedure="false">Inputs!$F$100</definedName>
    <definedName function="false" hidden="false" name="VinShutSel" vbProcedure="false">Inputs!$F$99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Valuation!$E$263</definedName>
    <definedName function="false" hidden="false" name="V_AuthNeed" vbProcedure="false">Valuation!$E$262</definedName>
    <definedName function="false" hidden="false" name="V_AV" vbProcedure="false">Valuation!$E$71</definedName>
    <definedName function="false" hidden="false" name="V_AVAdd" vbProcedure="false">Valuation!$E$73</definedName>
    <definedName function="false" hidden="false" name="V_BASIC" vbProcedure="false">Valuation!$E$94</definedName>
    <definedName function="false" hidden="false" name="V_CASH" vbProcedure="false">Valuation!$E$92</definedName>
    <definedName function="false" hidden="false" name="V_CH" vbProcedure="false">Valuation!$E$69</definedName>
    <definedName function="false" hidden="false" name="V_CONV" vbProcedure="false">Valuation!$E$114</definedName>
    <definedName function="false" hidden="false" name="V_CONVPT" vbProcedure="false">Valuation!$E$252</definedName>
    <definedName function="false" hidden="false" name="V_CONVSC" vbProcedure="false">Valuation!$E$196</definedName>
    <definedName function="false" hidden="false" name="V_CTMW" vbProcedure="false">Valuation!$E$291</definedName>
    <definedName function="false" hidden="false" name="V_CVDEBT" vbProcedure="false">Valuation!$F$117</definedName>
    <definedName function="false" hidden="false" name="V_CVDEBTF" vbProcedure="false">Valuation!$F$157</definedName>
    <definedName function="false" hidden="false" name="V_CVDmkt" vbProcedure="false">Valuation!$E$276</definedName>
    <definedName function="false" hidden="false" name="V_CVFull" vbProcedure="false">Valuation!$F$122</definedName>
    <definedName function="false" hidden="false" name="V_CVNSS" vbProcedure="false">Valuation!$F$123</definedName>
    <definedName function="false" hidden="false" name="V_CVResHead" vbProcedure="false">Valuation!$E$261</definedName>
    <definedName function="false" hidden="false" name="V_CVResSC" vbProcedure="false">Valuation!$F$203</definedName>
    <definedName function="false" hidden="false" name="V_CXChk" vbProcedure="false">Valuation!$E$31</definedName>
    <definedName function="false" hidden="false" name="V_CXReq" vbProcedure="false">Valuation!$E$29</definedName>
    <definedName function="false" hidden="false" name="V_CXT" vbProcedure="false">Valuation!$E$30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Valuation!$E$46</definedName>
    <definedName function="false" hidden="false" name="V_DR30" vbProcedure="false">Valuation!$E$49</definedName>
    <definedName function="false" hidden="false" name="V_DRAdj" vbProcedure="false">Valuation!$E$51</definedName>
    <definedName function="false" hidden="false" name="V_DRPV" vbProcedure="false">Valuation!$E$50</definedName>
    <definedName function="false" hidden="false" name="V_Dss" vbProcedure="false">Valuation!$E$33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Valuation!$E$290</definedName>
    <definedName function="false" hidden="false" name="V_EQ" vbProcedure="false">Valuation!$F$120</definedName>
    <definedName function="false" hidden="false" name="V_EqIss0" vbProcedure="false">Valuation!$E$162</definedName>
    <definedName function="false" hidden="false" name="V_EqIssPre" vbProcedure="false">Valuation!$E$163</definedName>
    <definedName function="false" hidden="false" name="V_EV" vbProcedure="false">Valuation!$E$52</definedName>
    <definedName function="false" hidden="false" name="V_EVBaseS" vbProcedure="false">Valuation!$E$58</definedName>
    <definedName function="false" hidden="false" name="V_EVBearS" vbProcedure="false">Valuation!$E$60</definedName>
    <definedName function="false" hidden="false" name="V_EVBullS" vbProcedure="false">Valuation!$E$59</definedName>
    <definedName function="false" hidden="false" name="V_EVCMW" vbProcedure="false">Valuation!$E$298</definedName>
    <definedName function="false" hidden="false" name="V_EVEB27" vbProcedure="false">Valuation!$E$301</definedName>
    <definedName function="false" hidden="false" name="V_EVMemo" vbProcedure="false">Valuation!$E$56</definedName>
    <definedName function="false" hidden="false" name="V_EVMW1" vbProcedure="false">Valuation!$E$295</definedName>
    <definedName function="false" hidden="false" name="V_EVMW2" vbProcedure="false">Valuation!$E$296</definedName>
    <definedName function="false" hidden="false" name="V_EVMW3" vbProcedure="false">Valuation!$E$297</definedName>
    <definedName function="false" hidden="false" name="V_FDmkt" vbProcedure="false">Valuation!$E$273</definedName>
    <definedName function="false" hidden="false" name="V_FPCash" vbProcedure="false">Valuation!$E$135</definedName>
    <definedName function="false" hidden="false" name="V_FPSh" vbProcedure="false">Valuation!$E$136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esid" vbProcedure="false">Valuation!$E$26</definedName>
    <definedName function="false" hidden="false" name="V_GrowCx" vbProcedure="false">Valuation!$E$28</definedName>
    <definedName function="false" hidden="false" name="V_ImpMult" vbProcedure="false">Valuation!$E$40</definedName>
    <definedName function="false" hidden="false" name="V_ITMprin" vbProcedure="false">Valuation!$E$275</definedName>
    <definedName function="false" hidden="false" name="V_ITMsh" vbProcedure="false">Valuation!$E$274</definedName>
    <definedName function="false" hidden="false" name="V_M30" vbProcedure="false">Valuation!$E$41</definedName>
    <definedName function="false" hidden="false" name="V_MKTEQ" vbProcedure="false">Valuation!$E$279</definedName>
    <definedName function="false" hidden="false" name="V_MKTEV" vbProcedure="false">Valuation!$E$287</definedName>
    <definedName function="false" hidden="false" name="V_MKTEV_FD" vbProcedure="false">Valuation!$E$288</definedName>
    <definedName function="false" hidden="false" name="V_ND" vbProcedure="false">Valuation!$E$264</definedName>
    <definedName function="false" hidden="false" name="V_NDm" vbProcedure="false">Valuation!$E$68</definedName>
    <definedName function="false" hidden="false" name="V_NewShHead" vbProcedure="false">Valuation!$E$260</definedName>
    <definedName function="false" hidden="false" name="V_NewShPath" vbProcedure="false">Valuation!$E$251</definedName>
    <definedName function="false" hidden="false" name="V_NewShSC" vbProcedure="false">Valuation!$F$200</definedName>
    <definedName function="false" hidden="false" name="V_NonGPU" vbProcedure="false">Valuation!$E$27</definedName>
    <definedName function="false" hidden="false" name="V_NOPAT" vbProcedure="false">Valuation!$E$34</definedName>
    <definedName function="false" hidden="false" name="V_NTM" vbProcedure="false">Valuation!$E$268</definedName>
    <definedName function="false" hidden="false" name="V_ODEBT" vbProcedure="false">Valuation!$E$93</definedName>
    <definedName function="false" hidden="false" name="V_OFF" vbProcedure="false">Valuation!$E$75</definedName>
    <definedName function="false" hidden="false" name="V_OT" vbProcedure="false">Valuation!$E$72</definedName>
    <definedName function="false" hidden="false" name="V_PEEREV" vbProcedure="false">Valuation!$E$299</definedName>
    <definedName function="false" hidden="false" name="V_PEndPath" vbProcedure="false">Valuation!$E$250</definedName>
    <definedName function="false" hidden="false" name="V_PISC" vbProcedure="false">Valuation!$F$199</definedName>
    <definedName function="false" hidden="false" name="V_PS" vbProcedure="false">Valuation!$F$115</definedName>
    <definedName function="false" hidden="false" name="V_PSB" vbProcedure="false">Valuation!$F$121</definedName>
    <definedName function="false" hidden="false" name="V_PSF" vbProcedure="false">Valuation!$F$153</definedName>
    <definedName function="false" hidden="false" name="V_PSHead" vbProcedure="false">Valuation!$F$255</definedName>
    <definedName function="false" hidden="false" name="V_PSMemo" vbProcedure="false">Valuation!$E$57</definedName>
    <definedName function="false" hidden="false" name="V_PSolve" vbProcedure="false">Valuation!$F$113</definedName>
    <definedName function="false" hidden="false" name="V_PSPath" vbProcedure="false">Valuation!$E$248</definedName>
    <definedName function="false" hidden="false" name="V_PSSC" vbProcedure="false">Valuation!$F$197</definedName>
    <definedName function="false" hidden="false" name="V_PSSpot" vbProcedure="false">Valuation!$F$159</definedName>
    <definedName function="false" hidden="false" name="V_PT" vbProcedure="false">Valuation!$F$256</definedName>
    <definedName function="false" hidden="false" name="V_PT36" vbProcedure="false">Valuation!$F$258</definedName>
    <definedName function="false" hidden="false" name="V_PT6" vbProcedure="false">Valuation!$F$257</definedName>
    <definedName function="false" hidden="false" name="V_PTPath" vbProcedure="false">Valuation!$E$249</definedName>
    <definedName function="false" hidden="false" name="V_PTSC" vbProcedure="false">Valuation!$F$198</definedName>
    <definedName function="false" hidden="false" name="V_PTSpot" vbProcedure="false">Valuation!$F$158</definedName>
    <definedName function="false" hidden="false" name="V_PVF" vbProcedure="false">Valuation!$E$48</definedName>
    <definedName function="false" hidden="false" name="V_PVTV" vbProcedure="false">Valuation!$E$47</definedName>
    <definedName function="false" hidden="false" name="V_Q" vbProcedure="false">Valuation!$E$66</definedName>
    <definedName function="false" hidden="false" name="V_Rev30" vbProcedure="false">Valuation!$E$18</definedName>
    <definedName function="false" hidden="false" name="V_ROIC" vbProcedure="false">Valuation!$E$36</definedName>
    <definedName function="false" hidden="false" name="V_RRimp" vbProcedure="false">Valuation!$E$35</definedName>
    <definedName function="false" hidden="false" name="V_RSU" vbProcedure="false">Valuation!$E$95</definedName>
    <definedName function="false" hidden="false" name="V_SFCRate" vbProcedure="false">Valuation!$E$54</definedName>
    <definedName function="false" hidden="false" name="V_SH" vbProcedure="false">Valuation!$F$119</definedName>
    <definedName function="false" hidden="false" name="V_SHF" vbProcedure="false">Valuation!$F$154</definedName>
    <definedName function="false" hidden="false" name="V_SHFFull" vbProcedure="false">Valuation!$F$155</definedName>
    <definedName function="false" hidden="false" name="V_SHFNSS" vbProcedure="false">Valuation!$F$156</definedName>
    <definedName function="false" hidden="false" name="V_SHFull" vbProcedure="false">Valuation!$F$124</definedName>
    <definedName function="false" hidden="false" name="V_SHNSS" vbProcedure="false">Valuation!$F$125</definedName>
    <definedName function="false" hidden="false" name="V_SHq" vbProcedure="false">Valuation!$E$76</definedName>
    <definedName function="false" hidden="false" name="V_SHSC" vbProcedure="false">Valuation!$F$202</definedName>
    <definedName function="false" hidden="false" name="V_SOTP" vbProcedure="false">Valuation!$E$74</definedName>
    <definedName function="false" hidden="false" name="V_TO" vbProcedure="false">Valuation!$E$70</definedName>
    <definedName function="false" hidden="false" name="V_TrAcc" vbProcedure="false">Valuation!$Q$80:$Q$91</definedName>
    <definedName function="false" hidden="false" name="V_TrB" vbProcedure="false">Valuation!$F$80:$F$91</definedName>
    <definedName function="false" hidden="false" name="V_TrBP" vbProcedure="false">Valuation!$J$80:$J$91</definedName>
    <definedName function="false" hidden="false" name="V_TrEff" vbProcedure="false">Valuation!$N$80:$N$91</definedName>
    <definedName function="false" hidden="false" name="V_TrMat" vbProcedure="false">Valuation!$K$80:$K$91</definedName>
    <definedName function="false" hidden="false" name="V_TrO" vbProcedure="false">Valuation!$E$80:$E$91</definedName>
    <definedName function="false" hidden="false" name="V_TrOP" vbProcedure="false">Valuation!$I$80:$I$91</definedName>
    <definedName function="false" hidden="false" name="V_TrPlan" vbProcedure="false">Valuation!$O$80:$O$91</definedName>
    <definedName function="false" hidden="false" name="V_TrPlanE" vbProcedure="false">Valuation!$S$80:$S$91</definedName>
    <definedName function="false" hidden="false" name="V_TrPM" vbProcedure="false">Valuation!$M$80:$M$91</definedName>
    <definedName function="false" hidden="false" name="V_TrPrem" vbProcedure="false">Valuation!$T$80:$T$91</definedName>
    <definedName function="false" hidden="false" name="V_TrPX" vbProcedure="false">Valuation!$H$80:$H$91</definedName>
    <definedName function="false" hidden="false" name="V_TrPXsc" vbProcedure="false">Valuation!$R$80:$R$91</definedName>
    <definedName function="false" hidden="false" name="V_TrRT" vbProcedure="false">Valuation!$G$80:$G$91</definedName>
    <definedName function="false" hidden="false" name="V_TrSpot" vbProcedure="false">Valuation!$P$80:$P$91</definedName>
    <definedName function="false" hidden="false" name="V_TrWin" vbProcedure="false">Valuation!$L$80:$L$91</definedName>
    <definedName function="false" hidden="false" name="V_TScale" vbProcedure="false">Valuation!$E$21</definedName>
    <definedName function="false" hidden="false" name="V_TV" vbProcedure="false">Valuation!$E$44</definedName>
    <definedName function="false" hidden="false" name="V_TVB" vbProcedure="false">Valuation!$E$42</definedName>
    <definedName function="false" hidden="false" name="V_TVBasis" vbProcedure="false">Valuation!$E$45</definedName>
    <definedName function="false" hidden="false" name="V_TVG" vbProcedure="false">Valuation!$E$38</definedName>
    <definedName function="false" hidden="false" name="V_TVM" vbProcedure="false">Valuation!$E$39</definedName>
    <definedName function="false" hidden="false" name="V_TVRO" vbProcedure="false">Valuation!$E$43</definedName>
    <definedName function="false" hidden="false" name="V_TXT" vbProcedure="false">Valuation!$E$32</definedName>
    <definedName function="false" hidden="false" name="V_UFT" vbProcedure="false">Valuation!$E$37</definedName>
    <definedName function="false" hidden="false" name="V_UP" vbProcedure="false">Valuation!$F$259</definedName>
    <definedName function="false" hidden="false" name="V_UtBaseS" vbProcedure="false">Valuation!$E$61</definedName>
    <definedName function="false" hidden="false" name="V_UtBearS" vbProcedure="false">Valuation!$E$63</definedName>
    <definedName function="false" hidden="false" name="V_UtBullS" vbProcedure="false">Valuation!$E$62</definedName>
    <definedName function="false" hidden="false" name="V_XRSC" vbProcedure="false">Valuation!$F$201</definedName>
    <definedName function="false" hidden="false" name="WACC" vbProcedure="false">Inputs!$F$384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<sst xmlns="http://schemas.openxmlformats.org/spreadsheetml/2006/main" count="8948" uniqueCount="3484">
  <si>
    <t xml:space="preserve">Nebius (NBIS) driver-based model</t>
  </si>
  <si>
    <t xml:space="preserve">VERSION v0.8b – DRAFT FOR REVIEW (v0.8 + funding stack: prepay / ABS / uncontracted pricing toggles; backstop at $52.6M owned Rubin)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</si>
  <si>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</si>
  <si>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</si>
  <si>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</si>
  <si>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</si>
  <si>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</si>
  <si>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</si>
  <si>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</si>
  <si>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</si>
  <si>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</si>
  <si>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</si>
  <si>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</si>
  <si>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</si>
  <si>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</si>
  <si>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1): every new share is issued at the solved PT. Base $4.00 / gross $12.70 / bull $401 / bear $0 (no positive fixed point - existing equity under water at any issue price). MEMO (depends on market access at today's price): spot $242.81 issuance base $88.9 / bull $364 / bear $33.9; path to PT over 8 qtrs base $30.3 / bull $390 / bear $0. Shares needed vs ~82M authority: base ~11.0B issued + 2.3B convert reserve; bull ~87M + 22M; bear unbounded -&gt; EGM /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</si>
  <si>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</si>
  <si>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</si>
  <si>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</si>
  <si>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</si>
  <si>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</si>
  <si>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</si>
  <si>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</si>
  <si>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</si>
  <si>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</si>
  <si>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</si>
  <si>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</si>
  <si>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</si>
  <si>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</si>
  <si>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(static; solved values; live toggles StopBuild / BackstopMW / StopCommitWt on Inputs)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</si>
  <si>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</si>
  <si>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</si>
  <si>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</si>
  <si>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</si>
  <si>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</si>
  <si>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</si>
  <si>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</si>
  <si>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v0.8b FUNDING STACK (Funding_Stack tab; self-consistent PT, 11% WACC unless stated). BUILD: base $4.0 -&gt; +prepay 55% $13.5 -&gt; +ABS 50% $13.9 -&gt; +uncontracted $20M $108.4 -&gt; $22.5M $171.0 -&gt; +backstop 190 $159.3 (backstop at $16M replaces $22.5M MW). All layers: (b) blended WACC 10.7% (ABS 5.4% of capex) $173.2; (c) 9% $266.0 = UPPER BOUND, double counts cheap debt; (d) Skeptic full stack (prepay 55%, ABS 50%, Rubin $20M, 9%) at uncontracted $20M $207.7 / $22.5M $283.6.</t>
  </si>
  <si>
    <t xml:space="preserve">v0.8b STOP BUILDING with the same layers: base $13.9; prepay and uncontracted-price layers do nothing (no new deals); ABS 50% $11.2 (idle cash pays interest); +backstop 190 $15.7; (b) blended 8.8% $24.3; (c) 9% $23.5; (d) $16.7. Shares needed: build all-layers 102-133M, (c) / (d22.5) ~85M vs ~82M authority; stop 79-172M.</t>
  </si>
  <si>
    <t xml:space="preserve">v0.8b CAVEATS: with self-consistent issuance, financing mix moves PT only through cost and timing (prepayments valued as interest-free customer funding, no price concession); cheap debt shows up only through WACC. The uncontracted premium on 2028-30 vintages persists into the terminal value (renewal after Q4'30 not modelled). Legacy 147 MW GPU-hour fleet not repriced. ABS only on new contracted-MW capex; it displaces 2027 plan converts first. Convert coupons funded by top-ups are not charged in the self-consistent equity value (pre-existing; ABS interest is charged).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</si>
  <si>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</si>
  <si>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</si>
  <si>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</si>
  <si>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</si>
  <si>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</si>
  <si>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</si>
  <si>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</si>
  <si>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</si>
  <si>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</si>
  <si>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</si>
  <si>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</si>
  <si>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</si>
  <si>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</si>
  <si>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</si>
  <si>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</si>
  <si>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</si>
  <si>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</si>
  <si>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</si>
  <si>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</si>
  <si>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</si>
  <si>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</si>
  <si>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</si>
  <si>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</si>
  <si>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</si>
  <si>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</si>
  <si>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</si>
  <si>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</si>
  <si>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</si>
  <si>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</si>
  <si>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</si>
  <si>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</si>
  <si>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</si>
  <si>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</si>
  <si>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</si>
  <si>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</si>
  <si>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</si>
  <si>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</si>
  <si>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</si>
  <si>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</si>
  <si>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</si>
  <si>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</si>
  <si>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</si>
  <si>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</si>
  <si>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</si>
  <si>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</si>
  <si>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</si>
  <si>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</si>
  <si>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</si>
  <si>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</si>
  <si>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</si>
  <si>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</si>
  <si>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</si>
  <si>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</si>
  <si>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</si>
  <si>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</si>
  <si>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</si>
  <si>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</si>
  <si>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</si>
  <si>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</si>
  <si>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</si>
  <si>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</si>
  <si>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</si>
  <si>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</si>
  <si>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</si>
  <si>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</si>
  <si>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</si>
  <si>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</si>
  <si>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</si>
  <si>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</si>
  <si>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</si>
  <si>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</si>
  <si>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</si>
  <si>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</si>
  <si>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</si>
  <si>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</si>
  <si>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</si>
  <si>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</si>
  <si>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</si>
  <si>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</si>
  <si>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</si>
  <si>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</si>
  <si>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</si>
  <si>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</si>
  <si>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</si>
  <si>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</si>
  <si>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</si>
  <si>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</si>
  <si>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</si>
  <si>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</si>
  <si>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</si>
  <si>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</si>
  <si>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</si>
  <si>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</si>
  <si>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</si>
  <si>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</si>
  <si>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</si>
  <si>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</si>
  <si>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</si>
  <si>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</si>
  <si>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</si>
  <si>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</si>
  <si>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</si>
  <si>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</si>
  <si>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</si>
  <si>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</si>
  <si>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</si>
  <si>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</si>
  <si>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</si>
  <si>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</si>
  <si>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</si>
  <si>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</si>
  <si>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</si>
  <si>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</si>
  <si>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</si>
  <si>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</si>
  <si>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</si>
  <si>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</si>
  <si>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</si>
  <si>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</si>
  <si>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</si>
  <si>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</si>
  <si>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</si>
  <si>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</si>
  <si>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</si>
  <si>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</si>
  <si>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</si>
  <si>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</si>
  <si>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</si>
  <si>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</si>
  <si>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</si>
  <si>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</si>
  <si>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</si>
  <si>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</si>
  <si>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</si>
  <si>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</si>
  <si>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</si>
  <si>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</si>
  <si>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</si>
  <si>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</si>
  <si>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</si>
  <si>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</si>
  <si>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</si>
  <si>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</si>
  <si>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</si>
  <si>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</si>
  <si>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</si>
  <si>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</si>
  <si>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</si>
  <si>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Case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</si>
  <si>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</si>
  <si>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</si>
  <si>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</si>
  <si>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</si>
  <si>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</si>
  <si>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</si>
  <si>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</si>
  <si>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</si>
  <si>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</si>
  <si>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</si>
  <si>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</si>
  <si>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</si>
  <si>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</si>
  <si>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</si>
  <si>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</si>
  <si>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</si>
  <si>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</si>
  <si>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</si>
  <si>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</si>
  <si>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</si>
  <si>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</si>
  <si>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</si>
  <si>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</si>
  <si>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</si>
  <si>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</si>
  <si>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</si>
  <si>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</si>
  <si>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</si>
  <si>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</si>
  <si>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</si>
  <si>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</si>
  <si>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</si>
  <si>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</si>
  <si>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</si>
  <si>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</si>
  <si>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</si>
  <si>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</si>
  <si>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</si>
  <si>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</si>
  <si>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</si>
  <si>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</si>
  <si>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</si>
  <si>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</si>
  <si>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</si>
  <si>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</si>
  <si>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</si>
  <si>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</si>
  <si>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</si>
  <si>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</si>
  <si>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</si>
  <si>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</si>
  <si>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</si>
  <si>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</si>
  <si>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</si>
  <si>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</si>
  <si>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</si>
  <si>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</si>
  <si>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</si>
  <si>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</si>
  <si>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</si>
  <si>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</si>
  <si>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</si>
  <si>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</si>
  <si>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</si>
  <si>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</si>
  <si>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</si>
  <si>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</si>
  <si>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</si>
  <si>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</si>
  <si>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</si>
  <si>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</si>
  <si>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</si>
  <si>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</si>
  <si>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</si>
  <si>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</si>
  <si>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</si>
  <si>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</si>
  <si>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</si>
  <si>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</si>
  <si>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</si>
  <si>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</si>
  <si>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</si>
  <si>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</si>
  <si>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</si>
  <si>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</si>
  <si>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</si>
  <si>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</si>
  <si>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</si>
  <si>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</si>
  <si>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</si>
  <si>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</si>
  <si>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</si>
  <si>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</si>
  <si>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</si>
  <si>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</si>
  <si>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</si>
  <si>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</si>
  <si>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</si>
  <si>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</si>
  <si>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</si>
  <si>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</si>
  <si>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</si>
  <si>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</si>
  <si>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</si>
  <si>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</si>
  <si>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</si>
  <si>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</si>
  <si>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</si>
  <si>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</si>
  <si>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</si>
  <si>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</si>
  <si>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</si>
  <si>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WACC 10%</t>
  </si>
  <si>
    <t xml:space="preserve">WACC 11%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</si>
  <si>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</si>
  <si>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</si>
  <si>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</si>
  <si>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</si>
  <si>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</si>
  <si>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</si>
  <si>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</si>
  <si>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</si>
  <si>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</si>
  <si>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</si>
  <si>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</si>
  <si>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</si>
  <si>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</si>
  <si>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</si>
  <si>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</si>
  <si>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</si>
  <si>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</si>
  <si>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</si>
  <si>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</si>
  <si>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</si>
  <si>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</si>
  <si>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</si>
  <si>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</si>
  <si>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</si>
  <si>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</si>
  <si>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</si>
  <si>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</si>
  <si>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</si>
  <si>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</si>
  <si>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</si>
  <si>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</si>
  <si>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</si>
  <si>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</si>
  <si>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</si>
  <si>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</si>
  <si>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</si>
  <si>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</si>
  <si>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</si>
  <si>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</si>
  <si>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</si>
  <si>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</si>
  <si>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</si>
  <si>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</si>
  <si>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</si>
  <si>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</si>
  <si>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</si>
  <si>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</si>
  <si>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</si>
  <si>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</si>
  <si>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</si>
  <si>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</si>
  <si>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</si>
  <si>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</si>
  <si>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</si>
  <si>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</si>
  <si>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</si>
  <si>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</si>
  <si>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</si>
  <si>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</si>
  <si>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</si>
  <si>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</si>
  <si>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</si>
  <si>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</si>
  <si>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</si>
  <si>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</si>
  <si>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</si>
  <si>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</si>
  <si>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</si>
  <si>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</si>
  <si>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</si>
  <si>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</si>
  <si>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</si>
  <si>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</si>
  <si>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</si>
  <si>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</si>
  <si>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</si>
  <si>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</si>
  <si>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</si>
  <si>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</si>
  <si>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</si>
  <si>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</si>
  <si>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</si>
  <si>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</si>
  <si>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</si>
  <si>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</si>
  <si>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</si>
  <si>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</si>
  <si>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</si>
  <si>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</si>
  <si>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</si>
  <si>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</si>
  <si>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</si>
  <si>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</si>
  <si>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</si>
  <si>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</si>
  <si>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(fs_grid.py; full recalcs) - see rows below</t>
  </si>
  <si>
    <t xml:space="preserve">BUILD PLAN (base 11% WACC unless stated)</t>
  </si>
  <si>
    <t xml:space="preserve">Layer / case</t>
  </si>
  <si>
    <t xml:space="preserve">Self-consistent PT $</t>
  </si>
  <si>
    <t xml:space="preserve">EV $M</t>
  </si>
  <si>
    <t xml:space="preserve">New shares M (headline)</t>
  </si>
  <si>
    <t xml:space="preserve">Authority need M (vs ~82)</t>
  </si>
  <si>
    <t xml:space="preserve">Spot-issuance PT memo $</t>
  </si>
  <si>
    <t xml:space="preserve">New prepayments $M</t>
  </si>
  <si>
    <t xml:space="preserve">ABS draws $M</t>
  </si>
  <si>
    <t xml:space="preserve">ABS interest $M</t>
  </si>
  <si>
    <t xml:space="preserve">Plan converts net $M</t>
  </si>
  <si>
    <t xml:space="preserve">ATM + top-ups $M</t>
  </si>
  <si>
    <t xml:space="preserve">WACC used</t>
  </si>
  <si>
    <t xml:space="preserve">base (v0.8)</t>
  </si>
  <si>
    <t xml:space="preserve">+ prepay 55%</t>
  </si>
  <si>
    <t xml:space="preserve">+ ABS 50% on contracted MW</t>
  </si>
  <si>
    <t xml:space="preserve">+ uncontracted $20M</t>
  </si>
  <si>
    <t xml:space="preserve">+ uncontracted $22.5M (instead of $20M)</t>
  </si>
  <si>
    <t xml:space="preserve">+ Meta backstop 190 MW (all layers)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</si>
  <si>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</si>
  <si>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</si>
  <si>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uncontracted $20M, prepay 55%, ABS 50%, Rubin $20M, WACC 9%</t>
  </si>
  <si>
    <t xml:space="preserve">(d) Skeptic full stack: uncontracted $22.5M, prepay 55%, ABS 50%, Rubin $20M, WACC 9%</t>
  </si>
  <si>
    <t xml:space="preserve">STOP BUILDING / CONTRACTED ONLY (same layers; uncontracted price layers have no MW to act on)</t>
  </si>
  <si>
    <t xml:space="preserve">(b) all layers, blended WACC 8.82% (ABS share 35.3% of capex at after-tax SOFR+2.5%)</t>
  </si>
  <si>
    <t xml:space="preserve">Static values from full recalcs (fs_runs.py, 2026-10-05). Layers are cumulative top to bottom; '$22.5M' replaces '$20M'. Toggles: NDPrepayOn/NDPrepayPct, ABS_LTC, UncPxOn/UncPx, BackstopMW, StopBuild, WACC.</t>
  </si>
  <si>
    <t xml:space="preserve">Self-consistent basis: issuing at the solved PT is value-neutral, so financing only moves PT through its cost (ABS interest, convert accretion) or through EV (prepayment timing). Cheap debt shows up only via a lower WACC (row b).</t>
  </si>
  <si>
    <t xml:space="preserve">(b) blended WACC = ABS share of Q3'26-Q4'30 capex x (SOFR 4.0% + 2.5%) x (1 - 25.8%) + rest x 11%. (c) 9% is an upper bound that double counts the cheap debt; in STOP the blended WACC (8.8%) is already below 9%.</t>
  </si>
  <si>
    <t xml:space="preserve">Prepayments: no price concession assumed (FU_PreCost 0); valued as interest-free customer funding at WACC. ABS: new contracted-MW capex only (6/30 fleet not refinanced); displaces the 2027 plan converts first (ABS_CVOff); in STOP it adds idle cash and costs interest.</t>
  </si>
  <si>
    <t xml:space="preserve">Uncontracted price: applies to UNSOLD new 2027+ non-contract MW (new non-contract ~271 MW at YE27, ~1.5 GW by 2030, less the RPO-sold share); legacy GPU-hour fleet (147 MW) unchanged; 3-yr renewal re-prices 2027 vintages in 2030; 2028-30 vintages keep the premium into the terminal (renewal after Q4'30 not modelled - overstates).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</si>
  <si>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</si>
  <si>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</si>
  <si>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</si>
  <si>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</si>
  <si>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</si>
  <si>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</si>
  <si>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</si>
  <si>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</si>
  <si>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</si>
  <si>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</si>
  <si>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</si>
  <si>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</si>
  <si>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</si>
  <si>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</si>
  <si>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</si>
  <si>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</si>
  <si>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</si>
  <si>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</si>
  <si>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</si>
  <si>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</si>
  <si>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</si>
  <si>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</si>
  <si>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</si>
  <si>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</si>
  <si>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</si>
  <si>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</si>
  <si>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</si>
  <si>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</si>
  <si>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</si>
  <si>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</si>
  <si>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</si>
  <si>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</si>
  <si>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</si>
  <si>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</si>
  <si>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</si>
  <si>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</si>
  <si>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</si>
  <si>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</si>
  <si>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</si>
  <si>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</si>
  <si>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</si>
  <si>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</si>
  <si>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</si>
  <si>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</si>
  <si>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</si>
  <si>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</si>
  <si>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</si>
  <si>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</si>
  <si>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</si>
  <si>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</si>
  <si>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</si>
  <si>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</si>
  <si>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</si>
  <si>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</si>
  <si>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</si>
  <si>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</si>
  <si>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</si>
  <si>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</si>
  <si>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</si>
  <si>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</si>
  <si>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</si>
  <si>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</si>
  <si>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</si>
  <si>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</si>
  <si>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</si>
  <si>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</si>
  <si>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</si>
  <si>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</si>
  <si>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</si>
  <si>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</si>
  <si>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</si>
  <si>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</si>
  <si>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</si>
  <si>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</si>
  <si>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</si>
  <si>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</si>
  <si>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</si>
  <si>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</si>
  <si>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</si>
  <si>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</si>
  <si>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</si>
  <si>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</si>
  <si>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</si>
  <si>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</si>
  <si>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</si>
  <si>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</si>
  <si>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</si>
  <si>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</si>
  <si>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</si>
  <si>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</si>
  <si>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</si>
  <si>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</si>
  <si>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</si>
  <si>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</si>
  <si>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</si>
  <si>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</si>
  <si>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</si>
  <si>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</si>
  <si>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</si>
  <si>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</si>
  <si>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</si>
  <si>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</si>
  <si>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</si>
  <si>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</si>
  <si>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</si>
  <si>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</si>
  <si>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</si>
  <si>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</si>
  <si>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</si>
  <si>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</si>
  <si>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</si>
  <si>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</si>
  <si>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</si>
  <si>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</si>
  <si>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</si>
  <si>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</si>
  <si>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</si>
  <si>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</si>
  <si>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</si>
  <si>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</si>
  <si>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</si>
  <si>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</si>
  <si>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</si>
  <si>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</si>
  <si>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</si>
  <si>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</si>
  <si>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</si>
  <si>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</si>
  <si>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</si>
  <si>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</si>
  <si>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</si>
  <si>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</si>
  <si>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</si>
  <si>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</si>
  <si>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</si>
  <si>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</si>
  <si>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</si>
  <si>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</si>
  <si>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</si>
  <si>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</si>
  <si>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</si>
  <si>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</si>
  <si>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</si>
  <si>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</si>
  <si>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</si>
  <si>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</si>
  <si>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</si>
  <si>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</si>
  <si>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</si>
  <si>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</si>
  <si>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</si>
  <si>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</si>
  <si>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</si>
  <si>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</si>
  <si>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</si>
  <si>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</si>
  <si>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</si>
  <si>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</si>
  <si>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</si>
  <si>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</si>
  <si>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</si>
  <si>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</si>
  <si>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</si>
  <si>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</si>
  <si>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</si>
  <si>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</si>
  <si>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</si>
  <si>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</si>
  <si>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</si>
  <si>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</si>
  <si>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</si>
  <si>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</si>
  <si>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</si>
  <si>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</si>
  <si>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</si>
  <si>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</si>
  <si>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</si>
  <si>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</si>
  <si>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</si>
  <si>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</si>
  <si>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</si>
  <si>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</si>
  <si>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</si>
  <si>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</si>
  <si>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</si>
  <si>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</si>
  <si>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</si>
  <si>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</si>
  <si>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</si>
  <si>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</si>
  <si>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</si>
  <si>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</si>
  <si>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</si>
  <si>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</si>
  <si>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</si>
  <si>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</si>
  <si>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</si>
  <si>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</si>
  <si>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</si>
  <si>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</si>
  <si>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</si>
  <si>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</si>
  <si>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</si>
  <si>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</si>
  <si>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</si>
  <si>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</si>
  <si>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</si>
  <si>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</si>
  <si>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</si>
  <si>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</si>
  <si>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</si>
  <si>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</si>
  <si>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</si>
  <si>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</si>
  <si>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</si>
  <si>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</si>
  <si>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</si>
  <si>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</si>
  <si>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</si>
  <si>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</si>
  <si>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~82M available (AuthAvail: ~64M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</si>
  <si>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</si>
  <si>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</si>
  <si>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</si>
  <si>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</si>
  <si>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</si>
  <si>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</si>
  <si>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</si>
  <si>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</si>
  <si>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</si>
  <si>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</si>
  <si>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</si>
  <si>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</si>
  <si>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</si>
  <si>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</si>
  <si>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</si>
  <si>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</si>
  <si>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</si>
  <si>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</si>
  <si>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</si>
  <si>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</si>
  <si>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</si>
  <si>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</si>
  <si>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</si>
  <si>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</si>
  <si>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</si>
  <si>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</si>
  <si>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</si>
  <si>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</si>
  <si>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</si>
  <si>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</si>
  <si>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</si>
  <si>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</si>
  <si>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</si>
  <si>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</si>
  <si>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</si>
  <si>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</si>
  <si>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</si>
  <si>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</si>
  <si>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</si>
  <si>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</si>
  <si>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</si>
  <si>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</si>
  <si>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</si>
  <si>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</si>
  <si>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</si>
  <si>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</si>
  <si>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</si>
  <si>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</si>
  <si>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</si>
  <si>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</si>
  <si>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</si>
  <si>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</si>
  <si>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</si>
  <si>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</si>
  <si>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</si>
  <si>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</si>
  <si>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Derived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</si>
  <si>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</si>
  <si>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</si>
  <si>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</si>
  <si>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</si>
  <si>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</si>
  <si>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</si>
  <si>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</si>
  <si>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</si>
  <si>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</si>
  <si>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</si>
  <si>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</si>
  <si>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</si>
  <si>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</si>
  <si>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</si>
  <si>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</si>
  <si>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</si>
  <si>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</si>
  <si>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</si>
  <si>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</si>
  <si>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</si>
  <si>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</si>
  <si>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</si>
  <si>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</si>
  <si>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</si>
  <si>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</si>
  <si>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</si>
  <si>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</si>
  <si>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</si>
  <si>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</si>
  <si>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</si>
  <si>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</si>
  <si>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</si>
  <si>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</si>
  <si>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</si>
  <si>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</si>
  <si>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</si>
  <si>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</si>
  <si>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</si>
  <si>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</si>
  <si>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</si>
  <si>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</si>
  <si>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</si>
  <si>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</si>
  <si>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</si>
  <si>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</si>
  <si>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</si>
  <si>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</si>
  <si>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</si>
  <si>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</si>
  <si>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</si>
  <si>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</si>
  <si>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</si>
  <si>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</si>
  <si>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</si>
  <si>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</si>
  <si>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</si>
  <si>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</si>
  <si>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</si>
  <si>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</si>
  <si>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</si>
  <si>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</si>
  <si>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</si>
  <si>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</si>
  <si>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</si>
  <si>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</si>
  <si>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</si>
  <si>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</si>
  <si>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</si>
  <si>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</si>
  <si>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</si>
  <si>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</si>
  <si>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</si>
  <si>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</si>
  <si>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</si>
  <si>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</si>
  <si>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</si>
  <si>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</si>
  <si>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</si>
  <si>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</si>
  <si>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</si>
  <si>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</si>
  <si>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</si>
  <si>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</si>
  <si>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</si>
  <si>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</si>
  <si>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</si>
  <si>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</si>
  <si>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</si>
  <si>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</si>
  <si>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</si>
  <si>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</si>
  <si>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</si>
  <si>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</si>
  <si>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</si>
  <si>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</si>
  <si>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</si>
  <si>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</si>
  <si>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PT</t>
  </si>
  <si>
    <t xml:space="preserve">0 = issue at the PT itself (per spec)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</si>
  <si>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</si>
  <si>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</si>
  <si>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(~64M under the 20% AGM authority + treasury)</t>
  </si>
  <si>
    <t xml:space="preserve">M sh</t>
  </si>
  <si>
    <t xml:space="preserve">~82M per team (AGM 20% x 322M = 64.4M + treasury; medium confidence);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</si>
  <si>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</si>
  <si>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</si>
  <si>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</si>
  <si>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</si>
  <si>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</si>
  <si>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</si>
  <si>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</si>
  <si>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</si>
  <si>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</si>
  <si>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</si>
  <si>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</si>
  <si>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</si>
  <si>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yrs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</si>
  <si>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</si>
  <si>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</si>
  <si>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</si>
  <si>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</si>
  <si>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</si>
  <si>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</si>
  <si>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</si>
  <si>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</si>
  <si>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</si>
  <si>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</si>
  <si>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</si>
  <si>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</si>
  <si>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</si>
  <si>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</si>
  <si>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</si>
  <si>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</si>
  <si>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</si>
  <si>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</si>
  <si>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</si>
  <si>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</si>
  <si>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</si>
  <si>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</si>
  <si>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</si>
  <si>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</si>
  <si>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</si>
  <si>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</si>
  <si>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</si>
  <si>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</si>
  <si>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</si>
  <si>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</si>
  <si>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</si>
  <si>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</si>
  <si>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</si>
  <si>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</si>
  <si>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</si>
  <si>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</si>
  <si>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</si>
  <si>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</si>
  <si>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</si>
  <si>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</si>
  <si>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</si>
  <si>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</si>
  <si>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</si>
  <si>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</si>
  <si>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</si>
  <si>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</si>
  <si>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</si>
  <si>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</si>
  <si>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</si>
  <si>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</si>
  <si>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</si>
  <si>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</si>
  <si>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</si>
  <si>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</si>
  <si>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</si>
  <si>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</si>
  <si>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</si>
  <si>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</si>
  <si>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</si>
  <si>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</si>
  <si>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</si>
  <si>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</si>
  <si>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</si>
  <si>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</si>
  <si>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</si>
  <si>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</si>
  <si>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</si>
  <si>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</si>
  <si>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</si>
  <si>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</si>
  <si>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</si>
  <si>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</si>
  <si>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</si>
  <si>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</si>
  <si>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</si>
  <si>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</si>
  <si>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</si>
  <si>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</si>
  <si>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</si>
  <si>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</si>
  <si>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</si>
  <si>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</si>
  <si>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</si>
  <si>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</si>
  <si>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</si>
  <si>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</si>
  <si>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</si>
  <si>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</si>
  <si>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</si>
  <si>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</si>
  <si>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</si>
  <si>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</si>
  <si>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</si>
  <si>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</si>
  <si>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</si>
  <si>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</si>
  <si>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</si>
  <si>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</si>
  <si>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</si>
  <si>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</si>
  <si>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</si>
  <si>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</si>
  <si>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</si>
  <si>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</si>
  <si>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</si>
  <si>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</si>
  <si>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</si>
  <si>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</si>
  <si>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</si>
  <si>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</si>
  <si>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</si>
  <si>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</si>
  <si>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</si>
  <si>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</si>
  <si>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</si>
  <si>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</si>
  <si>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</si>
  <si>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</si>
  <si>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</si>
  <si>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</si>
  <si>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</si>
  <si>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</si>
  <si>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</si>
  <si>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</si>
  <si>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</si>
  <si>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</si>
  <si>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</si>
  <si>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</si>
  <si>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</si>
  <si>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</si>
  <si>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</si>
  <si>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</si>
  <si>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</si>
  <si>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</si>
  <si>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</si>
  <si>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</si>
  <si>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</si>
  <si>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</si>
  <si>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</si>
  <si>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</si>
  <si>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</si>
  <si>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</si>
  <si>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</si>
  <si>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</si>
  <si>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</si>
  <si>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</si>
  <si>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</si>
  <si>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</si>
  <si>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</si>
  <si>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</si>
  <si>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</si>
  <si>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</si>
  <si>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</si>
  <si>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</si>
  <si>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</si>
  <si>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</si>
  <si>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</si>
  <si>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</si>
  <si>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</si>
  <si>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</si>
  <si>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</si>
  <si>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</si>
  <si>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</si>
  <si>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</si>
  <si>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</si>
  <si>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</si>
  <si>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</si>
  <si>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</si>
  <si>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</si>
  <si>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</si>
  <si>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</si>
  <si>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</si>
  <si>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</si>
  <si>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</si>
  <si>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</si>
  <si>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</si>
  <si>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</si>
  <si>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</si>
  <si>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</si>
  <si>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</si>
  <si>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</si>
  <si>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</si>
  <si>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</si>
  <si>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</si>
  <si>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</si>
  <si>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</si>
  <si>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</si>
  <si>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</si>
  <si>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</si>
  <si>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</si>
  <si>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</si>
  <si>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</si>
  <si>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</si>
  <si>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</si>
  <si>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</si>
  <si>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</si>
  <si>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</si>
  <si>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</si>
  <si>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</si>
  <si>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</si>
  <si>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</si>
  <si>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</si>
  <si>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</si>
  <si>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</si>
  <si>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</si>
  <si>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</si>
  <si>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</si>
  <si>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</si>
  <si>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</si>
  <si>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</si>
  <si>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</si>
  <si>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</si>
  <si>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</si>
  <si>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</si>
  <si>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</si>
  <si>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</si>
  <si>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</si>
  <si>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</si>
  <si>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</si>
  <si>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</si>
  <si>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</si>
  <si>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</si>
  <si>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</si>
  <si>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</si>
  <si>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</si>
  <si>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</si>
  <si>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</si>
  <si>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</si>
  <si>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</si>
  <si>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</si>
  <si>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</si>
  <si>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</si>
  <si>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</si>
  <si>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</si>
  <si>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</si>
  <si>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</si>
  <si>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</si>
  <si>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</si>
  <si>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</si>
  <si>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</si>
  <si>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</si>
  <si>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</si>
  <si>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</si>
  <si>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</si>
  <si>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</si>
  <si>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</si>
  <si>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</si>
  <si>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</si>
  <si>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</si>
  <si>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</si>
  <si>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</si>
  <si>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</si>
  <si>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</si>
  <si>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</si>
  <si>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</si>
  <si>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</si>
  <si>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</si>
  <si>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</si>
  <si>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</si>
  <si>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</si>
  <si>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</si>
  <si>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</si>
  <si>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</si>
  <si>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</si>
  <si>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</si>
  <si>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</si>
  <si>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</si>
  <si>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</si>
  <si>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</si>
  <si>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</si>
  <si>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</si>
  <si>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</si>
  <si>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</si>
  <si>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</si>
  <si>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</si>
  <si>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</si>
  <si>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</si>
  <si>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</si>
  <si>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</si>
  <si>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</si>
  <si>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</si>
  <si>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</si>
  <si>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</si>
  <si>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</si>
  <si>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</si>
  <si>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</si>
  <si>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</si>
  <si>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</si>
  <si>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</si>
  <si>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</si>
  <si>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</si>
  <si>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</si>
  <si>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</si>
  <si>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</si>
  <si>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</si>
  <si>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</si>
  <si>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</si>
  <si>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</si>
  <si>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</si>
  <si>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</si>
  <si>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</si>
  <si>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</si>
  <si>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</si>
  <si>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</si>
  <si>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</si>
  <si>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</si>
  <si>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</si>
  <si>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</si>
  <si>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</si>
  <si>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</si>
  <si>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</si>
  <si>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</si>
  <si>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</si>
  <si>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</si>
  <si>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</si>
  <si>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</si>
  <si>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</si>
  <si>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</si>
  <si>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</si>
  <si>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</si>
  <si>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</si>
  <si>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</si>
  <si>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</si>
  <si>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</si>
  <si>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</si>
  <si>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</si>
  <si>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</si>
  <si>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</si>
  <si>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</si>
  <si>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</si>
  <si>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</si>
  <si>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</si>
  <si>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</si>
  <si>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</si>
  <si>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</si>
  <si>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</si>
  <si>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</si>
  <si>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</si>
  <si>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</si>
  <si>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</si>
  <si>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</si>
  <si>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</si>
  <si>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</si>
  <si>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</si>
  <si>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</si>
  <si>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</si>
  <si>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</si>
  <si>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</si>
  <si>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</si>
  <si>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</si>
  <si>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</si>
  <si>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</si>
  <si>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</si>
  <si>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</si>
  <si>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</si>
  <si>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</si>
  <si>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</si>
  <si>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</si>
  <si>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</si>
  <si>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</si>
  <si>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</si>
  <si>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</si>
  <si>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</si>
  <si>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</si>
  <si>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</si>
  <si>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</si>
  <si>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</si>
  <si>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</si>
  <si>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</si>
  <si>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</si>
  <si>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</si>
  <si>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</si>
  <si>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</si>
  <si>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</si>
  <si>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</si>
  <si>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</si>
  <si>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</si>
  <si>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</si>
  <si>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</si>
  <si>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</si>
  <si>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</si>
  <si>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</si>
  <si>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</si>
  <si>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</si>
  <si>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</si>
  <si>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</si>
  <si>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</si>
  <si>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</si>
  <si>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</si>
  <si>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</si>
  <si>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</si>
  <si>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</si>
  <si>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</si>
  <si>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</si>
  <si>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</si>
  <si>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</si>
  <si>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</si>
  <si>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</si>
  <si>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</si>
  <si>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</si>
  <si>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</si>
  <si>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</si>
  <si>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</si>
  <si>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</si>
  <si>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</si>
  <si>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</si>
  <si>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</si>
  <si>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</si>
  <si>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</si>
  <si>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</si>
  <si>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</si>
  <si>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</si>
  <si>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</si>
  <si>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</si>
  <si>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</si>
  <si>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</si>
  <si>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</si>
  <si>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</si>
  <si>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</si>
  <si>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</si>
  <si>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</si>
  <si>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</si>
  <si>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</si>
  <si>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</si>
  <si>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</si>
  <si>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</si>
  <si>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</si>
  <si>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</si>
  <si>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</si>
  <si>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</si>
  <si>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</si>
  <si>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</si>
  <si>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</si>
  <si>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</si>
  <si>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</si>
  <si>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</si>
  <si>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</si>
  <si>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</si>
  <si>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</si>
  <si>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</si>
  <si>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</si>
  <si>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</si>
  <si>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</si>
  <si>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</si>
  <si>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</si>
  <si>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</si>
  <si>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</si>
  <si>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</si>
  <si>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</si>
  <si>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</si>
  <si>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</si>
  <si>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</si>
  <si>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</si>
  <si>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</si>
  <si>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</si>
  <si>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</si>
  <si>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</si>
  <si>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</si>
  <si>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</si>
  <si>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</si>
  <si>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</si>
  <si>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</si>
  <si>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</si>
  <si>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</si>
  <si>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</si>
  <si>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</si>
  <si>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</si>
  <si>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</si>
  <si>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</si>
  <si>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</si>
  <si>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</si>
  <si>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</si>
  <si>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</si>
  <si>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</si>
  <si>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</si>
  <si>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</si>
  <si>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</si>
  <si>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</si>
  <si>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</si>
  <si>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</si>
  <si>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</si>
  <si>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</si>
  <si>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</si>
  <si>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</si>
  <si>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</si>
  <si>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</si>
  <si>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</si>
  <si>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</si>
  <si>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</si>
  <si>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</si>
  <si>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</si>
  <si>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</si>
  <si>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</si>
  <si>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</si>
  <si>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</si>
  <si>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</si>
  <si>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</si>
  <si>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</si>
  <si>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</si>
  <si>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</si>
  <si>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</si>
  <si>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</si>
  <si>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</si>
  <si>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</si>
  <si>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</si>
  <si>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</si>
  <si>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</si>
  <si>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</si>
  <si>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</si>
  <si>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</si>
  <si>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</si>
  <si>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</si>
  <si>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</si>
  <si>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</si>
  <si>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</si>
  <si>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</si>
  <si>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</si>
  <si>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</si>
  <si>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</si>
  <si>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</si>
  <si>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</si>
  <si>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</si>
  <si>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</si>
  <si>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</si>
  <si>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</si>
  <si>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</si>
  <si>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</si>
  <si>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</si>
  <si>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</si>
  <si>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</si>
  <si>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</si>
  <si>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</si>
  <si>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</si>
  <si>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</si>
  <si>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</si>
  <si>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</si>
  <si>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</si>
  <si>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</si>
  <si>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</si>
  <si>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</si>
  <si>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</si>
  <si>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</si>
  <si>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</si>
  <si>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</si>
  <si>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</si>
  <si>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</si>
  <si>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</si>
  <si>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</si>
  <si>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</si>
  <si>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</si>
  <si>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</si>
  <si>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</si>
  <si>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</si>
  <si>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</si>
  <si>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</si>
  <si>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</si>
  <si>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</si>
  <si>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</si>
  <si>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</si>
  <si>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</si>
  <si>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</si>
  <si>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</si>
  <si>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</si>
  <si>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</si>
  <si>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</si>
  <si>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</si>
  <si>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</si>
  <si>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</si>
  <si>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</si>
  <si>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</si>
  <si>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</si>
  <si>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</si>
  <si>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</si>
  <si>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</si>
  <si>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</si>
  <si>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</si>
  <si>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</si>
  <si>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</si>
  <si>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</si>
  <si>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</si>
  <si>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</si>
  <si>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</si>
  <si>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</si>
  <si>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</si>
  <si>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</si>
  <si>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</si>
  <si>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</si>
  <si>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</si>
  <si>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</si>
  <si>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</si>
  <si>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</si>
  <si>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</si>
  <si>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</si>
  <si>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</si>
  <si>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</si>
  <si>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</si>
  <si>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</si>
  <si>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</si>
  <si>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</si>
  <si>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</si>
  <si>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</si>
  <si>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</si>
  <si>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</si>
  <si>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</si>
  <si>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</si>
  <si>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</si>
  <si>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</si>
  <si>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</si>
  <si>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</si>
  <si>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</si>
  <si>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</si>
  <si>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</si>
  <si>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</si>
  <si>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</si>
  <si>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</si>
  <si>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</si>
  <si>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</si>
  <si>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</si>
  <si>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</si>
  <si>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</si>
  <si>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</si>
  <si>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</si>
  <si>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</si>
  <si>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</si>
  <si>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</si>
  <si>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</si>
  <si>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</si>
  <si>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</si>
  <si>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</si>
  <si>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</si>
  <si>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</si>
  <si>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</si>
  <si>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</si>
  <si>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</si>
  <si>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</si>
  <si>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</si>
  <si>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</si>
  <si>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</si>
  <si>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</si>
  <si>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</si>
  <si>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</si>
  <si>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</si>
  <si>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</si>
  <si>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</si>
  <si>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</si>
  <si>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</si>
  <si>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</si>
  <si>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</si>
  <si>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</si>
  <si>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</si>
  <si>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</si>
  <si>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</si>
  <si>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</si>
  <si>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</si>
  <si>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</si>
  <si>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</si>
  <si>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</si>
  <si>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</si>
  <si>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</si>
  <si>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</si>
  <si>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</si>
  <si>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</si>
  <si>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</si>
  <si>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</si>
  <si>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</si>
  <si>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</si>
  <si>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</si>
  <si>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</si>
  <si>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</si>
  <si>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</si>
  <si>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</si>
  <si>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</si>
  <si>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</si>
  <si>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</si>
  <si>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</si>
  <si>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</si>
  <si>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</si>
  <si>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</si>
  <si>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</si>
  <si>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</si>
  <si>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</si>
  <si>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</si>
  <si>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</si>
  <si>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</si>
  <si>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</si>
  <si>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</si>
  <si>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</si>
  <si>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</si>
  <si>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</si>
  <si>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</si>
  <si>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</si>
  <si>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</si>
  <si>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</si>
  <si>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</si>
  <si>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</si>
  <si>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</si>
  <si>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</si>
  <si>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</si>
  <si>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</si>
  <si>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</si>
  <si>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</si>
  <si>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</si>
  <si>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</si>
  <si>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</si>
  <si>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</si>
  <si>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</si>
  <si>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</si>
  <si>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</si>
  <si>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</si>
  <si>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</si>
  <si>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</si>
  <si>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</si>
  <si>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</si>
  <si>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</si>
  <si>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</si>
  <si>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</si>
  <si>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</si>
  <si>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</si>
  <si>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</si>
  <si>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</si>
  <si>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</si>
  <si>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</si>
  <si>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</si>
  <si>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</si>
  <si>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</si>
  <si>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</si>
  <si>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</si>
  <si>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</si>
  <si>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</si>
  <si>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</si>
  <si>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</si>
  <si>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</si>
  <si>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</si>
  <si>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</si>
  <si>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</si>
  <si>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</si>
  <si>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</si>
  <si>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</si>
  <si>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</si>
  <si>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</si>
  <si>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</si>
  <si>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</si>
  <si>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</si>
  <si>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</si>
  <si>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</si>
  <si>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</si>
  <si>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</si>
  <si>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</si>
  <si>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</si>
  <si>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</si>
  <si>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</si>
  <si>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</si>
  <si>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</si>
  <si>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</si>
  <si>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</si>
  <si>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</si>
  <si>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</si>
  <si>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</si>
  <si>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</si>
  <si>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</si>
  <si>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</si>
  <si>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</si>
  <si>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</si>
  <si>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</si>
  <si>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</si>
  <si>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</si>
  <si>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</si>
  <si>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</si>
  <si>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</si>
  <si>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</si>
  <si>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</si>
  <si>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</si>
  <si>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</si>
  <si>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</si>
  <si>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</si>
  <si>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</si>
  <si>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</si>
  <si>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</si>
  <si>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</si>
  <si>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</si>
  <si>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</si>
  <si>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</si>
  <si>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</si>
  <si>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</si>
  <si>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</si>
  <si>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</si>
  <si>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</si>
  <si>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</si>
  <si>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</si>
  <si>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</si>
  <si>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</si>
  <si>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</si>
  <si>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</si>
  <si>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</si>
  <si>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</si>
  <si>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</si>
  <si>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</si>
  <si>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</si>
  <si>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</si>
  <si>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</si>
  <si>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</si>
  <si>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</si>
  <si>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</si>
  <si>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</si>
  <si>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</si>
  <si>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</si>
  <si>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</si>
  <si>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</si>
  <si>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</si>
  <si>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</si>
  <si>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</si>
  <si>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</si>
  <si>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</si>
  <si>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</si>
  <si>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</si>
  <si>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</si>
  <si>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</si>
  <si>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</si>
  <si>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</si>
  <si>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</si>
  <si>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</si>
  <si>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</si>
  <si>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</si>
  <si>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</si>
  <si>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</si>
  <si>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</si>
  <si>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</si>
  <si>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</si>
  <si>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</si>
  <si>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</si>
  <si>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</si>
  <si>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</si>
  <si>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</si>
  <si>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</si>
  <si>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</si>
  <si>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</si>
  <si>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</si>
  <si>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</si>
  <si>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</si>
  <si>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</si>
  <si>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</si>
  <si>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</si>
  <si>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</si>
  <si>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</si>
  <si>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</si>
  <si>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</si>
  <si>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</si>
  <si>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</si>
  <si>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</si>
  <si>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</si>
  <si>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</si>
  <si>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</si>
  <si>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</si>
  <si>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</si>
  <si>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</si>
  <si>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</si>
  <si>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</si>
  <si>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</si>
  <si>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</si>
  <si>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</si>
  <si>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</si>
  <si>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</si>
  <si>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</si>
  <si>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</si>
  <si>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</si>
  <si>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</si>
  <si>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</si>
  <si>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</si>
  <si>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</si>
  <si>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</si>
  <si>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</si>
  <si>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</si>
  <si>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</si>
  <si>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</si>
  <si>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</si>
  <si>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</si>
  <si>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</si>
  <si>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</si>
  <si>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</si>
  <si>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</si>
  <si>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</si>
  <si>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</si>
  <si>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</si>
  <si>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</si>
  <si>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</si>
  <si>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</si>
  <si>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</si>
  <si>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</si>
  <si>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</si>
  <si>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</si>
  <si>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</si>
  <si>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</si>
  <si>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</si>
  <si>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</si>
  <si>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</si>
  <si>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</si>
  <si>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</si>
  <si>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</si>
  <si>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</si>
  <si>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</si>
  <si>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</si>
  <si>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</si>
  <si>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</si>
  <si>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</si>
  <si>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</si>
  <si>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</si>
  <si>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</si>
  <si>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</si>
  <si>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</si>
  <si>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</si>
  <si>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</si>
  <si>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</si>
  <si>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</si>
  <si>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</si>
  <si>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</si>
  <si>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</si>
  <si>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</si>
  <si>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</si>
  <si>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</si>
  <si>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</si>
  <si>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</si>
  <si>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</si>
  <si>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</si>
  <si>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</si>
  <si>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</si>
  <si>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</si>
  <si>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</si>
  <si>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</si>
  <si>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</si>
  <si>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</si>
  <si>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</si>
  <si>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</si>
  <si>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</si>
  <si>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</si>
  <si>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</si>
  <si>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</si>
  <si>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</si>
  <si>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</si>
  <si>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</si>
  <si>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</si>
  <si>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</si>
  <si>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</si>
  <si>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</si>
  <si>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</si>
  <si>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</si>
  <si>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</si>
  <si>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</si>
  <si>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</si>
  <si>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</si>
  <si>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</si>
  <si>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</si>
  <si>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</si>
  <si>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</si>
  <si>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</si>
  <si>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</si>
  <si>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</si>
  <si>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</si>
  <si>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</si>
  <si>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</si>
  <si>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</si>
  <si>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</si>
  <si>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</si>
  <si>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</si>
  <si>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</si>
  <si>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</si>
  <si>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</si>
  <si>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</si>
  <si>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</si>
  <si>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</si>
  <si>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</si>
  <si>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</si>
  <si>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</si>
  <si>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</si>
  <si>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</si>
  <si>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</si>
  <si>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</si>
  <si>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</si>
  <si>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</si>
  <si>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</si>
  <si>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</si>
  <si>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</si>
  <si>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</si>
  <si>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</si>
  <si>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</si>
  <si>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</si>
  <si>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</si>
  <si>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</si>
  <si>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</si>
  <si>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</si>
  <si>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</si>
  <si>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</si>
  <si>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</si>
  <si>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</si>
  <si>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</si>
  <si>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</si>
  <si>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</si>
  <si>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</si>
  <si>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</si>
  <si>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</si>
  <si>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</si>
  <si>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</si>
  <si>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</si>
  <si>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</si>
  <si>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</si>
  <si>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</si>
  <si>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</si>
  <si>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</si>
  <si>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</si>
  <si>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</si>
  <si>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</si>
  <si>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</si>
  <si>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</si>
  <si>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</si>
  <si>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</si>
  <si>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</si>
  <si>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</si>
  <si>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</si>
  <si>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</si>
  <si>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</si>
  <si>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</si>
  <si>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</si>
  <si>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</si>
  <si>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</si>
  <si>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</si>
  <si>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</si>
  <si>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</si>
  <si>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</si>
  <si>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</si>
  <si>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</si>
  <si>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</si>
  <si>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</si>
  <si>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</si>
  <si>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</si>
  <si>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</si>
  <si>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</si>
  <si>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</si>
  <si>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</si>
  <si>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</si>
  <si>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</si>
  <si>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</si>
  <si>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</si>
  <si>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</si>
  <si>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</si>
  <si>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</si>
  <si>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</si>
  <si>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</si>
  <si>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</si>
  <si>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</si>
  <si>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</si>
  <si>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</si>
  <si>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</si>
  <si>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</si>
  <si>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</si>
  <si>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</si>
  <si>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</si>
  <si>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</si>
  <si>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</si>
  <si>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</si>
  <si>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</si>
  <si>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</si>
  <si>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</si>
  <si>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</si>
  <si>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</si>
  <si>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</si>
  <si>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</si>
  <si>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</si>
  <si>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</si>
  <si>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</si>
  <si>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</si>
  <si>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</si>
  <si>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</si>
  <si>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</si>
  <si>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</si>
  <si>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</si>
  <si>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</si>
  <si>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</si>
  <si>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</si>
  <si>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</si>
  <si>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</si>
  <si>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</si>
  <si>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</si>
  <si>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</si>
  <si>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</si>
  <si>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</si>
  <si>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</si>
  <si>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</si>
  <si>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</si>
  <si>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</si>
  <si>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</si>
  <si>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</si>
  <si>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</si>
  <si>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</si>
  <si>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</si>
  <si>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</si>
  <si>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</si>
  <si>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</si>
  <si>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</si>
  <si>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</si>
  <si>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</si>
  <si>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</si>
  <si>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</si>
  <si>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</si>
  <si>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</si>
  <si>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</si>
  <si>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</si>
  <si>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</si>
  <si>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</si>
  <si>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</si>
  <si>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</si>
  <si>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</si>
  <si>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</si>
  <si>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</si>
  <si>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</si>
  <si>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</si>
  <si>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</si>
  <si>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</si>
  <si>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</si>
  <si>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</si>
  <si>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</si>
  <si>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</si>
  <si>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</si>
  <si>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</si>
  <si>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</si>
  <si>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</si>
  <si>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</si>
  <si>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</si>
  <si>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</si>
  <si>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</si>
  <si>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</si>
  <si>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</si>
  <si>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</si>
  <si>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</si>
  <si>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</si>
  <si>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</si>
  <si>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</si>
  <si>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</si>
  <si>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</si>
  <si>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</si>
  <si>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</si>
  <si>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</si>
  <si>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</si>
  <si>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</si>
  <si>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</si>
  <si>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</si>
  <si>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</si>
  <si>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</si>
  <si>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</si>
  <si>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</si>
  <si>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</si>
  <si>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</si>
  <si>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</si>
  <si>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</si>
  <si>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</si>
  <si>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</si>
  <si>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</si>
  <si>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</si>
  <si>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</si>
  <si>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</si>
  <si>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</si>
  <si>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</si>
  <si>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</si>
  <si>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</si>
  <si>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</si>
  <si>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</si>
  <si>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</si>
  <si>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</si>
  <si>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</si>
  <si>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</si>
  <si>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</si>
  <si>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</si>
  <si>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</si>
  <si>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</si>
  <si>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</si>
  <si>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</si>
  <si>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</si>
  <si>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</si>
  <si>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</si>
  <si>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</si>
  <si>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</si>
  <si>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</si>
  <si>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</si>
  <si>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</si>
  <si>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</si>
  <si>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</si>
  <si>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</si>
  <si>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</si>
  <si>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</si>
  <si>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</si>
  <si>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</si>
  <si>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</si>
  <si>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</si>
  <si>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</si>
  <si>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</si>
  <si>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</si>
  <si>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</si>
  <si>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</si>
  <si>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</si>
  <si>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</si>
  <si>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</si>
  <si>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</si>
  <si>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</si>
  <si>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</si>
  <si>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</si>
  <si>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</si>
  <si>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</si>
  <si>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</si>
  <si>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</si>
  <si>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</si>
  <si>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</si>
  <si>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</si>
  <si>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</si>
  <si>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</si>
  <si>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</si>
  <si>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</si>
  <si>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</si>
  <si>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</si>
  <si>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</si>
  <si>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</si>
  <si>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</si>
  <si>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</si>
  <si>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</si>
  <si>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</si>
  <si>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</si>
  <si>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</si>
  <si>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</si>
  <si>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</si>
  <si>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</si>
  <si>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</si>
  <si>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</si>
  <si>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</si>
  <si>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</si>
  <si>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</si>
  <si>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</si>
  <si>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</si>
  <si>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</si>
  <si>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</si>
  <si>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</si>
  <si>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</si>
  <si>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</si>
  <si>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</si>
  <si>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</si>
  <si>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</si>
  <si>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</si>
  <si>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</si>
  <si>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</si>
  <si>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</si>
  <si>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</si>
  <si>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</si>
  <si>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</si>
  <si>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</si>
  <si>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</si>
  <si>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</si>
  <si>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</si>
  <si>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</si>
  <si>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</si>
  <si>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</si>
  <si>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</si>
  <si>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</si>
  <si>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</si>
  <si>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</si>
  <si>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</si>
  <si>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</si>
  <si>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</si>
  <si>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</si>
  <si>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</si>
  <si>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</si>
  <si>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</si>
  <si>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</si>
  <si>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</si>
  <si>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</si>
  <si>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</si>
  <si>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</si>
  <si>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</si>
  <si>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</si>
  <si>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</si>
  <si>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</si>
  <si>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</si>
  <si>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</si>
  <si>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</si>
  <si>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</si>
  <si>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</si>
  <si>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</si>
  <si>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</si>
  <si>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</si>
  <si>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</si>
  <si>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</si>
  <si>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</si>
  <si>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</si>
  <si>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</si>
  <si>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</si>
  <si>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</si>
  <si>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</si>
  <si>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</si>
  <si>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</si>
  <si>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</si>
  <si>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</si>
  <si>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</si>
  <si>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</si>
  <si>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</si>
  <si>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</si>
  <si>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</si>
  <si>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</si>
  <si>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</si>
  <si>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</si>
  <si>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</si>
  <si>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</si>
  <si>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</si>
  <si>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</si>
  <si>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</si>
  <si>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</si>
  <si>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</si>
  <si>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</si>
  <si>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</si>
  <si>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</si>
  <si>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</si>
  <si>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</si>
  <si>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</si>
  <si>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</si>
  <si>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</si>
  <si>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</si>
  <si>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</si>
  <si>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</si>
  <si>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</si>
  <si>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</si>
  <si>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</si>
  <si>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</si>
  <si>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</si>
  <si>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</si>
  <si>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</si>
  <si>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</si>
  <si>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</si>
  <si>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</si>
  <si>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</si>
  <si>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</si>
  <si>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</si>
  <si>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</si>
  <si>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</si>
  <si>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</si>
  <si>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</si>
  <si>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</si>
  <si>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</si>
  <si>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</si>
  <si>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</si>
  <si>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</si>
  <si>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</si>
  <si>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</si>
  <si>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</si>
  <si>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</si>
  <si>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</si>
  <si>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</si>
  <si>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</si>
  <si>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</si>
  <si>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</si>
  <si>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</si>
  <si>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</si>
  <si>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</si>
  <si>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</si>
  <si>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</si>
  <si>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</si>
  <si>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</si>
  <si>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</si>
  <si>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</si>
  <si>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</si>
  <si>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</si>
  <si>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</si>
  <si>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</si>
  <si>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</si>
  <si>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</si>
  <si>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</si>
  <si>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</si>
  <si>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</si>
  <si>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</si>
  <si>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</si>
  <si>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</si>
  <si>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</si>
  <si>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</si>
  <si>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</si>
  <si>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</si>
  <si>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</si>
  <si>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</si>
  <si>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</si>
  <si>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</si>
  <si>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</si>
  <si>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</si>
  <si>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</si>
  <si>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</si>
  <si>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</si>
  <si>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</si>
  <si>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</si>
  <si>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</si>
  <si>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</si>
  <si>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</si>
  <si>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</si>
  <si>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</si>
  <si>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</si>
  <si>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</si>
  <si>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</si>
  <si>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</si>
  <si>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</si>
  <si>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</si>
  <si>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</si>
  <si>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</si>
  <si>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</si>
  <si>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</si>
  <si>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</si>
  <si>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</si>
  <si>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</si>
  <si>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</si>
  <si>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</si>
  <si>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</si>
  <si>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</si>
  <si>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</si>
  <si>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</si>
  <si>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</si>
  <si>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</si>
  <si>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</si>
  <si>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</si>
  <si>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</si>
  <si>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</si>
  <si>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</si>
  <si>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</si>
  <si>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</si>
  <si>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</si>
  <si>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</si>
  <si>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</si>
  <si>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</si>
  <si>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</si>
  <si>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</si>
  <si>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</si>
  <si>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</si>
  <si>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</si>
  <si>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</si>
  <si>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</si>
  <si>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</si>
  <si>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</si>
  <si>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</si>
  <si>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</si>
  <si>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</si>
  <si>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</si>
  <si>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</si>
  <si>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</si>
  <si>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</si>
  <si>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</si>
  <si>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</si>
  <si>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</si>
  <si>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</si>
  <si>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</si>
  <si>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</si>
  <si>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</si>
  <si>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</si>
  <si>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</si>
  <si>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</si>
  <si>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</si>
  <si>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</si>
  <si>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</si>
  <si>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</si>
  <si>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</si>
  <si>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</si>
  <si>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</si>
  <si>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</si>
  <si>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</si>
  <si>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</si>
  <si>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</si>
  <si>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</si>
  <si>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</si>
  <si>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</si>
  <si>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</si>
  <si>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</si>
  <si>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</si>
  <si>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</si>
  <si>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</si>
  <si>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</si>
  <si>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</si>
  <si>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</si>
  <si>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</si>
  <si>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</si>
  <si>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</si>
  <si>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</si>
  <si>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</si>
  <si>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</si>
  <si>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</si>
  <si>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</si>
  <si>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</si>
  <si>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</si>
  <si>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</si>
  <si>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</si>
  <si>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</si>
  <si>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</si>
  <si>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</si>
  <si>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</si>
  <si>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</si>
  <si>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</si>
  <si>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</si>
  <si>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</si>
  <si>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</si>
  <si>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</si>
  <si>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</si>
  <si>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v0.8b: unsold 3-yr re-pricing at renewal = UNSOLD vintages aged &gt;= 12 qtrs x (prevailing renewal rate - UncPx rate) / 4</t>
  </si>
  <si>
    <t xml:space="preserve">UncPxOn x 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</si>
  <si>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</si>
  <si>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</si>
  <si>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</si>
  <si>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</si>
  <si>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</si>
  <si>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</si>
  <si>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</si>
  <si>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</si>
  <si>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</si>
  <si>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</si>
  <si>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</si>
  <si>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</si>
  <si>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</si>
  <si>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</si>
  <si>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</si>
  <si>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</si>
  <si>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</si>
  <si>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</si>
  <si>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</si>
  <si>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</si>
  <si>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</si>
  <si>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</si>
  <si>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</si>
  <si>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</si>
  <si>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</si>
  <si>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</si>
  <si>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</si>
  <si>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</si>
  <si>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</si>
  <si>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</si>
  <si>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</si>
  <si>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</si>
  <si>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</si>
  <si>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</si>
  <si>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</si>
  <si>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</si>
  <si>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</si>
  <si>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</si>
  <si>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</si>
  <si>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</si>
  <si>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</si>
  <si>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</si>
  <si>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</si>
  <si>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</si>
  <si>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</si>
  <si>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</si>
  <si>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</si>
  <si>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</si>
  <si>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</si>
  <si>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</si>
  <si>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</si>
  <si>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</si>
  <si>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</si>
  <si>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</si>
  <si>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</si>
  <si>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</si>
  <si>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</si>
  <si>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</si>
  <si>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</si>
  <si>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</si>
  <si>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</si>
  <si>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</si>
  <si>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</si>
  <si>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</si>
  <si>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</si>
  <si>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</si>
  <si>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</si>
  <si>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</si>
  <si>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</si>
  <si>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</si>
  <si>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</si>
  <si>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</si>
  <si>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</si>
  <si>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</si>
  <si>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</si>
  <si>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</si>
  <si>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</si>
  <si>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</si>
  <si>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</si>
  <si>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</si>
  <si>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</si>
  <si>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</si>
  <si>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</si>
  <si>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</si>
  <si>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</si>
  <si>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</si>
  <si>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</si>
  <si>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</si>
  <si>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</si>
  <si>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</si>
  <si>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</si>
  <si>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</si>
  <si>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</si>
  <si>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</si>
  <si>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</si>
  <si>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</si>
  <si>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</si>
  <si>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</si>
  <si>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</si>
  <si>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</si>
  <si>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</si>
  <si>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</si>
  <si>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</si>
  <si>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</si>
  <si>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</si>
  <si>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</si>
  <si>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</si>
  <si>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</si>
  <si>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</si>
  <si>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</si>
  <si>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</si>
  <si>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</si>
  <si>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</si>
  <si>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</si>
  <si>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</si>
  <si>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</si>
  <si>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</si>
  <si>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</si>
  <si>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</si>
  <si>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</si>
  <si>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</si>
  <si>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</si>
  <si>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</si>
  <si>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</si>
  <si>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</si>
  <si>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</si>
  <si>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</si>
  <si>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</si>
  <si>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</si>
  <si>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</si>
  <si>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</si>
  <si>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</si>
  <si>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</si>
  <si>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</si>
  <si>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</si>
  <si>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</si>
  <si>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</si>
  <si>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</si>
  <si>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</si>
  <si>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</si>
  <si>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</si>
  <si>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</si>
  <si>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</si>
  <si>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</si>
  <si>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</si>
  <si>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</si>
  <si>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</si>
  <si>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</si>
  <si>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</si>
  <si>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</si>
  <si>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</si>
  <si>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</si>
  <si>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</si>
  <si>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</si>
  <si>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</si>
  <si>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</si>
  <si>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</si>
  <si>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</si>
  <si>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</si>
  <si>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</si>
  <si>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</si>
  <si>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</si>
  <si>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</si>
  <si>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</si>
  <si>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</si>
  <si>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</si>
  <si>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</si>
  <si>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</si>
  <si>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</si>
  <si>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</si>
  <si>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</si>
  <si>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</si>
  <si>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</si>
  <si>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</si>
  <si>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</si>
  <si>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</si>
  <si>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</si>
  <si>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</si>
  <si>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</si>
  <si>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</si>
  <si>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</si>
  <si>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</si>
  <si>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</si>
  <si>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</si>
  <si>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</si>
  <si>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</si>
  <si>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</si>
  <si>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</si>
  <si>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</si>
  <si>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</si>
  <si>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</si>
  <si>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</si>
  <si>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</si>
  <si>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</si>
  <si>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</si>
  <si>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</si>
  <si>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</si>
  <si>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</si>
  <si>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</si>
  <si>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</si>
  <si>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</si>
  <si>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</si>
  <si>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</si>
  <si>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</si>
  <si>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</si>
  <si>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</si>
  <si>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</si>
  <si>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</si>
  <si>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</si>
  <si>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</si>
  <si>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</si>
  <si>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</si>
  <si>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</si>
  <si>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</si>
  <si>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</si>
  <si>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</si>
  <si>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</si>
  <si>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</si>
  <si>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</si>
  <si>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</si>
  <si>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</si>
  <si>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</si>
  <si>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</si>
  <si>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</si>
  <si>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</si>
  <si>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</si>
  <si>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</si>
  <si>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</si>
  <si>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</si>
  <si>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</si>
  <si>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</si>
  <si>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</si>
  <si>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</si>
  <si>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</si>
  <si>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</si>
  <si>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</si>
  <si>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</si>
  <si>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</si>
  <si>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</si>
  <si>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</si>
  <si>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</si>
  <si>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</si>
  <si>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</si>
  <si>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</si>
  <si>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</si>
  <si>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</si>
  <si>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</si>
  <si>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</si>
  <si>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</si>
  <si>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</si>
  <si>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</si>
  <si>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</si>
  <si>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</si>
  <si>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</si>
  <si>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</si>
  <si>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</si>
  <si>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</si>
  <si>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</si>
  <si>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</si>
  <si>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</si>
  <si>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</si>
  <si>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</si>
  <si>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</si>
  <si>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</si>
  <si>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</si>
  <si>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</si>
  <si>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</si>
  <si>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</si>
  <si>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</si>
  <si>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</si>
  <si>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</si>
  <si>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</si>
  <si>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</si>
  <si>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</si>
  <si>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</si>
  <si>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</si>
  <si>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</si>
  <si>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</si>
  <si>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</si>
  <si>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</si>
  <si>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</si>
  <si>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</si>
  <si>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</si>
  <si>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</si>
  <si>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</si>
  <si>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</si>
  <si>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</si>
  <si>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</si>
  <si>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</si>
  <si>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</si>
  <si>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</si>
  <si>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</si>
  <si>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</si>
  <si>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</si>
  <si>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</si>
  <si>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</si>
  <si>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</si>
  <si>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</si>
  <si>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</si>
  <si>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</si>
  <si>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</si>
  <si>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</si>
  <si>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</si>
  <si>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</si>
  <si>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</si>
  <si>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</si>
  <si>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</si>
  <si>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</si>
  <si>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</si>
  <si>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</si>
  <si>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</si>
  <si>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</si>
  <si>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</si>
  <si>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</si>
  <si>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</si>
  <si>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</si>
  <si>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</si>
  <si>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</si>
  <si>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</si>
  <si>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</si>
  <si>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</si>
  <si>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</si>
  <si>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</si>
  <si>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</si>
  <si>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</si>
  <si>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</si>
  <si>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</si>
  <si>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</si>
  <si>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</si>
  <si>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</si>
  <si>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</si>
  <si>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</si>
  <si>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</si>
  <si>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</si>
  <si>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</si>
  <si>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</si>
  <si>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</si>
  <si>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</si>
  <si>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</si>
  <si>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</si>
  <si>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</si>
  <si>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</si>
  <si>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</si>
  <si>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</si>
  <si>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</si>
  <si>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</si>
  <si>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</si>
  <si>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</si>
  <si>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</si>
  <si>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</si>
  <si>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</si>
  <si>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</si>
  <si>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</si>
  <si>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</si>
  <si>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</si>
  <si>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</si>
  <si>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</si>
  <si>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</si>
  <si>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</si>
  <si>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</si>
  <si>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</si>
  <si>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</si>
  <si>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</si>
  <si>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</si>
  <si>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</si>
  <si>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</si>
  <si>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</si>
  <si>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</si>
  <si>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</si>
  <si>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</si>
  <si>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</si>
  <si>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</si>
  <si>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</si>
  <si>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</si>
  <si>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</si>
  <si>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</si>
  <si>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</si>
  <si>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</si>
  <si>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</si>
  <si>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</si>
  <si>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</si>
  <si>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</si>
  <si>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</si>
  <si>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</si>
  <si>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</si>
  <si>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</si>
  <si>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</si>
  <si>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</si>
  <si>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</si>
  <si>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</si>
  <si>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</si>
  <si>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</si>
  <si>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</si>
  <si>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</si>
  <si>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</si>
  <si>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</si>
  <si>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</si>
  <si>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</si>
  <si>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</si>
  <si>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</si>
  <si>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</si>
  <si>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</si>
  <si>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</si>
  <si>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</si>
  <si>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</si>
  <si>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</si>
  <si>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</si>
  <si>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</si>
  <si>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</si>
  <si>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</si>
  <si>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</si>
  <si>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</si>
  <si>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</si>
  <si>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</si>
  <si>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</si>
  <si>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</si>
  <si>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</si>
  <si>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</si>
  <si>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</si>
  <si>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</si>
  <si>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</si>
  <si>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</si>
  <si>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</si>
  <si>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</si>
  <si>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</si>
  <si>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</si>
  <si>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</si>
  <si>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</si>
  <si>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</si>
  <si>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</si>
  <si>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</si>
  <si>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</si>
  <si>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</si>
  <si>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</si>
  <si>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</si>
  <si>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</si>
  <si>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</si>
  <si>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</si>
  <si>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</si>
  <si>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</si>
  <si>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</si>
  <si>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</si>
  <si>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</si>
  <si>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</si>
  <si>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</si>
  <si>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</si>
  <si>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</si>
  <si>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</si>
  <si>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</si>
  <si>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</si>
  <si>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</si>
  <si>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</si>
  <si>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</si>
  <si>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</si>
  <si>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</si>
  <si>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</si>
  <si>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</si>
  <si>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</si>
  <si>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</si>
  <si>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</si>
  <si>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</si>
  <si>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</si>
  <si>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</si>
  <si>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</si>
  <si>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</si>
  <si>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</si>
  <si>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</si>
  <si>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</si>
  <si>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</si>
  <si>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</si>
  <si>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</si>
  <si>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</si>
  <si>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</si>
  <si>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</si>
  <si>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</si>
  <si>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</si>
  <si>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</si>
  <si>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</si>
  <si>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</si>
  <si>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</si>
  <si>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</si>
  <si>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</si>
  <si>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</si>
  <si>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</si>
  <si>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</si>
  <si>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</si>
  <si>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</si>
  <si>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</si>
  <si>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</si>
  <si>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</si>
  <si>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</si>
  <si>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</si>
  <si>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</si>
  <si>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</si>
  <si>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</si>
  <si>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</si>
  <si>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</si>
  <si>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</si>
  <si>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</si>
  <si>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</si>
  <si>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</si>
  <si>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</si>
  <si>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</si>
  <si>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</si>
  <si>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</si>
  <si>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</si>
  <si>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</si>
  <si>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</si>
  <si>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</si>
  <si>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</si>
  <si>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</si>
  <si>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</si>
  <si>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</si>
  <si>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</si>
  <si>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</si>
  <si>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</si>
  <si>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</si>
  <si>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</si>
  <si>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</si>
  <si>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</si>
  <si>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</si>
  <si>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</si>
  <si>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</si>
  <si>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</si>
  <si>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</si>
  <si>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</si>
  <si>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</si>
  <si>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</si>
  <si>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</si>
  <si>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</si>
  <si>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</si>
  <si>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</si>
  <si>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</si>
  <si>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</si>
  <si>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</si>
  <si>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</si>
  <si>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</si>
  <si>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</si>
  <si>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</si>
  <si>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</si>
  <si>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</si>
  <si>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</si>
  <si>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</si>
  <si>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</si>
  <si>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</si>
  <si>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</si>
  <si>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</si>
  <si>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</si>
  <si>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</si>
  <si>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</si>
  <si>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</si>
  <si>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</si>
  <si>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</si>
  <si>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</si>
  <si>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</si>
  <si>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</si>
  <si>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</si>
  <si>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</si>
  <si>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</si>
  <si>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</si>
  <si>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</si>
  <si>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</si>
  <si>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</si>
  <si>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</si>
  <si>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</si>
  <si>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</si>
  <si>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</si>
  <si>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</si>
  <si>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</si>
  <si>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</si>
  <si>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</si>
  <si>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</si>
  <si>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</si>
  <si>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</si>
  <si>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</si>
  <si>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</si>
  <si>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</si>
  <si>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</si>
  <si>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</si>
  <si>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</si>
  <si>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</si>
  <si>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</si>
  <si>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</si>
  <si>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</si>
  <si>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</si>
  <si>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</si>
  <si>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</si>
  <si>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</si>
  <si>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</si>
  <si>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</si>
  <si>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</si>
  <si>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</si>
  <si>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</si>
  <si>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</si>
  <si>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</si>
  <si>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</si>
  <si>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</si>
  <si>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</si>
  <si>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</si>
  <si>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</si>
  <si>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</si>
  <si>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</si>
  <si>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</si>
  <si>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</si>
  <si>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</si>
  <si>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</si>
  <si>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</si>
  <si>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</si>
  <si>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</si>
  <si>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</si>
  <si>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</si>
  <si>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</si>
  <si>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</si>
  <si>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</si>
  <si>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</si>
  <si>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</si>
  <si>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</si>
  <si>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</si>
  <si>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</si>
  <si>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</si>
  <si>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</si>
  <si>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</si>
  <si>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</si>
  <si>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</si>
  <si>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</si>
  <si>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</si>
  <si>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</si>
  <si>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</si>
  <si>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</si>
  <si>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</si>
  <si>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</si>
  <si>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</si>
  <si>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</si>
  <si>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</si>
  <si>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</si>
  <si>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</si>
  <si>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</si>
  <si>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</si>
  <si>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</si>
  <si>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</si>
  <si>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</si>
  <si>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</si>
  <si>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</si>
  <si>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</si>
  <si>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</si>
  <si>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</si>
  <si>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</si>
  <si>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</si>
  <si>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</si>
  <si>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</si>
  <si>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</si>
  <si>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</si>
  <si>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</si>
  <si>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</si>
  <si>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</si>
  <si>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</si>
  <si>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</si>
  <si>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</si>
  <si>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</si>
  <si>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</si>
  <si>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</si>
  <si>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</si>
  <si>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</si>
  <si>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</si>
  <si>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</si>
  <si>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</si>
  <si>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</si>
  <si>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</si>
  <si>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</si>
  <si>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</si>
  <si>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</si>
  <si>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</si>
  <si>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</si>
  <si>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</si>
  <si>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</si>
  <si>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</si>
  <si>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</si>
  <si>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</si>
  <si>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</si>
  <si>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</si>
  <si>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</si>
  <si>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</si>
  <si>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</si>
  <si>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</si>
  <si>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</si>
  <si>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</si>
  <si>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</si>
  <si>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</si>
  <si>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</si>
  <si>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</si>
  <si>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</si>
  <si>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</si>
  <si>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</si>
  <si>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</si>
  <si>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</si>
  <si>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</si>
  <si>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</si>
  <si>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</si>
  <si>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</si>
  <si>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</si>
  <si>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</si>
  <si>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</si>
  <si>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</si>
  <si>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</si>
  <si>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</si>
  <si>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</si>
  <si>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</si>
  <si>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</si>
  <si>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</si>
  <si>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</si>
  <si>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</si>
  <si>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</si>
  <si>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</si>
  <si>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</si>
  <si>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</si>
  <si>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~82M available (AuthAvail)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</si>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</sst>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0%"/>
    <numFmt numFmtId="174" formatCode="0.0%"/>
    <numFmt numFmtId="175" formatCode="0.00\x"/>
    <numFmt numFmtId="176" formatCode="0.000"/>
    <numFmt numFmtId="177" formatCode="#,##0.0"/>
    <numFmt numFmtId="178" formatCode="0.00;\-0.00"/>
    <numFmt numFmtId="179" formatCode="0.00%"/>
    <numFmt numFmtId="180" formatCode="0.0\x"/>
    <numFmt numFmtId="181" formatCode="#,##0.00"/>
    <numFmt numFmtId="182" formatCode="0.0000"/>
    <numFmt numFmtId="183" formatCode="yyyy\-mm\-dd"/>
    <numFmt numFmtId="184" formatCode="mmm\-yy"/>
    <numFmt numFmtId="185" formatCode="#,##0.0;\(#,##0.0\);\-"/>
    <numFmt numFmtId="186" formatCode="#,##0.000"/>
    <numFmt numFmtId="187" formatCode="#,##0;\(#,##0\);\-"/>
    <numFmt numFmtId="188" formatCode="0%;\-0%"/>
    <numFmt numFmtId="189" formatCode="0.000%"/>
    <numFmt numFmtId="190" formatCode="0.00;\(0.00\);\-"/>
    <numFmt numFmtId="191" formatCode="#,##0.00;\(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3.97046602096122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0" t="s">
        <v>41</v>
      </c>
    </row>
    <row r="4" customFormat="false" ht="15" hidden="false" customHeight="false" outlineLevel="0" collapsed="false">
      <c r="A4" s="0" t="s">
        <v>42</v>
      </c>
    </row>
    <row r="5" customFormat="false" ht="15" hidden="false" customHeight="false" outlineLevel="0" collapsed="false">
      <c r="A5" s="0" t="s">
        <v>43</v>
      </c>
    </row>
    <row r="6" customFormat="false" ht="15" hidden="false" customHeight="false" outlineLevel="0" collapsed="false">
      <c r="A6" s="0" t="s">
        <v>44</v>
      </c>
    </row>
    <row r="7" customFormat="false" ht="15" hidden="false" customHeight="false" outlineLevel="0" collapsed="false">
      <c r="A7" s="0" t="s">
        <v>45</v>
      </c>
    </row>
    <row r="8" customFormat="false" ht="15" hidden="false" customHeight="false" outlineLevel="0" collapsed="false">
      <c r="A8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9" t="s">
        <v>49</v>
      </c>
      <c r="B4" s="9" t="s">
        <v>50</v>
      </c>
      <c r="C4" s="9" t="s">
        <v>51</v>
      </c>
      <c r="D4" s="9" t="s">
        <v>52</v>
      </c>
      <c r="E4" s="9" t="s">
        <v>53</v>
      </c>
      <c r="F4" s="9" t="s">
        <v>54</v>
      </c>
      <c r="G4" s="9" t="s">
        <v>55</v>
      </c>
      <c r="H4" s="9" t="s">
        <v>56</v>
      </c>
      <c r="I4" s="9" t="s">
        <v>57</v>
      </c>
      <c r="J4" s="9" t="s">
        <v>58</v>
      </c>
      <c r="K4" s="9" t="s">
        <v>59</v>
      </c>
      <c r="L4" s="9" t="s">
        <v>60</v>
      </c>
    </row>
    <row r="5" customFormat="false" ht="15" hidden="false" customHeight="false" outlineLevel="0" collapsed="false">
      <c r="A5" s="10" t="s">
        <v>61</v>
      </c>
      <c r="B5" s="11" t="n">
        <v>41.0535476373834</v>
      </c>
      <c r="C5" s="11"/>
      <c r="D5" s="12" t="n">
        <v>103.536398225274</v>
      </c>
      <c r="E5" s="12"/>
      <c r="F5" s="12" t="n">
        <v>116.99612999456</v>
      </c>
      <c r="G5" s="13" t="n">
        <v>2400.63703930642</v>
      </c>
      <c r="H5" s="13" t="n">
        <v>8242.01885850092</v>
      </c>
      <c r="I5" s="13" t="n">
        <v>22266.6123981889</v>
      </c>
      <c r="J5" s="13" t="n">
        <v>4575.85815565856</v>
      </c>
      <c r="K5" s="13" t="n">
        <v>-4456.76170039065</v>
      </c>
      <c r="L5" s="13" t="s">
        <v>62</v>
      </c>
    </row>
    <row r="6" customFormat="false" ht="15" hidden="false" customHeight="false" outlineLevel="0" collapsed="false">
      <c r="A6" s="0" t="s">
        <v>63</v>
      </c>
      <c r="B6" s="14" t="n">
        <v>46.9175718445378</v>
      </c>
      <c r="C6" s="14" t="n">
        <v>5.8640242071544</v>
      </c>
      <c r="D6" s="15" t="n">
        <v>121.610574677117</v>
      </c>
      <c r="E6" s="15" t="n">
        <v>18.074176451843</v>
      </c>
      <c r="F6" s="15" t="n">
        <v>137.419949385142</v>
      </c>
      <c r="G6" s="16" t="n">
        <v>2400.63703930642</v>
      </c>
      <c r="H6" s="16" t="n">
        <v>8242.01885850092</v>
      </c>
      <c r="I6" s="16" t="n">
        <v>22266.6123981889</v>
      </c>
      <c r="J6" s="16" t="n">
        <v>4606.04613482523</v>
      </c>
      <c r="K6" s="16" t="n">
        <v>-4408.08477405391</v>
      </c>
      <c r="L6" s="16" t="s">
        <v>62</v>
      </c>
    </row>
    <row r="7" customFormat="false" ht="15" hidden="false" customHeight="false" outlineLevel="0" collapsed="false">
      <c r="A7" s="0" t="s">
        <v>64</v>
      </c>
      <c r="B7" s="14" t="n">
        <v>100.185806451507</v>
      </c>
      <c r="C7" s="14" t="n">
        <v>53.2682346069692</v>
      </c>
      <c r="D7" s="15" t="n">
        <v>270.297262490866</v>
      </c>
      <c r="E7" s="15" t="n">
        <v>148.686687813749</v>
      </c>
      <c r="F7" s="15" t="n">
        <v>305.435906614678</v>
      </c>
      <c r="G7" s="16" t="n">
        <v>2400.63703930642</v>
      </c>
      <c r="H7" s="16" t="n">
        <v>8242.01885850092</v>
      </c>
      <c r="I7" s="16" t="n">
        <v>22266.6123981889</v>
      </c>
      <c r="J7" s="16" t="n">
        <v>4606.04613482523</v>
      </c>
      <c r="K7" s="16" t="n">
        <v>-4408.08477405391</v>
      </c>
      <c r="L7" s="16" t="s">
        <v>62</v>
      </c>
    </row>
    <row r="8" customFormat="false" ht="15" hidden="false" customHeight="false" outlineLevel="0" collapsed="false">
      <c r="A8" s="0" t="s">
        <v>65</v>
      </c>
      <c r="B8" s="14" t="n">
        <v>100.185806451507</v>
      </c>
      <c r="C8" s="14" t="n">
        <v>0</v>
      </c>
      <c r="D8" s="15" t="n">
        <v>270.297262490866</v>
      </c>
      <c r="E8" s="15" t="n">
        <v>0</v>
      </c>
      <c r="F8" s="15" t="n">
        <v>305.435906614678</v>
      </c>
      <c r="G8" s="16" t="n">
        <v>2400.63703930642</v>
      </c>
      <c r="H8" s="16" t="n">
        <v>8242.01885850092</v>
      </c>
      <c r="I8" s="16" t="n">
        <v>22266.6123981889</v>
      </c>
      <c r="J8" s="16" t="n">
        <v>4606.04613482523</v>
      </c>
      <c r="K8" s="16" t="n">
        <v>-4408.08477405391</v>
      </c>
      <c r="L8" s="16" t="s">
        <v>62</v>
      </c>
    </row>
    <row r="9" customFormat="false" ht="15" hidden="false" customHeight="false" outlineLevel="0" collapsed="false">
      <c r="A9" s="0" t="s">
        <v>66</v>
      </c>
      <c r="B9" s="14" t="n">
        <v>89.0651861996132</v>
      </c>
      <c r="C9" s="14" t="n">
        <v>-11.1206202518938</v>
      </c>
      <c r="D9" s="15" t="n">
        <v>240.346467398359</v>
      </c>
      <c r="E9" s="15" t="n">
        <v>-29.950795092507</v>
      </c>
      <c r="F9" s="15" t="n">
        <v>271.591508160146</v>
      </c>
      <c r="G9" s="16" t="n">
        <v>2400.63703930642</v>
      </c>
      <c r="H9" s="16" t="n">
        <v>8242.01885850092</v>
      </c>
      <c r="I9" s="16" t="n">
        <v>22266.6123981889</v>
      </c>
      <c r="J9" s="16" t="n">
        <v>4517.47256608134</v>
      </c>
      <c r="K9" s="16" t="n">
        <v>-4518.47497945888</v>
      </c>
      <c r="L9" s="16" t="s">
        <v>62</v>
      </c>
    </row>
    <row r="10" customFormat="false" ht="15" hidden="false" customHeight="false" outlineLevel="0" collapsed="false">
      <c r="A10" s="10" t="s">
        <v>67</v>
      </c>
      <c r="B10" s="11" t="n">
        <v>99.8819427544151</v>
      </c>
      <c r="C10" s="11" t="n">
        <v>10.8167565548019</v>
      </c>
      <c r="D10" s="12" t="n">
        <v>269.452580481655</v>
      </c>
      <c r="E10" s="12" t="n">
        <v>29.106113083296</v>
      </c>
      <c r="F10" s="12" t="n">
        <v>304.48141594427</v>
      </c>
      <c r="G10" s="13" t="n">
        <v>2425.32952419152</v>
      </c>
      <c r="H10" s="13" t="n">
        <v>8517.51527302704</v>
      </c>
      <c r="I10" s="13" t="n">
        <v>22648.7362066291</v>
      </c>
      <c r="J10" s="13" t="n">
        <v>4713.07502039488</v>
      </c>
      <c r="K10" s="13" t="n">
        <v>-4310.06657295393</v>
      </c>
      <c r="L10" s="13" t="s">
        <v>62</v>
      </c>
    </row>
    <row r="11" customFormat="false" ht="15" hidden="false" customHeight="false" outlineLevel="0" collapsed="false">
      <c r="A11" s="0" t="s">
        <v>68</v>
      </c>
      <c r="B11" s="14" t="n">
        <v>86.3637411419844</v>
      </c>
      <c r="C11" s="14" t="n">
        <v>-13.5182016124307</v>
      </c>
      <c r="D11" s="15" t="n">
        <v>233.082804009466</v>
      </c>
      <c r="E11" s="15" t="n">
        <v>-36.369776472189</v>
      </c>
      <c r="F11" s="15" t="n">
        <v>263.383568530697</v>
      </c>
      <c r="G11" s="16" t="n">
        <v>2425.32952419152</v>
      </c>
      <c r="H11" s="16" t="n">
        <v>8517.51527302704</v>
      </c>
      <c r="I11" s="16" t="n">
        <v>22648.7362066291</v>
      </c>
      <c r="J11" s="16" t="n">
        <v>4713.07502039488</v>
      </c>
      <c r="K11" s="16" t="n">
        <v>-4310.06657295393</v>
      </c>
      <c r="L11" s="16" t="s">
        <v>62</v>
      </c>
    </row>
    <row r="12" customFormat="false" ht="15" hidden="false" customHeight="false" outlineLevel="0" collapsed="false">
      <c r="A12" s="10" t="s">
        <v>69</v>
      </c>
      <c r="B12" s="11" t="n">
        <v>94.115788273607</v>
      </c>
      <c r="C12" s="11" t="n">
        <v>7.7520471316226</v>
      </c>
      <c r="D12" s="12" t="n">
        <v>248.193496039636</v>
      </c>
      <c r="E12" s="12" t="n">
        <v>15.11069203017</v>
      </c>
      <c r="F12" s="12" t="n">
        <v>280.458650524788</v>
      </c>
      <c r="G12" s="13" t="n">
        <v>2425.32952419152</v>
      </c>
      <c r="H12" s="13" t="n">
        <v>8517.51527302704</v>
      </c>
      <c r="I12" s="13" t="n">
        <v>22648.7362066291</v>
      </c>
      <c r="J12" s="13" t="n">
        <v>4713.07502039488</v>
      </c>
      <c r="K12" s="13" t="n">
        <v>-7264.97163686794</v>
      </c>
      <c r="L12" s="13" t="s">
        <v>70</v>
      </c>
    </row>
    <row r="13" customFormat="false" ht="15" hidden="false" customHeight="false" outlineLevel="0" collapsed="false">
      <c r="A13" s="0" t="s">
        <v>71</v>
      </c>
      <c r="B13" s="14" t="n">
        <v>87.9213915118694</v>
      </c>
      <c r="C13" s="14" t="n">
        <v>-6.1943967617376</v>
      </c>
      <c r="D13" s="15" t="n">
        <v>233.708355561199</v>
      </c>
      <c r="E13" s="15" t="n">
        <v>-14.485140478437</v>
      </c>
      <c r="F13" s="15" t="n">
        <v>264.090441784155</v>
      </c>
      <c r="G13" s="16" t="n">
        <v>2425.32952419152</v>
      </c>
      <c r="H13" s="16" t="n">
        <v>8517.51527302704</v>
      </c>
      <c r="I13" s="16" t="n">
        <v>22648.7362066291</v>
      </c>
      <c r="J13" s="16" t="n">
        <v>4713.07502039488</v>
      </c>
      <c r="K13" s="16" t="n">
        <v>-7160.9335370009</v>
      </c>
      <c r="L13" s="16" t="s">
        <v>72</v>
      </c>
    </row>
    <row r="14" customFormat="false" ht="15" hidden="false" customHeight="false" outlineLevel="0" collapsed="false">
      <c r="A14" s="0" t="s">
        <v>73</v>
      </c>
      <c r="B14" s="14" t="n">
        <v>94.9730871301411</v>
      </c>
      <c r="C14" s="14" t="n">
        <v>7.0516956182717</v>
      </c>
      <c r="D14" s="15" t="n">
        <v>252.680449685806</v>
      </c>
      <c r="E14" s="15" t="n">
        <v>18.972094124607</v>
      </c>
      <c r="F14" s="15" t="n">
        <v>285.528908144961</v>
      </c>
      <c r="G14" s="16" t="n">
        <v>2425.32952419152</v>
      </c>
      <c r="H14" s="16" t="n">
        <v>8102.58408534655</v>
      </c>
      <c r="I14" s="16" t="n">
        <v>22384.5389654596</v>
      </c>
      <c r="J14" s="16" t="n">
        <v>4418.47387714174</v>
      </c>
      <c r="K14" s="16" t="n">
        <v>-7450.325523597</v>
      </c>
      <c r="L14" s="16" t="s">
        <v>72</v>
      </c>
    </row>
    <row r="15" customFormat="false" ht="15" hidden="false" customHeight="false" outlineLevel="0" collapsed="false">
      <c r="A15" s="0" t="s">
        <v>74</v>
      </c>
      <c r="B15" s="14" t="n">
        <v>153.790482948217</v>
      </c>
      <c r="C15" s="14" t="n">
        <v>58.8173958180759</v>
      </c>
      <c r="D15" s="15" t="n">
        <v>406.650160815998</v>
      </c>
      <c r="E15" s="15" t="n">
        <v>153.969711130192</v>
      </c>
      <c r="F15" s="15" t="n">
        <v>459.514681722077</v>
      </c>
      <c r="G15" s="16" t="n">
        <v>2425.32952419152</v>
      </c>
      <c r="H15" s="16" t="n">
        <v>8140.65856246629</v>
      </c>
      <c r="I15" s="16" t="n">
        <v>24633.6289824031</v>
      </c>
      <c r="J15" s="16" t="n">
        <v>4445.50675589675</v>
      </c>
      <c r="K15" s="16" t="n">
        <v>-7423.77977623466</v>
      </c>
      <c r="L15" s="16" t="s">
        <v>72</v>
      </c>
    </row>
    <row r="16" customFormat="false" ht="15" hidden="false" customHeight="false" outlineLevel="0" collapsed="false">
      <c r="A16" s="0" t="s">
        <v>75</v>
      </c>
      <c r="B16" s="14" t="n">
        <v>154.026094527843</v>
      </c>
      <c r="C16" s="14" t="n">
        <v>0.235611579626013</v>
      </c>
      <c r="D16" s="15" t="n">
        <v>407.254636485315</v>
      </c>
      <c r="E16" s="15" t="n">
        <v>0.604475669317026</v>
      </c>
      <c r="F16" s="15" t="n">
        <v>460.197739228406</v>
      </c>
      <c r="G16" s="16" t="n">
        <v>2425.32952419152</v>
      </c>
      <c r="H16" s="16" t="n">
        <v>8140.65856246629</v>
      </c>
      <c r="I16" s="16" t="n">
        <v>24633.6289824031</v>
      </c>
      <c r="J16" s="16" t="n">
        <v>4447.42081839675</v>
      </c>
      <c r="K16" s="16" t="n">
        <v>-7421.86571373466</v>
      </c>
      <c r="L16" s="16" t="s">
        <v>72</v>
      </c>
    </row>
    <row r="17" customFormat="false" ht="15" hidden="false" customHeight="false" outlineLevel="0" collapsed="false">
      <c r="A17" s="0" t="s">
        <v>76</v>
      </c>
      <c r="B17" s="14" t="n">
        <v>125.819565275191</v>
      </c>
      <c r="C17" s="14" t="n">
        <v>-28.206529252652</v>
      </c>
      <c r="D17" s="15" t="n">
        <v>334.889090292108</v>
      </c>
      <c r="E17" s="15" t="n">
        <v>-72.365546193207</v>
      </c>
      <c r="F17" s="15" t="n">
        <v>378.424672030081</v>
      </c>
      <c r="G17" s="16" t="n">
        <v>2425.32952419152</v>
      </c>
      <c r="H17" s="16" t="n">
        <v>8140.65856246629</v>
      </c>
      <c r="I17" s="16" t="n">
        <v>24633.6289824031</v>
      </c>
      <c r="J17" s="16" t="n">
        <v>4447.42081839675</v>
      </c>
      <c r="K17" s="16" t="n">
        <v>-7421.86571373466</v>
      </c>
      <c r="L17" s="16" t="s">
        <v>72</v>
      </c>
    </row>
    <row r="18" customFormat="false" ht="15" hidden="false" customHeight="false" outlineLevel="0" collapsed="false">
      <c r="A18" s="0" t="s">
        <v>77</v>
      </c>
      <c r="B18" s="14" t="n">
        <v>33.1833882652029</v>
      </c>
      <c r="C18" s="14" t="n">
        <v>-92.6361770099881</v>
      </c>
      <c r="D18" s="15" t="n">
        <v>74.9690296942112</v>
      </c>
      <c r="E18" s="15" t="n">
        <v>-259.920060597897</v>
      </c>
      <c r="F18" s="15" t="n">
        <v>84.7150035544587</v>
      </c>
      <c r="G18" s="16" t="n">
        <v>2425.32952419152</v>
      </c>
      <c r="H18" s="16" t="n">
        <v>7324.95218380129</v>
      </c>
      <c r="I18" s="16" t="n">
        <v>19028.3078080523</v>
      </c>
      <c r="J18" s="16" t="n">
        <v>3868.2692895446</v>
      </c>
      <c r="K18" s="16" t="n">
        <v>-7990.82841296473</v>
      </c>
      <c r="L18" s="16" t="s">
        <v>72</v>
      </c>
    </row>
    <row r="19" customFormat="false" ht="15" hidden="false" customHeight="false" outlineLevel="0" collapsed="false">
      <c r="A19" s="0" t="s">
        <v>78</v>
      </c>
      <c r="B19" s="14" t="n">
        <v>31.8846536769429</v>
      </c>
      <c r="C19" s="14" t="n">
        <v>-1.29873458826</v>
      </c>
      <c r="D19" s="15" t="n">
        <v>70.8733469173191</v>
      </c>
      <c r="E19" s="15" t="n">
        <v>-4.0956827768921</v>
      </c>
      <c r="F19" s="15" t="n">
        <v>80.0868820165706</v>
      </c>
      <c r="G19" s="16" t="n">
        <v>2425.32952419152</v>
      </c>
      <c r="H19" s="16" t="n">
        <v>7324.95218380129</v>
      </c>
      <c r="I19" s="16" t="n">
        <v>19028.3078080523</v>
      </c>
      <c r="J19" s="16" t="n">
        <v>3868.2692895446</v>
      </c>
      <c r="K19" s="16" t="n">
        <v>-8050.05808914412</v>
      </c>
      <c r="L19" s="16" t="s">
        <v>72</v>
      </c>
    </row>
    <row r="20" customFormat="false" ht="15" hidden="false" customHeight="false" outlineLevel="0" collapsed="false">
      <c r="A20" s="10" t="s">
        <v>79</v>
      </c>
      <c r="B20" s="11" t="n">
        <v>31.798064615235</v>
      </c>
      <c r="C20" s="11" t="n">
        <v>-0.0865890617079022</v>
      </c>
      <c r="D20" s="12" t="n">
        <v>70.602100873207</v>
      </c>
      <c r="E20" s="12" t="n">
        <v>-0.271246044112104</v>
      </c>
      <c r="F20" s="12" t="n">
        <v>79.7803739867239</v>
      </c>
      <c r="G20" s="13" t="n">
        <v>2423.40833661368</v>
      </c>
      <c r="H20" s="13" t="n">
        <v>7320.29311172376</v>
      </c>
      <c r="I20" s="13" t="n">
        <v>19024.8843100935</v>
      </c>
      <c r="J20" s="13" t="n">
        <v>3864.96134836955</v>
      </c>
      <c r="K20" s="13" t="n">
        <v>-8054.44067566647</v>
      </c>
      <c r="L20" s="13" t="s">
        <v>72</v>
      </c>
    </row>
    <row r="21" customFormat="false" ht="15" hidden="false" customHeight="false" outlineLevel="0" collapsed="false">
      <c r="A21" s="0" t="s">
        <v>80</v>
      </c>
      <c r="B21" s="14" t="n">
        <v>22.1869805017732</v>
      </c>
      <c r="C21" s="14" t="n">
        <v>-9.6110841134618</v>
      </c>
      <c r="D21" s="15" t="n">
        <v>40.2604681966795</v>
      </c>
      <c r="E21" s="15" t="n">
        <v>-30.3416326765275</v>
      </c>
      <c r="F21" s="15" t="n">
        <v>45.4943290622478</v>
      </c>
      <c r="G21" s="16" t="n">
        <v>2423.40833661368</v>
      </c>
      <c r="H21" s="16" t="n">
        <v>7320.29311172376</v>
      </c>
      <c r="I21" s="16" t="n">
        <v>19024.8843100935</v>
      </c>
      <c r="J21" s="16" t="n">
        <v>3864.96134836955</v>
      </c>
      <c r="K21" s="16" t="n">
        <v>-8054.44067566647</v>
      </c>
      <c r="L21" s="16" t="s">
        <v>72</v>
      </c>
    </row>
    <row r="22" customFormat="false" ht="15" hidden="false" customHeight="false" outlineLevel="0" collapsed="false">
      <c r="A22" s="0" t="s">
        <v>81</v>
      </c>
      <c r="B22" s="14" t="n">
        <v>21.3632300366211</v>
      </c>
      <c r="C22" s="14" t="n">
        <v>-0.823750465152101</v>
      </c>
      <c r="D22" s="15" t="n">
        <v>37.6447666032676</v>
      </c>
      <c r="E22" s="15" t="n">
        <v>-2.6157015934119</v>
      </c>
      <c r="F22" s="15" t="n">
        <v>42.5385862616924</v>
      </c>
      <c r="G22" s="16" t="n">
        <v>2423.40833661368</v>
      </c>
      <c r="H22" s="16" t="n">
        <v>7320.29311172376</v>
      </c>
      <c r="I22" s="16" t="n">
        <v>19024.8843100935</v>
      </c>
      <c r="J22" s="16" t="n">
        <v>3864.96134836955</v>
      </c>
      <c r="K22" s="16" t="n">
        <v>-11246.4034201647</v>
      </c>
      <c r="L22" s="16" t="s">
        <v>70</v>
      </c>
    </row>
    <row r="23" customFormat="false" ht="15" hidden="false" customHeight="false" outlineLevel="0" collapsed="false">
      <c r="A23" s="0" t="s">
        <v>82</v>
      </c>
      <c r="B23" s="14" t="n">
        <v>20.1986465824731</v>
      </c>
      <c r="C23" s="14" t="n">
        <v>-1.164583454148</v>
      </c>
      <c r="D23" s="15" t="n">
        <v>33.9467986802832</v>
      </c>
      <c r="E23" s="15" t="n">
        <v>-3.6979679229844</v>
      </c>
      <c r="F23" s="15" t="n">
        <v>38.35988250872</v>
      </c>
      <c r="G23" s="16" t="n">
        <v>2423.40833661368</v>
      </c>
      <c r="H23" s="16" t="n">
        <v>7320.29311172376</v>
      </c>
      <c r="I23" s="16" t="n">
        <v>19024.8843100935</v>
      </c>
      <c r="J23" s="16" t="n">
        <v>3864.96134836955</v>
      </c>
      <c r="K23" s="16" t="n">
        <v>-11246.4034201647</v>
      </c>
      <c r="L23" s="16" t="s">
        <v>70</v>
      </c>
    </row>
    <row r="24" customFormat="false" ht="15" hidden="false" customHeight="false" outlineLevel="0" collapsed="false">
      <c r="A24" s="0" t="s">
        <v>83</v>
      </c>
      <c r="B24" s="14" t="n">
        <v>20.4703730400818</v>
      </c>
      <c r="C24" s="14" t="n">
        <v>0.2717264576087</v>
      </c>
      <c r="D24" s="15" t="n">
        <v>35.6132040657115</v>
      </c>
      <c r="E24" s="15" t="n">
        <v>1.6664053854283</v>
      </c>
      <c r="F24" s="15" t="n">
        <v>40.242920594254</v>
      </c>
      <c r="G24" s="16" t="n">
        <v>2423.40833661368</v>
      </c>
      <c r="H24" s="16" t="n">
        <v>7320.29311172376</v>
      </c>
      <c r="I24" s="16" t="n">
        <v>19024.8843100935</v>
      </c>
      <c r="J24" s="16" t="n">
        <v>3864.96134836955</v>
      </c>
      <c r="K24" s="16" t="n">
        <v>-9683.89358152069</v>
      </c>
      <c r="L24" s="16" t="s">
        <v>70</v>
      </c>
    </row>
    <row r="25" customFormat="false" ht="15" hidden="false" customHeight="false" outlineLevel="0" collapsed="false">
      <c r="A25" s="10" t="s">
        <v>84</v>
      </c>
      <c r="B25" s="11" t="n">
        <v>10.1060009695084</v>
      </c>
      <c r="C25" s="11" t="n">
        <v>-10.3643720705734</v>
      </c>
      <c r="D25" s="12" t="n">
        <v>2.70262533273833</v>
      </c>
      <c r="E25" s="12" t="n">
        <v>-32.9105787329732</v>
      </c>
      <c r="F25" s="12" t="n">
        <v>3.05396662599431</v>
      </c>
      <c r="G25" s="13" t="n">
        <v>2423.40833661368</v>
      </c>
      <c r="H25" s="13" t="n">
        <v>7336.21347446577</v>
      </c>
      <c r="I25" s="13" t="n">
        <v>18576.5735684625</v>
      </c>
      <c r="J25" s="13" t="n">
        <v>3876.26480591638</v>
      </c>
      <c r="K25" s="13" t="n">
        <v>-9672.79955737185</v>
      </c>
      <c r="L25" s="13" t="s">
        <v>70</v>
      </c>
    </row>
    <row r="26" customFormat="false" ht="15" hidden="false" customHeight="false" outlineLevel="0" collapsed="false">
      <c r="A26" s="0" t="s">
        <v>85</v>
      </c>
      <c r="B26" s="14" t="n">
        <v>52.7189793581637</v>
      </c>
      <c r="C26" s="14" t="n">
        <v>42.6129783886553</v>
      </c>
      <c r="D26" s="15" t="n">
        <v>136.113586628239</v>
      </c>
      <c r="E26" s="15" t="n">
        <v>133.410961295501</v>
      </c>
      <c r="F26" s="15" t="n">
        <v>153.80835288991</v>
      </c>
      <c r="G26" s="16" t="n">
        <v>2423.40833661368</v>
      </c>
      <c r="H26" s="16" t="n">
        <v>7640.8884091291</v>
      </c>
      <c r="I26" s="16" t="n">
        <v>20773.0271269625</v>
      </c>
      <c r="J26" s="16" t="n">
        <v>4092.58400952734</v>
      </c>
      <c r="K26" s="16" t="n">
        <v>-9462.51644435236</v>
      </c>
      <c r="L26" s="16" t="s">
        <v>70</v>
      </c>
    </row>
    <row r="27" customFormat="false" ht="15" hidden="false" customHeight="false" outlineLevel="0" collapsed="false">
      <c r="A27" s="0" t="s">
        <v>86</v>
      </c>
      <c r="B27" s="14" t="n">
        <v>27.1502979974967</v>
      </c>
      <c r="C27" s="14" t="n">
        <v>-25.568681360667</v>
      </c>
      <c r="D27" s="15" t="n">
        <v>56.7964685899304</v>
      </c>
      <c r="E27" s="15" t="n">
        <v>-79.3171180383086</v>
      </c>
      <c r="F27" s="15" t="n">
        <v>64.1800095066213</v>
      </c>
      <c r="G27" s="16" t="n">
        <v>2423.40833661368</v>
      </c>
      <c r="H27" s="16" t="n">
        <v>7623.23059414707</v>
      </c>
      <c r="I27" s="16" t="n">
        <v>19676.8936899531</v>
      </c>
      <c r="J27" s="16" t="n">
        <v>4080.0469608901</v>
      </c>
      <c r="K27" s="16" t="n">
        <v>-9474.70033668996</v>
      </c>
      <c r="L27" s="16" t="s">
        <v>70</v>
      </c>
    </row>
    <row r="28" customFormat="false" ht="15" hidden="false" customHeight="false" outlineLevel="0" collapsed="false">
      <c r="A28" s="10" t="s">
        <v>87</v>
      </c>
      <c r="B28" s="11" t="n">
        <v>27.1502979974967</v>
      </c>
      <c r="C28" s="11" t="n">
        <v>0</v>
      </c>
      <c r="D28" s="12" t="n">
        <v>56.7299095899398</v>
      </c>
      <c r="E28" s="12" t="n">
        <v>-0.0665589999905976</v>
      </c>
      <c r="F28" s="12" t="n">
        <v>64.104797836632</v>
      </c>
      <c r="G28" s="13" t="n">
        <v>2423.40833661368</v>
      </c>
      <c r="H28" s="13" t="n">
        <v>7623.23059414707</v>
      </c>
      <c r="I28" s="13" t="n">
        <v>19676.8936899531</v>
      </c>
      <c r="J28" s="13" t="n">
        <v>4080.0469608901</v>
      </c>
      <c r="K28" s="13" t="n">
        <v>-9474.70033668996</v>
      </c>
      <c r="L28" s="13" t="s">
        <v>70</v>
      </c>
    </row>
    <row r="29" customFormat="false" ht="15" hidden="false" customHeight="false" outlineLevel="0" collapsed="false">
      <c r="A29" s="0" t="s">
        <v>88</v>
      </c>
      <c r="B29" s="14" t="n">
        <v>27.144222985051</v>
      </c>
      <c r="C29" s="14" t="n">
        <v>-0.00607501244569721</v>
      </c>
      <c r="D29" s="15" t="n">
        <v>56.7503877328455</v>
      </c>
      <c r="E29" s="15" t="n">
        <v>0.0204781429057022</v>
      </c>
      <c r="F29" s="15" t="n">
        <v>64.1279381381154</v>
      </c>
      <c r="G29" s="16" t="n">
        <v>2423.40833661368</v>
      </c>
      <c r="H29" s="16" t="n">
        <v>7623.23059414707</v>
      </c>
      <c r="I29" s="16" t="n">
        <v>19676.8936899531</v>
      </c>
      <c r="J29" s="16" t="n">
        <v>4080.0469608901</v>
      </c>
      <c r="K29" s="16" t="n">
        <v>-10193.9950765441</v>
      </c>
      <c r="L29" s="16" t="s">
        <v>70</v>
      </c>
    </row>
    <row r="30" customFormat="false" ht="15" hidden="false" customHeight="false" outlineLevel="0" collapsed="false">
      <c r="A30" s="0" t="s">
        <v>89</v>
      </c>
      <c r="B30" s="14" t="n">
        <v>27.144222985051</v>
      </c>
      <c r="C30" s="14" t="n">
        <v>0</v>
      </c>
      <c r="D30" s="15" t="n">
        <v>57.3289688349061</v>
      </c>
      <c r="E30" s="15" t="n">
        <v>0.578581102060596</v>
      </c>
      <c r="F30" s="15" t="n">
        <v>64.7817347834439</v>
      </c>
      <c r="G30" s="16" t="n">
        <v>2423.40833661368</v>
      </c>
      <c r="H30" s="16" t="n">
        <v>7623.23059414707</v>
      </c>
      <c r="I30" s="16" t="n">
        <v>19676.8936899531</v>
      </c>
      <c r="J30" s="16" t="n">
        <v>4080.0469608901</v>
      </c>
      <c r="K30" s="16" t="n">
        <v>-10193.9950765441</v>
      </c>
      <c r="L30" s="16" t="s">
        <v>70</v>
      </c>
    </row>
    <row r="31" customFormat="false" ht="15" hidden="false" customHeight="false" outlineLevel="0" collapsed="false">
      <c r="A31" s="0" t="s">
        <v>90</v>
      </c>
      <c r="B31" s="14" t="n">
        <v>26.024112404063</v>
      </c>
      <c r="C31" s="14" t="n">
        <v>-1.120110580988</v>
      </c>
      <c r="D31" s="15" t="n">
        <v>53.8102223971756</v>
      </c>
      <c r="E31" s="15" t="n">
        <v>-3.5187464377305</v>
      </c>
      <c r="F31" s="15" t="n">
        <v>60.8055513088084</v>
      </c>
      <c r="G31" s="16" t="n">
        <v>2423.40833661368</v>
      </c>
      <c r="H31" s="16" t="n">
        <v>7621.71734378923</v>
      </c>
      <c r="I31" s="16" t="n">
        <v>19606.894648061</v>
      </c>
      <c r="J31" s="16" t="n">
        <v>4078.97255313604</v>
      </c>
      <c r="K31" s="16" t="n">
        <v>-10195.0392192911</v>
      </c>
      <c r="L31" s="16" t="s">
        <v>70</v>
      </c>
    </row>
    <row r="32" customFormat="false" ht="15" hidden="false" customHeight="false" outlineLevel="0" collapsed="false">
      <c r="A32" s="0" t="s">
        <v>91</v>
      </c>
      <c r="B32" s="14" t="n">
        <v>25.2857602636984</v>
      </c>
      <c r="C32" s="14" t="n">
        <v>-0.738352140364597</v>
      </c>
      <c r="D32" s="15" t="n">
        <v>51.4907425102817</v>
      </c>
      <c r="E32" s="15" t="n">
        <v>-2.3194798868939</v>
      </c>
      <c r="F32" s="15" t="n">
        <v>58.1845390366183</v>
      </c>
      <c r="G32" s="16" t="n">
        <v>2423.40833661368</v>
      </c>
      <c r="H32" s="16" t="n">
        <v>7621.71734378923</v>
      </c>
      <c r="I32" s="16" t="n">
        <v>19606.894648061</v>
      </c>
      <c r="J32" s="16" t="n">
        <v>4078.97255313604</v>
      </c>
      <c r="K32" s="16" t="n">
        <v>-10420.8440805267</v>
      </c>
      <c r="L32" s="16" t="s">
        <v>70</v>
      </c>
    </row>
    <row r="33" customFormat="false" ht="15" hidden="false" customHeight="false" outlineLevel="0" collapsed="false">
      <c r="A33" s="0" t="s">
        <v>92</v>
      </c>
      <c r="B33" s="14" t="n">
        <v>-0.308827567722828</v>
      </c>
      <c r="C33" s="14" t="n">
        <v>-25.5945878314212</v>
      </c>
      <c r="D33" s="15" t="n">
        <v>0.01</v>
      </c>
      <c r="E33" s="15" t="n">
        <v>-51.4807425102817</v>
      </c>
      <c r="F33" s="15" t="n">
        <v>0.0113</v>
      </c>
      <c r="G33" s="16" t="n">
        <v>2423.40833661368</v>
      </c>
      <c r="H33" s="16" t="n">
        <v>7621.71734378923</v>
      </c>
      <c r="I33" s="16" t="n">
        <v>19606.894648061</v>
      </c>
      <c r="J33" s="16" t="n">
        <v>4078.97255313604</v>
      </c>
      <c r="K33" s="16" t="n">
        <v>-13507.4496750321</v>
      </c>
      <c r="L33" s="16" t="s">
        <v>70</v>
      </c>
    </row>
    <row r="34" customFormat="false" ht="15" hidden="false" customHeight="false" outlineLevel="0" collapsed="false">
      <c r="A34" s="0" t="s">
        <v>93</v>
      </c>
      <c r="B34" s="14" t="n">
        <v>-0.308827567722828</v>
      </c>
      <c r="C34" s="14" t="n">
        <v>0</v>
      </c>
      <c r="D34" s="15" t="n">
        <v>0.01</v>
      </c>
      <c r="E34" s="15" t="n">
        <v>0</v>
      </c>
      <c r="F34" s="15" t="n">
        <v>0.0113</v>
      </c>
      <c r="G34" s="16" t="n">
        <v>2423.40833661368</v>
      </c>
      <c r="H34" s="16" t="n">
        <v>7621.71734378923</v>
      </c>
      <c r="I34" s="16" t="n">
        <v>19606.894648061</v>
      </c>
      <c r="J34" s="16" t="n">
        <v>4078.97255313604</v>
      </c>
      <c r="K34" s="16" t="n">
        <v>-13507.4496750321</v>
      </c>
      <c r="L34" s="16" t="s">
        <v>70</v>
      </c>
    </row>
    <row r="35" customFormat="false" ht="15" hidden="false" customHeight="false" outlineLevel="0" collapsed="false">
      <c r="A35" s="10" t="s">
        <v>94</v>
      </c>
      <c r="B35" s="11" t="n">
        <v>-0.183968096750174</v>
      </c>
      <c r="C35" s="11" t="n">
        <v>0.124859470972654</v>
      </c>
      <c r="D35" s="12" t="n">
        <v>0.01</v>
      </c>
      <c r="E35" s="12" t="n">
        <v>0</v>
      </c>
      <c r="F35" s="12" t="n">
        <v>0</v>
      </c>
      <c r="G35" s="13" t="n">
        <v>2423.40833661368</v>
      </c>
      <c r="H35" s="13" t="n">
        <v>7621.71734378923</v>
      </c>
      <c r="I35" s="13" t="n">
        <v>19606.894648061</v>
      </c>
      <c r="J35" s="13" t="n">
        <v>4078.97255313604</v>
      </c>
      <c r="K35" s="13" t="n">
        <v>2073.20268369447</v>
      </c>
      <c r="L35" s="13" t="s">
        <v>95</v>
      </c>
    </row>
    <row r="36" customFormat="false" ht="15" hidden="false" customHeight="false" outlineLevel="0" collapsed="false">
      <c r="A36" s="0" t="s">
        <v>96</v>
      </c>
      <c r="B36" s="14" t="n">
        <v>-0.480656470997969</v>
      </c>
      <c r="C36" s="14" t="n">
        <v>-0.296688374247795</v>
      </c>
      <c r="D36" s="15" t="n">
        <v>0.01</v>
      </c>
      <c r="E36" s="15" t="n">
        <v>0</v>
      </c>
      <c r="F36" s="15" t="n">
        <v>0</v>
      </c>
      <c r="G36" s="16" t="n">
        <v>2423.40833661368</v>
      </c>
      <c r="H36" s="16" t="n">
        <v>7621.71734378923</v>
      </c>
      <c r="I36" s="16" t="n">
        <v>19606.894648061</v>
      </c>
      <c r="J36" s="16" t="n">
        <v>4078.97255313604</v>
      </c>
      <c r="K36" s="16" t="n">
        <v>2073.20268369447</v>
      </c>
      <c r="L36" s="16" t="s">
        <v>95</v>
      </c>
    </row>
    <row r="37" customFormat="false" ht="15" hidden="false" customHeight="false" outlineLevel="0" collapsed="false">
      <c r="A37" s="0" t="s">
        <v>97</v>
      </c>
      <c r="B37" s="14" t="n">
        <v>-3.76479894932358</v>
      </c>
      <c r="C37" s="14" t="n">
        <v>-3.28414247832561</v>
      </c>
      <c r="D37" s="15" t="n">
        <v>0.01</v>
      </c>
      <c r="E37" s="15" t="n">
        <v>0</v>
      </c>
      <c r="F37" s="15" t="n">
        <v>0</v>
      </c>
      <c r="G37" s="16" t="n">
        <v>2423.40833661368</v>
      </c>
      <c r="H37" s="16" t="n">
        <v>7621.71734378923</v>
      </c>
      <c r="I37" s="16" t="n">
        <v>19606.894648061</v>
      </c>
      <c r="J37" s="16" t="n">
        <v>3979.41586186791</v>
      </c>
      <c r="K37" s="16" t="n">
        <v>1948.44774121372</v>
      </c>
      <c r="L37" s="16" t="s">
        <v>95</v>
      </c>
    </row>
    <row r="38" customFormat="false" ht="15" hidden="false" customHeight="false" outlineLevel="0" collapsed="false">
      <c r="A38" s="0" t="s">
        <v>98</v>
      </c>
      <c r="B38" s="14" t="n">
        <v>-3.89073528591035</v>
      </c>
      <c r="C38" s="14" t="n">
        <v>-0.12593633658677</v>
      </c>
      <c r="D38" s="15" t="n">
        <v>0.01</v>
      </c>
      <c r="E38" s="15" t="n">
        <v>0</v>
      </c>
      <c r="F38" s="15" t="n">
        <v>0</v>
      </c>
      <c r="G38" s="16" t="n">
        <v>2423.40833661368</v>
      </c>
      <c r="H38" s="16" t="n">
        <v>7621.71734378923</v>
      </c>
      <c r="I38" s="16" t="n">
        <v>19606.894648061</v>
      </c>
      <c r="J38" s="16" t="n">
        <v>3979.41586186791</v>
      </c>
      <c r="K38" s="16" t="n">
        <v>1778.80160737149</v>
      </c>
      <c r="L38" s="16" t="s">
        <v>95</v>
      </c>
    </row>
    <row r="39" customFormat="false" ht="15" hidden="false" customHeight="false" outlineLevel="0" collapsed="false">
      <c r="A39" s="0" t="s">
        <v>99</v>
      </c>
      <c r="B39" s="14" t="n">
        <v>-1.11847907173227</v>
      </c>
      <c r="C39" s="14" t="n">
        <v>2.77225621417808</v>
      </c>
      <c r="D39" s="15" t="n">
        <v>0.01</v>
      </c>
      <c r="E39" s="15" t="n">
        <v>0</v>
      </c>
      <c r="F39" s="15" t="n">
        <v>0</v>
      </c>
      <c r="G39" s="16" t="n">
        <v>2423.40833661368</v>
      </c>
      <c r="H39" s="16" t="n">
        <v>7621.71734378923</v>
      </c>
      <c r="I39" s="16" t="n">
        <v>19606.894648061</v>
      </c>
      <c r="J39" s="16" t="n">
        <v>3979.41586186791</v>
      </c>
      <c r="K39" s="16" t="n">
        <v>1778.80160737149</v>
      </c>
      <c r="L39" s="16" t="s">
        <v>95</v>
      </c>
    </row>
    <row r="40" customFormat="false" ht="15" hidden="false" customHeight="false" outlineLevel="0" collapsed="false">
      <c r="A40" s="0" t="s">
        <v>100</v>
      </c>
      <c r="B40" s="14" t="n">
        <v>8.28636583696916</v>
      </c>
      <c r="C40" s="14" t="n">
        <v>9.40484490870143</v>
      </c>
      <c r="D40" s="15" t="n">
        <v>0.01</v>
      </c>
      <c r="E40" s="15" t="n">
        <v>0</v>
      </c>
      <c r="F40" s="15" t="n">
        <v>7.00872410996055</v>
      </c>
      <c r="G40" s="16" t="n">
        <v>2465.07954157611</v>
      </c>
      <c r="H40" s="16" t="n">
        <v>8349.83355520186</v>
      </c>
      <c r="I40" s="16" t="n">
        <v>22070.4816314923</v>
      </c>
      <c r="J40" s="16" t="n">
        <v>4312.96513042944</v>
      </c>
      <c r="K40" s="16" t="n">
        <v>-995.45659814626</v>
      </c>
      <c r="L40" s="16" t="s">
        <v>62</v>
      </c>
    </row>
    <row r="41" customFormat="false" ht="15" hidden="false" customHeight="false" outlineLevel="0" collapsed="false">
      <c r="A41" s="0" t="s">
        <v>101</v>
      </c>
      <c r="B41" s="14" t="n">
        <v>13.1260746130506</v>
      </c>
      <c r="C41" s="14" t="n">
        <v>4.83970877608144</v>
      </c>
      <c r="D41" s="15" t="n">
        <v>13.4789680930706</v>
      </c>
      <c r="E41" s="15" t="n">
        <v>13.4689680930706</v>
      </c>
      <c r="F41" s="15" t="n">
        <v>24.4115047155353</v>
      </c>
      <c r="G41" s="16" t="n">
        <v>2465.07954157611</v>
      </c>
      <c r="H41" s="16" t="n">
        <v>8349.83355520186</v>
      </c>
      <c r="I41" s="16" t="n">
        <v>22070.4816314923</v>
      </c>
      <c r="J41" s="16" t="n">
        <v>4312.96513042944</v>
      </c>
      <c r="K41" s="16" t="n">
        <v>849.254057144572</v>
      </c>
      <c r="L41" s="16" t="s">
        <v>95</v>
      </c>
    </row>
    <row r="42" customFormat="false" ht="15" hidden="false" customHeight="false" outlineLevel="0" collapsed="false">
      <c r="A42" s="0" t="s">
        <v>102</v>
      </c>
      <c r="B42" s="14" t="n">
        <v>13.1260746130506</v>
      </c>
      <c r="C42" s="14" t="n">
        <v>0</v>
      </c>
      <c r="D42" s="15" t="n">
        <v>13.2063389366171</v>
      </c>
      <c r="E42" s="15" t="n">
        <v>-0.272629156453501</v>
      </c>
      <c r="F42" s="15" t="n">
        <v>21.3652113770361</v>
      </c>
      <c r="G42" s="16" t="n">
        <v>2465.07954157611</v>
      </c>
      <c r="H42" s="16" t="n">
        <v>8349.83355520186</v>
      </c>
      <c r="I42" s="16" t="n">
        <v>22070.4816314923</v>
      </c>
      <c r="J42" s="16" t="n">
        <v>4312.96513042944</v>
      </c>
      <c r="K42" s="16" t="n">
        <v>849.254057144572</v>
      </c>
      <c r="L42" s="16" t="s">
        <v>95</v>
      </c>
    </row>
    <row r="43" customFormat="false" ht="15" hidden="false" customHeight="false" outlineLevel="0" collapsed="false">
      <c r="A43" s="0" t="s">
        <v>103</v>
      </c>
      <c r="B43" s="14" t="n">
        <v>13.0277181407711</v>
      </c>
      <c r="C43" s="14" t="n">
        <v>-0.0983564722794999</v>
      </c>
      <c r="D43" s="15" t="n">
        <v>12.881142259293</v>
      </c>
      <c r="E43" s="15" t="n">
        <v>-0.325196677324099</v>
      </c>
      <c r="F43" s="15" t="n">
        <v>21.0115200891804</v>
      </c>
      <c r="G43" s="16" t="n">
        <v>2465.07954157611</v>
      </c>
      <c r="H43" s="16" t="n">
        <v>8349.83355520186</v>
      </c>
      <c r="I43" s="16" t="n">
        <v>22070.4816314923</v>
      </c>
      <c r="J43" s="16" t="n">
        <v>4312.96513042944</v>
      </c>
      <c r="K43" s="16" t="n">
        <v>811.662072478144</v>
      </c>
      <c r="L43" s="16" t="s">
        <v>95</v>
      </c>
    </row>
    <row r="44" customFormat="false" ht="15" hidden="false" customHeight="false" outlineLevel="0" collapsed="false">
      <c r="A44" s="0" t="s">
        <v>104</v>
      </c>
      <c r="B44" s="14" t="n">
        <v>21.6257346620258</v>
      </c>
      <c r="C44" s="14" t="n">
        <v>8.5980165212547</v>
      </c>
      <c r="D44" s="15" t="n">
        <v>40.1829119896131</v>
      </c>
      <c r="E44" s="15" t="n">
        <v>27.3017697303201</v>
      </c>
      <c r="F44" s="15" t="n">
        <v>50.7055445672786</v>
      </c>
      <c r="G44" s="16" t="n">
        <v>2465.07954157611</v>
      </c>
      <c r="H44" s="16" t="n">
        <v>8349.83355520186</v>
      </c>
      <c r="I44" s="16" t="n">
        <v>22070.4816314923</v>
      </c>
      <c r="J44" s="16" t="n">
        <v>4312.96513042944</v>
      </c>
      <c r="K44" s="16" t="n">
        <v>1582.01537093433</v>
      </c>
      <c r="L44" s="16" t="s">
        <v>95</v>
      </c>
    </row>
    <row r="45" customFormat="false" ht="15" hidden="false" customHeight="false" outlineLevel="0" collapsed="false">
      <c r="A45" s="0" t="s">
        <v>105</v>
      </c>
      <c r="B45" s="14" t="n">
        <v>21.0027405922851</v>
      </c>
      <c r="C45" s="14" t="n">
        <v>-0.6229940697407</v>
      </c>
      <c r="D45" s="15" t="n">
        <v>37.4791069334617</v>
      </c>
      <c r="E45" s="15" t="n">
        <v>-2.7038050561514</v>
      </c>
      <c r="F45" s="15" t="n">
        <v>47.7648248148809</v>
      </c>
      <c r="G45" s="16" t="n">
        <v>2465.07954157611</v>
      </c>
      <c r="H45" s="16" t="n">
        <v>8349.83355520186</v>
      </c>
      <c r="I45" s="16" t="n">
        <v>22070.4816314923</v>
      </c>
      <c r="J45" s="16" t="n">
        <v>4312.96513042944</v>
      </c>
      <c r="K45" s="16" t="n">
        <v>698.191461183871</v>
      </c>
      <c r="L45" s="16" t="s">
        <v>95</v>
      </c>
    </row>
    <row r="46" customFormat="false" ht="15" hidden="false" customHeight="false" outlineLevel="0" collapsed="false">
      <c r="A46" s="0" t="s">
        <v>106</v>
      </c>
      <c r="B46" s="14" t="n">
        <v>9.0577281902452</v>
      </c>
      <c r="C46" s="14" t="n">
        <v>-11.9450124020399</v>
      </c>
      <c r="D46" s="15" t="n">
        <v>0.01</v>
      </c>
      <c r="E46" s="15" t="n">
        <v>-37.4691069334617</v>
      </c>
      <c r="F46" s="15" t="n">
        <v>6.511648599118</v>
      </c>
      <c r="G46" s="16" t="n">
        <v>2465.07954157611</v>
      </c>
      <c r="H46" s="16" t="n">
        <v>7505.46533149617</v>
      </c>
      <c r="I46" s="16" t="n">
        <v>20180.6645744977</v>
      </c>
      <c r="J46" s="16" t="n">
        <v>3713.46369159839</v>
      </c>
      <c r="K46" s="16" t="n">
        <v>111.269596161281</v>
      </c>
      <c r="L46" s="16" t="s">
        <v>95</v>
      </c>
    </row>
    <row r="47" customFormat="false" ht="15" hidden="false" customHeight="false" outlineLevel="0" collapsed="false">
      <c r="A47" s="10" t="s">
        <v>107</v>
      </c>
      <c r="B47" s="11" t="n">
        <v>7.85459013302158</v>
      </c>
      <c r="C47" s="11" t="n">
        <v>-1.20313805722362</v>
      </c>
      <c r="D47" s="12" t="n">
        <v>0.01</v>
      </c>
      <c r="E47" s="12" t="n">
        <v>0</v>
      </c>
      <c r="F47" s="12" t="n">
        <v>2.28688359991828</v>
      </c>
      <c r="G47" s="13" t="n">
        <v>2465.07954157611</v>
      </c>
      <c r="H47" s="13" t="n">
        <v>7505.46533149617</v>
      </c>
      <c r="I47" s="13" t="n">
        <v>20180.6645744977</v>
      </c>
      <c r="J47" s="13" t="n">
        <v>3713.46369159839</v>
      </c>
      <c r="K47" s="13" t="n">
        <v>-4956.48323642636</v>
      </c>
      <c r="L47" s="13" t="s">
        <v>72</v>
      </c>
    </row>
    <row r="48" customFormat="false" ht="15" hidden="false" customHeight="false" outlineLevel="0" collapsed="false">
      <c r="A48" s="0" t="s">
        <v>108</v>
      </c>
      <c r="B48" s="14" t="n">
        <v>7.85459013302158</v>
      </c>
      <c r="C48" s="14" t="n">
        <v>0</v>
      </c>
      <c r="D48" s="15" t="n">
        <v>0.01</v>
      </c>
      <c r="E48" s="15" t="n">
        <v>0</v>
      </c>
      <c r="F48" s="15" t="n">
        <v>2.28688359991828</v>
      </c>
      <c r="G48" s="16" t="n">
        <v>2465.07954157611</v>
      </c>
      <c r="H48" s="16" t="n">
        <v>7505.46533149617</v>
      </c>
      <c r="I48" s="16" t="n">
        <v>20180.6645744977</v>
      </c>
      <c r="J48" s="16" t="n">
        <v>3713.46369159839</v>
      </c>
      <c r="K48" s="16" t="n">
        <v>-4956.48323642636</v>
      </c>
      <c r="L48" s="16" t="s">
        <v>72</v>
      </c>
    </row>
    <row r="49" customFormat="false" ht="15" hidden="false" customHeight="false" outlineLevel="0" collapsed="false">
      <c r="A49" s="0" t="s">
        <v>109</v>
      </c>
      <c r="B49" s="14" t="n">
        <v>7.85459013302158</v>
      </c>
      <c r="C49" s="14" t="n">
        <v>0</v>
      </c>
      <c r="D49" s="15" t="n">
        <v>0.01</v>
      </c>
      <c r="E49" s="15" t="n">
        <v>0</v>
      </c>
      <c r="F49" s="15" t="n">
        <v>2.28688359991828</v>
      </c>
      <c r="G49" s="16" t="n">
        <v>2465.07954157611</v>
      </c>
      <c r="H49" s="16" t="n">
        <v>7505.46533149617</v>
      </c>
      <c r="I49" s="16" t="n">
        <v>20180.6645744977</v>
      </c>
      <c r="J49" s="16" t="n">
        <v>3713.46369159839</v>
      </c>
      <c r="K49" s="16" t="n">
        <v>-4956.48323642636</v>
      </c>
      <c r="L49" s="16" t="s">
        <v>72</v>
      </c>
    </row>
    <row r="50" customFormat="false" ht="15" hidden="false" customHeight="false" outlineLevel="0" collapsed="false">
      <c r="A50" s="0" t="s">
        <v>110</v>
      </c>
      <c r="B50" s="14" t="n">
        <v>7.9552706472915</v>
      </c>
      <c r="C50" s="14" t="n">
        <v>0.10068051426992</v>
      </c>
      <c r="D50" s="15" t="n">
        <v>0.01</v>
      </c>
      <c r="E50" s="15" t="n">
        <v>0</v>
      </c>
      <c r="F50" s="15" t="n">
        <v>2.63459282422693</v>
      </c>
      <c r="G50" s="16" t="n">
        <v>2465.07954157611</v>
      </c>
      <c r="H50" s="16" t="n">
        <v>7505.46533149617</v>
      </c>
      <c r="I50" s="16" t="n">
        <v>20180.6645744977</v>
      </c>
      <c r="J50" s="16" t="n">
        <v>3713.46369159839</v>
      </c>
      <c r="K50" s="16" t="n">
        <v>-4918.87386142636</v>
      </c>
      <c r="L50" s="16" t="s">
        <v>72</v>
      </c>
    </row>
    <row r="51" customFormat="false" ht="15" hidden="false" customHeight="false" outlineLevel="0" collapsed="false">
      <c r="A51" s="0" t="s">
        <v>111</v>
      </c>
      <c r="B51" s="14" t="n">
        <v>-6.46781306851104</v>
      </c>
      <c r="C51" s="14" t="n">
        <v>-14.4230837158025</v>
      </c>
      <c r="D51" s="15" t="n">
        <v>0.01</v>
      </c>
      <c r="E51" s="15" t="n">
        <v>0</v>
      </c>
      <c r="F51" s="15" t="n">
        <v>0</v>
      </c>
      <c r="G51" s="16" t="n">
        <v>2465.07954157611</v>
      </c>
      <c r="H51" s="16" t="n">
        <v>7496.61462837117</v>
      </c>
      <c r="I51" s="16" t="n">
        <v>19644.3262151227</v>
      </c>
      <c r="J51" s="16" t="n">
        <v>3707.17969237964</v>
      </c>
      <c r="K51" s="16" t="n">
        <v>-4924.99501678378</v>
      </c>
      <c r="L51" s="16" t="s">
        <v>72</v>
      </c>
    </row>
    <row r="52" customFormat="false" ht="15" hidden="false" customHeight="false" outlineLevel="0" collapsed="false">
      <c r="A52" s="0" t="s">
        <v>112</v>
      </c>
      <c r="B52" s="14" t="n">
        <v>-6.46781306851104</v>
      </c>
      <c r="C52" s="14" t="n">
        <v>0</v>
      </c>
      <c r="D52" s="15" t="n">
        <v>0.01</v>
      </c>
      <c r="E52" s="15" t="n">
        <v>0</v>
      </c>
      <c r="F52" s="15" t="n">
        <v>0</v>
      </c>
      <c r="G52" s="16" t="n">
        <v>2465.07954157611</v>
      </c>
      <c r="H52" s="16" t="n">
        <v>7496.61462837117</v>
      </c>
      <c r="I52" s="16" t="n">
        <v>19644.3262151227</v>
      </c>
      <c r="J52" s="16" t="n">
        <v>3707.17969237964</v>
      </c>
      <c r="K52" s="16" t="n">
        <v>-4924.99501678378</v>
      </c>
      <c r="L52" s="16" t="s">
        <v>72</v>
      </c>
    </row>
    <row r="53" customFormat="false" ht="15" hidden="false" customHeight="false" outlineLevel="0" collapsed="false">
      <c r="A53" s="0" t="s">
        <v>113</v>
      </c>
      <c r="B53" s="14" t="n">
        <v>-6.46781306851104</v>
      </c>
      <c r="C53" s="14" t="n">
        <v>0</v>
      </c>
      <c r="D53" s="15" t="n">
        <v>0.01</v>
      </c>
      <c r="E53" s="15" t="n">
        <v>0</v>
      </c>
      <c r="F53" s="15" t="n">
        <v>0</v>
      </c>
      <c r="G53" s="16" t="n">
        <v>2465.07954157611</v>
      </c>
      <c r="H53" s="16" t="n">
        <v>7496.61462837117</v>
      </c>
      <c r="I53" s="16" t="n">
        <v>19644.3262151227</v>
      </c>
      <c r="J53" s="16" t="n">
        <v>3707.17969237964</v>
      </c>
      <c r="K53" s="16" t="n">
        <v>-4924.99501678378</v>
      </c>
      <c r="L53" s="16" t="s">
        <v>72</v>
      </c>
    </row>
    <row r="54" customFormat="false" ht="15" hidden="false" customHeight="false" outlineLevel="0" collapsed="false">
      <c r="A54" s="0" t="s">
        <v>114</v>
      </c>
      <c r="B54" s="14" t="n">
        <v>-1.39050065667787</v>
      </c>
      <c r="C54" s="14" t="n">
        <v>5.07731241183317</v>
      </c>
      <c r="D54" s="15" t="n">
        <v>0.01</v>
      </c>
      <c r="E54" s="15" t="n">
        <v>0</v>
      </c>
      <c r="F54" s="15" t="n">
        <v>0</v>
      </c>
      <c r="G54" s="16" t="n">
        <v>2465.07954157611</v>
      </c>
      <c r="H54" s="16" t="n">
        <v>7496.61462837117</v>
      </c>
      <c r="I54" s="16" t="n">
        <v>19644.3262151227</v>
      </c>
      <c r="J54" s="16" t="n">
        <v>3707.17969237964</v>
      </c>
      <c r="K54" s="16" t="n">
        <v>-4924.99501678378</v>
      </c>
      <c r="L54" s="16" t="s">
        <v>72</v>
      </c>
    </row>
    <row r="55" customFormat="false" ht="15" hidden="false" customHeight="false" outlineLevel="0" collapsed="false">
      <c r="A55" s="10" t="s">
        <v>115</v>
      </c>
      <c r="B55" s="11" t="n">
        <v>-1.39050065667787</v>
      </c>
      <c r="C55" s="11" t="n">
        <v>0</v>
      </c>
      <c r="D55" s="12" t="n">
        <v>0.01</v>
      </c>
      <c r="E55" s="12" t="n">
        <v>0</v>
      </c>
      <c r="F55" s="12" t="n">
        <v>67.4922469757098</v>
      </c>
      <c r="G55" s="13" t="n">
        <v>2465.07954157611</v>
      </c>
      <c r="H55" s="13" t="n">
        <v>7496.61462837117</v>
      </c>
      <c r="I55" s="13" t="n">
        <v>19644.3262151227</v>
      </c>
      <c r="J55" s="13" t="n">
        <v>3707.17969237964</v>
      </c>
      <c r="K55" s="13" t="n">
        <v>1000</v>
      </c>
      <c r="L55" s="13" t="s">
        <v>116</v>
      </c>
    </row>
    <row r="56" customFormat="false" ht="15" hidden="false" customHeight="false" outlineLevel="0" collapsed="false">
      <c r="A56" s="0" t="s">
        <v>117</v>
      </c>
      <c r="B56" s="14" t="n">
        <v>-1.39050065667787</v>
      </c>
      <c r="C56" s="14" t="n">
        <v>0</v>
      </c>
      <c r="D56" s="15" t="n">
        <v>0.01</v>
      </c>
      <c r="E56" s="15" t="n">
        <v>0</v>
      </c>
      <c r="F56" s="15" t="n">
        <v>67.4922469757098</v>
      </c>
      <c r="G56" s="16" t="n">
        <v>2465.07954157611</v>
      </c>
      <c r="H56" s="16" t="n">
        <v>7496.61462837117</v>
      </c>
      <c r="I56" s="16" t="n">
        <v>19644.3262151227</v>
      </c>
      <c r="J56" s="16" t="n">
        <v>3707.17969237964</v>
      </c>
      <c r="K56" s="16" t="n">
        <v>1000</v>
      </c>
      <c r="L56" s="16" t="s">
        <v>116</v>
      </c>
    </row>
    <row r="57" customFormat="false" ht="15" hidden="false" customHeight="false" outlineLevel="0" collapsed="false">
      <c r="A57" s="0" t="s">
        <v>118</v>
      </c>
      <c r="B57" s="14" t="n">
        <v>-1.39050065667787</v>
      </c>
      <c r="C57" s="14" t="n">
        <v>0</v>
      </c>
      <c r="D57" s="15" t="n">
        <v>0.01</v>
      </c>
      <c r="E57" s="15" t="n">
        <v>0</v>
      </c>
      <c r="F57" s="15" t="n">
        <v>88.5855777440635</v>
      </c>
      <c r="G57" s="16" t="n">
        <v>2465.07954157611</v>
      </c>
      <c r="H57" s="16" t="n">
        <v>7496.61462837117</v>
      </c>
      <c r="I57" s="16" t="n">
        <v>19644.3262151227</v>
      </c>
      <c r="J57" s="16" t="n">
        <v>3707.17969237964</v>
      </c>
      <c r="K57" s="16" t="n">
        <v>1000</v>
      </c>
      <c r="L57" s="16" t="s">
        <v>116</v>
      </c>
    </row>
    <row r="58" customFormat="false" ht="15" hidden="false" customHeight="false" outlineLevel="0" collapsed="false">
      <c r="A58" s="0" t="s">
        <v>119</v>
      </c>
      <c r="B58" s="14" t="n">
        <v>-0.898814009603721</v>
      </c>
      <c r="C58" s="14" t="n">
        <v>0.491686647074149</v>
      </c>
      <c r="D58" s="15" t="n">
        <v>0.01</v>
      </c>
      <c r="E58" s="15" t="n">
        <v>0</v>
      </c>
      <c r="F58" s="15" t="n">
        <v>88.869332374278</v>
      </c>
      <c r="G58" s="16" t="n">
        <v>2465.07954157611</v>
      </c>
      <c r="H58" s="16" t="n">
        <v>8209.24039226006</v>
      </c>
      <c r="I58" s="16" t="n">
        <v>19716.7966317894</v>
      </c>
      <c r="J58" s="16" t="n">
        <v>4213.14398474076</v>
      </c>
      <c r="K58" s="16" t="n">
        <v>1000</v>
      </c>
      <c r="L58" s="16" t="s">
        <v>116</v>
      </c>
    </row>
    <row r="59" customFormat="false" ht="15" hidden="false" customHeight="false" outlineLevel="0" collapsed="false">
      <c r="A59" s="10" t="s">
        <v>120</v>
      </c>
      <c r="B59" s="11" t="n">
        <v>-0.898814009603721</v>
      </c>
      <c r="C59" s="11" t="n">
        <v>0</v>
      </c>
      <c r="D59" s="12" t="n">
        <v>0.01</v>
      </c>
      <c r="E59" s="12" t="n">
        <v>0</v>
      </c>
      <c r="F59" s="12" t="n">
        <v>3.97046602096122</v>
      </c>
      <c r="G59" s="13" t="n">
        <v>2465.07954157611</v>
      </c>
      <c r="H59" s="13" t="n">
        <v>8209.24039226006</v>
      </c>
      <c r="I59" s="13" t="n">
        <v>19716.7966317894</v>
      </c>
      <c r="J59" s="13" t="n">
        <v>4213.14398474076</v>
      </c>
      <c r="K59" s="13" t="n">
        <v>1000</v>
      </c>
      <c r="L59" s="13" t="s">
        <v>116</v>
      </c>
    </row>
    <row r="60" customFormat="false" ht="15" hidden="false" customHeight="false" outlineLevel="0" collapsed="false">
      <c r="A60" s="10" t="s">
        <v>121</v>
      </c>
      <c r="B60" s="11" t="n">
        <v>-0.898814009603721</v>
      </c>
      <c r="C60" s="11" t="n">
        <v>0</v>
      </c>
      <c r="D60" s="12" t="n">
        <v>0.01</v>
      </c>
      <c r="E60" s="12" t="n">
        <v>0</v>
      </c>
      <c r="F60" s="12" t="n">
        <v>3.97046602096122</v>
      </c>
      <c r="G60" s="13" t="n">
        <v>2465.07954157611</v>
      </c>
      <c r="H60" s="13" t="n">
        <v>8209.24039226006</v>
      </c>
      <c r="I60" s="13" t="n">
        <v>19716.7966317894</v>
      </c>
      <c r="J60" s="13" t="n">
        <v>4213.14398474076</v>
      </c>
      <c r="K60" s="13" t="n">
        <v>1000</v>
      </c>
      <c r="L60" s="13" t="s">
        <v>116</v>
      </c>
    </row>
    <row r="61" customFormat="false" ht="15" hidden="false" customHeight="false" outlineLevel="0" collapsed="false">
      <c r="A61" s="10" t="s">
        <v>122</v>
      </c>
      <c r="B61" s="11" t="n">
        <v>-0.898814009603721</v>
      </c>
      <c r="C61" s="11" t="n">
        <v>0</v>
      </c>
      <c r="D61" s="12" t="n">
        <v>0.01</v>
      </c>
      <c r="E61" s="12" t="n">
        <v>0</v>
      </c>
      <c r="F61" s="12" t="n">
        <v>3.97046602096122</v>
      </c>
      <c r="G61" s="13" t="n">
        <v>2465.07954157611</v>
      </c>
      <c r="H61" s="13" t="n">
        <v>8209.24039226006</v>
      </c>
      <c r="I61" s="13" t="n">
        <v>19716.7966317894</v>
      </c>
      <c r="J61" s="13" t="n">
        <v>4213.14398474076</v>
      </c>
      <c r="K61" s="13" t="n">
        <v>1000</v>
      </c>
      <c r="L61" s="13" t="s">
        <v>116</v>
      </c>
    </row>
    <row r="64" customFormat="false" ht="15" hidden="false" customHeight="false" outlineLevel="0" collapsed="false">
      <c r="A64" s="10" t="s">
        <v>123</v>
      </c>
    </row>
    <row r="65" customFormat="false" ht="15" hidden="false" customHeight="false" outlineLevel="0" collapsed="false">
      <c r="A65" s="9" t="s">
        <v>5</v>
      </c>
      <c r="B65" s="9" t="s">
        <v>124</v>
      </c>
      <c r="C65" s="9" t="s">
        <v>125</v>
      </c>
      <c r="D65" s="9" t="s">
        <v>126</v>
      </c>
      <c r="E65" s="9" t="s">
        <v>127</v>
      </c>
    </row>
    <row r="66" customFormat="false" ht="15" hidden="false" customHeight="false" outlineLevel="0" collapsed="false">
      <c r="A66" s="0" t="s">
        <v>128</v>
      </c>
      <c r="B66" s="17" t="n">
        <v>0.01</v>
      </c>
      <c r="C66" s="17" t="n">
        <v>3.7351002431262</v>
      </c>
      <c r="D66" s="17" t="n">
        <v>3.97046602096122</v>
      </c>
      <c r="E66" s="17" t="n">
        <v>5.06988806216538</v>
      </c>
    </row>
    <row r="67" customFormat="false" ht="15" hidden="false" customHeight="false" outlineLevel="0" collapsed="false">
      <c r="A67" s="0" t="s">
        <v>129</v>
      </c>
      <c r="B67" s="17" t="n">
        <v>355.026856324297</v>
      </c>
      <c r="C67" s="17" t="n">
        <v>378.922957541886</v>
      </c>
      <c r="D67" s="17" t="n">
        <v>401.014364683567</v>
      </c>
      <c r="E67" s="17" t="n">
        <v>503.032419059066</v>
      </c>
    </row>
    <row r="68" customFormat="false" ht="15" hidden="false" customHeight="false" outlineLevel="0" collapsed="false">
      <c r="A68" s="0" t="s">
        <v>130</v>
      </c>
      <c r="B68" s="17" t="n">
        <v>0.01</v>
      </c>
      <c r="C68" s="17" t="n">
        <v>0</v>
      </c>
      <c r="D68" s="17" t="n">
        <v>0</v>
      </c>
      <c r="E68" s="17" t="n">
        <v>0</v>
      </c>
    </row>
    <row r="71" customFormat="false" ht="15" hidden="false" customHeight="false" outlineLevel="0" collapsed="false">
      <c r="A71" s="10" t="s">
        <v>131</v>
      </c>
    </row>
    <row r="72" customFormat="false" ht="15" hidden="false" customHeight="false" outlineLevel="0" collapsed="false">
      <c r="A72" s="9" t="s">
        <v>5</v>
      </c>
      <c r="B72" s="9" t="s">
        <v>132</v>
      </c>
      <c r="C72" s="9" t="s">
        <v>133</v>
      </c>
      <c r="D72" s="9" t="s">
        <v>134</v>
      </c>
      <c r="E72" s="9" t="s">
        <v>135</v>
      </c>
      <c r="F72" s="9" t="s">
        <v>136</v>
      </c>
      <c r="G72" s="9" t="s">
        <v>137</v>
      </c>
    </row>
    <row r="73" customFormat="false" ht="15" hidden="false" customHeight="false" outlineLevel="0" collapsed="false">
      <c r="A73" s="0" t="s">
        <v>128</v>
      </c>
      <c r="B73" s="18" t="n">
        <v>27.424347870838</v>
      </c>
      <c r="C73" s="18" t="n">
        <v>25.224347870838</v>
      </c>
      <c r="D73" s="18" t="n">
        <v>26.674347870838</v>
      </c>
      <c r="E73" s="18" t="n">
        <v>27.2673434792775</v>
      </c>
      <c r="F73" s="0" t="s">
        <v>138</v>
      </c>
      <c r="G73" s="18" t="n">
        <v>16.69175</v>
      </c>
    </row>
    <row r="74" customFormat="false" ht="15" hidden="false" customHeight="false" outlineLevel="0" collapsed="false">
      <c r="A74" s="0" t="s">
        <v>129</v>
      </c>
      <c r="B74" s="18" t="n">
        <v>43.041696075</v>
      </c>
      <c r="C74" s="18" t="n">
        <v>40.841696075</v>
      </c>
      <c r="D74" s="18" t="n">
        <v>42.291696075</v>
      </c>
      <c r="E74" s="18" t="n">
        <v>46.9632728285</v>
      </c>
      <c r="F74" s="0" t="s">
        <v>138</v>
      </c>
      <c r="G74" s="18" t="n">
        <v>19.0921875</v>
      </c>
    </row>
    <row r="75" customFormat="false" ht="15" hidden="false" customHeight="false" outlineLevel="0" collapsed="false">
      <c r="A75" s="0" t="s">
        <v>130</v>
      </c>
      <c r="B75" s="18" t="n">
        <v>22.27279275</v>
      </c>
      <c r="C75" s="18" t="n">
        <v>20.07279275</v>
      </c>
      <c r="D75" s="18" t="n">
        <v>21.52279275</v>
      </c>
      <c r="E75" s="18" t="n">
        <v>21.8718824805</v>
      </c>
      <c r="F75" s="0" t="s">
        <v>138</v>
      </c>
      <c r="G75" s="18" t="n">
        <v>14.7365561910928</v>
      </c>
    </row>
    <row r="78" customFormat="false" ht="15" hidden="false" customHeight="false" outlineLevel="0" collapsed="false">
      <c r="A78" s="10" t="s">
        <v>139</v>
      </c>
    </row>
    <row r="79" customFormat="false" ht="15" hidden="false" customHeight="false" outlineLevel="0" collapsed="false">
      <c r="A79" s="10" t="s">
        <v>140</v>
      </c>
      <c r="B79" s="9" t="s">
        <v>141</v>
      </c>
      <c r="C79" s="9" t="s">
        <v>142</v>
      </c>
      <c r="D79" s="9" t="s">
        <v>143</v>
      </c>
      <c r="E79" s="9" t="s">
        <v>144</v>
      </c>
    </row>
    <row r="80" customFormat="false" ht="15" hidden="false" customHeight="false" outlineLevel="0" collapsed="false">
      <c r="A80" s="0" t="s">
        <v>145</v>
      </c>
      <c r="B80" s="19" t="n">
        <v>0</v>
      </c>
      <c r="C80" s="19" t="n">
        <v>0</v>
      </c>
      <c r="D80" s="20" t="n">
        <v>3.97046602096122</v>
      </c>
      <c r="E80" s="21" t="n">
        <v>25.7006171488776</v>
      </c>
    </row>
    <row r="81" customFormat="false" ht="15" hidden="false" customHeight="false" outlineLevel="0" collapsed="false">
      <c r="A81" s="0" t="s">
        <v>146</v>
      </c>
      <c r="B81" s="19" t="n">
        <v>0</v>
      </c>
      <c r="C81" s="22" t="n">
        <v>5.00029580645232</v>
      </c>
      <c r="D81" s="22" t="n">
        <v>12.7308923001694</v>
      </c>
      <c r="E81" s="22" t="n">
        <v>42.0444226654449</v>
      </c>
    </row>
    <row r="82" customFormat="false" ht="15" hidden="false" customHeight="false" outlineLevel="0" collapsed="false">
      <c r="A82" s="0" t="s">
        <v>147</v>
      </c>
      <c r="B82" s="0" t="s">
        <v>148</v>
      </c>
      <c r="C82" s="0" t="s">
        <v>149</v>
      </c>
      <c r="D82" s="0" t="s">
        <v>150</v>
      </c>
      <c r="E82" s="0" t="s">
        <v>151</v>
      </c>
    </row>
    <row r="83" customFormat="false" ht="15" hidden="false" customHeight="false" outlineLevel="0" collapsed="false">
      <c r="A83" s="0" t="s">
        <v>152</v>
      </c>
      <c r="B83" s="0" t="s">
        <v>153</v>
      </c>
      <c r="C83" s="0" t="s">
        <v>154</v>
      </c>
      <c r="D83" s="0" t="s">
        <v>155</v>
      </c>
      <c r="E83" s="0" t="s">
        <v>156</v>
      </c>
    </row>
    <row r="85" customFormat="false" ht="15" hidden="false" customHeight="false" outlineLevel="0" collapsed="false">
      <c r="A85" s="10" t="s">
        <v>157</v>
      </c>
      <c r="B85" s="9" t="s">
        <v>141</v>
      </c>
      <c r="C85" s="9" t="s">
        <v>142</v>
      </c>
      <c r="D85" s="9" t="s">
        <v>143</v>
      </c>
      <c r="E85" s="9" t="s">
        <v>144</v>
      </c>
    </row>
    <row r="86" customFormat="false" ht="15" hidden="false" customHeight="false" outlineLevel="0" collapsed="false">
      <c r="A86" s="0" t="s">
        <v>145</v>
      </c>
      <c r="B86" s="19" t="n">
        <v>0</v>
      </c>
      <c r="C86" s="19" t="n">
        <v>0</v>
      </c>
      <c r="D86" s="21" t="n">
        <v>4.62862528398862</v>
      </c>
      <c r="E86" s="21" t="n">
        <v>26.3633389599277</v>
      </c>
    </row>
    <row r="87" customFormat="false" ht="15" hidden="false" customHeight="false" outlineLevel="0" collapsed="false">
      <c r="A87" s="0" t="s">
        <v>146</v>
      </c>
      <c r="B87" s="22" t="n">
        <v>0.466930694836401</v>
      </c>
      <c r="C87" s="22" t="n">
        <v>5.66031509809557</v>
      </c>
      <c r="D87" s="22" t="n">
        <v>13.3909115918126</v>
      </c>
      <c r="E87" s="22" t="n">
        <v>42.707144476495</v>
      </c>
    </row>
    <row r="88" customFormat="false" ht="15" hidden="false" customHeight="false" outlineLevel="0" collapsed="false">
      <c r="A88" s="0" t="s">
        <v>147</v>
      </c>
      <c r="B88" s="0" t="s">
        <v>158</v>
      </c>
      <c r="C88" s="0" t="s">
        <v>159</v>
      </c>
      <c r="D88" s="0" t="s">
        <v>160</v>
      </c>
      <c r="E88" s="0" t="s">
        <v>161</v>
      </c>
    </row>
    <row r="89" customFormat="false" ht="15" hidden="false" customHeight="false" outlineLevel="0" collapsed="false">
      <c r="A89" s="0" t="s">
        <v>152</v>
      </c>
      <c r="B89" s="0" t="s">
        <v>162</v>
      </c>
      <c r="C89" s="0" t="s">
        <v>163</v>
      </c>
      <c r="D89" s="0" t="s">
        <v>164</v>
      </c>
      <c r="E89" s="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166</v>
      </c>
    </row>
    <row r="3" customFormat="false" ht="15" hidden="false" customHeight="false" outlineLevel="0" collapsed="false">
      <c r="A3" s="0" t="s">
        <v>167</v>
      </c>
      <c r="B3" s="23" t="n">
        <f aca="false">CPM_Lease_GB300</f>
        <v>36.7875</v>
      </c>
      <c r="C3" s="24" t="s">
        <v>168</v>
      </c>
      <c r="E3" s="0" t="s">
        <v>169</v>
      </c>
      <c r="F3" s="25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170</v>
      </c>
      <c r="B4" s="23" t="n">
        <f aca="false">CPM_Lease_VR</f>
        <v>40.1</v>
      </c>
      <c r="C4" s="24" t="s">
        <v>171</v>
      </c>
      <c r="E4" s="0" t="s">
        <v>172</v>
      </c>
      <c r="F4" s="25" t="n">
        <f aca="false">CPM_SP</f>
        <v>12.5</v>
      </c>
    </row>
    <row r="5" customFormat="false" ht="15" hidden="false" customHeight="false" outlineLevel="0" collapsed="false">
      <c r="A5" s="0" t="s">
        <v>173</v>
      </c>
      <c r="B5" s="23" t="n">
        <f aca="false">CPM_Own_GB300</f>
        <v>49.2875</v>
      </c>
      <c r="C5" s="24" t="s">
        <v>174</v>
      </c>
      <c r="E5" s="0" t="s">
        <v>175</v>
      </c>
      <c r="F5" s="26" t="n">
        <f aca="false">HallLife</f>
        <v>18</v>
      </c>
    </row>
    <row r="6" customFormat="false" ht="15" hidden="false" customHeight="false" outlineLevel="0" collapsed="false">
      <c r="A6" s="0" t="s">
        <v>176</v>
      </c>
      <c r="B6" s="23" t="n">
        <f aca="false">CPM_Own_VR</f>
        <v>52.6</v>
      </c>
      <c r="C6" s="24" t="s">
        <v>177</v>
      </c>
      <c r="E6" s="0" t="s">
        <v>178</v>
      </c>
      <c r="F6" s="27" t="n">
        <f aca="false">GPU_Resid</f>
        <v>0.15</v>
      </c>
    </row>
    <row r="7" customFormat="false" ht="15" hidden="false" customHeight="false" outlineLevel="0" collapsed="false">
      <c r="A7" s="0" t="s">
        <v>179</v>
      </c>
      <c r="B7" s="28" t="n">
        <v>4.5</v>
      </c>
      <c r="C7" s="24" t="s">
        <v>180</v>
      </c>
      <c r="E7" s="0" t="s">
        <v>181</v>
      </c>
      <c r="F7" s="29" t="n">
        <f aca="false">WACC</f>
        <v>0.11</v>
      </c>
    </row>
    <row r="8" customFormat="false" ht="15" hidden="false" customHeight="false" outlineLevel="0" collapsed="false">
      <c r="A8" s="0" t="s">
        <v>182</v>
      </c>
      <c r="B8" s="30" t="n">
        <v>22</v>
      </c>
      <c r="C8" s="24" t="s">
        <v>183</v>
      </c>
      <c r="E8" s="0" t="s">
        <v>184</v>
      </c>
      <c r="F8" s="29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185</v>
      </c>
      <c r="B9" s="31" t="n">
        <v>5</v>
      </c>
      <c r="C9" s="24" t="s">
        <v>186</v>
      </c>
    </row>
    <row r="10" customFormat="false" ht="15" hidden="false" customHeight="false" outlineLevel="0" collapsed="false">
      <c r="A10" s="3" t="s">
        <v>187</v>
      </c>
    </row>
    <row r="11" customFormat="false" ht="15" hidden="false" customHeight="false" outlineLevel="0" collapsed="false">
      <c r="A11" s="3" t="s">
        <v>188</v>
      </c>
      <c r="B11" s="3" t="s">
        <v>189</v>
      </c>
      <c r="C11" s="3" t="s">
        <v>190</v>
      </c>
      <c r="D11" s="3" t="s">
        <v>191</v>
      </c>
      <c r="E11" s="3" t="s">
        <v>192</v>
      </c>
      <c r="F11" s="3" t="s">
        <v>193</v>
      </c>
    </row>
    <row r="12" customFormat="false" ht="15" hidden="false" customHeight="false" outlineLevel="0" collapsed="false">
      <c r="A12" s="0" t="s">
        <v>194</v>
      </c>
      <c r="B12" s="32" t="n">
        <f aca="false">MYRate</f>
        <v>16</v>
      </c>
      <c r="C12" s="25" t="n">
        <f aca="false">ND_Px</f>
        <v>3.71992671744367</v>
      </c>
      <c r="D12" s="32" t="n">
        <f aca="false">MYRate*ND_GrossX</f>
        <v>19.2078239608802</v>
      </c>
      <c r="E12" s="25" t="n">
        <f aca="false">ND_Px*ND_GrossX</f>
        <v>4.46573109600205</v>
      </c>
    </row>
    <row r="13" customFormat="false" ht="15" hidden="false" customHeight="false" outlineLevel="0" collapsed="false">
      <c r="A13" s="0" t="s">
        <v>195</v>
      </c>
      <c r="B13" s="32" t="n">
        <f aca="false">14.5</f>
        <v>14.5</v>
      </c>
      <c r="C13" s="25" t="n">
        <f aca="false">14.5*1000000/(GPUMW_N*8760)</f>
        <v>5.1726598173516</v>
      </c>
      <c r="D13" s="0" t="s">
        <v>196</v>
      </c>
      <c r="F13" s="25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197</v>
      </c>
      <c r="B14" s="32" t="n">
        <f aca="false">16.2</f>
        <v>16.2</v>
      </c>
      <c r="C14" s="25" t="n">
        <f aca="false">16.2*1000000/(GPUMW_N*8760)</f>
        <v>5.7791095890411</v>
      </c>
      <c r="D14" s="0" t="s">
        <v>196</v>
      </c>
      <c r="F14" s="25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198</v>
      </c>
      <c r="B15" s="32" t="n">
        <f aca="false">20</f>
        <v>20</v>
      </c>
      <c r="C15" s="25" t="n">
        <f aca="false">20*1000000/(GPUMW_N*8760)</f>
        <v>7.13470319634703</v>
      </c>
      <c r="D15" s="0" t="s">
        <v>196</v>
      </c>
      <c r="F15" s="25" t="n">
        <f aca="false">20*1000000/(RubinGPUMW_D*8760)</f>
        <v>5.70776255707763</v>
      </c>
    </row>
    <row r="16" customFormat="false" ht="15" hidden="false" customHeight="false" outlineLevel="0" collapsed="false">
      <c r="A16" s="0" t="s">
        <v>199</v>
      </c>
      <c r="B16" s="32" t="n">
        <f aca="false">RubinMW</f>
        <v>16.2</v>
      </c>
      <c r="C16" s="25" t="n">
        <f aca="false">RubinMW*1000000/(GPUMW_N*8760)</f>
        <v>5.7791095890411</v>
      </c>
      <c r="D16" s="0" t="s">
        <v>196</v>
      </c>
      <c r="F16" s="25" t="n">
        <f aca="false">RubinMW*1000000/(RubinGPUMW_D*8760)</f>
        <v>4.62328767123288</v>
      </c>
    </row>
    <row r="17" customFormat="false" ht="15" hidden="false" customHeight="false" outlineLevel="0" collapsed="false">
      <c r="A17" s="24" t="s">
        <v>200</v>
      </c>
    </row>
    <row r="19" customFormat="false" ht="15" hidden="false" customHeight="false" outlineLevel="0" collapsed="false">
      <c r="A19" s="3" t="s">
        <v>201</v>
      </c>
    </row>
    <row r="20" customFormat="false" ht="15" hidden="false" customHeight="false" outlineLevel="0" collapsed="false">
      <c r="A20" s="3"/>
      <c r="B20" s="3" t="s">
        <v>202</v>
      </c>
      <c r="C20" s="3" t="s">
        <v>203</v>
      </c>
      <c r="D20" s="3" t="s">
        <v>204</v>
      </c>
      <c r="E20" s="3" t="s">
        <v>132</v>
      </c>
      <c r="F20" s="3" t="s">
        <v>203</v>
      </c>
      <c r="G20" s="3" t="s">
        <v>204</v>
      </c>
    </row>
    <row r="21" customFormat="false" ht="15" hidden="false" customHeight="false" outlineLevel="0" collapsed="false">
      <c r="A21" s="0" t="s">
        <v>205</v>
      </c>
      <c r="B21" s="32" t="n">
        <f aca="false">B12</f>
        <v>16</v>
      </c>
      <c r="C21" s="32" t="n">
        <f aca="false">RubinMW</f>
        <v>16.2</v>
      </c>
      <c r="D21" s="27" t="n">
        <f aca="false">C21/B21-1</f>
        <v>0.0125000000000002</v>
      </c>
      <c r="E21" s="32" t="n">
        <f aca="false">D12</f>
        <v>19.2078239608802</v>
      </c>
      <c r="F21" s="32" t="n">
        <f aca="false">RubinMW</f>
        <v>16.2</v>
      </c>
      <c r="G21" s="27" t="n">
        <f aca="false">F21/E21-1</f>
        <v>-0.156593686354379</v>
      </c>
    </row>
    <row r="22" customFormat="false" ht="15" hidden="false" customHeight="false" outlineLevel="0" collapsed="false">
      <c r="A22" s="0" t="s">
        <v>206</v>
      </c>
      <c r="B22" s="32" t="n">
        <f aca="false">PB_Opex</f>
        <v>4.5</v>
      </c>
      <c r="C22" s="32" t="n">
        <f aca="false">PB_Opex</f>
        <v>4.5</v>
      </c>
      <c r="E22" s="32" t="n">
        <f aca="false">PB_Opex</f>
        <v>4.5</v>
      </c>
      <c r="F22" s="32" t="n">
        <f aca="false">PB_Opex</f>
        <v>4.5</v>
      </c>
    </row>
    <row r="23" customFormat="false" ht="15" hidden="false" customHeight="false" outlineLevel="0" collapsed="false">
      <c r="A23" s="0" t="s">
        <v>207</v>
      </c>
      <c r="B23" s="32" t="n">
        <f aca="false">B21-B22</f>
        <v>11.5</v>
      </c>
      <c r="C23" s="32" t="n">
        <f aca="false">C21-C22</f>
        <v>11.7</v>
      </c>
      <c r="D23" s="27" t="n">
        <f aca="false">C23/B23-1</f>
        <v>0.0173913043478262</v>
      </c>
      <c r="E23" s="32" t="n">
        <f aca="false">E21-E22</f>
        <v>14.7078239608802</v>
      </c>
      <c r="F23" s="32" t="n">
        <f aca="false">F21-F22</f>
        <v>11.7</v>
      </c>
      <c r="G23" s="27" t="n">
        <f aca="false">F23/E23-1</f>
        <v>-0.20450502867592</v>
      </c>
    </row>
    <row r="24" customFormat="false" ht="15" hidden="false" customHeight="false" outlineLevel="0" collapsed="false">
      <c r="A24" s="0" t="s">
        <v>208</v>
      </c>
      <c r="B24" s="25" t="n">
        <f aca="false">RentMW*PUE+LoadFactor*PUE*8760*PowerPx/1000000</f>
        <v>3.4695</v>
      </c>
      <c r="C24" s="25" t="n">
        <f aca="false">PB_OpexOwn</f>
        <v>2.25</v>
      </c>
    </row>
    <row r="26" customFormat="false" ht="15" hidden="false" customHeight="false" outlineLevel="0" collapsed="false">
      <c r="A26" s="3" t="s">
        <v>209</v>
      </c>
    </row>
    <row r="27" customFormat="false" ht="15" hidden="false" customHeight="false" outlineLevel="0" collapsed="false">
      <c r="A27" s="3" t="s">
        <v>188</v>
      </c>
      <c r="B27" s="3" t="s">
        <v>210</v>
      </c>
      <c r="C27" s="3" t="s">
        <v>211</v>
      </c>
      <c r="D27" s="3" t="s">
        <v>212</v>
      </c>
      <c r="E27" s="3" t="s">
        <v>211</v>
      </c>
      <c r="F27" s="3" t="s">
        <v>213</v>
      </c>
      <c r="G27" s="3" t="s">
        <v>214</v>
      </c>
      <c r="H27" s="3" t="s">
        <v>215</v>
      </c>
      <c r="I27" s="3" t="s">
        <v>216</v>
      </c>
      <c r="J27" s="3" t="s">
        <v>217</v>
      </c>
      <c r="K27" s="3" t="s">
        <v>218</v>
      </c>
      <c r="L27" s="3" t="s">
        <v>219</v>
      </c>
      <c r="M27" s="3" t="s">
        <v>220</v>
      </c>
      <c r="N27" s="3" t="s">
        <v>221</v>
      </c>
      <c r="O27" s="3" t="s">
        <v>222</v>
      </c>
      <c r="P27" s="3" t="s">
        <v>223</v>
      </c>
      <c r="Q27" s="3" t="s">
        <v>224</v>
      </c>
    </row>
    <row r="28" customFormat="false" ht="15" hidden="false" customHeight="false" outlineLevel="0" collapsed="false">
      <c r="A28" s="0" t="s">
        <v>225</v>
      </c>
      <c r="B28" s="32" t="n">
        <f aca="false">IFERROR(F28*1/(H28-G28)*12,999)</f>
        <v>40.0565217391304</v>
      </c>
      <c r="C28" s="33" t="str">
        <f aca="false">IF(ISNUMBER(B28),IF(ABS(B28-PB_Target)&lt;=3,"WITHIN +/-3","outside"),"")</f>
        <v>outside</v>
      </c>
      <c r="D28" s="32" t="n">
        <f aca="false">IFERROR(F28*1/(MYRate*ND_GrossX-G28)*12,999)</f>
        <v>31.320064832516</v>
      </c>
      <c r="E28" s="33" t="str">
        <f aca="false">IF(ISNUMBER(D28),IF(ABS(D28-PB_Target)&lt;=3,"WITHIN +/-3","outside"),"")</f>
        <v>outside</v>
      </c>
      <c r="F28" s="32" t="n">
        <f aca="false">PB_CapGB+LeasePrepayOn*LeasePrepay</f>
        <v>38.3875</v>
      </c>
      <c r="G28" s="25" t="n">
        <f aca="false">PB_Opex</f>
        <v>4.5</v>
      </c>
      <c r="H28" s="32" t="n">
        <f aca="false">MYRate</f>
        <v>16</v>
      </c>
      <c r="I28" s="32" t="n">
        <f aca="false">H28-G28</f>
        <v>11.5</v>
      </c>
      <c r="J28" s="29" t="n">
        <f aca="false">IFERROR(RATE(PB_Life,I28,-F28*1,L28),-1)</f>
        <v>0.180999461963845</v>
      </c>
      <c r="K28" s="29" t="n">
        <f aca="false">IFERROR(RATE(PB_Life,MYRate*ND_GrossX-G28,-F28*1,L28),-1)</f>
        <v>0.286698289169383</v>
      </c>
      <c r="L28" s="32" t="n">
        <f aca="false">PB_Resid*(F28-Q28)+Q28*MAX(0,1-PB_Life/PB_HallLife)</f>
        <v>5.758125</v>
      </c>
      <c r="M28" s="29" t="n">
        <f aca="false">IFERROR(RATE(PB_Life,I28,-F28*1),-1)</f>
        <v>0.151784127999906</v>
      </c>
      <c r="N28" s="32" t="n">
        <f aca="false">-F28*1+I28*(1-(1+PB_WACC)^-PB_Life)/PB_WACC+L28*(1+PB_WACC)^-PB_Life</f>
        <v>7.53248263134605</v>
      </c>
      <c r="O28" s="32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32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25" t="n">
        <f aca="false">0</f>
        <v>0</v>
      </c>
    </row>
    <row r="29" customFormat="false" ht="15" hidden="false" customHeight="false" outlineLevel="0" collapsed="false">
      <c r="A29" s="0" t="s">
        <v>226</v>
      </c>
      <c r="B29" s="32" t="n">
        <f aca="false">IFERROR(F29*1/(H29-G29)*12,999)</f>
        <v>42.7692307692308</v>
      </c>
      <c r="C29" s="33" t="str">
        <f aca="false">IF(ISNUMBER(B29),IF(ABS(B29-PB_Target)&lt;=3,"WITHIN +/-3","outside"),"")</f>
        <v>outside</v>
      </c>
      <c r="D29" s="0" t="s">
        <v>227</v>
      </c>
      <c r="E29" s="33" t="str">
        <f aca="false">IF(ISNUMBER(D29),IF(ABS(D29-PB_Target)&lt;=3,"WITHIN +/-3","outside"),"")</f>
        <v/>
      </c>
      <c r="F29" s="32" t="n">
        <f aca="false">40.1+LeasePrepayOn*LeasePrepay</f>
        <v>41.7</v>
      </c>
      <c r="G29" s="25" t="n">
        <f aca="false">PB_Opex</f>
        <v>4.5</v>
      </c>
      <c r="H29" s="32" t="n">
        <f aca="false">16.2</f>
        <v>16.2</v>
      </c>
      <c r="I29" s="32" t="n">
        <f aca="false">H29-G29</f>
        <v>11.7</v>
      </c>
      <c r="J29" s="29" t="n">
        <f aca="false">IFERROR(RATE(PB_Life,I29,-F29*1,L29),-1)</f>
        <v>0.155994305554286</v>
      </c>
      <c r="L29" s="32" t="n">
        <f aca="false">PB_Resid*(F29-Q29)+Q29*MAX(0,1-PB_Life/PB_HallLife)</f>
        <v>6.255</v>
      </c>
      <c r="M29" s="29" t="n">
        <f aca="false">IFERROR(RATE(PB_Life,I29,-F29*1),-1)</f>
        <v>0.124596585374074</v>
      </c>
      <c r="N29" s="32" t="n">
        <f aca="false">-F29*1+I29*(1-(1+PB_WACC)^-PB_Life)/PB_WACC+L29*(1+PB_WACC)^-PB_Life</f>
        <v>5.25403316350504</v>
      </c>
      <c r="O29" s="32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32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25" t="n">
        <f aca="false">0</f>
        <v>0</v>
      </c>
    </row>
    <row r="30" customFormat="false" ht="15" hidden="false" customHeight="false" outlineLevel="0" collapsed="false">
      <c r="A30" s="0" t="s">
        <v>228</v>
      </c>
      <c r="B30" s="32" t="n">
        <f aca="false">IFERROR(F30*1/(H30-G30)*12,999)</f>
        <v>27.0193548387097</v>
      </c>
      <c r="C30" s="33" t="str">
        <f aca="false">IF(ISNUMBER(B30),IF(ABS(B30-PB_Target)&lt;=3,"WITHIN +/-3","outside"),"")</f>
        <v>outside</v>
      </c>
      <c r="D30" s="0" t="s">
        <v>227</v>
      </c>
      <c r="E30" s="33" t="str">
        <f aca="false">IF(ISNUMBER(D30),IF(ABS(D30-PB_Target)&lt;=3,"WITHIN +/-3","outside"),"")</f>
        <v/>
      </c>
      <c r="F30" s="32" t="n">
        <f aca="false">33.3+LeasePrepayOn*LeasePrepay</f>
        <v>34.9</v>
      </c>
      <c r="G30" s="25" t="n">
        <f aca="false">PB_Opex</f>
        <v>4.5</v>
      </c>
      <c r="H30" s="32" t="n">
        <f aca="false">20</f>
        <v>20</v>
      </c>
      <c r="I30" s="32" t="n">
        <f aca="false">H30-G30</f>
        <v>15.5</v>
      </c>
      <c r="J30" s="29" t="n">
        <f aca="false">IFERROR(RATE(PB_Life,I30,-F30*1,L30),-1)</f>
        <v>0.360416255833505</v>
      </c>
      <c r="L30" s="32" t="n">
        <f aca="false">PB_Resid*(F30-Q30)+Q30*MAX(0,1-PB_Life/PB_HallLife)</f>
        <v>5.235</v>
      </c>
      <c r="M30" s="29" t="n">
        <f aca="false">IFERROR(RATE(PB_Life,I30,-F30*1),-1)</f>
        <v>0.342148976650323</v>
      </c>
      <c r="N30" s="32" t="n">
        <f aca="false">-F30*1+I30*(1-(1+PB_WACC)^-PB_Life)/PB_WACC+L30*(1+PB_WACC)^-PB_Life</f>
        <v>25.4931214759533</v>
      </c>
      <c r="O30" s="32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32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25" t="n">
        <f aca="false">0</f>
        <v>0</v>
      </c>
    </row>
    <row r="31" customFormat="false" ht="15" hidden="false" customHeight="false" outlineLevel="0" collapsed="false">
      <c r="A31" s="0" t="s">
        <v>229</v>
      </c>
      <c r="B31" s="32" t="n">
        <f aca="false">IFERROR(F31*1/(H31-G31)*12,999)</f>
        <v>59.76</v>
      </c>
      <c r="C31" s="33" t="str">
        <f aca="false">IF(ISNUMBER(B31),IF(ABS(B31-PB_Target)&lt;=3,"WITHIN +/-3","outside"),"")</f>
        <v>outside</v>
      </c>
      <c r="D31" s="0" t="s">
        <v>227</v>
      </c>
      <c r="E31" s="33" t="str">
        <f aca="false">IF(ISNUMBER(D31),IF(ABS(D31-PB_Target)&lt;=3,"WITHIN +/-3","outside"),"")</f>
        <v/>
      </c>
      <c r="F31" s="32" t="n">
        <f aca="false">48.2+LeasePrepayOn*LeasePrepay</f>
        <v>49.8</v>
      </c>
      <c r="G31" s="25" t="n">
        <f aca="false">PB_Opex</f>
        <v>4.5</v>
      </c>
      <c r="H31" s="32" t="n">
        <f aca="false">14.5</f>
        <v>14.5</v>
      </c>
      <c r="I31" s="32" t="n">
        <f aca="false">H31-G31</f>
        <v>10</v>
      </c>
      <c r="J31" s="29" t="n">
        <f aca="false">IFERROR(RATE(PB_Life,I31,-F31*1,L31),-1)</f>
        <v>0.0456238725676885</v>
      </c>
      <c r="L31" s="32" t="n">
        <f aca="false">PB_Resid*(F31-Q31)+Q31*MAX(0,1-PB_Life/PB_HallLife)</f>
        <v>7.47</v>
      </c>
      <c r="M31" s="29" t="n">
        <f aca="false">IFERROR(RATE(PB_Life,I31,-F31*1),-1)</f>
        <v>0.00133749628588611</v>
      </c>
      <c r="N31" s="32" t="n">
        <f aca="false">-F31*1+I31*(1-(1+PB_WACC)^-PB_Life)/PB_WACC+L31*(1+PB_WACC)^-PB_Life</f>
        <v>-8.4079484029079</v>
      </c>
      <c r="O31" s="32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32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25" t="n">
        <f aca="false">0</f>
        <v>0</v>
      </c>
    </row>
    <row r="32" customFormat="false" ht="15" hidden="false" customHeight="false" outlineLevel="0" collapsed="false">
      <c r="A32" s="0" t="s">
        <v>230</v>
      </c>
      <c r="B32" s="32" t="n">
        <f aca="false">IFERROR(F32*1/(H32-G32)*12,999)</f>
        <v>32.2838709677419</v>
      </c>
      <c r="C32" s="33" t="str">
        <f aca="false">IF(ISNUMBER(B32),IF(ABS(B32-PB_Target)&lt;=3,"WITHIN +/-3","outside"),"")</f>
        <v>outside</v>
      </c>
      <c r="D32" s="0" t="s">
        <v>227</v>
      </c>
      <c r="E32" s="33" t="str">
        <f aca="false">IF(ISNUMBER(D32),IF(ABS(D32-PB_Target)&lt;=3,"WITHIN +/-3","outside"),"")</f>
        <v/>
      </c>
      <c r="F32" s="32" t="n">
        <f aca="false">40.1+LeasePrepayOn*LeasePrepay</f>
        <v>41.7</v>
      </c>
      <c r="G32" s="25" t="n">
        <f aca="false">PB_Opex</f>
        <v>4.5</v>
      </c>
      <c r="H32" s="32" t="n">
        <f aca="false">20</f>
        <v>20</v>
      </c>
      <c r="I32" s="32" t="n">
        <f aca="false">H32-G32</f>
        <v>15.5</v>
      </c>
      <c r="J32" s="29" t="n">
        <f aca="false">IFERROR(RATE(PB_Life,I32,-F32*1,L32),-1)</f>
        <v>0.272584958406621</v>
      </c>
      <c r="L32" s="32" t="n">
        <f aca="false">PB_Resid*(F32-Q32)+Q32*MAX(0,1-PB_Life/PB_HallLife)</f>
        <v>6.255</v>
      </c>
      <c r="M32" s="29" t="n">
        <f aca="false">IFERROR(RATE(PB_Life,I32,-F32*1),-1)</f>
        <v>0.249810990799742</v>
      </c>
      <c r="N32" s="32" t="n">
        <f aca="false">-F32*1+I32*(1-(1+PB_WACC)^-PB_Life)/PB_WACC+L32*(1+PB_WACC)^-PB_Life</f>
        <v>19.298441830573</v>
      </c>
      <c r="O32" s="32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32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25" t="n">
        <f aca="false">0</f>
        <v>0</v>
      </c>
    </row>
    <row r="33" customFormat="false" ht="15" hidden="false" customHeight="false" outlineLevel="0" collapsed="false">
      <c r="A33" s="0" t="s">
        <v>231</v>
      </c>
      <c r="B33" s="32" t="n">
        <f aca="false">IFERROR(F33*1/(H33-G33)*12,999)</f>
        <v>43.0145454545455</v>
      </c>
      <c r="C33" s="33" t="str">
        <f aca="false">IF(ISNUMBER(B33),IF(ABS(B33-PB_Target)&lt;=3,"WITHIN +/-3","outside"),"")</f>
        <v>outside</v>
      </c>
      <c r="D33" s="32" t="n">
        <f aca="false">IFERROR(F33*1/(MYRate*ND_GrossX-G33)*12,999)</f>
        <v>34.8777060880222</v>
      </c>
      <c r="E33" s="33" t="str">
        <f aca="false">IF(ISNUMBER(D33),IF(ABS(D33-PB_Target)&lt;=3,"WITHIN +/-3","outside"),"")</f>
        <v>outside</v>
      </c>
      <c r="F33" s="32" t="n">
        <f aca="false">PB_CapOwnGB</f>
        <v>49.2875</v>
      </c>
      <c r="G33" s="25" t="n">
        <f aca="false">PB_OpexOwn</f>
        <v>2.25</v>
      </c>
      <c r="H33" s="32" t="n">
        <f aca="false">MYRate</f>
        <v>16</v>
      </c>
      <c r="I33" s="32" t="n">
        <f aca="false">H33-G33</f>
        <v>13.75</v>
      </c>
      <c r="J33" s="29" t="n">
        <f aca="false">IFERROR(RATE(PB_Life,I33,-F33*1,L33),-1)</f>
        <v>0.180557570678127</v>
      </c>
      <c r="K33" s="29" t="n">
        <f aca="false">IFERROR(RATE(PB_Life,MYRate*ND_GrossX-G33,-F33*1,L33),-1)</f>
        <v>0.259795584240343</v>
      </c>
      <c r="L33" s="32" t="n">
        <f aca="false">PB_Resid*(F33-Q33)+Q33*MAX(0,1-PB_Life/PB_HallLife)</f>
        <v>14.5459027777778</v>
      </c>
      <c r="M33" s="29" t="n">
        <f aca="false">IFERROR(RATE(PB_Life,I33,-F33*1),-1)</f>
        <v>0.122275763136899</v>
      </c>
      <c r="N33" s="32" t="n">
        <f aca="false">-F33*1+I33*(1-(1+PB_WACC)^-PB_Life)/PB_WACC+L33*(1+PB_WACC)^-PB_Life</f>
        <v>10.1633693139631</v>
      </c>
      <c r="O33" s="32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32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25" t="n">
        <f aca="false">PB_Hall</f>
        <v>12.5</v>
      </c>
    </row>
    <row r="34" customFormat="false" ht="15" hidden="false" customHeight="false" outlineLevel="0" collapsed="false">
      <c r="A34" s="0" t="s">
        <v>232</v>
      </c>
      <c r="B34" s="32" t="n">
        <f aca="false">IFERROR(F34*1/(H34-G34)*12,999)</f>
        <v>45.247311827957</v>
      </c>
      <c r="C34" s="33" t="str">
        <f aca="false">IF(ISNUMBER(B34),IF(ABS(B34-PB_Target)&lt;=3,"WITHIN +/-3","outside"),"")</f>
        <v>outside</v>
      </c>
      <c r="D34" s="0" t="s">
        <v>227</v>
      </c>
      <c r="E34" s="33" t="str">
        <f aca="false">IF(ISNUMBER(D34),IF(ABS(D34-PB_Target)&lt;=3,"WITHIN +/-3","outside"),"")</f>
        <v/>
      </c>
      <c r="F34" s="32" t="n">
        <f aca="false">PB_CapOwnRubin</f>
        <v>52.6</v>
      </c>
      <c r="G34" s="25" t="n">
        <f aca="false">PB_OpexOwn</f>
        <v>2.25</v>
      </c>
      <c r="H34" s="32" t="n">
        <f aca="false">16.2</f>
        <v>16.2</v>
      </c>
      <c r="I34" s="32" t="n">
        <f aca="false">H34-G34</f>
        <v>13.95</v>
      </c>
      <c r="J34" s="29" t="n">
        <f aca="false">IFERROR(RATE(PB_Life,I34,-F34*1,L34),-1)</f>
        <v>0.161741466184191</v>
      </c>
      <c r="L34" s="32" t="n">
        <f aca="false">PB_Resid*(F34-Q34)+Q34*MAX(0,1-PB_Life/PB_HallLife)</f>
        <v>15.0427777777778</v>
      </c>
      <c r="M34" s="29" t="n">
        <f aca="false">IFERROR(RATE(PB_Life,I34,-F34*1),-1)</f>
        <v>0.102092499172575</v>
      </c>
      <c r="N34" s="32" t="n">
        <f aca="false">-F34*1+I34*(1-(1+PB_WACC)^-PB_Life)/PB_WACC+L34*(1+PB_WACC)^-PB_Life</f>
        <v>7.88491984612206</v>
      </c>
      <c r="O34" s="32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32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25" t="n">
        <f aca="false">PB_Hall</f>
        <v>12.5</v>
      </c>
    </row>
    <row r="35" customFormat="false" ht="15" hidden="false" customHeight="false" outlineLevel="0" collapsed="false">
      <c r="A35" s="0" t="s">
        <v>233</v>
      </c>
      <c r="B35" s="32" t="n">
        <f aca="false">IFERROR(F35*1/(H35-G35)*12,999)</f>
        <v>39.7617880237441</v>
      </c>
      <c r="C35" s="33" t="str">
        <f aca="false">IF(ISNUMBER(B35),IF(ABS(B35-PB_Target)&lt;=3,"WITHIN +/-3","outside"),"")</f>
        <v>outside</v>
      </c>
      <c r="D35" s="32" t="n">
        <f aca="false">IFERROR(F35*1/(MYRate*ND_GrossX-G35)*12,999)</f>
        <v>31.7880819479215</v>
      </c>
      <c r="E35" s="33" t="str">
        <f aca="false">IF(ISNUMBER(D35),IF(ABS(D35-PB_Target)&lt;=3,"WITHIN +/-3","outside"),"")</f>
        <v>outside</v>
      </c>
      <c r="F35" s="32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25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32" t="n">
        <f aca="false">MYRate</f>
        <v>16</v>
      </c>
      <c r="I35" s="32" t="n">
        <f aca="false">H35-G35</f>
        <v>12.7883533670941</v>
      </c>
      <c r="J35" s="29" t="n">
        <f aca="false">IFERROR(RATE(PB_Life,I35,-F35*1,L35),-1)</f>
        <v>0.192519919405009</v>
      </c>
      <c r="K35" s="29" t="n">
        <f aca="false">IFERROR(RATE(PB_Life,MYRate*ND_GrossX-G35,-F35*1,L35),-1)</f>
        <v>0.28655562670482</v>
      </c>
      <c r="L35" s="32" t="n">
        <f aca="false">PB_Resid*(F35-Q35)+Q35*MAX(0,1-PB_Life/PB_HallLife)</f>
        <v>8.41890769059281</v>
      </c>
      <c r="M35" s="29" t="n">
        <f aca="false">IFERROR(RATE(PB_Life,I35,-F35*1),-1)</f>
        <v>0.154918914225423</v>
      </c>
      <c r="N35" s="32" t="n">
        <f aca="false">-F35*1+I35*(1-(1+PB_WACC)^-PB_Life)/PB_WACC+L35*(1+PB_WACC)^-PB_Life</f>
        <v>9.88666604028118</v>
      </c>
      <c r="O35" s="32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32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25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234</v>
      </c>
      <c r="B36" s="32" t="n">
        <f aca="false">IFERROR(F36*1/(H36-G36)*12,999)</f>
        <v>45.6558587316079</v>
      </c>
      <c r="C36" s="33" t="str">
        <f aca="false">IF(ISNUMBER(B36),IF(ABS(B36-PB_Target)&lt;=3,"WITHIN +/-3","outside"),"")</f>
        <v>outside</v>
      </c>
      <c r="D36" s="0" t="s">
        <v>227</v>
      </c>
      <c r="E36" s="33" t="str">
        <f aca="false">IF(ISNUMBER(D36),IF(ABS(D36-PB_Target)&lt;=3,"WITHIN +/-3","outside"),"")</f>
        <v/>
      </c>
      <c r="F36" s="32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25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32" t="n">
        <f aca="false">RubinMW</f>
        <v>16.2</v>
      </c>
      <c r="I36" s="32" t="n">
        <f aca="false">H36-G36</f>
        <v>13.4355733369881</v>
      </c>
      <c r="J36" s="29" t="n">
        <f aca="false">IFERROR(RATE(PB_Life,I36,-F36*1,L36),-1)</f>
        <v>0.156016306872808</v>
      </c>
      <c r="L36" s="32" t="n">
        <f aca="false">PB_Resid*(F36-Q36)+Q36*MAX(0,1-PB_Life/PB_HallLife)</f>
        <v>13.8607345575892</v>
      </c>
      <c r="M36" s="29" t="n">
        <f aca="false">IFERROR(RATE(PB_Life,I36,-F36*1),-1)</f>
        <v>0.0985721528973987</v>
      </c>
      <c r="N36" s="32" t="n">
        <f aca="false">-F36*1+I36*(1-(1+PB_WACC)^-PB_Life)/PB_WACC+L36*(1+PB_WACC)^-PB_Life</f>
        <v>6.76444690334626</v>
      </c>
      <c r="O36" s="32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32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25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235</v>
      </c>
      <c r="B37" s="32" t="n">
        <f aca="false">IFERROR(F37*1/(H37-G37)*12,999)</f>
        <v>33.3913043478261</v>
      </c>
      <c r="C37" s="33" t="str">
        <f aca="false">IF(ISNUMBER(B37),IF(ABS(B37-PB_Target)&lt;=3,"WITHIN +/-3","outside"),"")</f>
        <v>outside</v>
      </c>
      <c r="D37" s="32" t="n">
        <f aca="false">IFERROR(F37*1/(MYRate*ND_GrossX-G37)*12,999)</f>
        <v>26.1085529049954</v>
      </c>
      <c r="E37" s="33" t="str">
        <f aca="false">IF(ISNUMBER(D37),IF(ABS(D37-PB_Target)&lt;=3,"WITHIN +/-3","outside"),"")</f>
        <v>outside</v>
      </c>
      <c r="F37" s="32" t="n">
        <f aca="false">32</f>
        <v>32</v>
      </c>
      <c r="G37" s="25" t="n">
        <f aca="false">PB_Opex</f>
        <v>4.5</v>
      </c>
      <c r="H37" s="32" t="n">
        <f aca="false">MYRate</f>
        <v>16</v>
      </c>
      <c r="I37" s="32" t="n">
        <f aca="false">H37-G37</f>
        <v>11.5</v>
      </c>
      <c r="J37" s="29" t="n">
        <f aca="false">IFERROR(RATE(PB_Life,I37,-F37*1,L37),-1)</f>
        <v>0.257259840055199</v>
      </c>
      <c r="K37" s="29" t="n">
        <f aca="false">IFERROR(RATE(PB_Life,MYRate*ND_GrossX-G37,-F37*1,L37),-1)</f>
        <v>0.378781741487645</v>
      </c>
      <c r="L37" s="32" t="n">
        <f aca="false">PB_Resid*(F37-Q37)+Q37*MAX(0,1-PB_Life/PB_HallLife)</f>
        <v>4.8</v>
      </c>
      <c r="M37" s="29" t="n">
        <f aca="false">IFERROR(RATE(PB_Life,I37,-F37*1),-1)</f>
        <v>0.233551694096666</v>
      </c>
      <c r="N37" s="32" t="n">
        <f aca="false">-F37*1+I37*(1-(1+PB_WACC)^-PB_Life)/PB_WACC+L37*(1+PB_WACC)^-PB_Life</f>
        <v>13.3513820776499</v>
      </c>
      <c r="O37" s="32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32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25" t="n">
        <f aca="false">0</f>
        <v>0</v>
      </c>
    </row>
    <row r="38" customFormat="false" ht="15" hidden="false" customHeight="false" outlineLevel="0" collapsed="false">
      <c r="A38" s="0" t="s">
        <v>236</v>
      </c>
      <c r="B38" s="32" t="n">
        <f aca="false">IFERROR(F38*1/(H38-G38)*12,999)</f>
        <v>31.5321428571429</v>
      </c>
      <c r="C38" s="33" t="str">
        <f aca="false">IF(ISNUMBER(B38),IF(ABS(B38-PB_Target)&lt;=3,"WITHIN +/-3","outside"),"")</f>
        <v>outside</v>
      </c>
      <c r="D38" s="32" t="n">
        <f aca="false">IFERROR(F38*1/(MYRate*ND_GrossX-G38)*12,999)</f>
        <v>25.6540281329923</v>
      </c>
      <c r="E38" s="33" t="str">
        <f aca="false">IF(ISNUMBER(D38),IF(ABS(D38-PB_Target)&lt;=3,"WITHIN +/-3","outside"),"")</f>
        <v>outside</v>
      </c>
      <c r="F38" s="32" t="n">
        <f aca="false">PB_CapGB</f>
        <v>36.7875</v>
      </c>
      <c r="G38" s="25" t="n">
        <f aca="false">2</f>
        <v>2</v>
      </c>
      <c r="H38" s="32" t="n">
        <f aca="false">MYRate</f>
        <v>16</v>
      </c>
      <c r="I38" s="32" t="n">
        <f aca="false">H38-G38</f>
        <v>14</v>
      </c>
      <c r="J38" s="29" t="n">
        <f aca="false">IFERROR(RATE(PB_Life,I38,-F38*1,L38),-1)</f>
        <v>0.283527370882991</v>
      </c>
      <c r="K38" s="29" t="n">
        <f aca="false">IFERROR(RATE(PB_Life,MYRate*ND_GrossX-G38,-F38*1,L38),-1)</f>
        <v>0.388382160002058</v>
      </c>
      <c r="L38" s="32" t="n">
        <f aca="false">PB_Resid*(F38-Q38)+Q38*MAX(0,1-PB_Life/PB_HallLife)</f>
        <v>5.518125</v>
      </c>
      <c r="M38" s="29" t="n">
        <f aca="false">IFERROR(RATE(PB_Life,I38,-F38*1),-1)</f>
        <v>0.261390446003512</v>
      </c>
      <c r="N38" s="32" t="n">
        <f aca="false">-F38*1+I38*(1-(1+PB_WACC)^-PB_Life)/PB_WACC+L38*(1+PB_WACC)^-PB_Life</f>
        <v>18.2297968567357</v>
      </c>
      <c r="O38" s="32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32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25" t="n">
        <f aca="false">0</f>
        <v>0</v>
      </c>
    </row>
    <row r="39" customFormat="false" ht="15" hidden="false" customHeight="false" outlineLevel="0" collapsed="false">
      <c r="A39" s="0" t="s">
        <v>237</v>
      </c>
      <c r="B39" s="32" t="n">
        <f aca="false">IFERROR(F39*(1-0.55*0.7)/(H39-G39)*12,999)</f>
        <v>23.6079782608696</v>
      </c>
      <c r="C39" s="33" t="str">
        <f aca="false">IF(ISNUMBER(B39),IF(ABS(B39-PB_Target)&lt;=3,"WITHIN +/-3","outside"),"")</f>
        <v>WITHIN +/-3</v>
      </c>
      <c r="D39" s="32" t="n">
        <f aca="false">IFERROR(F39*(1-0.55*0.7)/(MYRate*ND_GrossX-G39)*12,999)</f>
        <v>18.4590018701687</v>
      </c>
      <c r="E39" s="33" t="str">
        <f aca="false">IF(ISNUMBER(D39),IF(ABS(D39-PB_Target)&lt;=3,"WITHIN +/-3","outside"),"")</f>
        <v>outside</v>
      </c>
      <c r="F39" s="32" t="n">
        <f aca="false">PB_CapGB</f>
        <v>36.7875</v>
      </c>
      <c r="G39" s="25" t="n">
        <f aca="false">PB_Opex</f>
        <v>4.5</v>
      </c>
      <c r="H39" s="32" t="n">
        <f aca="false">MYRate</f>
        <v>16</v>
      </c>
      <c r="I39" s="32" t="n">
        <f aca="false">H39-G39</f>
        <v>11.5</v>
      </c>
      <c r="J39" s="29" t="n">
        <f aca="false">IFERROR(RATE(PB_Life,I39,-F39*(1-0.55*0.7),L39),-1)</f>
        <v>0.444794499372535</v>
      </c>
      <c r="K39" s="29" t="n">
        <f aca="false">IFERROR(RATE(PB_Life,MYRate*ND_GrossX-G39,-F39*(1-0.55*0.7),L39),-1)</f>
        <v>0.602475191050539</v>
      </c>
      <c r="L39" s="32" t="n">
        <f aca="false">PB_Resid*(F39-Q39)+Q39*MAX(0,1-PB_Life/PB_HallLife)</f>
        <v>5.518125</v>
      </c>
      <c r="M39" s="29" t="n">
        <f aca="false">IFERROR(RATE(PB_Life,I39,-F39*(1-0.55*0.7)),-1)</f>
        <v>0.420380439588812</v>
      </c>
      <c r="N39" s="32" t="n">
        <f aca="false">-F39*(1-0.55*0.7)+I39*(1-(1+PB_WACC)^-PB_Life)/PB_WACC+L39*(1+PB_WACC)^-PB_Life</f>
        <v>23.153241812612</v>
      </c>
      <c r="O39" s="32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32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25" t="n">
        <f aca="false">0</f>
        <v>0</v>
      </c>
    </row>
    <row r="40" customFormat="false" ht="15" hidden="false" customHeight="false" outlineLevel="0" collapsed="false">
      <c r="A40" s="0" t="s">
        <v>238</v>
      </c>
      <c r="H40" s="32" t="n">
        <f aca="false">PB_CapGB*(1-0.55*0.7)*12/PB_Target+PB_Opex</f>
        <v>16.8405340909091</v>
      </c>
    </row>
    <row r="41" customFormat="false" ht="43.25" hidden="false" customHeight="false" outlineLevel="0" collapsed="false">
      <c r="A41" s="34" t="s">
        <v>239</v>
      </c>
    </row>
    <row r="44" customFormat="false" ht="15" hidden="false" customHeight="false" outlineLevel="0" collapsed="false">
      <c r="A44" s="3" t="s">
        <v>240</v>
      </c>
    </row>
    <row r="45" customFormat="false" ht="15" hidden="false" customHeight="false" outlineLevel="0" collapsed="false">
      <c r="A45" s="24" t="s">
        <v>241</v>
      </c>
    </row>
    <row r="46" customFormat="false" ht="15" hidden="false" customHeight="false" outlineLevel="0" collapsed="false">
      <c r="A46" s="0" t="s">
        <v>242</v>
      </c>
      <c r="B46" s="35" t="n">
        <f aca="false">RPO_Tot</f>
        <v>37490</v>
      </c>
    </row>
    <row r="47" customFormat="false" ht="15" hidden="false" customHeight="false" outlineLevel="0" collapsed="false">
      <c r="A47" s="0" t="s">
        <v>243</v>
      </c>
      <c r="B47" s="35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244</v>
      </c>
      <c r="B48" s="35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245</v>
      </c>
      <c r="B49" s="35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246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247</v>
      </c>
      <c r="B51" s="35" t="n">
        <f aca="false">PF_PV*(1-TaxRate)</f>
        <v>12447.761970136</v>
      </c>
    </row>
    <row r="52" customFormat="false" ht="15" hidden="false" customHeight="false" outlineLevel="0" collapsed="false">
      <c r="A52" s="0" t="s">
        <v>248</v>
      </c>
      <c r="B52" s="35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249</v>
      </c>
      <c r="B53" s="35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250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251</v>
      </c>
      <c r="B55" s="35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252</v>
      </c>
      <c r="B56" s="35" t="n">
        <f aca="false">1620.5</f>
        <v>1620.5</v>
      </c>
    </row>
    <row r="57" customFormat="false" ht="15" hidden="false" customHeight="false" outlineLevel="0" collapsed="false">
      <c r="A57" s="0" t="s">
        <v>253</v>
      </c>
      <c r="B57" s="35" t="n">
        <f aca="false">CH_Hi+TO_Hi+Other_Val</f>
        <v>4346.9</v>
      </c>
    </row>
    <row r="58" customFormat="false" ht="15" hidden="false" customHeight="false" outlineLevel="0" collapsed="false">
      <c r="A58" s="0" t="s">
        <v>254</v>
      </c>
      <c r="B58" s="35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255</v>
      </c>
      <c r="B59" s="35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256</v>
      </c>
      <c r="B60" s="35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257</v>
      </c>
      <c r="B61" s="35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258</v>
      </c>
      <c r="B62" s="25" t="n">
        <f aca="false">PF_PS1x</f>
        <v>16.751694488301</v>
      </c>
      <c r="C62" s="25" t="n">
        <f aca="false">PF_PS2x</f>
        <v>25.4089871102374</v>
      </c>
      <c r="D62" s="25" t="n">
        <f aca="false">PF_PS3x</f>
        <v>39.6368423190398</v>
      </c>
      <c r="E62" s="25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259</v>
      </c>
    </row>
    <row r="63" customFormat="false" ht="15" hidden="false" customHeight="false" outlineLevel="0" collapsed="false">
      <c r="A63" s="0" t="s">
        <v>260</v>
      </c>
      <c r="B63" s="35" t="n">
        <f aca="false">IF(BridgeFix=1,IF(AND(PTBasis=1,FP_On=1),PF_PSSC,PF_PSH),PF_PS1x)</f>
        <v>24.2501640779233</v>
      </c>
    </row>
    <row r="64" customFormat="false" ht="15" hidden="false" customHeight="false" outlineLevel="0" collapsed="false">
      <c r="A64" s="0" t="s">
        <v>261</v>
      </c>
      <c r="B64" s="35" t="n">
        <f aca="false">V_EV</f>
        <v>-898.814009603721</v>
      </c>
    </row>
    <row r="65" customFormat="false" ht="15" hidden="false" customHeight="false" outlineLevel="0" collapsed="false">
      <c r="A65" s="0" t="s">
        <v>262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263</v>
      </c>
      <c r="H67" s="0" t="s">
        <v>264</v>
      </c>
      <c r="I67" s="0" t="s">
        <v>265</v>
      </c>
      <c r="J67" s="0" t="s">
        <v>266</v>
      </c>
      <c r="K67" s="0" t="s">
        <v>267</v>
      </c>
      <c r="L67" s="0" t="s">
        <v>268</v>
      </c>
      <c r="M67" s="0" t="s">
        <v>269</v>
      </c>
      <c r="N67" s="0" t="s">
        <v>270</v>
      </c>
      <c r="O67" s="0" t="s">
        <v>271</v>
      </c>
    </row>
    <row r="68" customFormat="false" ht="15" hidden="false" customHeight="false" outlineLevel="0" collapsed="false">
      <c r="H68" s="25" t="n">
        <f aca="false">10</f>
        <v>10</v>
      </c>
      <c r="I68" s="25" t="n">
        <f aca="false">10</f>
        <v>10</v>
      </c>
      <c r="J68" s="25" t="n">
        <f aca="false">10</f>
        <v>10</v>
      </c>
      <c r="K68" s="25" t="n">
        <f aca="false">10</f>
        <v>10</v>
      </c>
      <c r="L68" s="25" t="n">
        <f aca="false">10</f>
        <v>10</v>
      </c>
      <c r="M68" s="25" t="n">
        <f aca="false">10</f>
        <v>10</v>
      </c>
      <c r="N68" s="25" t="n">
        <f aca="false">SharePx</f>
        <v>242.81</v>
      </c>
      <c r="O68" s="25" t="n">
        <f aca="false">SharePx</f>
        <v>242.81</v>
      </c>
    </row>
    <row r="69" customFormat="false" ht="15" hidden="false" customHeight="false" outlineLevel="0" collapsed="false">
      <c r="H69" s="25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25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25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25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25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91.6383688529733</v>
      </c>
      <c r="M69" s="25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78.7010214344575</v>
      </c>
      <c r="N69" s="25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44.0390995481077</v>
      </c>
      <c r="O69" s="25" t="n">
        <f aca="false">MAX(0.01,N68*(1+Ke)*(1-SC_Disc))</f>
        <v>274.3753</v>
      </c>
    </row>
    <row r="70" customFormat="false" ht="15" hidden="false" customHeight="false" outlineLevel="0" collapsed="false">
      <c r="H70" s="25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25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25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25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25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91.4996208483574</v>
      </c>
      <c r="M70" s="25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78.645426879892</v>
      </c>
      <c r="N70" s="25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24.2501640779233</v>
      </c>
      <c r="O70" s="25" t="n">
        <f aca="false">MAX(0.01,N69*(1+Ke)*(1-SC_Disc))</f>
        <v>49.7641824893617</v>
      </c>
    </row>
    <row r="71" customFormat="false" ht="15" hidden="false" customHeight="false" outlineLevel="0" collapsed="false">
      <c r="H71" s="25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25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25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25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25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91.501406467145</v>
      </c>
      <c r="M71" s="25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78.645426879892</v>
      </c>
      <c r="N71" s="25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24.2501640779233</v>
      </c>
      <c r="O71" s="25" t="n">
        <f aca="false">MAX(0.01,N70*(1+Ke)*(1-SC_Disc))</f>
        <v>27.4026854080534</v>
      </c>
    </row>
    <row r="72" customFormat="false" ht="15" hidden="false" customHeight="false" outlineLevel="0" collapsed="false">
      <c r="H72" s="25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25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25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25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25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91.5013834522661</v>
      </c>
      <c r="M72" s="25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78.645426879892</v>
      </c>
      <c r="N72" s="25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24.2501640779233</v>
      </c>
      <c r="O72" s="25" t="n">
        <f aca="false">MAX(0.01,N71*(1+Ke)*(1-SC_Disc))</f>
        <v>27.4026854080534</v>
      </c>
    </row>
    <row r="73" customFormat="false" ht="15" hidden="false" customHeight="false" outlineLevel="0" collapsed="false">
      <c r="H73" s="25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25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25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25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25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91.5013837488995</v>
      </c>
      <c r="M73" s="25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78.645426879892</v>
      </c>
      <c r="N73" s="25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24.2501640779233</v>
      </c>
      <c r="O73" s="25" t="n">
        <f aca="false">MAX(0.01,N72*(1+Ke)*(1-SC_Disc))</f>
        <v>27.4026854080534</v>
      </c>
    </row>
    <row r="74" customFormat="false" ht="15" hidden="false" customHeight="false" outlineLevel="0" collapsed="false">
      <c r="H74" s="25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25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25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25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25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91.5013837450763</v>
      </c>
      <c r="M74" s="25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78.645426879892</v>
      </c>
      <c r="N74" s="25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24.2501640779233</v>
      </c>
      <c r="O74" s="25" t="n">
        <f aca="false">MAX(0.01,N73*(1+Ke)*(1-SC_Disc))</f>
        <v>27.4026854080534</v>
      </c>
    </row>
    <row r="75" customFormat="false" ht="15" hidden="false" customHeight="false" outlineLevel="0" collapsed="false">
      <c r="H75" s="25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25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25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25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25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91.5013837451256</v>
      </c>
      <c r="M75" s="25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78.645426879892</v>
      </c>
      <c r="N75" s="25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24.2501640779233</v>
      </c>
      <c r="O75" s="25" t="n">
        <f aca="false">MAX(0.01,N74*(1+Ke)*(1-SC_Disc))</f>
        <v>27.4026854080534</v>
      </c>
    </row>
    <row r="76" customFormat="false" ht="15" hidden="false" customHeight="false" outlineLevel="0" collapsed="false">
      <c r="H76" s="25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25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25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25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25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91.5013837451249</v>
      </c>
      <c r="M76" s="25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78.645426879892</v>
      </c>
      <c r="N76" s="25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24.2501640779233</v>
      </c>
      <c r="O76" s="25" t="n">
        <f aca="false">MAX(0.01,N75*(1+Ke)*(1-SC_Disc))</f>
        <v>27.4026854080534</v>
      </c>
    </row>
    <row r="77" customFormat="false" ht="15" hidden="false" customHeight="false" outlineLevel="0" collapsed="false">
      <c r="H77" s="25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25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25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25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25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91.501383745125</v>
      </c>
      <c r="M77" s="25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78.645426879892</v>
      </c>
      <c r="N77" s="25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24.2501640779233</v>
      </c>
      <c r="O77" s="25" t="n">
        <f aca="false">MAX(0.01,N76*(1+Ke)*(1-SC_Disc))</f>
        <v>27.4026854080534</v>
      </c>
    </row>
    <row r="78" customFormat="false" ht="15" hidden="false" customHeight="false" outlineLevel="0" collapsed="false">
      <c r="H78" s="25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25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25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25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25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91.501383745125</v>
      </c>
      <c r="M78" s="25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78.645426879892</v>
      </c>
      <c r="N78" s="25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24.2501640779233</v>
      </c>
      <c r="O78" s="25" t="n">
        <f aca="false">MAX(0.01,N77*(1+Ke)*(1-SC_Disc))</f>
        <v>27.4026854080534</v>
      </c>
    </row>
    <row r="79" customFormat="false" ht="15" hidden="false" customHeight="false" outlineLevel="0" collapsed="false">
      <c r="H79" s="25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25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25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25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25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91.501383745125</v>
      </c>
      <c r="M79" s="25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78.645426879892</v>
      </c>
      <c r="N79" s="25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24.2501640779233</v>
      </c>
      <c r="O79" s="25" t="n">
        <f aca="false">MAX(0.01,N78*(1+Ke)*(1-SC_Disc))</f>
        <v>27.4026854080534</v>
      </c>
    </row>
    <row r="80" customFormat="false" ht="15" hidden="false" customHeight="false" outlineLevel="0" collapsed="false">
      <c r="H80" s="25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25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25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25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25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91.501383745125</v>
      </c>
      <c r="M80" s="25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78.645426879892</v>
      </c>
      <c r="N80" s="25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24.2501640779233</v>
      </c>
      <c r="O80" s="25" t="n">
        <f aca="false">MAX(0.01,N79*(1+Ke)*(1-SC_Disc))</f>
        <v>27.4026854080534</v>
      </c>
    </row>
    <row r="81" customFormat="false" ht="15" hidden="false" customHeight="false" outlineLevel="0" collapsed="false">
      <c r="H81" s="25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25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25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25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25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91.501383745125</v>
      </c>
      <c r="M81" s="25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78.645426879892</v>
      </c>
      <c r="N81" s="25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24.2501640779233</v>
      </c>
      <c r="O81" s="25" t="n">
        <f aca="false">MAX(0.01,N80*(1+Ke)*(1-SC_Disc))</f>
        <v>27.4026854080534</v>
      </c>
    </row>
    <row r="82" customFormat="false" ht="15" hidden="false" customHeight="false" outlineLevel="0" collapsed="false">
      <c r="H82" s="25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25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25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25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25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91.501383745125</v>
      </c>
      <c r="M82" s="25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78.645426879892</v>
      </c>
      <c r="N82" s="25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24.2501640779233</v>
      </c>
      <c r="O82" s="25" t="n">
        <f aca="false">MAX(0.01,N81*(1+Ke)*(1-SC_Disc))</f>
        <v>27.4026854080534</v>
      </c>
    </row>
    <row r="83" customFormat="false" ht="15" hidden="false" customHeight="false" outlineLevel="0" collapsed="false">
      <c r="H83" s="25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25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25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25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25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91.501383745125</v>
      </c>
      <c r="M83" s="25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78.645426879892</v>
      </c>
      <c r="N83" s="25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24.2501640779233</v>
      </c>
      <c r="O83" s="25" t="n">
        <f aca="false">MAX(0.01,N82*(1+Ke)*(1-SC_Disc))</f>
        <v>27.4026854080534</v>
      </c>
    </row>
    <row r="84" customFormat="false" ht="15" hidden="false" customHeight="false" outlineLevel="0" collapsed="false">
      <c r="H84" s="25" t="n">
        <f aca="false">IF(H83&lt;=0.011,0,H83)</f>
        <v>16.751694488301</v>
      </c>
      <c r="I84" s="25" t="n">
        <f aca="false">IF(I83&lt;=0.011,0,I83)</f>
        <v>25.4089871102374</v>
      </c>
      <c r="J84" s="25" t="n">
        <f aca="false">IF(J83&lt;=0.011,0,J83)</f>
        <v>39.6368423190398</v>
      </c>
      <c r="K84" s="25" t="n">
        <f aca="false">IF(K83&lt;=0.011,0,K83)</f>
        <v>18.7642752834672</v>
      </c>
      <c r="L84" s="25" t="n">
        <f aca="false">IF(L83&lt;=0.011,0,L83)</f>
        <v>91.501383745125</v>
      </c>
      <c r="M84" s="25" t="n">
        <f aca="false">IF(M83&lt;=0.011,0,M83)</f>
        <v>78.645426879892</v>
      </c>
      <c r="N84" s="25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24.2501640779233</v>
      </c>
      <c r="O84" s="25" t="n">
        <f aca="false">MAX(0.01,N83*(1+Ke)*(1-SC_Disc))</f>
        <v>27.4026854080534</v>
      </c>
    </row>
    <row r="85" customFormat="false" ht="15" hidden="false" customHeight="false" outlineLevel="0" collapsed="false">
      <c r="K85" s="0" t="s">
        <v>272</v>
      </c>
      <c r="N85" s="25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24.2501640779233</v>
      </c>
      <c r="O85" s="25" t="n">
        <f aca="false">MAX(0.01,N84*(1+Ke)*(1-SC_Disc))</f>
        <v>27.4026854080534</v>
      </c>
    </row>
    <row r="86" customFormat="false" ht="15" hidden="false" customHeight="false" outlineLevel="0" collapsed="false">
      <c r="K86" s="25" t="n">
        <f aca="false">IF(FP_On=1,PF_PSSF,PF_PSS)</f>
        <v>91.501383745125</v>
      </c>
      <c r="L86" s="25" t="n">
        <f aca="false">PF_PSHead*(1+Ke)</f>
        <v>27.4026854080534</v>
      </c>
      <c r="M86" s="25" t="n">
        <f aca="false">PF_DCFRep-IF(FP_On=1,V_PSSpot,V_PS)</f>
        <v>0</v>
      </c>
      <c r="N86" s="25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24.2501640779233</v>
      </c>
      <c r="O86" s="25" t="n">
        <f aca="false">MAX(0.01,N85*(1+Ke)*(1-SC_Disc))</f>
        <v>27.4026854080534</v>
      </c>
    </row>
    <row r="87" customFormat="false" ht="15" hidden="false" customHeight="false" outlineLevel="0" collapsed="false">
      <c r="A87" s="3" t="s">
        <v>273</v>
      </c>
      <c r="E87" s="3" t="s">
        <v>274</v>
      </c>
      <c r="N87" s="25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24.2501640779233</v>
      </c>
      <c r="O87" s="25" t="n">
        <f aca="false">MAX(0.01,N86*(1+Ke)*(1-SC_Disc))</f>
        <v>27.4026854080534</v>
      </c>
    </row>
    <row r="88" customFormat="false" ht="15" hidden="false" customHeight="false" outlineLevel="0" collapsed="false">
      <c r="A88" s="0" t="s">
        <v>275</v>
      </c>
      <c r="B88" s="25" t="n">
        <f aca="false">MYRate</f>
        <v>16</v>
      </c>
      <c r="C88" s="25" t="n">
        <f aca="false">B88*1000000/(491*8760)</f>
        <v>3.71992671744367</v>
      </c>
      <c r="E88" s="0" t="s">
        <v>276</v>
      </c>
      <c r="F88" s="36" t="n">
        <f aca="false">PX_Ratio</f>
        <v>1.5535546875</v>
      </c>
      <c r="N88" s="25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24.2501640779233</v>
      </c>
      <c r="O88" s="25" t="n">
        <f aca="false">MAX(0.01,N87*(1+Ke)*(1-SC_Disc))</f>
        <v>27.4026854080534</v>
      </c>
    </row>
    <row r="89" customFormat="false" ht="15" hidden="false" customHeight="false" outlineLevel="0" collapsed="false">
      <c r="A89" s="0" t="s">
        <v>277</v>
      </c>
      <c r="B89" s="25" t="n">
        <f aca="false">MYRate*ND_GrossX</f>
        <v>19.2078239608802</v>
      </c>
      <c r="C89" s="25" t="n">
        <f aca="false">B89*1000000/(491*8760)</f>
        <v>4.46573109600205</v>
      </c>
      <c r="E89" s="0" t="s">
        <v>278</v>
      </c>
      <c r="F89" s="36" t="n">
        <f aca="false">RubinMW/MYRate</f>
        <v>1.0125</v>
      </c>
      <c r="N89" s="25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24.2501640779233</v>
      </c>
      <c r="O89" s="25" t="n">
        <f aca="false">MAX(0.01,N88*(1+Ke)*(1-SC_Disc))</f>
        <v>27.4026854080534</v>
      </c>
    </row>
    <row r="90" customFormat="false" ht="15" hidden="false" customHeight="false" outlineLevel="0" collapsed="false">
      <c r="A90" s="0" t="s">
        <v>279</v>
      </c>
      <c r="B90" s="25" t="n">
        <f aca="false">ACV_Q2</f>
        <v>22.5</v>
      </c>
      <c r="C90" s="25" t="n">
        <f aca="false">B90*1000000/(491*8760)</f>
        <v>5.23114694640516</v>
      </c>
      <c r="E90" s="0" t="s">
        <v>280</v>
      </c>
      <c r="F90" s="36" t="n">
        <f aca="false">CPM_Lease_VR/CPM_Lease_GB300</f>
        <v>1.09004417261298</v>
      </c>
      <c r="N90" s="25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24.2501640779233</v>
      </c>
      <c r="O90" s="25" t="n">
        <f aca="false">MAX(0.01,N89*(1+Ke)*(1-SC_Disc))</f>
        <v>27.4026854080534</v>
      </c>
    </row>
    <row r="91" customFormat="false" ht="15" hidden="false" customHeight="false" outlineLevel="0" collapsed="false">
      <c r="A91" s="0" t="s">
        <v>281</v>
      </c>
      <c r="B91" s="25" t="n">
        <f aca="false">RubinMW</f>
        <v>16.2</v>
      </c>
      <c r="C91" s="25" t="n">
        <f aca="false">B91*1000000/(GPUMW_N*8760)</f>
        <v>5.7791095890411</v>
      </c>
      <c r="D91" s="36" t="n">
        <f aca="false">C91/C88</f>
        <v>1.5535546875</v>
      </c>
      <c r="E91" s="0" t="s">
        <v>282</v>
      </c>
      <c r="F91" s="37" t="n">
        <f aca="false">RubinMW/CPM_Lease_VR</f>
        <v>0.403990024937656</v>
      </c>
      <c r="N91" s="25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24.2501640779233</v>
      </c>
      <c r="O91" s="25" t="n">
        <f aca="false">MAX(0.01,N90*(1+Ke)*(1-SC_Disc))</f>
        <v>27.4026854080534</v>
      </c>
    </row>
    <row r="92" customFormat="false" ht="15" hidden="false" customHeight="false" outlineLevel="0" collapsed="false">
      <c r="E92" s="0" t="s">
        <v>283</v>
      </c>
      <c r="F92" s="37" t="n">
        <f aca="false">MYRate/CPM_Lease_GB300</f>
        <v>0.434930343187224</v>
      </c>
      <c r="N92" s="25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24.2501640779233</v>
      </c>
      <c r="O92" s="25" t="n">
        <f aca="false">MAX(0.01,N91*(1+Ke)*(1-SC_Disc))</f>
        <v>27.4026854080534</v>
      </c>
    </row>
    <row r="93" customFormat="false" ht="15" hidden="false" customHeight="false" outlineLevel="0" collapsed="false">
      <c r="E93" s="0" t="s">
        <v>284</v>
      </c>
      <c r="F93" s="33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25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24.2501640779233</v>
      </c>
      <c r="O93" s="25" t="n">
        <f aca="false">MAX(0.01,N92*(1+Ke)*(1-SC_Disc))</f>
        <v>27.4026854080534</v>
      </c>
    </row>
    <row r="94" customFormat="false" ht="15" hidden="false" customHeight="false" outlineLevel="0" collapsed="false">
      <c r="A94" s="3" t="s">
        <v>285</v>
      </c>
      <c r="N94" s="25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24.2501640779233</v>
      </c>
      <c r="O94" s="25" t="n">
        <f aca="false">MAX(0.01,N93*(1+Ke)*(1-SC_Disc))</f>
        <v>27.4026854080534</v>
      </c>
    </row>
    <row r="95" customFormat="false" ht="15" hidden="false" customHeight="false" outlineLevel="0" collapsed="false">
      <c r="A95" s="0" t="s">
        <v>286</v>
      </c>
      <c r="B95" s="38" t="n">
        <v>0.522</v>
      </c>
      <c r="N95" s="25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24.2501640779233</v>
      </c>
      <c r="O95" s="25" t="n">
        <f aca="false">MAX(0.01,N94*(1+Ke)*(1-SC_Disc))</f>
        <v>27.4026854080534</v>
      </c>
    </row>
    <row r="96" customFormat="false" ht="15" hidden="false" customHeight="false" outlineLevel="0" collapsed="false">
      <c r="A96" s="0" t="s">
        <v>287</v>
      </c>
      <c r="B96" s="38" t="n">
        <v>17.086</v>
      </c>
      <c r="N96" s="25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24.2501640779233</v>
      </c>
      <c r="O96" s="25" t="n">
        <f aca="false">MAX(0.01,N95*(1+Ke)*(1-SC_Disc))</f>
        <v>27.4026854080534</v>
      </c>
    </row>
    <row r="97" customFormat="false" ht="15" hidden="false" customHeight="false" outlineLevel="0" collapsed="false">
      <c r="A97" s="0" t="s">
        <v>288</v>
      </c>
      <c r="B97" s="25" t="n">
        <f aca="false">574.9*4/AVERAGE(INDEX(MW_En,1,9),INDEX(MW_En,1,10))</f>
        <v>13.0112249822762</v>
      </c>
      <c r="N97" s="25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24.2501640779233</v>
      </c>
      <c r="O97" s="25" t="n">
        <f aca="false">MAX(0.01,N96*(1+Ke)*(1-SC_Disc))</f>
        <v>27.4026854080534</v>
      </c>
    </row>
    <row r="98" customFormat="false" ht="15" hidden="false" customHeight="false" outlineLevel="0" collapsed="false">
      <c r="A98" s="3" t="s">
        <v>289</v>
      </c>
      <c r="B98" s="3" t="s">
        <v>290</v>
      </c>
      <c r="C98" s="3" t="s">
        <v>291</v>
      </c>
      <c r="D98" s="3" t="s">
        <v>292</v>
      </c>
      <c r="E98" s="3" t="s">
        <v>293</v>
      </c>
      <c r="F98" s="3" t="s">
        <v>294</v>
      </c>
      <c r="G98" s="3" t="s">
        <v>295</v>
      </c>
      <c r="H98" s="3" t="s">
        <v>296</v>
      </c>
      <c r="N98" s="25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24.2501640779233</v>
      </c>
      <c r="O98" s="25" t="n">
        <f aca="false">MAX(0.01,N97*(1+Ke)*(1-SC_Disc))</f>
        <v>27.4026854080534</v>
      </c>
    </row>
    <row r="99" customFormat="false" ht="15" hidden="false" customHeight="false" outlineLevel="0" collapsed="false">
      <c r="A99" s="26" t="n">
        <f aca="false">11</f>
        <v>11</v>
      </c>
      <c r="B99" s="39" t="n">
        <f aca="false">INDEX(MW_En,1,11)</f>
        <v>216.9897</v>
      </c>
      <c r="C99" s="39" t="n">
        <f aca="false">AVERAGE(INDEX(MW_En,1,10),INDEX(MW_En,1,11))</f>
        <v>199.7397</v>
      </c>
      <c r="D99" s="39" t="n">
        <f aca="false">MAX(0,INDEX(MW_En,1,11)-INDEX(MW_En,1,10))</f>
        <v>34.5</v>
      </c>
      <c r="E99" s="25" t="n">
        <f aca="false">(DX_L0*AVERAGE(INDEX(MW_En,1,9),INDEX(MW_En,1,10))+DX_P*MAX(0,C99-AVERAGE(INDEX(MW_En,1,9),INDEX(MW_En,1,10))))/C99</f>
        <v>13.4804347858738</v>
      </c>
      <c r="F99" s="25" t="n">
        <f aca="false">E99*(1-DX_k*D99/C99)</f>
        <v>12.2650071565202</v>
      </c>
      <c r="G99" s="35" t="n">
        <f aca="false">F99*C99/4</f>
        <v>612.4522124853</v>
      </c>
      <c r="H99" s="35" t="n">
        <f aca="false">INDEX(AIRev,1,11)</f>
        <v>667.138407680941</v>
      </c>
      <c r="N99" s="25" t="n">
        <f aca="false">IF(N98&lt;=0.011,0,N98)</f>
        <v>24.2501640779233</v>
      </c>
    </row>
    <row r="100" customFormat="false" ht="15" hidden="false" customHeight="false" outlineLevel="0" collapsed="false">
      <c r="A100" s="26" t="n">
        <f aca="false">12</f>
        <v>12</v>
      </c>
      <c r="B100" s="39" t="n">
        <f aca="false">INDEX(MW_En,1,12)</f>
        <v>301.7195</v>
      </c>
      <c r="C100" s="39" t="n">
        <f aca="false">AVERAGE(INDEX(MW_En,1,11),INDEX(MW_En,1,12))</f>
        <v>259.3546</v>
      </c>
      <c r="D100" s="39" t="n">
        <f aca="false">MAX(0,INDEX(MW_En,1,12)-INDEX(MW_En,1,11))</f>
        <v>84.7298</v>
      </c>
      <c r="E100" s="25" t="n">
        <f aca="false">(DX_L0*AVERAGE(INDEX(MW_En,1,9),INDEX(MW_En,1,10))+DX_P*MAX(0,C100-AVERAGE(INDEX(MW_En,1,9),INDEX(MW_En,1,10))))/C100</f>
        <v>14.3092051631242</v>
      </c>
      <c r="F100" s="25" t="n">
        <f aca="false">E100*(1-DX_k*D100/C100)</f>
        <v>11.868989335716</v>
      </c>
      <c r="G100" s="35" t="n">
        <f aca="false">F100*C100/4</f>
        <v>769.569245392223</v>
      </c>
      <c r="H100" s="35" t="n">
        <f aca="false">INDEX(AIRev,1,12)</f>
        <v>801.394173895167</v>
      </c>
    </row>
    <row r="101" customFormat="false" ht="15" hidden="false" customHeight="false" outlineLevel="0" collapsed="false">
      <c r="A101" s="26" t="n">
        <f aca="false">13</f>
        <v>13</v>
      </c>
      <c r="B101" s="39" t="n">
        <f aca="false">INDEX(MW_En,1,13)</f>
        <v>453.79225</v>
      </c>
      <c r="C101" s="39" t="n">
        <f aca="false">AVERAGE(INDEX(MW_En,1,12),INDEX(MW_En,1,13))</f>
        <v>377.755875</v>
      </c>
      <c r="D101" s="39" t="n">
        <f aca="false">MAX(0,INDEX(MW_En,1,13)-INDEX(MW_En,1,12))</f>
        <v>152.07275</v>
      </c>
      <c r="E101" s="25" t="n">
        <f aca="false">(DX_L0*AVERAGE(INDEX(MW_En,1,9),INDEX(MW_En,1,10))+DX_P*MAX(0,C101-AVERAGE(INDEX(MW_En,1,9),INDEX(MW_En,1,10))))/C101</f>
        <v>15.1795451653796</v>
      </c>
      <c r="F101" s="25" t="n">
        <f aca="false">E101*(1-DX_k*D101/C101)</f>
        <v>11.9897012419216</v>
      </c>
      <c r="G101" s="35" t="n">
        <f aca="false">F101*C101/4</f>
        <v>1132.29502090767</v>
      </c>
      <c r="H101" s="35" t="n">
        <f aca="false">INDEX(AIRev,1,13)</f>
        <v>1019.79435176515</v>
      </c>
    </row>
    <row r="102" customFormat="false" ht="15" hidden="false" customHeight="false" outlineLevel="0" collapsed="false">
      <c r="A102" s="26" t="n">
        <f aca="false">14</f>
        <v>14</v>
      </c>
      <c r="B102" s="39" t="n">
        <f aca="false">INDEX(MW_En,1,14)</f>
        <v>629.5368</v>
      </c>
      <c r="C102" s="39" t="n">
        <f aca="false">AVERAGE(INDEX(MW_En,1,13),INDEX(MW_En,1,14))</f>
        <v>541.664525</v>
      </c>
      <c r="D102" s="39" t="n">
        <f aca="false">MAX(0,INDEX(MW_En,1,14)-INDEX(MW_En,1,13))</f>
        <v>175.74455</v>
      </c>
      <c r="E102" s="25" t="n">
        <f aca="false">(DX_L0*AVERAGE(INDEX(MW_En,1,9),INDEX(MW_En,1,10))+DX_P*MAX(0,C102-AVERAGE(INDEX(MW_En,1,9),INDEX(MW_En,1,10))))/C102</f>
        <v>15.7564417938391</v>
      </c>
      <c r="F102" s="25" t="n">
        <f aca="false">E102*(1-DX_k*D102/C102)</f>
        <v>13.0878624193116</v>
      </c>
      <c r="G102" s="35" t="n">
        <f aca="false">F102*C102/4</f>
        <v>1772.30769515544</v>
      </c>
      <c r="H102" s="35" t="n">
        <f aca="false">INDEX(AIRev,1,14)</f>
        <v>1625.12051074108</v>
      </c>
    </row>
    <row r="103" customFormat="false" ht="15" hidden="false" customHeight="false" outlineLevel="0" collapsed="false">
      <c r="A103" s="26" t="n">
        <f aca="false">15</f>
        <v>15</v>
      </c>
      <c r="B103" s="39" t="n">
        <f aca="false">INDEX(MW_En,1,15)</f>
        <v>812.6073</v>
      </c>
      <c r="C103" s="39" t="n">
        <f aca="false">AVERAGE(INDEX(MW_En,1,14),INDEX(MW_En,1,15))</f>
        <v>721.07205</v>
      </c>
      <c r="D103" s="39" t="n">
        <f aca="false">MAX(0,INDEX(MW_En,1,15)-INDEX(MW_En,1,14))</f>
        <v>183.0705</v>
      </c>
      <c r="E103" s="25" t="n">
        <f aca="false">(DX_L0*AVERAGE(INDEX(MW_En,1,9),INDEX(MW_En,1,10))+DX_P*MAX(0,C103-AVERAGE(INDEX(MW_En,1,9),INDEX(MW_En,1,10))))/C103</f>
        <v>16.0872447241576</v>
      </c>
      <c r="F103" s="25" t="n">
        <f aca="false">E103*(1-DX_k*D103/C103)</f>
        <v>13.9552217644368</v>
      </c>
      <c r="G103" s="35" t="n">
        <f aca="false">F103*C103/4</f>
        <v>2515.68009147176</v>
      </c>
      <c r="H103" s="35" t="n">
        <f aca="false">INDEX(AIRev,1,15)</f>
        <v>2454.04151213617</v>
      </c>
    </row>
    <row r="104" customFormat="false" ht="15" hidden="false" customHeight="false" outlineLevel="0" collapsed="false">
      <c r="A104" s="26" t="n">
        <f aca="false">16</f>
        <v>16</v>
      </c>
      <c r="B104" s="39" t="n">
        <f aca="false">INDEX(MW_En,1,16)</f>
        <v>1081.9108</v>
      </c>
      <c r="C104" s="39" t="n">
        <f aca="false">AVERAGE(INDEX(MW_En,1,15),INDEX(MW_En,1,16))</f>
        <v>947.25905</v>
      </c>
      <c r="D104" s="39" t="n">
        <f aca="false">MAX(0,INDEX(MW_En,1,16)-INDEX(MW_En,1,15))</f>
        <v>269.3035</v>
      </c>
      <c r="E104" s="25" t="n">
        <f aca="false">(DX_L0*AVERAGE(INDEX(MW_En,1,9),INDEX(MW_En,1,10))+DX_P*MAX(0,C104-AVERAGE(INDEX(MW_En,1,9),INDEX(MW_En,1,10))))/C104</f>
        <v>16.3257280192784</v>
      </c>
      <c r="F104" s="25" t="n">
        <f aca="false">E104*(1-DX_k*D104/C104)</f>
        <v>13.902935106269</v>
      </c>
      <c r="G104" s="35" t="n">
        <f aca="false">F104*C104/4</f>
        <v>3292.42027524402</v>
      </c>
      <c r="H104" s="35" t="n">
        <f aca="false">INDEX(AIRev,1,16)</f>
        <v>3077.91728058742</v>
      </c>
    </row>
    <row r="105" customFormat="false" ht="15" hidden="false" customHeight="false" outlineLevel="0" collapsed="false">
      <c r="A105" s="0" t="s">
        <v>297</v>
      </c>
      <c r="B105" s="35" t="n">
        <f aca="false">SUM(G101:G104)</f>
        <v>8712.70308277889</v>
      </c>
      <c r="C105" s="35" t="n">
        <f aca="false">SUM(H101:H104)</f>
        <v>8176.87365522983</v>
      </c>
      <c r="D105" s="35" t="n">
        <f aca="false">C105-B105</f>
        <v>-535.829427549061</v>
      </c>
    </row>
    <row r="108" customFormat="false" ht="15" hidden="false" customHeight="false" outlineLevel="0" collapsed="false">
      <c r="A108" s="3" t="s">
        <v>298</v>
      </c>
    </row>
    <row r="109" customFormat="false" ht="15" hidden="false" customHeight="false" outlineLevel="0" collapsed="false">
      <c r="A109" s="3" t="s">
        <v>299</v>
      </c>
      <c r="B109" s="3" t="s">
        <v>300</v>
      </c>
      <c r="C109" s="3" t="s">
        <v>301</v>
      </c>
      <c r="D109" s="3" t="s">
        <v>302</v>
      </c>
      <c r="E109" s="3" t="s">
        <v>303</v>
      </c>
      <c r="F109" s="3" t="s">
        <v>304</v>
      </c>
      <c r="G109" s="3" t="s">
        <v>213</v>
      </c>
      <c r="H109" s="3" t="s">
        <v>214</v>
      </c>
    </row>
    <row r="110" customFormat="false" ht="15" hidden="false" customHeight="false" outlineLevel="0" collapsed="false">
      <c r="A110" s="0" t="s">
        <v>305</v>
      </c>
      <c r="B110" s="32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32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32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32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32" t="n">
        <f aca="false">H28</f>
        <v>16</v>
      </c>
      <c r="G110" s="32" t="n">
        <f aca="false">F28</f>
        <v>38.3875</v>
      </c>
      <c r="H110" s="25" t="n">
        <f aca="false">G28</f>
        <v>4.5</v>
      </c>
    </row>
    <row r="111" customFormat="false" ht="15" hidden="false" customHeight="false" outlineLevel="0" collapsed="false">
      <c r="A111" s="0" t="s">
        <v>306</v>
      </c>
      <c r="B111" s="32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32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32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32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32" t="n">
        <f aca="false">H29</f>
        <v>16.2</v>
      </c>
      <c r="G111" s="32" t="n">
        <f aca="false">F29</f>
        <v>41.7</v>
      </c>
      <c r="H111" s="25" t="n">
        <f aca="false">G29</f>
        <v>4.5</v>
      </c>
    </row>
    <row r="112" customFormat="false" ht="15" hidden="false" customHeight="false" outlineLevel="0" collapsed="false">
      <c r="A112" s="0" t="s">
        <v>307</v>
      </c>
      <c r="B112" s="32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32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32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32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32" t="n">
        <f aca="false">H33</f>
        <v>16</v>
      </c>
      <c r="G112" s="32" t="n">
        <f aca="false">F33</f>
        <v>49.2875</v>
      </c>
      <c r="H112" s="25" t="n">
        <f aca="false">G33</f>
        <v>2.25</v>
      </c>
    </row>
    <row r="113" customFormat="false" ht="15" hidden="false" customHeight="false" outlineLevel="0" collapsed="false">
      <c r="A113" s="0" t="s">
        <v>308</v>
      </c>
      <c r="B113" s="32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32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32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32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32" t="n">
        <f aca="false">H34</f>
        <v>16.2</v>
      </c>
      <c r="G113" s="32" t="n">
        <f aca="false">F34</f>
        <v>52.6</v>
      </c>
      <c r="H113" s="25" t="n">
        <f aca="false">G34</f>
        <v>2.25</v>
      </c>
    </row>
    <row r="114" customFormat="false" ht="15" hidden="false" customHeight="false" outlineLevel="0" collapsed="false">
      <c r="A114" s="0" t="s">
        <v>309</v>
      </c>
      <c r="B114" s="32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32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32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32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32" t="n">
        <f aca="false">H35</f>
        <v>16</v>
      </c>
      <c r="G114" s="32" t="n">
        <f aca="false">F35</f>
        <v>42.3739829795942</v>
      </c>
      <c r="H114" s="25" t="n">
        <f aca="false">G35</f>
        <v>3.21164663290589</v>
      </c>
    </row>
    <row r="115" customFormat="false" ht="15" hidden="false" customHeight="false" outlineLevel="0" collapsed="false">
      <c r="A115" s="0" t="s">
        <v>310</v>
      </c>
      <c r="B115" s="32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32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32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32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32" t="n">
        <f aca="false">H36</f>
        <v>16.2</v>
      </c>
      <c r="G115" s="32" t="n">
        <f aca="false">F36</f>
        <v>51.1177198543071</v>
      </c>
      <c r="H115" s="25" t="n">
        <f aca="false">G36</f>
        <v>2.76442666301194</v>
      </c>
    </row>
    <row r="116" customFormat="false" ht="15" hidden="false" customHeight="false" outlineLevel="0" collapsed="false">
      <c r="A116" s="0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312</v>
      </c>
    </row>
    <row r="4" customFormat="false" ht="15" hidden="false" customHeight="false" outlineLevel="0" collapsed="false">
      <c r="A4" s="3" t="s">
        <v>313</v>
      </c>
    </row>
    <row r="5" customFormat="false" ht="15" hidden="false" customHeight="false" outlineLevel="0" collapsed="false">
      <c r="A5" s="0" t="s">
        <v>314</v>
      </c>
      <c r="B5" s="40" t="n">
        <f aca="false">MIN(INDEX(Liq,1,11):INDEX(Liq,1,16))</f>
        <v>1000</v>
      </c>
      <c r="C5" s="24"/>
    </row>
    <row r="6" customFormat="false" ht="15" hidden="false" customHeight="false" outlineLevel="0" collapsed="false">
      <c r="A6" s="0" t="s">
        <v>315</v>
      </c>
      <c r="B6" s="40" t="n">
        <f aca="false">MIN(INDEX(Liq,1,11):INDEX(Liq,1,20))</f>
        <v>1000</v>
      </c>
      <c r="C6" s="24"/>
    </row>
    <row r="7" customFormat="false" ht="15" hidden="false" customHeight="false" outlineLevel="0" collapsed="false">
      <c r="A7" s="0" t="s">
        <v>316</v>
      </c>
      <c r="B7" s="40" t="n">
        <f aca="false">MAX(0,MinCash-FU_Min27)</f>
        <v>1000</v>
      </c>
      <c r="C7" s="24"/>
    </row>
    <row r="8" customFormat="false" ht="15" hidden="false" customHeight="false" outlineLevel="0" collapsed="false">
      <c r="A8" s="0" t="s">
        <v>317</v>
      </c>
      <c r="B8" s="40" t="n">
        <f aca="false">MAX(0,MinCash-FU_Min28)</f>
        <v>1000</v>
      </c>
      <c r="C8" s="24"/>
    </row>
    <row r="9" customFormat="false" ht="15" hidden="false" customHeight="false" outlineLevel="0" collapsed="false">
      <c r="A9" s="0" t="s">
        <v>318</v>
      </c>
      <c r="B9" s="31" t="n">
        <v>1</v>
      </c>
      <c r="C9" s="24"/>
    </row>
    <row r="10" customFormat="false" ht="15" hidden="false" customHeight="false" outlineLevel="0" collapsed="false">
      <c r="A10" s="0" t="s">
        <v>319</v>
      </c>
      <c r="B10" s="40" t="n">
        <f aca="false">IF(FU_TgtSel=2,FU_Gap28,FU_Gap27)</f>
        <v>1000</v>
      </c>
      <c r="C10" s="24"/>
    </row>
    <row r="11" customFormat="false" ht="15" hidden="false" customHeight="false" outlineLevel="0" collapsed="false">
      <c r="A11" s="0" t="s">
        <v>320</v>
      </c>
      <c r="B11" s="25" t="n">
        <f aca="false">V_PS</f>
        <v>0.01</v>
      </c>
      <c r="C11" s="24"/>
    </row>
    <row r="12" customFormat="false" ht="15" hidden="false" customHeight="false" outlineLevel="0" collapsed="false">
      <c r="A12" s="0" t="s">
        <v>321</v>
      </c>
      <c r="B12" s="39" t="n">
        <f aca="false">IFERROR(V_EQ/V_PS,0)</f>
        <v>-62109.6213862173</v>
      </c>
      <c r="C12" s="24"/>
    </row>
    <row r="14" customFormat="false" ht="15" hidden="false" customHeight="false" outlineLevel="0" collapsed="false">
      <c r="A14" s="3" t="s">
        <v>322</v>
      </c>
    </row>
    <row r="15" customFormat="false" ht="15" hidden="false" customHeight="false" outlineLevel="0" collapsed="false">
      <c r="A15" s="0" t="s">
        <v>323</v>
      </c>
      <c r="B15" s="25" t="n">
        <f aca="false">ATM_Rem</f>
        <v>12.270507</v>
      </c>
      <c r="C15" s="24"/>
    </row>
    <row r="16" customFormat="false" ht="15" hidden="false" customHeight="false" outlineLevel="0" collapsed="false">
      <c r="A16" s="0" t="s">
        <v>324</v>
      </c>
      <c r="B16" s="25" t="n">
        <f aca="false">SharePx*(1-FU_ATMd)</f>
        <v>237.9538</v>
      </c>
      <c r="C16" s="24"/>
    </row>
    <row r="17" customFormat="false" ht="15" hidden="false" customHeight="false" outlineLevel="0" collapsed="false">
      <c r="A17" s="0" t="s">
        <v>325</v>
      </c>
      <c r="B17" s="41" t="n">
        <v>0.02</v>
      </c>
      <c r="C17" s="24"/>
    </row>
    <row r="18" customFormat="false" ht="15" hidden="false" customHeight="false" outlineLevel="0" collapsed="false">
      <c r="A18" s="0" t="s">
        <v>326</v>
      </c>
      <c r="B18" s="42" t="n">
        <v>1500</v>
      </c>
      <c r="C18" s="24" t="s">
        <v>327</v>
      </c>
    </row>
    <row r="19" customFormat="false" ht="15" hidden="false" customHeight="false" outlineLevel="0" collapsed="false">
      <c r="A19" s="0" t="s">
        <v>328</v>
      </c>
      <c r="B19" s="41" t="n">
        <v>0</v>
      </c>
      <c r="C19" s="24"/>
    </row>
    <row r="20" customFormat="false" ht="15" hidden="false" customHeight="false" outlineLevel="0" collapsed="false">
      <c r="A20" s="0" t="s">
        <v>329</v>
      </c>
      <c r="B20" s="43" t="n">
        <v>0.5</v>
      </c>
      <c r="C20" s="24"/>
    </row>
    <row r="21" customFormat="false" ht="15" hidden="false" customHeight="false" outlineLevel="0" collapsed="false">
      <c r="A21" s="0" t="s">
        <v>330</v>
      </c>
      <c r="B21" s="40" t="n">
        <f aca="false">INDEX(NBV_H,1,14)+INDEX(NBV_B,1,14)+INDEX(NBV_N,1,14)</f>
        <v>29053.324978375</v>
      </c>
      <c r="C21" s="24"/>
    </row>
    <row r="22" customFormat="false" ht="15" hidden="false" customHeight="false" outlineLevel="0" collapsed="false">
      <c r="A22" s="0" t="s">
        <v>331</v>
      </c>
      <c r="B22" s="40" t="n">
        <f aca="false">MIN(FU_LTV*FU_NBV,FU_ABSCap)</f>
        <v>5000</v>
      </c>
      <c r="C22" s="24"/>
    </row>
    <row r="23" customFormat="false" ht="15" hidden="false" customHeight="false" outlineLevel="0" collapsed="false">
      <c r="A23" s="0" t="s">
        <v>332</v>
      </c>
      <c r="B23" s="42" t="n">
        <v>5000</v>
      </c>
      <c r="C23" s="24"/>
    </row>
    <row r="24" customFormat="false" ht="15" hidden="false" customHeight="false" outlineLevel="0" collapsed="false">
      <c r="A24" s="0" t="s">
        <v>333</v>
      </c>
      <c r="B24" s="41" t="n">
        <v>0.09</v>
      </c>
      <c r="C24" s="24" t="s">
        <v>334</v>
      </c>
    </row>
    <row r="25" customFormat="false" ht="15" hidden="false" customHeight="false" outlineLevel="0" collapsed="false">
      <c r="A25" s="0" t="s">
        <v>335</v>
      </c>
      <c r="B25" s="42" t="n">
        <v>3000</v>
      </c>
      <c r="C25" s="24"/>
    </row>
    <row r="26" customFormat="false" ht="15" hidden="false" customHeight="false" outlineLevel="0" collapsed="false">
      <c r="A26" s="0" t="s">
        <v>336</v>
      </c>
      <c r="B26" s="43" t="n">
        <v>0.35</v>
      </c>
      <c r="C26" s="24"/>
    </row>
    <row r="27" customFormat="false" ht="15" hidden="false" customHeight="false" outlineLevel="0" collapsed="false">
      <c r="A27" s="0" t="s">
        <v>337</v>
      </c>
      <c r="B27" s="25" t="n">
        <f aca="false">SharePx*(1+FU_CVPrem)</f>
        <v>327.7935</v>
      </c>
      <c r="C27" s="24"/>
    </row>
    <row r="29" customFormat="false" ht="15" hidden="false" customHeight="false" outlineLevel="0" collapsed="false">
      <c r="A29" s="3" t="s">
        <v>338</v>
      </c>
      <c r="B29" s="3" t="s">
        <v>339</v>
      </c>
      <c r="C29" s="3" t="s">
        <v>340</v>
      </c>
      <c r="D29" s="3" t="s">
        <v>341</v>
      </c>
      <c r="E29" s="3" t="s">
        <v>53</v>
      </c>
      <c r="F29" s="3" t="s">
        <v>342</v>
      </c>
    </row>
    <row r="30" customFormat="false" ht="15" hidden="false" customHeight="false" outlineLevel="0" collapsed="false">
      <c r="A30" s="0" t="s">
        <v>343</v>
      </c>
      <c r="B30" s="35" t="n">
        <f aca="false">FU_ATMsh*FU_ATMpx</f>
        <v>2919.8137685766</v>
      </c>
      <c r="C30" s="25" t="n">
        <f aca="false">FU_ATMsh</f>
        <v>12.270507</v>
      </c>
      <c r="D30" s="25" t="n">
        <f aca="false">(V_EQ+FU_ATMsh*FU_ATMpx)/(FU_N+FU_ATMsh)</f>
        <v>-0.0370179648916998</v>
      </c>
      <c r="E30" s="44" t="n">
        <f aca="false">D30-FU_V</f>
        <v>-0.0470179648916998</v>
      </c>
      <c r="F30" s="29" t="n">
        <f aca="false">IFERROR(C30/FU_N,0)</f>
        <v>-0.000197562096276487</v>
      </c>
    </row>
    <row r="31" customFormat="false" ht="15" hidden="false" customHeight="false" outlineLevel="0" collapsed="false">
      <c r="A31" s="0" t="s">
        <v>344</v>
      </c>
      <c r="B31" s="35" t="n">
        <f aca="false">FU_PreAmt</f>
        <v>1500</v>
      </c>
      <c r="C31" s="25" t="n">
        <f aca="false">0</f>
        <v>0</v>
      </c>
      <c r="D31" s="25" t="n">
        <f aca="false">FU_V-FU_PreAmt*FU_PreCost/FU_N</f>
        <v>0.01</v>
      </c>
      <c r="E31" s="44" t="n">
        <f aca="false">D31-FU_V</f>
        <v>0</v>
      </c>
      <c r="F31" s="29" t="n">
        <f aca="false">IFERROR(C31/FU_N,0)</f>
        <v>-0</v>
      </c>
    </row>
    <row r="32" customFormat="false" ht="15" hidden="false" customHeight="false" outlineLevel="0" collapsed="false">
      <c r="A32" s="0" t="s">
        <v>345</v>
      </c>
      <c r="B32" s="35" t="n">
        <f aca="false">FU_ABSMax</f>
        <v>5000</v>
      </c>
      <c r="C32" s="25" t="n">
        <f aca="false">0</f>
        <v>0</v>
      </c>
      <c r="D32" s="25" t="n">
        <f aca="false">FU_V</f>
        <v>0.01</v>
      </c>
      <c r="E32" s="44" t="n">
        <f aca="false">D32-FU_V</f>
        <v>0</v>
      </c>
      <c r="F32" s="29" t="n">
        <f aca="false">IFERROR(C32/FU_N,0)</f>
        <v>-0</v>
      </c>
    </row>
    <row r="33" customFormat="false" ht="15" hidden="false" customHeight="false" outlineLevel="0" collapsed="false">
      <c r="A33" s="0" t="s">
        <v>346</v>
      </c>
      <c r="B33" s="35" t="n">
        <f aca="false">FU_CVAmt</f>
        <v>3000</v>
      </c>
      <c r="C33" s="25" t="n">
        <f aca="false">IF(FU_V&gt;FU_CVPx,FU_CVAmt/FU_CVPx,0)</f>
        <v>0</v>
      </c>
      <c r="D33" s="25" t="n">
        <f aca="false">IF(FU_V&gt;FU_CVPx,(V_EQ+FU_CVAmt)/(FU_N+FU_CVAmt/FU_CVPx),FU_V)</f>
        <v>0.01</v>
      </c>
      <c r="E33" s="44" t="n">
        <f aca="false">D33-FU_V</f>
        <v>0</v>
      </c>
      <c r="F33" s="29" t="n">
        <f aca="false">IFERROR(C33/FU_N,0)</f>
        <v>-0</v>
      </c>
    </row>
    <row r="35" customFormat="false" ht="15" hidden="false" customHeight="false" outlineLevel="0" collapsed="false">
      <c r="A35" s="3" t="s">
        <v>347</v>
      </c>
    </row>
    <row r="36" customFormat="false" ht="15" hidden="false" customHeight="false" outlineLevel="0" collapsed="false">
      <c r="A36" s="0" t="s">
        <v>348</v>
      </c>
      <c r="B36" s="40" t="n">
        <f aca="false">MIN(FU_PreAmt,FU_Tgt)</f>
        <v>1000</v>
      </c>
      <c r="C36" s="24"/>
    </row>
    <row r="37" customFormat="false" ht="15" hidden="false" customHeight="false" outlineLevel="0" collapsed="false">
      <c r="A37" s="0" t="s">
        <v>349</v>
      </c>
      <c r="B37" s="40" t="n">
        <f aca="false">MIN(FU_ATMsh*FU_ATMpx,FU_Tgt-FU_P1)</f>
        <v>0</v>
      </c>
      <c r="C37" s="24"/>
    </row>
    <row r="38" customFormat="false" ht="15" hidden="false" customHeight="false" outlineLevel="0" collapsed="false">
      <c r="A38" s="0" t="s">
        <v>350</v>
      </c>
      <c r="B38" s="40" t="n">
        <f aca="false">MIN(FU_ABSMax,FU_Tgt-FU_P1-FU_P2)</f>
        <v>0</v>
      </c>
      <c r="C38" s="24"/>
    </row>
    <row r="39" customFormat="false" ht="15" hidden="false" customHeight="false" outlineLevel="0" collapsed="false">
      <c r="A39" s="0" t="s">
        <v>351</v>
      </c>
      <c r="B39" s="40" t="n">
        <f aca="false">MIN(FU_CVAmt,FU_Tgt-FU_P1-FU_P2-FU_P3)</f>
        <v>0</v>
      </c>
      <c r="C39" s="24"/>
    </row>
    <row r="40" customFormat="false" ht="15" hidden="false" customHeight="false" outlineLevel="0" collapsed="false">
      <c r="A40" s="0" t="s">
        <v>352</v>
      </c>
      <c r="B40" s="40" t="n">
        <f aca="false">FU_Tgt-FU_P1-FU_P2-FU_P3-FU_P4</f>
        <v>0</v>
      </c>
      <c r="C40" s="24"/>
    </row>
    <row r="41" customFormat="false" ht="15" hidden="false" customHeight="false" outlineLevel="0" collapsed="false">
      <c r="A41" s="0" t="s">
        <v>353</v>
      </c>
      <c r="B41" s="25" t="n">
        <f aca="false">IFERROR(FU_P2/FU_ATMpx,0)+IF(FU_V&gt;FU_CVPx,FU_P4/FU_CVPx,0)</f>
        <v>0</v>
      </c>
      <c r="C41" s="24"/>
    </row>
    <row r="42" customFormat="false" ht="15" hidden="false" customHeight="false" outlineLevel="0" collapsed="false">
      <c r="A42" s="0" t="s">
        <v>354</v>
      </c>
      <c r="B42" s="25" t="n">
        <f aca="false">(V_EQ+FU_P2+IF(FU_V&gt;FU_CVPx,FU_P4,0)-FU_P1*FU_PreCost)/(FU_N+FU_Sh)</f>
        <v>0.01</v>
      </c>
      <c r="C42" s="24"/>
    </row>
    <row r="43" customFormat="false" ht="15" hidden="false" customHeight="false" outlineLevel="0" collapsed="false">
      <c r="A43" s="0" t="s">
        <v>355</v>
      </c>
      <c r="B43" s="44" t="n">
        <f aca="false">FU_VC-FU_V</f>
        <v>0</v>
      </c>
      <c r="C43" s="24"/>
    </row>
    <row r="44" customFormat="false" ht="15" hidden="false" customHeight="false" outlineLevel="0" collapsed="false">
      <c r="A44" s="0" t="s">
        <v>356</v>
      </c>
      <c r="B44" s="29" t="n">
        <f aca="false">IFERROR(FU_Sh/FU_N,0)</f>
        <v>-0</v>
      </c>
      <c r="C44" s="24"/>
    </row>
    <row r="45" customFormat="false" ht="15" hidden="false" customHeight="false" outlineLevel="0" collapsed="false">
      <c r="A45" s="0" t="s">
        <v>357</v>
      </c>
      <c r="B45" s="40" t="n">
        <f aca="false">FU_P3*FU_ABSr</f>
        <v>0</v>
      </c>
      <c r="C45" s="24"/>
    </row>
    <row r="47" customFormat="false" ht="15" hidden="false" customHeight="false" outlineLevel="0" collapsed="false">
      <c r="A47" s="3" t="s">
        <v>358</v>
      </c>
    </row>
    <row r="48" customFormat="false" ht="15" hidden="false" customHeight="false" outlineLevel="0" collapsed="false">
      <c r="B48" s="3" t="s">
        <v>359</v>
      </c>
      <c r="D48" s="3" t="s">
        <v>360</v>
      </c>
    </row>
    <row r="49" customFormat="false" ht="15" hidden="false" customHeight="false" outlineLevel="0" collapsed="false">
      <c r="A49" s="0" t="s">
        <v>361</v>
      </c>
      <c r="B49" s="42" t="n">
        <v>17500</v>
      </c>
      <c r="D49" s="40" t="n">
        <f aca="false">B49</f>
        <v>17500</v>
      </c>
    </row>
    <row r="50" customFormat="false" ht="15" hidden="false" customHeight="false" outlineLevel="0" collapsed="false">
      <c r="A50" s="0" t="s">
        <v>362</v>
      </c>
      <c r="B50" s="40" t="n">
        <f aca="false">SUMPRODUCT((Q_Idx&gt;=11)*(Q_Idx&lt;=16)*(CapNew*(1-CF_SigSh)))</f>
        <v>31957.2216333213</v>
      </c>
      <c r="D50" s="40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363</v>
      </c>
      <c r="B51" s="40" t="n">
        <f aca="false">B50-B49</f>
        <v>14457.2216333213</v>
      </c>
      <c r="D51" s="40" t="n">
        <f aca="false">D50-B49</f>
        <v>76686.7477833213</v>
      </c>
    </row>
    <row r="52" customFormat="false" ht="15" hidden="false" customHeight="false" outlineLevel="0" collapsed="false">
      <c r="A52" s="0" t="s">
        <v>364</v>
      </c>
      <c r="B52" s="40" t="n">
        <f aca="false">SUMPRODUCT((Q_Idx&gt;=11)*(Q_Idx&lt;=16)*(CapNew*CF_SigSh))</f>
        <v>10258.9278666787</v>
      </c>
      <c r="D52" s="40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365</v>
      </c>
      <c r="B53" s="40" t="n">
        <f aca="false">SUMPRODUCT((Q_Idx&gt;=11)*(Q_Idx&lt;=16)*(CapMaint+CapRepl+CapLPre-CapResid))</f>
        <v>1050.71447867672</v>
      </c>
      <c r="D53" s="40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366</v>
      </c>
      <c r="B54" s="40" t="n">
        <f aca="false">SUMPRODUCT((Q_Idx&gt;=11)*(Q_Idx&lt;=16)*(Capex-CapResid))</f>
        <v>43266.8639786767</v>
      </c>
      <c r="D54" s="40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367</v>
      </c>
      <c r="B55" s="40" t="n">
        <f aca="false">SUMPRODUCT((Q_Idx&gt;=11)*(Q_Idx&lt;=16)*(-PL_EBITDA))</f>
        <v>-4798.73481687661</v>
      </c>
      <c r="D55" s="40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368</v>
      </c>
      <c r="B56" s="40" t="n">
        <f aca="false">SUMPRODUCT((Q_Idx&gt;=11)*(Q_Idx&lt;=16)*(PL_Tax+CV_cpn+Sec_Int+ABS_Int-CF_IntInc))</f>
        <v>215.108868619011</v>
      </c>
      <c r="D56" s="40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369</v>
      </c>
      <c r="B57" s="40" t="n">
        <f aca="false">SUMPRODUCT((Q_Idx&gt;=11)*(Q_Idx&lt;=16)*(-(CF_Prepay-CF_DRRel)))</f>
        <v>-4835.3</v>
      </c>
      <c r="D57" s="40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370</v>
      </c>
      <c r="B58" s="40" t="n">
        <f aca="false">SUMPRODUCT((Q_Idx&gt;=11)*(Q_Idx&lt;=16)*(-CF_OthInv))</f>
        <v>0</v>
      </c>
      <c r="D58" s="40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371</v>
      </c>
      <c r="B59" s="40" t="n">
        <f aca="false">SUMPRODUCT((Q_Idx&gt;=11)*(Q_Idx&lt;=16)*(CV_rep-MIN(0,Sec_Flow)+ABS_Rep))</f>
        <v>0</v>
      </c>
      <c r="D59" s="40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372</v>
      </c>
      <c r="B60" s="40" t="n">
        <f aca="false">INDEX(Liq,1,16)-CS_Cash</f>
        <v>-7042.1</v>
      </c>
      <c r="D60" s="40" t="n">
        <f aca="false">INDEX(Liq,1,28)-CS_Cash</f>
        <v>4618.28121464574</v>
      </c>
    </row>
    <row r="61" customFormat="false" ht="15" hidden="false" customHeight="false" outlineLevel="0" collapsed="false">
      <c r="A61" s="3" t="s">
        <v>373</v>
      </c>
      <c r="B61" s="40" t="n">
        <f aca="false">SUM(B54:B60)</f>
        <v>26805.8380304191</v>
      </c>
      <c r="D61" s="40" t="n">
        <f aca="false">SUM(D54:D60)</f>
        <v>60113.1878825648</v>
      </c>
    </row>
    <row r="62" customFormat="false" ht="15" hidden="false" customHeight="false" outlineLevel="0" collapsed="false">
      <c r="A62" s="0" t="s">
        <v>374</v>
      </c>
      <c r="B62" s="40" t="n">
        <f aca="false">SUMPRODUCT((Q_Idx&gt;=11)*(Q_Idx&lt;=16)*(-(Liq_Aug+CF_FPConv+MAX(0,Sec_Flow)+ABS_Draw)))</f>
        <v>-18394.1739130435</v>
      </c>
      <c r="D62" s="40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3" t="s">
        <v>375</v>
      </c>
      <c r="B63" s="40" t="n">
        <f aca="false">B61+B62</f>
        <v>8411.66411737565</v>
      </c>
      <c r="D63" s="40" t="n">
        <f aca="false">D61+D62</f>
        <v>41719.0139695213</v>
      </c>
    </row>
    <row r="64" customFormat="false" ht="15" hidden="false" customHeight="false" outlineLevel="0" collapsed="false">
      <c r="A64" s="0" t="s">
        <v>376</v>
      </c>
      <c r="B64" s="40" t="n">
        <f aca="false">SUMPRODUCT((Q_Idx&gt;=11)*(Q_Idx&lt;=16)*(CF_ATM+FP_EqTop))</f>
        <v>8411.66411737565</v>
      </c>
      <c r="D64" s="40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3" t="s">
        <v>378</v>
      </c>
    </row>
    <row r="3" customFormat="false" ht="15" hidden="false" customHeight="false" outlineLevel="0" collapsed="false">
      <c r="A3" s="0" t="s">
        <v>379</v>
      </c>
      <c r="B3" s="26" t="n">
        <f aca="false">NDPrepayOn</f>
        <v>0</v>
      </c>
    </row>
    <row r="4" customFormat="false" ht="15" hidden="false" customHeight="false" outlineLevel="0" collapsed="false">
      <c r="A4" s="0" t="s">
        <v>380</v>
      </c>
      <c r="B4" s="27" t="n">
        <f aca="false">NDPrepayPct</f>
        <v>0.55</v>
      </c>
    </row>
    <row r="5" customFormat="false" ht="15" hidden="false" customHeight="false" outlineLevel="0" collapsed="false">
      <c r="A5" s="0" t="s">
        <v>381</v>
      </c>
      <c r="B5" s="27" t="n">
        <f aca="false">ABS_LTC</f>
        <v>0</v>
      </c>
    </row>
    <row r="6" customFormat="false" ht="15" hidden="false" customHeight="false" outlineLevel="0" collapsed="false">
      <c r="A6" s="0" t="s">
        <v>382</v>
      </c>
      <c r="B6" s="45" t="n">
        <f aca="false">SOFR+ABS_Spread</f>
        <v>0.065</v>
      </c>
    </row>
    <row r="7" customFormat="false" ht="15" hidden="false" customHeight="false" outlineLevel="0" collapsed="false">
      <c r="A7" s="0" t="s">
        <v>383</v>
      </c>
      <c r="B7" s="45" t="n">
        <f aca="false">FS_Kd*(1-TaxRate)</f>
        <v>0.04823</v>
      </c>
    </row>
    <row r="8" customFormat="false" ht="15" hidden="false" customHeight="false" outlineLevel="0" collapsed="false">
      <c r="A8" s="0" t="s">
        <v>384</v>
      </c>
      <c r="B8" s="32" t="n">
        <f aca="false">IF(UncPxOn=1,UncPx,0)</f>
        <v>0</v>
      </c>
    </row>
    <row r="9" customFormat="false" ht="15" hidden="false" customHeight="false" outlineLevel="0" collapsed="false">
      <c r="A9" s="0" t="s">
        <v>385</v>
      </c>
      <c r="B9" s="26" t="n">
        <f aca="false">BackstopMW</f>
        <v>0</v>
      </c>
    </row>
    <row r="10" customFormat="false" ht="15" hidden="false" customHeight="false" outlineLevel="0" collapsed="false">
      <c r="A10" s="0" t="s">
        <v>386</v>
      </c>
      <c r="B10" s="26" t="n">
        <f aca="false">StopBuild</f>
        <v>0</v>
      </c>
    </row>
    <row r="11" customFormat="false" ht="15" hidden="false" customHeight="false" outlineLevel="0" collapsed="false">
      <c r="A11" s="0" t="s">
        <v>387</v>
      </c>
      <c r="B11" s="35" t="n">
        <f aca="false">SUMPRODUCT((Q_Idx&gt;=11)*(Q_Idx&lt;=28)*CF_Prepay)</f>
        <v>20079.98904</v>
      </c>
    </row>
    <row r="12" customFormat="false" ht="15" hidden="false" customHeight="false" outlineLevel="0" collapsed="false">
      <c r="A12" s="0" t="s">
        <v>388</v>
      </c>
      <c r="B12" s="35" t="n">
        <f aca="false">SUMPRODUCT((Q_Idx&gt;=11)*(Q_Idx&lt;=28)*ABS_Draw)</f>
        <v>0</v>
      </c>
    </row>
    <row r="13" customFormat="false" ht="15" hidden="false" customHeight="false" outlineLevel="0" collapsed="false">
      <c r="A13" s="0" t="s">
        <v>389</v>
      </c>
      <c r="B13" s="35" t="n">
        <f aca="false">MAX(ABS_Bal)</f>
        <v>0</v>
      </c>
    </row>
    <row r="14" customFormat="false" ht="15" hidden="false" customHeight="false" outlineLevel="0" collapsed="false">
      <c r="A14" s="0" t="s">
        <v>390</v>
      </c>
      <c r="B14" s="35" t="n">
        <f aca="false">SUMPRODUCT((Q_Idx&gt;=11)*(Q_Idx&lt;=28)*ABS_Int)</f>
        <v>0</v>
      </c>
    </row>
    <row r="15" customFormat="false" ht="15" hidden="false" customHeight="false" outlineLevel="0" collapsed="false">
      <c r="A15" s="0" t="s">
        <v>391</v>
      </c>
      <c r="B15" s="35" t="n">
        <f aca="false">SUMPRODUCT((Q_Idx&gt;=11)*(Q_Idx&lt;=28)*Capex)</f>
        <v>111441.907179589</v>
      </c>
    </row>
    <row r="16" customFormat="false" ht="15" hidden="false" customHeight="false" outlineLevel="0" collapsed="false">
      <c r="A16" s="0" t="s">
        <v>392</v>
      </c>
      <c r="B16" s="29" t="n">
        <f aca="false">IFERROR(FS_ABS/FS_Cx,0)</f>
        <v>0</v>
      </c>
    </row>
    <row r="17" customFormat="false" ht="15" hidden="false" customHeight="false" outlineLevel="0" collapsed="false">
      <c r="A17" s="0" t="s">
        <v>393</v>
      </c>
      <c r="B17" s="46" t="n">
        <v>0.11</v>
      </c>
    </row>
    <row r="18" customFormat="false" ht="15" hidden="false" customHeight="false" outlineLevel="0" collapsed="false">
      <c r="A18" s="0" t="s">
        <v>394</v>
      </c>
      <c r="B18" s="45" t="n">
        <f aca="false">FS_wABS*FS_Kdat+(1-FS_wABS)*FS_WBase</f>
        <v>0.11</v>
      </c>
    </row>
    <row r="19" customFormat="false" ht="15" hidden="false" customHeight="false" outlineLevel="0" collapsed="false">
      <c r="A19" s="0" t="s">
        <v>395</v>
      </c>
      <c r="B19" s="35" t="n">
        <f aca="false">SUMPRODUCT((Q_Idx&gt;=11)*(Q_Idx&lt;=28)*(FP_EqTop+CF_ATM))</f>
        <v>41719.0139695213</v>
      </c>
    </row>
    <row r="20" customFormat="false" ht="15" hidden="false" customHeight="false" outlineLevel="0" collapsed="false">
      <c r="A20" s="0" t="s">
        <v>396</v>
      </c>
      <c r="B20" s="35" t="n">
        <f aca="false">SUM(CF_FPConv)</f>
        <v>12644.1739130435</v>
      </c>
    </row>
    <row r="21" customFormat="false" ht="15" hidden="false" customHeight="false" outlineLevel="0" collapsed="false">
      <c r="A21" s="0" t="s">
        <v>397</v>
      </c>
      <c r="B21" s="25" t="n">
        <f aca="false">V_PT</f>
        <v>3.97046602096122</v>
      </c>
      <c r="C21" s="35" t="n">
        <f aca="false">V_EV</f>
        <v>-898.814009603721</v>
      </c>
      <c r="D21" s="39" t="n">
        <f aca="false">V_NewShHead</f>
        <v>10991.2196047346</v>
      </c>
      <c r="E21" s="35" t="n">
        <f aca="false">INDEX(Liq,1,16)</f>
        <v>1000</v>
      </c>
    </row>
    <row r="24" customFormat="false" ht="15" hidden="false" customHeight="false" outlineLevel="0" collapsed="false">
      <c r="A24" s="3" t="s">
        <v>398</v>
      </c>
    </row>
    <row r="25" customFormat="false" ht="15" hidden="false" customHeight="false" outlineLevel="0" collapsed="false">
      <c r="A25" s="8" t="s">
        <v>399</v>
      </c>
    </row>
    <row r="26" customFormat="false" ht="15" hidden="false" customHeight="false" outlineLevel="0" collapsed="false">
      <c r="A26" s="8" t="s">
        <v>400</v>
      </c>
      <c r="B26" s="8" t="s">
        <v>401</v>
      </c>
      <c r="C26" s="8" t="s">
        <v>402</v>
      </c>
      <c r="D26" s="8" t="s">
        <v>403</v>
      </c>
      <c r="E26" s="8" t="s">
        <v>404</v>
      </c>
      <c r="F26" s="8" t="s">
        <v>59</v>
      </c>
      <c r="G26" s="8" t="s">
        <v>405</v>
      </c>
      <c r="H26" s="8" t="s">
        <v>406</v>
      </c>
      <c r="I26" s="8" t="s">
        <v>407</v>
      </c>
      <c r="J26" s="8" t="s">
        <v>408</v>
      </c>
      <c r="K26" s="8" t="s">
        <v>409</v>
      </c>
      <c r="L26" s="8" t="s">
        <v>410</v>
      </c>
      <c r="M26" s="8" t="s">
        <v>411</v>
      </c>
    </row>
    <row r="27" customFormat="false" ht="15" hidden="false" customHeight="false" outlineLevel="0" collapsed="false">
      <c r="A27" s="0" t="s">
        <v>412</v>
      </c>
      <c r="B27" s="17" t="n">
        <v>3.97046602096122</v>
      </c>
      <c r="C27" s="47" t="n">
        <v>-898.814009603721</v>
      </c>
      <c r="D27" s="47" t="n">
        <v>10991.2196047346</v>
      </c>
      <c r="E27" s="47" t="n">
        <v>13262.174379532</v>
      </c>
      <c r="F27" s="47" t="n">
        <v>1000</v>
      </c>
      <c r="G27" s="17" t="n">
        <v>88.869332374278</v>
      </c>
      <c r="H27" s="47" t="n">
        <v>20079.98904</v>
      </c>
      <c r="I27" s="47" t="n">
        <v>0</v>
      </c>
      <c r="J27" s="47" t="n">
        <v>0</v>
      </c>
      <c r="K27" s="47" t="n">
        <v>12644.1739130435</v>
      </c>
      <c r="L27" s="47" t="n">
        <v>41719.0139695213</v>
      </c>
      <c r="M27" s="48" t="n">
        <v>0.11</v>
      </c>
    </row>
    <row r="28" customFormat="false" ht="15" hidden="false" customHeight="false" outlineLevel="0" collapsed="false">
      <c r="A28" s="0" t="s">
        <v>413</v>
      </c>
      <c r="B28" s="17" t="n">
        <v>13.5101888130678</v>
      </c>
      <c r="C28" s="47" t="n">
        <v>4052.24674157878</v>
      </c>
      <c r="D28" s="47" t="n">
        <v>1405.86243119028</v>
      </c>
      <c r="E28" s="47" t="n">
        <v>2073.26603992086</v>
      </c>
      <c r="F28" s="47" t="n">
        <v>5634.44322855312</v>
      </c>
      <c r="G28" s="17" t="n">
        <v>58.1017674412881</v>
      </c>
      <c r="H28" s="47" t="n">
        <v>51802.7112808267</v>
      </c>
      <c r="I28" s="47" t="n">
        <v>0</v>
      </c>
      <c r="J28" s="47" t="n">
        <v>0</v>
      </c>
      <c r="K28" s="47" t="n">
        <v>12644.1739130435</v>
      </c>
      <c r="L28" s="47" t="n">
        <v>17072.2168905793</v>
      </c>
      <c r="M28" s="48" t="n">
        <v>0.11</v>
      </c>
    </row>
    <row r="29" customFormat="false" ht="15" hidden="false" customHeight="false" outlineLevel="0" collapsed="false">
      <c r="A29" s="0" t="s">
        <v>414</v>
      </c>
      <c r="B29" s="17" t="n">
        <v>13.9035241138513</v>
      </c>
      <c r="C29" s="47" t="n">
        <v>4052.24674157877</v>
      </c>
      <c r="D29" s="47" t="n">
        <v>1577.98484659469</v>
      </c>
      <c r="E29" s="47" t="n">
        <v>1966.6188724125</v>
      </c>
      <c r="F29" s="47" t="n">
        <v>5323.5950813826</v>
      </c>
      <c r="G29" s="17" t="n">
        <v>63.8067794563337</v>
      </c>
      <c r="H29" s="47" t="n">
        <v>51802.7112808267</v>
      </c>
      <c r="I29" s="47" t="n">
        <v>5129.46393333935</v>
      </c>
      <c r="J29" s="47" t="n">
        <v>922.641726064942</v>
      </c>
      <c r="K29" s="47" t="n">
        <v>7577.15562758826</v>
      </c>
      <c r="L29" s="47" t="n">
        <v>20018.3003659212</v>
      </c>
      <c r="M29" s="48" t="n">
        <v>0.11</v>
      </c>
    </row>
    <row r="30" customFormat="false" ht="15" hidden="false" customHeight="false" outlineLevel="0" collapsed="false">
      <c r="A30" s="0" t="s">
        <v>415</v>
      </c>
      <c r="B30" s="17" t="n">
        <v>108.365835390615</v>
      </c>
      <c r="C30" s="47" t="n">
        <v>30859.0016243647</v>
      </c>
      <c r="D30" s="47" t="n">
        <v>173.689367433747</v>
      </c>
      <c r="E30" s="47" t="n">
        <v>223.551785140804</v>
      </c>
      <c r="F30" s="47" t="n">
        <v>5342.3245341987</v>
      </c>
      <c r="G30" s="17" t="n">
        <v>132.182701647172</v>
      </c>
      <c r="H30" s="47" t="n">
        <v>51802.7112808267</v>
      </c>
      <c r="I30" s="47" t="n">
        <v>5129.46393333935</v>
      </c>
      <c r="J30" s="47" t="n">
        <v>922.641726064942</v>
      </c>
      <c r="K30" s="47" t="n">
        <v>7577.15562758826</v>
      </c>
      <c r="L30" s="47" t="n">
        <v>16819.2606978652</v>
      </c>
      <c r="M30" s="48" t="n">
        <v>0.11</v>
      </c>
    </row>
    <row r="31" customFormat="false" ht="15" hidden="false" customHeight="false" outlineLevel="0" collapsed="false">
      <c r="A31" s="0" t="s">
        <v>416</v>
      </c>
      <c r="B31" s="17" t="n">
        <v>171.024732137136</v>
      </c>
      <c r="C31" s="47" t="n">
        <v>49130.8323040225</v>
      </c>
      <c r="D31" s="47" t="n">
        <v>102.434534485141</v>
      </c>
      <c r="E31" s="47" t="n">
        <v>134.028693305915</v>
      </c>
      <c r="F31" s="47" t="n">
        <v>5354.06438210667</v>
      </c>
      <c r="G31" s="17" t="n">
        <v>181.329475545533</v>
      </c>
      <c r="H31" s="47" t="n">
        <v>51802.7112808267</v>
      </c>
      <c r="I31" s="47" t="n">
        <v>5129.46393333935</v>
      </c>
      <c r="J31" s="47" t="n">
        <v>922.641726064942</v>
      </c>
      <c r="K31" s="47" t="n">
        <v>7577.15562758826</v>
      </c>
      <c r="L31" s="47" t="n">
        <v>15278.9174298484</v>
      </c>
      <c r="M31" s="48" t="n">
        <v>0.11</v>
      </c>
    </row>
    <row r="32" customFormat="false" ht="15" hidden="false" customHeight="false" outlineLevel="0" collapsed="false">
      <c r="A32" s="0" t="s">
        <v>417</v>
      </c>
      <c r="B32" s="17" t="n">
        <v>159.304509174657</v>
      </c>
      <c r="C32" s="47" t="n">
        <v>45586.1959828071</v>
      </c>
      <c r="D32" s="47" t="n">
        <v>102.951241971521</v>
      </c>
      <c r="E32" s="47" t="n">
        <v>132.905005269528</v>
      </c>
      <c r="F32" s="47" t="n">
        <v>5686.67681724337</v>
      </c>
      <c r="G32" s="17" t="n">
        <v>170.804564515485</v>
      </c>
      <c r="H32" s="47" t="n">
        <v>50816.4233052303</v>
      </c>
      <c r="I32" s="47" t="n">
        <v>6026.08936569975</v>
      </c>
      <c r="J32" s="47" t="n">
        <v>1084.37053842695</v>
      </c>
      <c r="K32" s="47" t="n">
        <v>6691.44563527399</v>
      </c>
      <c r="L32" s="47" t="n">
        <v>14311.2341759232</v>
      </c>
      <c r="M32" s="48" t="n">
        <v>0.11</v>
      </c>
    </row>
    <row r="33" customFormat="false" ht="15" hidden="false" customHeight="false" outlineLevel="0" collapsed="false">
      <c r="A33" s="0" t="s">
        <v>418</v>
      </c>
      <c r="B33" s="17" t="n">
        <v>173.161215793686</v>
      </c>
      <c r="C33" s="47" t="n">
        <v>49849.2504367389</v>
      </c>
      <c r="D33" s="47" t="n">
        <v>95.7439409818592</v>
      </c>
      <c r="E33" s="47" t="n">
        <v>123.300744266309</v>
      </c>
      <c r="F33" s="47" t="n">
        <v>5686.67681724337</v>
      </c>
      <c r="G33" s="17" t="n">
        <v>182.604513852228</v>
      </c>
      <c r="H33" s="47" t="n">
        <v>50816.4233052303</v>
      </c>
      <c r="I33" s="47" t="n">
        <v>6026.08936569975</v>
      </c>
      <c r="J33" s="47" t="n">
        <v>1084.37053842695</v>
      </c>
      <c r="K33" s="47" t="n">
        <v>6691.44563527399</v>
      </c>
      <c r="L33" s="47" t="n">
        <v>14311.2341759232</v>
      </c>
      <c r="M33" s="48" t="n">
        <v>0.106672503359671</v>
      </c>
    </row>
    <row r="34" customFormat="false" ht="15" hidden="false" customHeight="false" outlineLevel="0" collapsed="false">
      <c r="A34" s="0" t="s">
        <v>419</v>
      </c>
      <c r="B34" s="17" t="n">
        <v>265.954221101296</v>
      </c>
      <c r="C34" s="47" t="n">
        <v>78956.7444907126</v>
      </c>
      <c r="D34" s="47" t="n">
        <v>66.9079544054518</v>
      </c>
      <c r="E34" s="47" t="n">
        <v>84.8500255647788</v>
      </c>
      <c r="F34" s="47" t="n">
        <v>5686.67681724337</v>
      </c>
      <c r="G34" s="17" t="n">
        <v>261.908599350775</v>
      </c>
      <c r="H34" s="47" t="n">
        <v>50816.4233052303</v>
      </c>
      <c r="I34" s="47" t="n">
        <v>6026.08936569975</v>
      </c>
      <c r="J34" s="47" t="n">
        <v>1084.37053842695</v>
      </c>
      <c r="K34" s="47" t="n">
        <v>6691.44563527399</v>
      </c>
      <c r="L34" s="47" t="n">
        <v>14311.2341759232</v>
      </c>
      <c r="M34" s="48" t="n">
        <v>0.09</v>
      </c>
    </row>
    <row r="35" customFormat="false" ht="15" hidden="false" customHeight="false" outlineLevel="0" collapsed="false">
      <c r="A35" s="0" t="s">
        <v>420</v>
      </c>
      <c r="B35" s="17" t="n">
        <v>207.677049592686</v>
      </c>
      <c r="C35" s="47" t="n">
        <v>59560.7994357364</v>
      </c>
      <c r="D35" s="47" t="n">
        <v>93.6270181961245</v>
      </c>
      <c r="E35" s="47" t="n">
        <v>119.645215970114</v>
      </c>
      <c r="F35" s="47" t="n">
        <v>5361.68466405624</v>
      </c>
      <c r="G35" s="17" t="n">
        <v>212.325967128007</v>
      </c>
      <c r="H35" s="47" t="n">
        <v>51802.7112808267</v>
      </c>
      <c r="I35" s="47" t="n">
        <v>5129.46393333935</v>
      </c>
      <c r="J35" s="47" t="n">
        <v>922.641726064942</v>
      </c>
      <c r="K35" s="47" t="n">
        <v>7577.15562758826</v>
      </c>
      <c r="L35" s="47" t="n">
        <v>16724.2238623972</v>
      </c>
      <c r="M35" s="48" t="n">
        <v>0.09</v>
      </c>
    </row>
    <row r="36" customFormat="false" ht="15" hidden="false" customHeight="false" outlineLevel="0" collapsed="false">
      <c r="A36" s="0" t="s">
        <v>421</v>
      </c>
      <c r="B36" s="17" t="n">
        <v>283.636322311949</v>
      </c>
      <c r="C36" s="47" t="n">
        <v>84726.5061862369</v>
      </c>
      <c r="D36" s="47" t="n">
        <v>66.5250184169296</v>
      </c>
      <c r="E36" s="47" t="n">
        <v>85.5754083859488</v>
      </c>
      <c r="F36" s="47" t="n">
        <v>5378.33955748418</v>
      </c>
      <c r="G36" s="17" t="n">
        <v>276.777888412048</v>
      </c>
      <c r="H36" s="47" t="n">
        <v>51802.7112808267</v>
      </c>
      <c r="I36" s="47" t="n">
        <v>5129.46393333935</v>
      </c>
      <c r="J36" s="47" t="n">
        <v>922.641726064942</v>
      </c>
      <c r="K36" s="47" t="n">
        <v>7577.15562758826</v>
      </c>
      <c r="L36" s="47" t="n">
        <v>15154.1092794682</v>
      </c>
      <c r="M36" s="48" t="n">
        <v>0.09</v>
      </c>
    </row>
    <row r="38" customFormat="false" ht="15" hidden="false" customHeight="false" outlineLevel="0" collapsed="false">
      <c r="A38" s="8" t="s">
        <v>422</v>
      </c>
    </row>
    <row r="39" customFormat="false" ht="15" hidden="false" customHeight="false" outlineLevel="0" collapsed="false">
      <c r="A39" s="8" t="s">
        <v>400</v>
      </c>
      <c r="B39" s="8" t="s">
        <v>401</v>
      </c>
      <c r="C39" s="8" t="s">
        <v>402</v>
      </c>
      <c r="D39" s="8" t="s">
        <v>403</v>
      </c>
      <c r="E39" s="8" t="s">
        <v>404</v>
      </c>
      <c r="F39" s="8" t="s">
        <v>59</v>
      </c>
      <c r="G39" s="8" t="s">
        <v>405</v>
      </c>
      <c r="H39" s="8" t="s">
        <v>406</v>
      </c>
      <c r="I39" s="8" t="s">
        <v>407</v>
      </c>
      <c r="J39" s="8" t="s">
        <v>408</v>
      </c>
      <c r="K39" s="8" t="s">
        <v>409</v>
      </c>
      <c r="L39" s="8" t="s">
        <v>410</v>
      </c>
      <c r="M39" s="8" t="s">
        <v>411</v>
      </c>
    </row>
    <row r="40" customFormat="false" ht="15" hidden="false" customHeight="false" outlineLevel="0" collapsed="false">
      <c r="A40" s="0" t="s">
        <v>412</v>
      </c>
      <c r="B40" s="17" t="n">
        <v>13.888663610505</v>
      </c>
      <c r="C40" s="47" t="n">
        <v>9765.23281735895</v>
      </c>
      <c r="D40" s="47" t="n">
        <v>138.332243755031</v>
      </c>
      <c r="E40" s="47" t="n">
        <v>138.332243755031</v>
      </c>
      <c r="F40" s="47" t="n">
        <v>3283.28182528248</v>
      </c>
      <c r="G40" s="17" t="n">
        <v>19.1911972762702</v>
      </c>
      <c r="H40" s="47" t="n">
        <v>0</v>
      </c>
      <c r="I40" s="47" t="n">
        <v>0</v>
      </c>
      <c r="J40" s="47" t="n">
        <v>0</v>
      </c>
      <c r="K40" s="47" t="n">
        <v>0</v>
      </c>
      <c r="L40" s="47" t="n">
        <v>0</v>
      </c>
      <c r="M40" s="48" t="n">
        <v>0.11</v>
      </c>
    </row>
    <row r="41" customFormat="false" ht="15" hidden="false" customHeight="false" outlineLevel="0" collapsed="false">
      <c r="A41" s="0" t="s">
        <v>413</v>
      </c>
      <c r="B41" s="17" t="n">
        <v>13.888663610505</v>
      </c>
      <c r="C41" s="47" t="n">
        <v>9765.23281735895</v>
      </c>
      <c r="D41" s="47" t="n">
        <v>138.332243755031</v>
      </c>
      <c r="E41" s="47" t="n">
        <v>138.332243755031</v>
      </c>
      <c r="F41" s="47" t="n">
        <v>3283.28182528248</v>
      </c>
      <c r="G41" s="17" t="n">
        <v>19.1911972762702</v>
      </c>
      <c r="H41" s="47" t="n">
        <v>0</v>
      </c>
      <c r="I41" s="47" t="n">
        <v>0</v>
      </c>
      <c r="J41" s="47" t="n">
        <v>0</v>
      </c>
      <c r="K41" s="47" t="n">
        <v>0</v>
      </c>
      <c r="L41" s="47" t="n">
        <v>0</v>
      </c>
      <c r="M41" s="48" t="n">
        <v>0.11</v>
      </c>
    </row>
    <row r="42" customFormat="false" ht="15" hidden="false" customHeight="false" outlineLevel="0" collapsed="false">
      <c r="A42" s="0" t="s">
        <v>414</v>
      </c>
      <c r="B42" s="17" t="n">
        <v>11.1689286022545</v>
      </c>
      <c r="C42" s="47" t="n">
        <v>9765.23281735895</v>
      </c>
      <c r="D42" s="47" t="n">
        <v>172.017394722372</v>
      </c>
      <c r="E42" s="47" t="n">
        <v>172.017394722372</v>
      </c>
      <c r="F42" s="47" t="n">
        <v>7643.99610251655</v>
      </c>
      <c r="G42" s="17" t="n">
        <v>16.5800540781135</v>
      </c>
      <c r="H42" s="47" t="n">
        <v>0</v>
      </c>
      <c r="I42" s="47" t="n">
        <v>4707.21174774342</v>
      </c>
      <c r="J42" s="47" t="n">
        <v>848.639602510595</v>
      </c>
      <c r="K42" s="47" t="n">
        <v>0</v>
      </c>
      <c r="L42" s="47" t="n">
        <v>0</v>
      </c>
      <c r="M42" s="48" t="n">
        <v>0.11</v>
      </c>
    </row>
    <row r="43" customFormat="false" ht="15" hidden="false" customHeight="false" outlineLevel="0" collapsed="false">
      <c r="A43" s="0" t="s">
        <v>415</v>
      </c>
      <c r="B43" s="17" t="n">
        <v>11.1689286022545</v>
      </c>
      <c r="C43" s="47" t="n">
        <v>9765.23281735895</v>
      </c>
      <c r="D43" s="47" t="n">
        <v>172.017394722372</v>
      </c>
      <c r="E43" s="47" t="n">
        <v>172.017394722372</v>
      </c>
      <c r="F43" s="47" t="n">
        <v>7643.99610251655</v>
      </c>
      <c r="G43" s="17" t="n">
        <v>16.5800540781135</v>
      </c>
      <c r="H43" s="47" t="n">
        <v>0</v>
      </c>
      <c r="I43" s="47" t="n">
        <v>4707.21174774342</v>
      </c>
      <c r="J43" s="47" t="n">
        <v>848.639602510595</v>
      </c>
      <c r="K43" s="47" t="n">
        <v>0</v>
      </c>
      <c r="L43" s="47" t="n">
        <v>0</v>
      </c>
      <c r="M43" s="48" t="n">
        <v>0.11</v>
      </c>
    </row>
    <row r="44" customFormat="false" ht="15" hidden="false" customHeight="false" outlineLevel="0" collapsed="false">
      <c r="A44" s="0" t="s">
        <v>416</v>
      </c>
      <c r="B44" s="17" t="n">
        <v>11.1689286022545</v>
      </c>
      <c r="C44" s="47" t="n">
        <v>9765.23281735895</v>
      </c>
      <c r="D44" s="47" t="n">
        <v>172.017394722372</v>
      </c>
      <c r="E44" s="47" t="n">
        <v>172.017394722372</v>
      </c>
      <c r="F44" s="47" t="n">
        <v>7643.99610251655</v>
      </c>
      <c r="G44" s="17" t="n">
        <v>16.5800540781135</v>
      </c>
      <c r="H44" s="47" t="n">
        <v>0</v>
      </c>
      <c r="I44" s="47" t="n">
        <v>4707.21174774342</v>
      </c>
      <c r="J44" s="47" t="n">
        <v>848.639602510595</v>
      </c>
      <c r="K44" s="47" t="n">
        <v>0</v>
      </c>
      <c r="L44" s="47" t="n">
        <v>0</v>
      </c>
      <c r="M44" s="48" t="n">
        <v>0.11</v>
      </c>
    </row>
    <row r="45" customFormat="false" ht="15" hidden="false" customHeight="false" outlineLevel="0" collapsed="false">
      <c r="A45" s="0" t="s">
        <v>417</v>
      </c>
      <c r="B45" s="17" t="n">
        <v>15.6676371979311</v>
      </c>
      <c r="C45" s="47" t="n">
        <v>9354.58903188894</v>
      </c>
      <c r="D45" s="47" t="n">
        <v>122.625382227621</v>
      </c>
      <c r="E45" s="47" t="n">
        <v>122.625382227621</v>
      </c>
      <c r="F45" s="47" t="n">
        <v>2793.10413462503</v>
      </c>
      <c r="G45" s="17" t="n">
        <v>20.8991411636036</v>
      </c>
      <c r="H45" s="47" t="n">
        <v>0</v>
      </c>
      <c r="I45" s="47" t="n">
        <v>9704.21174774342</v>
      </c>
      <c r="J45" s="47" t="n">
        <v>1750.91412502885</v>
      </c>
      <c r="K45" s="47" t="n">
        <v>0</v>
      </c>
      <c r="L45" s="47" t="n">
        <v>0</v>
      </c>
      <c r="M45" s="48" t="n">
        <v>0.11</v>
      </c>
    </row>
    <row r="46" customFormat="false" ht="15" hidden="false" customHeight="false" outlineLevel="0" collapsed="false">
      <c r="A46" s="0" t="s">
        <v>423</v>
      </c>
      <c r="B46" s="17" t="n">
        <v>24.2617639177008</v>
      </c>
      <c r="C46" s="47" t="n">
        <v>11749.7283794858</v>
      </c>
      <c r="D46" s="47" t="n">
        <v>79.1883890436468</v>
      </c>
      <c r="E46" s="47" t="n">
        <v>79.1883890436468</v>
      </c>
      <c r="F46" s="47" t="n">
        <v>2793.10413462503</v>
      </c>
      <c r="G46" s="17" t="n">
        <v>29.1501271825902</v>
      </c>
      <c r="H46" s="47" t="n">
        <v>0</v>
      </c>
      <c r="I46" s="47" t="n">
        <v>9704.21174774342</v>
      </c>
      <c r="J46" s="47" t="n">
        <v>1750.91412502885</v>
      </c>
      <c r="K46" s="47" t="n">
        <v>0</v>
      </c>
      <c r="L46" s="47" t="n">
        <v>0</v>
      </c>
      <c r="M46" s="48" t="n">
        <v>0.0881996020303107</v>
      </c>
    </row>
    <row r="47" customFormat="false" ht="15" hidden="false" customHeight="false" outlineLevel="0" collapsed="false">
      <c r="A47" s="0" t="s">
        <v>419</v>
      </c>
      <c r="B47" s="17" t="n">
        <v>23.5049715163903</v>
      </c>
      <c r="C47" s="47" t="n">
        <v>11538.814191524</v>
      </c>
      <c r="D47" s="47" t="n">
        <v>81.7380271514171</v>
      </c>
      <c r="E47" s="47" t="n">
        <v>81.7380271514171</v>
      </c>
      <c r="F47" s="47" t="n">
        <v>2793.10413462503</v>
      </c>
      <c r="G47" s="17" t="n">
        <v>28.4235514959503</v>
      </c>
      <c r="H47" s="47" t="n">
        <v>0</v>
      </c>
      <c r="I47" s="47" t="n">
        <v>9704.21174774342</v>
      </c>
      <c r="J47" s="47" t="n">
        <v>1750.91412502885</v>
      </c>
      <c r="K47" s="47" t="n">
        <v>0</v>
      </c>
      <c r="L47" s="47" t="n">
        <v>0</v>
      </c>
      <c r="M47" s="48" t="n">
        <v>0.09</v>
      </c>
    </row>
    <row r="48" customFormat="false" ht="15" hidden="false" customHeight="false" outlineLevel="0" collapsed="false">
      <c r="A48" s="0" t="s">
        <v>420</v>
      </c>
      <c r="B48" s="17" t="n">
        <v>16.6898226268551</v>
      </c>
      <c r="C48" s="47" t="n">
        <v>11303.8778645416</v>
      </c>
      <c r="D48" s="47" t="n">
        <v>115.115064009642</v>
      </c>
      <c r="E48" s="47" t="n">
        <v>115.115064009642</v>
      </c>
      <c r="F48" s="47" t="n">
        <v>7643.99610251655</v>
      </c>
      <c r="G48" s="17" t="n">
        <v>21.8805134377013</v>
      </c>
      <c r="H48" s="47" t="n">
        <v>0</v>
      </c>
      <c r="I48" s="47" t="n">
        <v>4707.21174774342</v>
      </c>
      <c r="J48" s="47" t="n">
        <v>848.639602510595</v>
      </c>
      <c r="K48" s="47" t="n">
        <v>0</v>
      </c>
      <c r="L48" s="47" t="n">
        <v>0</v>
      </c>
      <c r="M48" s="48" t="n">
        <v>0.09</v>
      </c>
    </row>
    <row r="49" customFormat="false" ht="15" hidden="false" customHeight="false" outlineLevel="0" collapsed="false">
      <c r="A49" s="0" t="s">
        <v>421</v>
      </c>
      <c r="B49" s="17" t="n">
        <v>16.6898226268551</v>
      </c>
      <c r="C49" s="47" t="n">
        <v>11303.8778645416</v>
      </c>
      <c r="D49" s="47" t="n">
        <v>115.115064009642</v>
      </c>
      <c r="E49" s="47" t="n">
        <v>115.115064009642</v>
      </c>
      <c r="F49" s="47" t="n">
        <v>7643.99610251655</v>
      </c>
      <c r="G49" s="17" t="n">
        <v>21.8805134377013</v>
      </c>
      <c r="H49" s="47" t="n">
        <v>0</v>
      </c>
      <c r="I49" s="47" t="n">
        <v>4707.21174774342</v>
      </c>
      <c r="J49" s="47" t="n">
        <v>848.639602510595</v>
      </c>
      <c r="K49" s="47" t="n">
        <v>0</v>
      </c>
      <c r="L49" s="47" t="n">
        <v>0</v>
      </c>
      <c r="M49" s="48" t="n">
        <v>0.09</v>
      </c>
    </row>
    <row r="51" customFormat="false" ht="15" hidden="false" customHeight="false" outlineLevel="0" collapsed="false">
      <c r="A51" s="0" t="s">
        <v>424</v>
      </c>
    </row>
    <row r="52" customFormat="false" ht="15" hidden="false" customHeight="false" outlineLevel="0" collapsed="false">
      <c r="A52" s="0" t="s">
        <v>425</v>
      </c>
    </row>
    <row r="53" customFormat="false" ht="15" hidden="false" customHeight="false" outlineLevel="0" collapsed="false">
      <c r="A53" s="0" t="s">
        <v>426</v>
      </c>
    </row>
    <row r="54" customFormat="false" ht="15" hidden="false" customHeight="false" outlineLevel="0" collapsed="false">
      <c r="A54" s="0" t="s">
        <v>427</v>
      </c>
    </row>
    <row r="55" customFormat="false" ht="15" hidden="false" customHeight="false" outlineLevel="0" collapsed="false">
      <c r="A55" s="0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429</v>
      </c>
    </row>
    <row r="2" customFormat="false" ht="15" hidden="false" customHeight="false" outlineLevel="0" collapsed="false">
      <c r="A2" s="24" t="s">
        <v>430</v>
      </c>
    </row>
    <row r="4" customFormat="false" ht="15" hidden="false" customHeight="false" outlineLevel="0" collapsed="false">
      <c r="A4" s="49" t="s">
        <v>431</v>
      </c>
      <c r="B4" s="49" t="s">
        <v>432</v>
      </c>
      <c r="C4" s="49" t="s">
        <v>433</v>
      </c>
      <c r="D4" s="49" t="s">
        <v>434</v>
      </c>
      <c r="E4" s="49" t="s">
        <v>435</v>
      </c>
    </row>
    <row r="5" customFormat="false" ht="15" hidden="false" customHeight="false" outlineLevel="0" collapsed="false">
      <c r="A5" s="0" t="s">
        <v>436</v>
      </c>
      <c r="B5" s="26" t="n">
        <f aca="false">MATCH(EDATE(ValDate,0),Q_End,1)</f>
        <v>11</v>
      </c>
      <c r="C5" s="26" t="n">
        <f aca="false">MATCH(EDATE(ValDate,6),Q_End,1)</f>
        <v>13</v>
      </c>
      <c r="D5" s="26" t="n">
        <f aca="false">MATCH(EDATE(ValDate,12),Q_End,1)</f>
        <v>15</v>
      </c>
      <c r="E5" s="26" t="n">
        <f aca="false">MATCH(EDATE(ValDate,36),Q_End,1)</f>
        <v>23</v>
      </c>
    </row>
    <row r="6" customFormat="false" ht="15" hidden="false" customHeight="false" outlineLevel="0" collapsed="false">
      <c r="A6" s="0" t="s">
        <v>437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438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439</v>
      </c>
      <c r="B8" s="35" t="n">
        <f aca="false">INDEX(PL_Rev,1,B$5)</f>
        <v>674.686407680941</v>
      </c>
      <c r="C8" s="35" t="n">
        <f aca="false">INDEX(PL_Rev,1,C$5)</f>
        <v>1027.64729096515</v>
      </c>
      <c r="D8" s="35" t="n">
        <f aca="false">INDEX(PL_Rev,1,D$5)</f>
        <v>2462.21171007985</v>
      </c>
      <c r="E8" s="35" t="n">
        <f aca="false">INDEX(PL_Rev,1,E$5)</f>
        <v>7804.04483599783</v>
      </c>
    </row>
    <row r="9" customFormat="false" ht="15" hidden="false" customHeight="false" outlineLevel="0" collapsed="false">
      <c r="A9" s="0" t="s">
        <v>440</v>
      </c>
      <c r="B9" s="35" t="n">
        <f aca="false">SUMPRODUCT(PL_Rev*(Q_Idx&gt;B$5-4)*(Q_Idx&lt;=B$5))</f>
        <v>1883.68640768094</v>
      </c>
      <c r="C9" s="35" t="n">
        <f aca="false">SUMPRODUCT(PL_Rev*(Q_Idx&gt;C$5-4)*(Q_Idx&lt;=C$5))</f>
        <v>3093.72683254126</v>
      </c>
      <c r="D9" s="35" t="n">
        <f aca="false">SUMPRODUCT(PL_Rev*(Q_Idx&gt;D$5-4)*(Q_Idx&lt;=D$5))</f>
        <v>5932.08264366525</v>
      </c>
      <c r="E9" s="35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441</v>
      </c>
      <c r="B10" s="40" t="n">
        <f aca="false">INDEX(PL_EBITDA,1,B$5)</f>
        <v>263.559609035428</v>
      </c>
      <c r="C10" s="40" t="n">
        <f aca="false">INDEX(PL_EBITDA,1,C$5)</f>
        <v>503.881978194995</v>
      </c>
      <c r="D10" s="40" t="n">
        <f aca="false">INDEX(PL_EBITDA,1,D$5)</f>
        <v>1282.68868893595</v>
      </c>
      <c r="E10" s="40" t="n">
        <f aca="false">INDEX(PL_EBITDA,1,E$5)</f>
        <v>4879.02683260599</v>
      </c>
    </row>
    <row r="11" customFormat="false" ht="15" hidden="false" customHeight="false" outlineLevel="0" collapsed="false">
      <c r="A11" s="0" t="s">
        <v>442</v>
      </c>
      <c r="B11" s="40" t="n">
        <f aca="false">SUMPRODUCT(PL_EBITDA*(Q_Idx&gt;B$5-4)*(Q_Idx&lt;=B$5))</f>
        <v>644.259609035428</v>
      </c>
      <c r="C11" s="40" t="n">
        <f aca="false">SUMPRODUCT(PL_EBITDA*(Q_Idx&gt;C$5-4)*(Q_Idx&lt;=C$5))</f>
        <v>1325.67281033085</v>
      </c>
      <c r="D11" s="40" t="n">
        <f aca="false">SUMPRODUCT(PL_EBITDA*(Q_Idx&gt;D$5-4)*(Q_Idx&lt;=D$5))</f>
        <v>2937.95948267248</v>
      </c>
      <c r="E11" s="40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443</v>
      </c>
      <c r="B12" s="40" t="n">
        <f aca="false">SUMPRODUCT(PL_EBIT*(Q_Idx&gt;B$5-4)*(Q_Idx&lt;=B$5))</f>
        <v>-888.91444727181</v>
      </c>
      <c r="C12" s="40" t="n">
        <f aca="false">SUMPRODUCT(PL_EBIT*(Q_Idx&gt;C$5-4)*(Q_Idx&lt;=C$5))</f>
        <v>-1120.70178083209</v>
      </c>
      <c r="D12" s="40" t="n">
        <f aca="false">SUMPRODUCT(PL_EBIT*(Q_Idx&gt;D$5-4)*(Q_Idx&lt;=D$5))</f>
        <v>-1102.39918658211</v>
      </c>
      <c r="E12" s="40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444</v>
      </c>
      <c r="B13" s="40" t="n">
        <f aca="false">SUMPRODUCT(CF_FCF*(Q_Idx&gt;B$5-4)*(Q_Idx&lt;=B$5))</f>
        <v>-2187.83690036819</v>
      </c>
      <c r="C13" s="40" t="n">
        <f aca="false">SUMPRODUCT(CF_FCF*(Q_Idx&gt;C$5-4)*(Q_Idx&lt;=C$5))</f>
        <v>-13212.6626974649</v>
      </c>
      <c r="D13" s="40" t="n">
        <f aca="false">SUMPRODUCT(CF_FCF*(Q_Idx&gt;D$5-4)*(Q_Idx&lt;=D$5))</f>
        <v>-28091.9541563198</v>
      </c>
      <c r="E13" s="40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445</v>
      </c>
      <c r="B14" s="40" t="n">
        <f aca="false">INDEX(CF_NetDebt,1,B$5)</f>
        <v>2084.31927716894</v>
      </c>
      <c r="C14" s="40" t="n">
        <f aca="false">INDEX(CF_NetDebt,1,C$5)</f>
        <v>10440.1706372079</v>
      </c>
      <c r="D14" s="40" t="n">
        <f aca="false">INDEX(CF_NetDebt,1,D$5)</f>
        <v>26450.6425792859</v>
      </c>
      <c r="E14" s="40" t="n">
        <f aca="false">INDEX(CF_NetDebt,1,E$5)</f>
        <v>46977.2171415644</v>
      </c>
    </row>
    <row r="15" customFormat="false" ht="15" hidden="false" customHeight="false" outlineLevel="0" collapsed="false">
      <c r="A15" s="0" t="s">
        <v>446</v>
      </c>
      <c r="B15" s="39" t="n">
        <f aca="false">INDEX(Sh_Dil,1,B$5)</f>
        <v>314.925245</v>
      </c>
      <c r="C15" s="39" t="n">
        <f aca="false">INDEX(Sh_Dil,1,C$5)</f>
        <v>1065.31620388011</v>
      </c>
      <c r="D15" s="39" t="n">
        <f aca="false">INDEX(Sh_Dil,1,D$5)</f>
        <v>1534.81155508911</v>
      </c>
      <c r="E15" s="39" t="n">
        <f aca="false">INDEX(Sh_Dil,1,E$5)</f>
        <v>10848.1539009643</v>
      </c>
    </row>
    <row r="16" customFormat="false" ht="15" hidden="false" customHeight="false" outlineLevel="0" collapsed="false">
      <c r="A16" s="0" t="s">
        <v>447</v>
      </c>
      <c r="B16" s="35" t="n">
        <f aca="false">INDEX(MW_Act,1,B$5)</f>
        <v>182.4897</v>
      </c>
      <c r="C16" s="35" t="n">
        <f aca="false">INDEX(MW_Act,1,C$5)</f>
        <v>301.7195</v>
      </c>
      <c r="D16" s="35" t="n">
        <f aca="false">INDEX(MW_Act,1,D$5)</f>
        <v>629.5368</v>
      </c>
      <c r="E16" s="35" t="n">
        <f aca="false">INDEX(MW_Act,1,E$5)</f>
        <v>1963.8213</v>
      </c>
    </row>
    <row r="17" customFormat="false" ht="15" hidden="false" customHeight="false" outlineLevel="0" collapsed="false">
      <c r="A17" s="0" t="s">
        <v>448</v>
      </c>
      <c r="B17" s="35" t="n">
        <f aca="false">INDEX(MW_En,1,B$5)</f>
        <v>216.9897</v>
      </c>
      <c r="C17" s="35" t="n">
        <f aca="false">INDEX(MW_En,1,C$5)</f>
        <v>453.79225</v>
      </c>
      <c r="D17" s="35" t="n">
        <f aca="false">INDEX(MW_En,1,D$5)</f>
        <v>812.6073</v>
      </c>
      <c r="E17" s="35" t="n">
        <f aca="false">INDEX(MW_En,1,E$5)</f>
        <v>1963.8213</v>
      </c>
    </row>
    <row r="18" customFormat="false" ht="15" hidden="false" customHeight="false" outlineLevel="0" collapsed="false">
      <c r="A18" s="0" t="s">
        <v>449</v>
      </c>
      <c r="B18" s="25" t="n">
        <f aca="false">V_PS*(1+Ke)^(B$7/12)</f>
        <v>0.01</v>
      </c>
      <c r="C18" s="25" t="n">
        <f aca="false">V_PS*(1+Ke)^(C$7/12)</f>
        <v>0.0106301458127347</v>
      </c>
      <c r="D18" s="25" t="n">
        <f aca="false">V_PS*(1+Ke)^(D$7/12)</f>
        <v>0.0113</v>
      </c>
      <c r="E18" s="25" t="n">
        <f aca="false">V_PS*(1+Ke)^(E$7/12)</f>
        <v>0.01442897</v>
      </c>
    </row>
    <row r="19" customFormat="false" ht="15" hidden="false" customHeight="false" outlineLevel="0" collapsed="false">
      <c r="A19" s="0" t="s">
        <v>450</v>
      </c>
      <c r="B19" s="25" t="n">
        <f aca="false">V_PSB*(1+Ke)^(B$7/12)</f>
        <v>-2.01203113796443</v>
      </c>
      <c r="C19" s="25" t="n">
        <f aca="false">V_PSB*(1+Ke)^(C$7/12)</f>
        <v>-2.13881843763243</v>
      </c>
      <c r="D19" s="25" t="n">
        <f aca="false">V_PSB*(1+Ke)^(D$7/12)</f>
        <v>-2.2735951858998</v>
      </c>
      <c r="E19" s="25" t="n">
        <f aca="false">V_PSB*(1+Ke)^(E$7/12)</f>
        <v>-2.90315369287546</v>
      </c>
    </row>
    <row r="21" customFormat="false" ht="15" hidden="false" customHeight="false" outlineLevel="0" collapsed="false">
      <c r="A21" s="3" t="s">
        <v>451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-898.814009603721</v>
      </c>
    </row>
    <row r="23" customFormat="false" ht="15" hidden="false" customHeight="false" outlineLevel="0" collapsed="false">
      <c r="A23" s="0" t="s">
        <v>452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453</v>
      </c>
      <c r="B24" s="6" t="n">
        <f aca="false">V_PS</f>
        <v>0.01</v>
      </c>
    </row>
    <row r="25" customFormat="false" ht="15" hidden="false" customHeight="false" outlineLevel="0" collapsed="false">
      <c r="A25" s="0" t="s">
        <v>454</v>
      </c>
      <c r="B25" s="6" t="n">
        <f aca="false">V_PT</f>
        <v>3.97046602096122</v>
      </c>
    </row>
    <row r="26" customFormat="false" ht="15" hidden="false" customHeight="false" outlineLevel="0" collapsed="false">
      <c r="A26" s="0" t="s">
        <v>455</v>
      </c>
      <c r="B26" s="6" t="n">
        <f aca="false">V_PTSpot</f>
        <v>88.869332374278</v>
      </c>
    </row>
    <row r="27" customFormat="false" ht="15" hidden="false" customHeight="false" outlineLevel="0" collapsed="false">
      <c r="A27" s="0" t="s">
        <v>456</v>
      </c>
      <c r="B27" s="50" t="n">
        <f aca="false">V_AuthNeed</f>
        <v>13262.174379532</v>
      </c>
    </row>
    <row r="28" customFormat="false" ht="15" hidden="false" customHeight="false" outlineLevel="0" collapsed="false">
      <c r="A28" s="0" t="s">
        <v>457</v>
      </c>
      <c r="B28" s="51" t="n">
        <f aca="false">V_UP</f>
        <v>-0.983647848025365</v>
      </c>
    </row>
    <row r="29" customFormat="false" ht="15" hidden="false" customHeight="false" outlineLevel="0" collapsed="false">
      <c r="A29" s="0" t="s">
        <v>458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459</v>
      </c>
      <c r="B30" s="51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460</v>
      </c>
      <c r="B32" s="3" t="s">
        <v>461</v>
      </c>
      <c r="C32" s="3" t="s">
        <v>462</v>
      </c>
      <c r="D32" s="3" t="s">
        <v>463</v>
      </c>
    </row>
    <row r="33" customFormat="false" ht="15" hidden="false" customHeight="false" outlineLevel="0" collapsed="false">
      <c r="A33" s="0" t="s">
        <v>464</v>
      </c>
      <c r="B33" s="35" t="n">
        <f aca="false">SUMIF(Q_Yr,2026,PL_Rev)</f>
        <v>2465.07954157611</v>
      </c>
      <c r="C33" s="35" t="n">
        <f aca="false">SUMIF(Q_Yr,2027,PL_Rev)</f>
        <v>8209.24039226006</v>
      </c>
      <c r="D33" s="35" t="n">
        <f aca="false">SUMIF(Q_Yr,2028,PL_Rev)</f>
        <v>19716.7966317894</v>
      </c>
    </row>
    <row r="34" customFormat="false" ht="15" hidden="false" customHeight="false" outlineLevel="0" collapsed="false">
      <c r="A34" s="0" t="s">
        <v>465</v>
      </c>
      <c r="B34" s="35" t="n">
        <f aca="false">INDEX(Cons_Rev,1,3)</f>
        <v>3340</v>
      </c>
      <c r="C34" s="35" t="n">
        <f aca="false">INDEX(Cons_Rev,1,4)</f>
        <v>12300</v>
      </c>
      <c r="D34" s="35" t="n">
        <f aca="false">INDEX(Cons_Rev,1,5)</f>
        <v>23000</v>
      </c>
    </row>
    <row r="35" customFormat="false" ht="15" hidden="false" customHeight="false" outlineLevel="0" collapsed="false">
      <c r="A35" s="0" t="s">
        <v>466</v>
      </c>
      <c r="B35" s="27" t="n">
        <f aca="false">IF(N(B34)=0,"n/a",B33/B34-1)</f>
        <v>-0.261952233061046</v>
      </c>
      <c r="C35" s="27" t="n">
        <f aca="false">IF(N(C34)=0,"n/a",C33/C34-1)</f>
        <v>-0.332582081930076</v>
      </c>
      <c r="D35" s="27" t="n">
        <f aca="false">IF(N(D34)=0,"n/a",D33/D34-1)</f>
        <v>-0.142747972530897</v>
      </c>
    </row>
    <row r="36" customFormat="false" ht="15" hidden="false" customHeight="false" outlineLevel="0" collapsed="false">
      <c r="A36" s="0" t="s">
        <v>467</v>
      </c>
      <c r="B36" s="35" t="n">
        <f aca="false">SUMIF(Q_Yr,2026,PL_EBITDA)</f>
        <v>951.290832135856</v>
      </c>
      <c r="C36" s="35" t="n">
        <f aca="false">SUMIF(Q_Yr,2027,PL_EBITDA)</f>
        <v>4213.14398474076</v>
      </c>
      <c r="D36" s="35" t="n">
        <f aca="false">SUMIF(Q_Yr,2028,PL_EBITDA)</f>
        <v>11402.7039831813</v>
      </c>
    </row>
    <row r="37" customFormat="false" ht="15" hidden="false" customHeight="false" outlineLevel="0" collapsed="false">
      <c r="A37" s="0" t="s">
        <v>468</v>
      </c>
      <c r="B37" s="35" t="n">
        <f aca="false">INDEX(Cons_EB,1,3)</f>
        <v>1390</v>
      </c>
      <c r="C37" s="35" t="n">
        <f aca="false">INDEX(Cons_EB,1,4)</f>
        <v>6730</v>
      </c>
      <c r="D37" s="35" t="n">
        <f aca="false">INDEX(Cons_EB,1,5)</f>
        <v>13980</v>
      </c>
    </row>
    <row r="38" customFormat="false" ht="15" hidden="false" customHeight="false" outlineLevel="0" collapsed="false">
      <c r="A38" s="0" t="s">
        <v>469</v>
      </c>
      <c r="B38" s="27" t="n">
        <f aca="false">IF(N(B37)=0,"n/a",B36/B37-1)</f>
        <v>-0.315618106377082</v>
      </c>
      <c r="C38" s="27" t="n">
        <f aca="false">IF(N(C37)=0,"n/a",C36/C37-1)</f>
        <v>-0.37397563376809</v>
      </c>
      <c r="D38" s="27" t="n">
        <f aca="false">IF(N(D37)=0,"n/a",D36/D37-1)</f>
        <v>-0.184355938255988</v>
      </c>
    </row>
    <row r="39" customFormat="false" ht="15" hidden="false" customHeight="false" outlineLevel="0" collapsed="false">
      <c r="A39" s="0" t="s">
        <v>470</v>
      </c>
      <c r="B39" s="35" t="n">
        <f aca="false">SUMIF(Q_Yr,2026,Capex)</f>
        <v>17617.7170533315</v>
      </c>
      <c r="C39" s="35" t="n">
        <f aca="false">SUMIF(Q_Yr,2027,Capex)</f>
        <v>33779.4469253452</v>
      </c>
      <c r="D39" s="35" t="n">
        <f aca="false">SUMIF(Q_Yr,2028,Capex)</f>
        <v>26949.0428826358</v>
      </c>
    </row>
    <row r="40" customFormat="false" ht="15" hidden="false" customHeight="false" outlineLevel="0" collapsed="false">
      <c r="A40" s="0" t="s">
        <v>471</v>
      </c>
      <c r="B40" s="35" t="n">
        <f aca="false">INDEX(Cons_Cx,1,3)</f>
        <v>0</v>
      </c>
      <c r="C40" s="35" t="n">
        <f aca="false">INDEX(Cons_Cx,1,4)</f>
        <v>29100</v>
      </c>
      <c r="D40" s="35" t="n">
        <f aca="false">INDEX(Cons_Cx,1,5)</f>
        <v>0</v>
      </c>
    </row>
    <row r="41" customFormat="false" ht="15" hidden="false" customHeight="false" outlineLevel="0" collapsed="false">
      <c r="A41" s="0" t="s">
        <v>472</v>
      </c>
      <c r="B41" s="27" t="str">
        <f aca="false">IF(N(B40)=0,"n/a",B39/B40-1)</f>
        <v>n/a</v>
      </c>
      <c r="C41" s="27" t="n">
        <f aca="false">IF(N(C40)=0,"n/a",C39/C40-1)</f>
        <v>0.160805736266159</v>
      </c>
      <c r="D41" s="27" t="str">
        <f aca="false">IF(N(D40)=0,"n/a",D39/D40-1)</f>
        <v>n/a</v>
      </c>
    </row>
    <row r="43" customFormat="false" ht="15" hidden="false" customHeight="false" outlineLevel="0" collapsed="false">
      <c r="A43" s="3" t="s">
        <v>473</v>
      </c>
      <c r="B43" s="3" t="s">
        <v>474</v>
      </c>
      <c r="C43" s="3" t="s">
        <v>62</v>
      </c>
    </row>
    <row r="44" customFormat="false" ht="15" hidden="false" customHeight="false" outlineLevel="0" collapsed="false">
      <c r="A44" s="0" t="s">
        <v>475</v>
      </c>
      <c r="B44" s="35" t="n">
        <f aca="false">INDEX(MW_En,1,12)</f>
        <v>301.7195</v>
      </c>
      <c r="C44" s="35" t="n">
        <f aca="false">INDEX(MW_En,1,16)</f>
        <v>1081.9108</v>
      </c>
    </row>
    <row r="45" customFormat="false" ht="15" hidden="false" customHeight="false" outlineLevel="0" collapsed="false">
      <c r="A45" s="0" t="s">
        <v>476</v>
      </c>
      <c r="B45" s="35" t="n">
        <f aca="false">INDEX(MW_Gd,1,12)</f>
        <v>900</v>
      </c>
      <c r="C45" s="35" t="n">
        <f aca="false">INDEX(MW_Gd,1,16)</f>
        <v>1800</v>
      </c>
    </row>
    <row r="46" customFormat="false" ht="15" hidden="false" customHeight="false" outlineLevel="0" collapsed="false">
      <c r="A46" s="0" t="s">
        <v>477</v>
      </c>
      <c r="B46" s="35" t="n">
        <f aca="false">INDEX(MW_Contr,1,12)</f>
        <v>4000</v>
      </c>
      <c r="C46" s="35" t="n">
        <f aca="false">INDEX(MW_Contr,1,16)</f>
        <v>4000</v>
      </c>
    </row>
    <row r="47" customFormat="false" ht="15" hidden="false" customHeight="false" outlineLevel="0" collapsed="false">
      <c r="A47" s="0" t="s">
        <v>478</v>
      </c>
      <c r="B47" s="35" t="n">
        <f aca="false">INDEX(MW_Act,1,12)</f>
        <v>216.9897</v>
      </c>
      <c r="C47" s="35" t="n">
        <f aca="false">INDEX(MW_Act,1,16)</f>
        <v>812.6073</v>
      </c>
    </row>
    <row r="50" customFormat="false" ht="15" hidden="false" customHeight="false" outlineLevel="0" collapsed="false">
      <c r="A50" s="3" t="s">
        <v>479</v>
      </c>
    </row>
    <row r="51" customFormat="false" ht="15" hidden="false" customHeight="false" outlineLevel="0" collapsed="false">
      <c r="B51" s="3" t="s">
        <v>480</v>
      </c>
      <c r="C51" s="3" t="s">
        <v>481</v>
      </c>
      <c r="D51" s="3" t="s">
        <v>482</v>
      </c>
    </row>
    <row r="52" customFormat="false" ht="15" hidden="false" customHeight="false" outlineLevel="0" collapsed="false">
      <c r="A52" s="0" t="s">
        <v>483</v>
      </c>
      <c r="B52" s="47" t="n">
        <v>4287.20023545696</v>
      </c>
      <c r="C52" s="35" t="n">
        <f aca="false">Sk_Rev27Lo</f>
        <v>7000</v>
      </c>
      <c r="D52" s="27" t="n">
        <f aca="false">IFERROR(B52/C52-1,"")</f>
        <v>-0.387542823506149</v>
      </c>
    </row>
    <row r="53" customFormat="false" ht="15" hidden="false" customHeight="false" outlineLevel="0" collapsed="false">
      <c r="A53" s="0" t="s">
        <v>484</v>
      </c>
      <c r="B53" s="35" t="n">
        <f aca="false">SUMIF(Q_Yr,2027,PL_Rev)</f>
        <v>8209.24039226006</v>
      </c>
      <c r="C53" s="35" t="n">
        <f aca="false">Sk_Rev27Base</f>
        <v>9900</v>
      </c>
      <c r="D53" s="27" t="n">
        <f aca="false">IFERROR(B53/C53-1,"")</f>
        <v>-0.17078379876161</v>
      </c>
    </row>
    <row r="54" customFormat="false" ht="15" hidden="false" customHeight="false" outlineLevel="0" collapsed="false">
      <c r="A54" s="0" t="s">
        <v>485</v>
      </c>
      <c r="B54" s="47" t="n">
        <v>13514.6499380133</v>
      </c>
      <c r="C54" s="35" t="n">
        <f aca="false">Sk_Rev27Hi</f>
        <v>12900</v>
      </c>
      <c r="D54" s="27" t="n">
        <f aca="false">IFERROR(B54/C54-1,"")</f>
        <v>0.0476472820165348</v>
      </c>
    </row>
    <row r="55" customFormat="false" ht="15" hidden="false" customHeight="false" outlineLevel="0" collapsed="false">
      <c r="A55" s="0" t="s">
        <v>486</v>
      </c>
      <c r="B55" s="47" t="n">
        <v>6911.0703365358</v>
      </c>
      <c r="C55" s="35" t="n">
        <f aca="false">Sk_Rev27St</f>
        <v>7600</v>
      </c>
      <c r="D55" s="27" t="n">
        <f aca="false">IFERROR(B55/C55-1,"")</f>
        <v>-0.0906486399294999</v>
      </c>
    </row>
    <row r="56" customFormat="false" ht="15" hidden="false" customHeight="false" outlineLevel="0" collapsed="false">
      <c r="A56" s="0" t="s">
        <v>487</v>
      </c>
      <c r="B56" s="35" t="n">
        <f aca="false">SUMIF(Q_Yr,2028,PL_Rev)</f>
        <v>19716.7966317894</v>
      </c>
      <c r="C56" s="35" t="n">
        <f aca="false">Sk_Rev28</f>
        <v>25300</v>
      </c>
      <c r="D56" s="27" t="n">
        <f aca="false">IFERROR(B56/C56-1,"")</f>
        <v>-0.220679975028088</v>
      </c>
    </row>
    <row r="57" customFormat="false" ht="15" hidden="false" customHeight="false" outlineLevel="0" collapsed="false">
      <c r="A57" s="0" t="s">
        <v>488</v>
      </c>
      <c r="B57" s="52" t="n">
        <f aca="false">V_EVEB27</f>
        <v>17.7194796024978</v>
      </c>
      <c r="C57" s="52" t="n">
        <f aca="false">Sk_EVEB27</f>
        <v>11.1</v>
      </c>
      <c r="D57" s="27" t="n">
        <f aca="false">IFERROR(B57/C57-1,"")</f>
        <v>0.596349513738538</v>
      </c>
    </row>
    <row r="58" customFormat="false" ht="15" hidden="false" customHeight="false" outlineLevel="0" collapsed="false">
      <c r="A58" s="0" t="s">
        <v>489</v>
      </c>
      <c r="B58" s="52" t="n">
        <f aca="false">CRWV_EVEB27</f>
        <v>4.8</v>
      </c>
      <c r="C58" s="52" t="n">
        <f aca="false">CRWV_EVEB27</f>
        <v>4.8</v>
      </c>
      <c r="D58" s="27" t="n">
        <f aca="false">IFERROR(B58/C58-1,"")</f>
        <v>0</v>
      </c>
    </row>
    <row r="60" customFormat="false" ht="15" hidden="false" customHeight="false" outlineLevel="0" collapsed="false">
      <c r="A60" s="3" t="s">
        <v>490</v>
      </c>
    </row>
    <row r="61" customFormat="false" ht="15" hidden="false" customHeight="false" outlineLevel="0" collapsed="false">
      <c r="A61" s="0" t="s">
        <v>491</v>
      </c>
      <c r="B61" s="35" t="n">
        <f aca="false">Liq_Start</f>
        <v>13792.1</v>
      </c>
    </row>
    <row r="62" customFormat="false" ht="15" hidden="false" customHeight="false" outlineLevel="0" collapsed="false">
      <c r="A62" s="0" t="s">
        <v>492</v>
      </c>
      <c r="B62" s="33" t="str">
        <f aca="false">Liq_NegQ</f>
        <v>none to Q4'30</v>
      </c>
    </row>
    <row r="63" customFormat="false" ht="15" hidden="false" customHeight="false" outlineLevel="0" collapsed="false">
      <c r="A63" s="0" t="s">
        <v>493</v>
      </c>
      <c r="B63" s="32" t="n">
        <f aca="false">INDEX(Liq,1,13)/1000</f>
        <v>9.88092606372689</v>
      </c>
      <c r="C63" s="32" t="n">
        <f aca="false">INDEX(Liq,1,14)/1000</f>
        <v>2.4237443678011</v>
      </c>
      <c r="D63" s="32" t="n">
        <f aca="false">INDEX(Liq,1,16)/1000</f>
        <v>1</v>
      </c>
    </row>
    <row r="65" customFormat="false" ht="15" hidden="false" customHeight="false" outlineLevel="0" collapsed="false">
      <c r="A65" s="10" t="s">
        <v>494</v>
      </c>
    </row>
    <row r="66" customFormat="false" ht="15" hidden="false" customHeight="false" outlineLevel="0" collapsed="false">
      <c r="B66" s="10" t="s">
        <v>495</v>
      </c>
      <c r="C66" s="10" t="s">
        <v>496</v>
      </c>
    </row>
    <row r="67" customFormat="false" ht="15" hidden="false" customHeight="false" outlineLevel="0" collapsed="false">
      <c r="A67" s="0" t="s">
        <v>9</v>
      </c>
      <c r="B67" s="0" t="s">
        <v>116</v>
      </c>
      <c r="C67" s="0" t="s">
        <v>116</v>
      </c>
    </row>
    <row r="68" customFormat="false" ht="15" hidden="false" customHeight="false" outlineLevel="0" collapsed="false">
      <c r="A68" s="0" t="s">
        <v>497</v>
      </c>
      <c r="B68" s="16" t="n">
        <v>1000</v>
      </c>
      <c r="C68" s="16" t="n">
        <v>1000</v>
      </c>
    </row>
    <row r="69" customFormat="false" ht="15" hidden="false" customHeight="false" outlineLevel="0" collapsed="false">
      <c r="A69" s="0" t="s">
        <v>498</v>
      </c>
      <c r="B69" s="47" t="n">
        <v>33779.4469253452</v>
      </c>
      <c r="C69" s="47" t="n">
        <v>29100</v>
      </c>
    </row>
    <row r="71" customFormat="false" ht="15" hidden="false" customHeight="false" outlineLevel="0" collapsed="false">
      <c r="A71" s="10" t="s">
        <v>499</v>
      </c>
    </row>
    <row r="72" customFormat="false" ht="15" hidden="false" customHeight="false" outlineLevel="0" collapsed="false">
      <c r="B72" s="10" t="s">
        <v>500</v>
      </c>
      <c r="C72" s="10" t="s">
        <v>501</v>
      </c>
      <c r="D72" s="10" t="s">
        <v>502</v>
      </c>
      <c r="E72" s="10" t="s">
        <v>503</v>
      </c>
      <c r="F72" s="10" t="s">
        <v>504</v>
      </c>
      <c r="G72" s="10" t="s">
        <v>505</v>
      </c>
    </row>
    <row r="73" customFormat="false" ht="15" hidden="false" customHeight="false" outlineLevel="0" collapsed="false">
      <c r="A73" s="0" t="s">
        <v>506</v>
      </c>
      <c r="B73" s="16" t="n">
        <v>224.551724636209</v>
      </c>
      <c r="C73" s="16" t="n">
        <v>159.43172449171</v>
      </c>
      <c r="D73" s="16" t="n">
        <v>132.838958713201</v>
      </c>
      <c r="E73" s="16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507</v>
      </c>
      <c r="B74" s="16" t="n">
        <v>0</v>
      </c>
      <c r="C74" s="16" t="n">
        <v>0</v>
      </c>
      <c r="D74" s="16" t="n">
        <v>0</v>
      </c>
      <c r="E74" s="16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508</v>
      </c>
      <c r="B75" s="16" t="n">
        <v>-128.31527122069</v>
      </c>
      <c r="C75" s="16" t="n">
        <v>-91.1038425667002</v>
      </c>
      <c r="D75" s="16" t="n">
        <v>-75.9079764075977</v>
      </c>
      <c r="E75" s="16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10" t="s">
        <v>509</v>
      </c>
    </row>
    <row r="79" customFormat="false" ht="15" hidden="false" customHeight="false" outlineLevel="0" collapsed="false">
      <c r="B79" s="10" t="s">
        <v>510</v>
      </c>
      <c r="C79" s="10" t="s">
        <v>511</v>
      </c>
      <c r="D79" s="10" t="s">
        <v>512</v>
      </c>
      <c r="E79" s="10" t="s">
        <v>513</v>
      </c>
      <c r="F79" s="10" t="s">
        <v>514</v>
      </c>
      <c r="G79" s="10" t="s">
        <v>515</v>
      </c>
    </row>
    <row r="80" customFormat="false" ht="15" hidden="false" customHeight="false" outlineLevel="0" collapsed="false">
      <c r="A80" s="0" t="s">
        <v>516</v>
      </c>
      <c r="B80" s="0" t="s">
        <v>116</v>
      </c>
      <c r="C80" s="0" t="str">
        <f aca="false">Sk3_ZeroQ</f>
        <v>Q4'27</v>
      </c>
      <c r="D80" s="18" t="n">
        <v>1</v>
      </c>
      <c r="E80" s="18" t="n">
        <f aca="false">Sk3_YE27</f>
        <v>-0.15</v>
      </c>
      <c r="F80" s="18" t="n">
        <v>1</v>
      </c>
      <c r="G80" s="18" t="n">
        <f aca="false">Sk3_YE28</f>
        <v>-6.8</v>
      </c>
    </row>
    <row r="81" customFormat="false" ht="15" hidden="false" customHeight="false" outlineLevel="0" collapsed="false">
      <c r="A81" s="0" t="s">
        <v>517</v>
      </c>
      <c r="B81" s="0" t="s">
        <v>116</v>
      </c>
      <c r="C81" s="0" t="str">
        <f aca="false">Sk3L_ZeroQ</f>
        <v>never thru 2030</v>
      </c>
      <c r="D81" s="18" t="n">
        <v>1</v>
      </c>
      <c r="E81" s="18" t="n">
        <f aca="false">Sk3L_YE27</f>
        <v>7.1</v>
      </c>
      <c r="F81" s="18" t="n">
        <v>1</v>
      </c>
      <c r="G81" s="18" t="n">
        <f aca="false">Sk3L_YE28</f>
        <v>1.5</v>
      </c>
    </row>
    <row r="82" customFormat="false" ht="15" hidden="false" customHeight="false" outlineLevel="0" collapsed="false">
      <c r="A82" s="0" t="s">
        <v>518</v>
      </c>
      <c r="B82" s="0" t="s">
        <v>116</v>
      </c>
      <c r="C82" s="0" t="str">
        <f aca="false">Sk3H_ZeroQ</f>
        <v>Q3'27</v>
      </c>
      <c r="D82" s="18" t="n">
        <v>1</v>
      </c>
      <c r="E82" s="18" t="n">
        <f aca="false">Sk3H_YE27</f>
        <v>-7.4</v>
      </c>
      <c r="F82" s="18" t="n">
        <v>1</v>
      </c>
      <c r="G82" s="18" t="n">
        <f aca="false">Sk3H_YE28</f>
        <v>-15.6</v>
      </c>
    </row>
    <row r="83" customFormat="false" ht="15" hidden="false" customHeight="false" outlineLevel="0" collapsed="false">
      <c r="A83" s="0" t="s">
        <v>519</v>
      </c>
      <c r="B83" s="0" t="s">
        <v>116</v>
      </c>
      <c r="C83" s="0" t="str">
        <f aca="false">Sk3C_ZeroQ</f>
        <v>Q2'27</v>
      </c>
      <c r="D83" s="18" t="n">
        <v>1</v>
      </c>
      <c r="E83" s="18" t="n">
        <f aca="false">Sk3C_YE27</f>
        <v>-9.9</v>
      </c>
      <c r="F83" s="18" t="n">
        <v>1</v>
      </c>
    </row>
    <row r="85" customFormat="false" ht="15" hidden="false" customHeight="false" outlineLevel="0" collapsed="false">
      <c r="A85" s="10" t="s">
        <v>520</v>
      </c>
    </row>
    <row r="86" customFormat="false" ht="15" hidden="false" customHeight="false" outlineLevel="0" collapsed="false">
      <c r="B86" s="10" t="s">
        <v>521</v>
      </c>
      <c r="C86" s="10" t="s">
        <v>522</v>
      </c>
      <c r="D86" s="10" t="s">
        <v>523</v>
      </c>
    </row>
    <row r="87" customFormat="false" ht="15" hidden="false" customHeight="false" outlineLevel="0" collapsed="false">
      <c r="A87" s="0" t="s">
        <v>524</v>
      </c>
      <c r="B87" s="18" t="n">
        <v>-12.667058598149</v>
      </c>
      <c r="C87" s="18" t="n">
        <v>-0.898814009603721</v>
      </c>
      <c r="D87" s="18" t="n">
        <v>10.5339695033062</v>
      </c>
    </row>
    <row r="88" customFormat="false" ht="15" hidden="false" customHeight="false" outlineLevel="0" collapsed="false">
      <c r="A88" s="0" t="s">
        <v>525</v>
      </c>
      <c r="B88" s="18" t="str">
        <f aca="false">Sk3_DCF4</f>
        <v>negative</v>
      </c>
      <c r="C88" s="18" t="n">
        <f aca="false">Sk3_DCF5</f>
        <v>2.3</v>
      </c>
      <c r="D88" s="18" t="n">
        <f aca="false">Sk3_DCF6</f>
        <v>16.3</v>
      </c>
    </row>
    <row r="89" customFormat="false" ht="15" hidden="false" customHeight="false" outlineLevel="0" collapsed="false">
      <c r="A89" s="0" t="s">
        <v>526</v>
      </c>
      <c r="B89" s="18" t="n">
        <f aca="false">V_MKTEV/1000</f>
        <v>74.6547189</v>
      </c>
    </row>
    <row r="91" customFormat="false" ht="15" hidden="false" customHeight="false" outlineLevel="0" collapsed="false">
      <c r="A91" s="10" t="s">
        <v>527</v>
      </c>
    </row>
    <row r="92" customFormat="false" ht="15" hidden="false" customHeight="false" outlineLevel="0" collapsed="false">
      <c r="B92" s="10" t="s">
        <v>528</v>
      </c>
      <c r="C92" s="10" t="s">
        <v>529</v>
      </c>
      <c r="D92" s="10" t="s">
        <v>52</v>
      </c>
      <c r="E92" s="10" t="s">
        <v>530</v>
      </c>
      <c r="F92" s="10" t="s">
        <v>531</v>
      </c>
      <c r="G92" s="10" t="s">
        <v>532</v>
      </c>
      <c r="H92" s="10" t="s">
        <v>533</v>
      </c>
    </row>
    <row r="93" customFormat="false" ht="15" hidden="false" customHeight="false" outlineLevel="0" collapsed="false">
      <c r="A93" s="0" t="s">
        <v>534</v>
      </c>
      <c r="B93" s="16" t="n">
        <v>94115.788273607</v>
      </c>
      <c r="C93" s="16" t="n">
        <v>91652.9362941366</v>
      </c>
      <c r="D93" s="17" t="n">
        <v>248.193496039636</v>
      </c>
      <c r="E93" s="17" t="n">
        <v>280.458650524788</v>
      </c>
      <c r="F93" s="53" t="n">
        <v>0.953955874711187</v>
      </c>
      <c r="G93" s="16" t="n">
        <v>8517.51527302704</v>
      </c>
      <c r="H93" s="16" t="n">
        <v>4713.07502039488</v>
      </c>
    </row>
    <row r="94" customFormat="false" ht="15" hidden="false" customHeight="false" outlineLevel="0" collapsed="false">
      <c r="A94" s="0" t="s">
        <v>128</v>
      </c>
      <c r="B94" s="16" t="n">
        <v>-898.814009603721</v>
      </c>
      <c r="C94" s="16" t="n">
        <v>-621.096213862173</v>
      </c>
      <c r="D94" s="17" t="n">
        <v>0.01</v>
      </c>
      <c r="E94" s="17" t="n">
        <v>3.97046602096122</v>
      </c>
      <c r="F94" s="53" t="n">
        <v>0.750319556751226</v>
      </c>
      <c r="G94" s="16" t="n">
        <v>8209.24039226006</v>
      </c>
      <c r="H94" s="16" t="n">
        <v>4213.14398474076</v>
      </c>
    </row>
    <row r="95" customFormat="false" ht="15" hidden="false" customHeight="false" outlineLevel="0" collapsed="false">
      <c r="A95" s="0" t="s">
        <v>535</v>
      </c>
      <c r="B95" s="16" t="n">
        <v>363040.04636384</v>
      </c>
      <c r="C95" s="16" t="n">
        <v>366980.751573791</v>
      </c>
      <c r="D95" s="17" t="n">
        <v>943.044237279562</v>
      </c>
      <c r="E95" s="17" t="n">
        <v>1056.20954575311</v>
      </c>
      <c r="F95" s="53" t="n">
        <v>0.953955874711187</v>
      </c>
      <c r="G95" s="16" t="n">
        <v>14376.3903039499</v>
      </c>
      <c r="H95" s="16" t="n">
        <v>8852.26722942071</v>
      </c>
    </row>
    <row r="96" customFormat="false" ht="15" hidden="false" customHeight="false" outlineLevel="0" collapsed="false">
      <c r="A96" s="0" t="s">
        <v>129</v>
      </c>
      <c r="B96" s="16" t="n">
        <v>125480.859518724</v>
      </c>
      <c r="C96" s="16" t="n">
        <v>137784.257807271</v>
      </c>
      <c r="D96" s="17" t="n">
        <v>355.026856324297</v>
      </c>
      <c r="E96" s="17" t="n">
        <v>401.014364683567</v>
      </c>
      <c r="F96" s="53" t="n">
        <v>0.750319556751226</v>
      </c>
      <c r="G96" s="16" t="n">
        <v>13514.6499380133</v>
      </c>
      <c r="H96" s="16" t="n">
        <v>7841.10089763175</v>
      </c>
    </row>
    <row r="97" customFormat="false" ht="15" hidden="false" customHeight="false" outlineLevel="0" collapsed="false">
      <c r="A97" s="0" t="s">
        <v>536</v>
      </c>
      <c r="B97" s="16" t="n">
        <v>-21541.1860088107</v>
      </c>
      <c r="C97" s="16" t="n">
        <v>-33504.3578287244</v>
      </c>
      <c r="D97" s="17" t="n">
        <v>0.01</v>
      </c>
      <c r="E97" s="17" t="n">
        <v>0.0115</v>
      </c>
      <c r="F97" s="53" t="n">
        <v>0.953955874711187</v>
      </c>
      <c r="G97" s="16" t="n">
        <v>3424.4744413531</v>
      </c>
      <c r="H97" s="16" t="n">
        <v>1375.17060364541</v>
      </c>
    </row>
    <row r="98" customFormat="false" ht="15" hidden="false" customHeight="false" outlineLevel="0" collapsed="false">
      <c r="A98" s="0" t="s">
        <v>130</v>
      </c>
      <c r="B98" s="16" t="n">
        <v>-34363.0239982634</v>
      </c>
      <c r="C98" s="16" t="n">
        <v>-34087.8704089523</v>
      </c>
      <c r="D98" s="17" t="n">
        <v>0.01</v>
      </c>
      <c r="E98" s="17" t="n">
        <v>0</v>
      </c>
      <c r="F98" s="53" t="n">
        <v>0.750319556751226</v>
      </c>
      <c r="G98" s="16" t="n">
        <v>4287.20023545696</v>
      </c>
      <c r="H98" s="16" t="n">
        <v>1840.94291622573</v>
      </c>
    </row>
    <row r="99" customFormat="false" ht="15" hidden="false" customHeight="false" outlineLevel="0" collapsed="false">
      <c r="A99" s="0" t="s">
        <v>537</v>
      </c>
      <c r="B99" s="16" t="n">
        <v>-6992.16341447011</v>
      </c>
      <c r="C99" s="16" t="n">
        <v>-6714.44561872856</v>
      </c>
      <c r="D99" s="17" t="n">
        <v>0.01</v>
      </c>
      <c r="E99" s="17" t="n">
        <v>0</v>
      </c>
      <c r="F99" s="53" t="n">
        <v>0.750319556751226</v>
      </c>
      <c r="G99" s="16" t="n">
        <v>8209.24039226006</v>
      </c>
      <c r="H99" s="16" t="n">
        <v>4213.14398474076</v>
      </c>
    </row>
    <row r="100" customFormat="false" ht="15" hidden="false" customHeight="false" outlineLevel="0" collapsed="false">
      <c r="A100" s="0" t="s">
        <v>538</v>
      </c>
      <c r="B100" s="16" t="n">
        <v>23077.3176656432</v>
      </c>
      <c r="C100" s="16" t="n">
        <v>11564.2759370003</v>
      </c>
      <c r="D100" s="17" t="n">
        <v>36.7207015652249</v>
      </c>
      <c r="E100" s="17" t="n">
        <v>71.9014780436428</v>
      </c>
      <c r="F100" s="53" t="n">
        <v>0.750319556751226</v>
      </c>
      <c r="G100" s="16" t="n">
        <v>19284.0882301157</v>
      </c>
      <c r="H100" s="16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539</v>
      </c>
    </row>
    <row r="3" customFormat="false" ht="15" hidden="false" customHeight="false" outlineLevel="0" collapsed="false">
      <c r="A3" s="49" t="s">
        <v>540</v>
      </c>
      <c r="B3" s="49" t="s">
        <v>480</v>
      </c>
      <c r="C3" s="49" t="s">
        <v>541</v>
      </c>
      <c r="D3" s="49" t="s">
        <v>542</v>
      </c>
      <c r="E3" s="49" t="s">
        <v>543</v>
      </c>
    </row>
    <row r="4" customFormat="false" ht="15" hidden="false" customHeight="false" outlineLevel="0" collapsed="false">
      <c r="A4" s="0" t="s">
        <v>544</v>
      </c>
      <c r="B4" s="54" t="n">
        <f aca="false">IF(DilMethod=1,SUMPRODUCT((((CVDebtBasis=1)*Valuation!$E$80:$E$91+(CVDebtBasis&gt;=2)*Valuation!$F$80:$F$91))),IF(DilMethod=2,SUMPRODUCT((V_PSolve&gt;Valuation!$H$80:$H$91)*(((CVDebtBasis=1)*Valuation!$E$80:$E$91+(CVDebtBasis&gt;=2)*Valuation!$F$80:$F$91))),0))+V_CVDEBT-SUMPRODUCT((((CVDebtBasis=1)*Valuation!$E$80:$E$91+(CVDebtBasis&gt;=2)*Valuation!$F$80:$F$91)))</f>
        <v>0</v>
      </c>
      <c r="C4" s="55" t="n">
        <v>0</v>
      </c>
      <c r="D4" s="3" t="str">
        <f aca="false">IF(ABS(B4)&lt;0.5,"OK","DOUBLE COUNT")</f>
        <v>OK</v>
      </c>
      <c r="E4" s="24" t="s">
        <v>545</v>
      </c>
    </row>
    <row r="5" customFormat="false" ht="15" hidden="false" customHeight="false" outlineLevel="0" collapsed="false">
      <c r="A5" s="0" t="s">
        <v>546</v>
      </c>
      <c r="B5" s="54" t="n">
        <f aca="false">IF(DilMethod=1,SUMPRODUCT((((CVDebtBasis=1)*Valuation!$E$80:$E$91+(CVDebtBasis&gt;=2)*Valuation!$F$80:$F$91))),IF(DilMethod=2,SUMPRODUCT((SharePx&gt;Valuation!$H$80:$H$91)*(((CVDebtBasis=1)*Valuation!$E$80:$E$91+(CVDebtBasis&gt;=2)*Valuation!$F$80:$F$91))),0))+V_CVDmkt-SUMPRODUCT((((CVDebtBasis=1)*Valuation!$E$80:$E$91+(CVDebtBasis&gt;=2)*Valuation!$F$80:$F$91)))</f>
        <v>0</v>
      </c>
      <c r="C5" s="55" t="n">
        <v>0</v>
      </c>
      <c r="D5" s="3" t="str">
        <f aca="false">IF(ABS(B5)&lt;0.5,"OK","DOUBLE COUNT")</f>
        <v>OK</v>
      </c>
      <c r="E5" s="24"/>
    </row>
    <row r="6" customFormat="false" ht="15" hidden="false" customHeight="false" outlineLevel="0" collapsed="false">
      <c r="A6" s="0" t="s">
        <v>547</v>
      </c>
      <c r="B6" s="54" t="n">
        <f aca="false">INDEX(Sh_EconBasic,1,11)</f>
        <v>308.691154</v>
      </c>
      <c r="C6" s="55" t="n">
        <v>308.69</v>
      </c>
      <c r="D6" s="3" t="str">
        <f aca="false">IF(ABS(B6-C6)&lt;0.05,"OK","CHECK")</f>
        <v>OK</v>
      </c>
      <c r="E6" s="24"/>
    </row>
    <row r="7" customFormat="false" ht="15" hidden="false" customHeight="false" outlineLevel="0" collapsed="false">
      <c r="A7" s="0" t="s">
        <v>548</v>
      </c>
      <c r="B7" s="54" t="n">
        <f aca="false">V_FDmkt</f>
        <v>369.226788774505</v>
      </c>
      <c r="C7" s="55" t="n">
        <f aca="false">FD_Filings</f>
        <v>369.2</v>
      </c>
      <c r="D7" s="3" t="str">
        <f aca="false">IF(ABS(B7-C7)&lt;2,"OK","CHECK")</f>
        <v>OK</v>
      </c>
      <c r="E7" s="24" t="s">
        <v>549</v>
      </c>
    </row>
    <row r="8" customFormat="false" ht="15" hidden="false" customHeight="false" outlineLevel="0" collapsed="false">
      <c r="A8" s="0" t="s">
        <v>550</v>
      </c>
      <c r="B8" s="54" t="n">
        <f aca="false">V_FDmkt+ATM_Rem</f>
        <v>381.497295774505</v>
      </c>
      <c r="C8" s="55" t="n">
        <f aca="false">FD_FilingsATM</f>
        <v>381.5</v>
      </c>
      <c r="D8" s="3" t="str">
        <f aca="false">IF(ABS(B8-C8)&lt;2,"OK","CHECK")</f>
        <v>OK</v>
      </c>
      <c r="E8" s="24" t="s">
        <v>551</v>
      </c>
    </row>
    <row r="9" customFormat="false" ht="15" hidden="false" customHeight="false" outlineLevel="0" collapsed="false">
      <c r="A9" s="0" t="s">
        <v>552</v>
      </c>
      <c r="B9" s="54" t="n">
        <f aca="false">V_ITMsh</f>
        <v>50.02193875</v>
      </c>
      <c r="C9" s="55" t="n">
        <f aca="false">ITM_Sh_Chk</f>
        <v>50.03</v>
      </c>
      <c r="D9" s="3" t="str">
        <f aca="false">IF(ABS(B9-C9)&lt;0.5,"OK","CHECK")</f>
        <v>OK</v>
      </c>
      <c r="E9" s="24" t="s">
        <v>553</v>
      </c>
    </row>
    <row r="10" customFormat="false" ht="15" hidden="false" customHeight="false" outlineLevel="0" collapsed="false">
      <c r="A10" s="0" t="s">
        <v>554</v>
      </c>
      <c r="B10" s="54" t="n">
        <f aca="false">V_ITMprin</f>
        <v>7675</v>
      </c>
      <c r="C10" s="55" t="n">
        <f aca="false">ITM_Prin_Chk</f>
        <v>7680</v>
      </c>
      <c r="D10" s="3" t="str">
        <f aca="false">IF(ABS(B10-C10)&lt;15,"OK","CHECK")</f>
        <v>OK</v>
      </c>
      <c r="E10" s="24"/>
    </row>
    <row r="11" customFormat="false" ht="15" hidden="false" customHeight="false" outlineLevel="0" collapsed="false">
      <c r="A11" s="0" t="s">
        <v>555</v>
      </c>
      <c r="B11" s="54" t="n">
        <f aca="false">V_MKTEV</f>
        <v>74654.7189</v>
      </c>
      <c r="C11" s="55" t="n">
        <v>74700</v>
      </c>
      <c r="D11" s="3" t="str">
        <f aca="false">IF(ABS(B11/C11-1)&lt;0.01,"OK","CHECK")</f>
        <v>OK</v>
      </c>
      <c r="E11" s="24" t="s">
        <v>556</v>
      </c>
    </row>
    <row r="12" customFormat="false" ht="15" hidden="false" customHeight="false" outlineLevel="0" collapsed="false">
      <c r="A12" s="0" t="s">
        <v>557</v>
      </c>
      <c r="B12" s="56" t="n">
        <f aca="false">V_CONV</f>
        <v>0</v>
      </c>
      <c r="C12" s="57" t="n">
        <v>0.01</v>
      </c>
      <c r="D12" s="3" t="str">
        <f aca="false">IF(B12&lt;C12,"OK","NOT CONVERGED")</f>
        <v>OK</v>
      </c>
      <c r="E12" s="24"/>
    </row>
    <row r="13" customFormat="false" ht="15" hidden="false" customHeight="false" outlineLevel="0" collapsed="false">
      <c r="A13" s="0" t="s">
        <v>558</v>
      </c>
      <c r="B13" s="54" t="n">
        <f aca="false">MSFT_Chk</f>
        <v>0</v>
      </c>
      <c r="C13" s="55" t="n">
        <v>0</v>
      </c>
      <c r="D13" s="3" t="str">
        <f aca="false">IF(ABS(B13)&lt;5,"OK","CHECK")</f>
        <v>OK</v>
      </c>
      <c r="E13" s="24"/>
    </row>
    <row r="14" customFormat="false" ht="15" hidden="false" customHeight="false" outlineLevel="0" collapsed="false">
      <c r="A14" s="0" t="s">
        <v>559</v>
      </c>
      <c r="B14" s="26" t="n">
        <f aca="false">SUMPRODUCT((MS_CeilChk&gt;0)*(Q_Idx&lt;IF(BloomOn=1,BloomIdx,99)))</f>
        <v>0</v>
      </c>
      <c r="C14" s="58" t="n">
        <v>0</v>
      </c>
      <c r="D14" s="3" t="str">
        <f aca="false">IF(B14=0,"OK","CHECK")</f>
        <v>OK</v>
      </c>
      <c r="E14" s="24"/>
    </row>
    <row r="15" customFormat="false" ht="15" hidden="false" customHeight="false" outlineLevel="0" collapsed="false">
      <c r="A15" s="0" t="s">
        <v>560</v>
      </c>
      <c r="B15" s="35" t="n">
        <f aca="false">BR_MW25</f>
        <v>92.6461289583333</v>
      </c>
      <c r="C15" s="47" t="n">
        <f aca="false">UnseenChkHi</f>
        <v>200</v>
      </c>
      <c r="D15" s="3" t="str">
        <f aca="false">BR_Chk</f>
        <v>OK - overlaps 83-200 MW</v>
      </c>
      <c r="E15" s="24"/>
    </row>
    <row r="16" customFormat="false" ht="15" hidden="false" customHeight="false" outlineLevel="0" collapsed="false">
      <c r="A16" s="0" t="s">
        <v>561</v>
      </c>
      <c r="B16" s="54" t="n">
        <f aca="false">SUMPRODUCT(ABS(N(+CapexChk)))</f>
        <v>0</v>
      </c>
      <c r="C16" s="55" t="n">
        <v>0</v>
      </c>
      <c r="D16" s="3" t="str">
        <f aca="false">IF(B16&lt;1,"OK","CHECK")</f>
        <v>OK</v>
      </c>
      <c r="E16" s="24"/>
    </row>
    <row r="17" customFormat="false" ht="15" hidden="false" customHeight="false" outlineLevel="0" collapsed="false">
      <c r="A17" s="0" t="s">
        <v>562</v>
      </c>
      <c r="B17" s="27" t="n">
        <f aca="false">INDEX(Book_A,1,10)/INDEX(AI_Model,1,10)</f>
        <v>0.460634941342456</v>
      </c>
      <c r="C17" s="59" t="n">
        <f aca="false">MixA_Q2</f>
        <v>0.45</v>
      </c>
      <c r="D17" s="3" t="str">
        <f aca="false">IF(AND(ROUND(B17,2)&gt;=0.4,ROUND(B17,2)&lt;=0.46),"OK","CALIBRATE")</f>
        <v>OK</v>
      </c>
      <c r="E17" s="24"/>
    </row>
    <row r="18" customFormat="false" ht="15" hidden="false" customHeight="false" outlineLevel="0" collapsed="false">
      <c r="A18" s="0" t="s">
        <v>563</v>
      </c>
      <c r="B18" s="27" t="n">
        <f aca="false">INDEX(Book_B,1,10)/INDEX(AI_Model,1,10)</f>
        <v>0.469916518503568</v>
      </c>
      <c r="C18" s="59" t="n">
        <f aca="false">MixB_Q2</f>
        <v>0.5</v>
      </c>
      <c r="D18" s="3" t="str">
        <f aca="false">IF(AND(B18&gt;=0.44,B18&lt;=0.57),"OK","CALIBRATE")</f>
        <v>OK</v>
      </c>
      <c r="E18" s="24"/>
    </row>
    <row r="19" customFormat="false" ht="15" hidden="false" customHeight="false" outlineLevel="0" collapsed="false">
      <c r="A19" s="0" t="s">
        <v>564</v>
      </c>
      <c r="B19" s="27" t="n">
        <f aca="false">INDEX(Book_C,1,10)/INDEX(AI_Model,1,10)</f>
        <v>0.0694485401539759</v>
      </c>
      <c r="C19" s="59" t="n">
        <f aca="false">MixC_Q2</f>
        <v>0.04</v>
      </c>
      <c r="D19" s="3" t="str">
        <f aca="false">IF(AND(B19&gt;=0.013,B19&lt;=0.09),"OK","CALIBRATE")</f>
        <v>OK</v>
      </c>
      <c r="E19" s="24"/>
    </row>
    <row r="20" customFormat="false" ht="15" hidden="false" customHeight="false" outlineLevel="0" collapsed="false">
      <c r="A20" s="0" t="s">
        <v>565</v>
      </c>
      <c r="B20" s="26" t="n">
        <f aca="false">SUM(DepYldFlag)</f>
        <v>1</v>
      </c>
      <c r="C20" s="58" t="n">
        <v>0</v>
      </c>
      <c r="D20" s="3" t="str">
        <f aca="false">IF(B20=0,"OK","FLAG - review PIS dates")</f>
        <v>FLAG - review PIS dates</v>
      </c>
      <c r="E20" s="24" t="s">
        <v>566</v>
      </c>
    </row>
    <row r="21" customFormat="false" ht="15" hidden="false" customHeight="false" outlineLevel="0" collapsed="false">
      <c r="A21" s="0" t="s">
        <v>567</v>
      </c>
      <c r="B21" s="33" t="str">
        <f aca="false">Q3TransChk</f>
        <v>PENDING (model 4,702)</v>
      </c>
      <c r="C21" s="60"/>
      <c r="D21" s="3" t="str">
        <f aca="false">B21</f>
        <v>PENDING (model 4,702)</v>
      </c>
      <c r="E21" s="24"/>
    </row>
    <row r="22" customFormat="false" ht="15" hidden="false" customHeight="false" outlineLevel="0" collapsed="false">
      <c r="A22" s="0" t="s">
        <v>568</v>
      </c>
      <c r="B22" s="39" t="n">
        <f aca="false">SUMPRODUCT(ABS(CapTie))</f>
        <v>0</v>
      </c>
      <c r="C22" s="61" t="n">
        <v>0</v>
      </c>
      <c r="D22" s="3" t="str">
        <f aca="false">IF(B22&lt;1,"OK","CHECK")</f>
        <v>OK</v>
      </c>
      <c r="E22" s="24"/>
    </row>
    <row r="23" customFormat="false" ht="15" hidden="false" customHeight="false" outlineLevel="0" collapsed="false">
      <c r="A23" s="0" t="s">
        <v>569</v>
      </c>
      <c r="B23" s="39" t="n">
        <f aca="false">INDEX(AI_Model,1,10)</f>
        <v>574.9</v>
      </c>
      <c r="C23" s="61" t="n">
        <f aca="false">INDEX(H_AIRev,1,10)</f>
        <v>574.9</v>
      </c>
      <c r="D23" s="3" t="str">
        <f aca="false">IF(ABS(B23/C23-1)&lt;0.01,"OK","CHECK")</f>
        <v>OK</v>
      </c>
      <c r="E23" s="24" t="s">
        <v>570</v>
      </c>
    </row>
    <row r="24" customFormat="false" ht="15" hidden="false" customHeight="false" outlineLevel="0" collapsed="false">
      <c r="A24" s="0" t="s">
        <v>571</v>
      </c>
      <c r="B24" s="29" t="n">
        <f aca="false">UtilQ2</f>
        <v>0.750319556751226</v>
      </c>
      <c r="C24" s="53" t="s">
        <v>572</v>
      </c>
      <c r="D24" s="3" t="str">
        <f aca="false">UtilFlag</f>
        <v>OK (40-100%)</v>
      </c>
      <c r="E24" s="24" t="s">
        <v>573</v>
      </c>
    </row>
    <row r="25" customFormat="false" ht="15" hidden="false" customHeight="false" outlineLevel="0" collapsed="false">
      <c r="A25" s="0" t="s">
        <v>574</v>
      </c>
      <c r="B25" s="25" t="n">
        <f aca="false">INDEX(AI_Model,1,10)*4*1000000/INDEX(GPU_End,1,10)/8760</f>
        <v>2.86187726105851</v>
      </c>
      <c r="C25" s="17" t="n">
        <f aca="false">Chk_RevGPUhr</f>
        <v>3.27</v>
      </c>
      <c r="D25" s="3" t="str">
        <f aca="false">IF(ABS(B25/C25-1)&lt;=0.1,"OK","CHECK")</f>
        <v>CHECK</v>
      </c>
      <c r="E25" s="24" t="s">
        <v>575</v>
      </c>
    </row>
    <row r="26" customFormat="false" ht="15" hidden="false" customHeight="false" outlineLevel="0" collapsed="false">
      <c r="A26" s="0" t="s">
        <v>576</v>
      </c>
      <c r="B26" s="25" t="n">
        <f aca="false">INDEX(AI_Model,1,10)*4/AVERAGE(INDEX(H_SRV,1,9),INDEX(H_SRV,1,10))</f>
        <v>0.465016581735825</v>
      </c>
      <c r="C26" s="17" t="n">
        <f aca="false">Chk_RevSrv</f>
        <v>0.46</v>
      </c>
      <c r="D26" s="3" t="str">
        <f aca="false">IF(ABS(B26/C26-1)&lt;=0.1,"OK","CHECK")</f>
        <v>OK</v>
      </c>
      <c r="E26" s="24" t="s">
        <v>577</v>
      </c>
    </row>
    <row r="27" customFormat="false" ht="15" hidden="false" customHeight="false" outlineLevel="0" collapsed="false">
      <c r="A27" s="0" t="s">
        <v>578</v>
      </c>
      <c r="B27" s="35" t="n">
        <f aca="false">INDEX(GPU_End,1,10)*Chk_SrvHi/1000000</f>
        <v>5503.62</v>
      </c>
      <c r="C27" s="47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4" t="s">
        <v>579</v>
      </c>
    </row>
    <row r="28" customFormat="false" ht="15" hidden="false" customHeight="false" outlineLevel="0" collapsed="false">
      <c r="A28" s="0" t="s">
        <v>580</v>
      </c>
      <c r="B28" s="35" t="n">
        <f aca="false">(INDEX(GPU_End_H,1,10)*GPUCost_H+INDEX(GPU_End_B,1,10)*GPUCost_B+INDEX(GPU_End_N,1,10)*GPUCost_N)/1000000</f>
        <v>4753.62</v>
      </c>
      <c r="C28" s="47" t="n">
        <f aca="false">Chk_SrvCap</f>
        <v>5197.7</v>
      </c>
      <c r="D28" s="3" t="str">
        <f aca="false">IF(B28&lt;=C28,"OK","FLAG: exceeds servers in service")</f>
        <v>OK</v>
      </c>
      <c r="E28" s="24"/>
    </row>
    <row r="29" customFormat="false" ht="15" hidden="false" customHeight="false" outlineLevel="0" collapsed="false">
      <c r="A29" s="0" t="s">
        <v>581</v>
      </c>
      <c r="B29" s="32" t="n">
        <f aca="false">INDEX(AI_Model,1,10)*4/INDEX(MW_En,1,10)</f>
        <v>12.6012591395569</v>
      </c>
      <c r="C29" s="18" t="n">
        <f aca="false">Chk_RevEnMW</f>
        <v>13</v>
      </c>
      <c r="D29" s="3" t="str">
        <f aca="false">IF(ABS(B29/C29-1)&lt;=0.15,"OK","CHECK")</f>
        <v>OK</v>
      </c>
      <c r="E29" s="24" t="s">
        <v>582</v>
      </c>
    </row>
    <row r="30" customFormat="false" ht="15" hidden="false" customHeight="false" outlineLevel="0" collapsed="false">
      <c r="A30" s="0" t="s">
        <v>583</v>
      </c>
      <c r="B30" s="27" t="n">
        <f aca="false">INDEX(A_MW,1,10)/INDEX(MW_En,1,10)</f>
        <v>0.555346411331708</v>
      </c>
      <c r="C30" s="59" t="s">
        <v>584</v>
      </c>
      <c r="D30" s="3" t="str">
        <f aca="false">"INFO"</f>
        <v>INFO</v>
      </c>
      <c r="E30" s="24" t="s">
        <v>585</v>
      </c>
    </row>
    <row r="31" customFormat="false" ht="15" hidden="false" customHeight="false" outlineLevel="0" collapsed="false">
      <c r="A31" s="0" t="s">
        <v>586</v>
      </c>
      <c r="B31" s="39" t="n">
        <f aca="false">INDEX(MW_En,1,10)</f>
        <v>182.4897</v>
      </c>
      <c r="C31" s="61" t="n">
        <v>173</v>
      </c>
      <c r="D31" s="3" t="str">
        <f aca="false">IF(ABS(B31-C31)&lt;3,"OK","CHECK")</f>
        <v>CHECK</v>
      </c>
      <c r="E31" s="24"/>
    </row>
    <row r="32" customFormat="false" ht="15" hidden="false" customHeight="false" outlineLevel="0" collapsed="false">
      <c r="A32" s="0" t="s">
        <v>587</v>
      </c>
      <c r="B32" s="35" t="n">
        <f aca="false">INDEX(GPU_End,1,10)</f>
        <v>91727</v>
      </c>
      <c r="C32" s="47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24"/>
    </row>
    <row r="33" customFormat="false" ht="15" hidden="false" customHeight="false" outlineLevel="0" collapsed="false">
      <c r="A33" s="0" t="s">
        <v>588</v>
      </c>
      <c r="B33" s="35" t="n">
        <f aca="false">ARR_Res</f>
        <v>543.051360234536</v>
      </c>
      <c r="C33" s="47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24" t="s">
        <v>589</v>
      </c>
    </row>
    <row r="34" customFormat="false" ht="15" hidden="false" customHeight="false" outlineLevel="0" collapsed="false">
      <c r="A34" s="0" t="s">
        <v>590</v>
      </c>
      <c r="B34" s="29" t="n">
        <f aca="false">SUMIF(Q_Yr,2028,PL_EBITDA)/SUMIF(Q_Yr,2028,PL_Rev)</f>
        <v>0.578324369628924</v>
      </c>
      <c r="C34" s="53" t="n">
        <f aca="false">MarginCons28</f>
        <v>0.607826086956522</v>
      </c>
      <c r="D34" s="3" t="str">
        <f aca="false">IF(B34-C34&gt;0.05,"FLAG: model margin &gt; consensus +5pp","OK")</f>
        <v>OK</v>
      </c>
      <c r="E34" s="24" t="s">
        <v>591</v>
      </c>
    </row>
    <row r="35" customFormat="false" ht="15" hidden="false" customHeight="false" outlineLevel="0" collapsed="false">
      <c r="A35" s="0" t="s">
        <v>592</v>
      </c>
      <c r="B35" s="29" t="n">
        <f aca="false">SUMIF(Q_Yr,2030,PL_EBITDA)/SUMIF(Q_Yr,2030,PL_Rev)</f>
        <v>0.654405917289144</v>
      </c>
      <c r="C35" s="53" t="n">
        <f aca="false">MarginPeer</f>
        <v>0.62</v>
      </c>
      <c r="D35" s="3" t="str">
        <f aca="false">IF(B35-C35&gt;0.08,"FLAG: above peer +8pp - review opex/MW and revenue/MW","OK")</f>
        <v>OK</v>
      </c>
      <c r="E35" s="24" t="s">
        <v>593</v>
      </c>
    </row>
    <row r="36" customFormat="false" ht="15" hidden="false" customHeight="false" outlineLevel="0" collapsed="false">
      <c r="A36" s="0" t="s">
        <v>594</v>
      </c>
      <c r="B36" s="29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53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4" t="s">
        <v>595</v>
      </c>
    </row>
    <row r="37" customFormat="false" ht="15" hidden="false" customHeight="false" outlineLevel="0" collapsed="false">
      <c r="A37" s="0" t="s">
        <v>596</v>
      </c>
      <c r="B37" s="25" t="n">
        <f aca="false">(SUMIF(Q_Yr,2030,PL_Rev)-SUMIF(Q_Yr,2030,PL_EBITDA))/(SUMIF(Q_Yr,2030,MW_Avg)/4)</f>
        <v>6.01904653726379</v>
      </c>
      <c r="C37" s="17" t="s">
        <v>584</v>
      </c>
      <c r="D37" s="3" t="str">
        <f aca="false">"INFO: revenue/MW "&amp;TEXT(SUMIF(Q_Yr,2030,PL_Rev)/(SUMIF(Q_Yr,2030,MW_Avg)/4),"0.0")</f>
        <v>INFO: revenue/MW 17.4</v>
      </c>
      <c r="E37" s="24"/>
    </row>
    <row r="38" customFormat="false" ht="15" hidden="false" customHeight="false" outlineLevel="0" collapsed="false">
      <c r="A38" s="0" t="s">
        <v>597</v>
      </c>
      <c r="B38" s="35" t="n">
        <f aca="false">SUMIF(Q_Yr,2026,Capex)</f>
        <v>17617.7170533315</v>
      </c>
      <c r="C38" s="47" t="s">
        <v>598</v>
      </c>
      <c r="D38" s="3" t="str">
        <f aca="false">IF(AND(B38&gt;=20000*0.9,B38&lt;=25000*1.1),"OK (within guide +/-10%)","FLAG: outside guide")</f>
        <v>FLAG: outside guide</v>
      </c>
      <c r="E38" s="24" t="s">
        <v>599</v>
      </c>
    </row>
    <row r="39" customFormat="false" ht="15" hidden="false" customHeight="false" outlineLevel="0" collapsed="false">
      <c r="A39" s="0" t="s">
        <v>600</v>
      </c>
      <c r="B39" s="35" t="n">
        <f aca="false">V_EVBullS</f>
        <v>125480.859518724</v>
      </c>
      <c r="C39" s="47" t="n">
        <f aca="false">3*V_EVBaseS</f>
        <v>-2696.44202881116</v>
      </c>
      <c r="D39" s="3" t="str">
        <f aca="false">IF(V_EVBaseS=0,"run snap.py",IF(B39&gt;C39,"FLAG: bull EV &gt; 3x base - review bull drivers","OK"))</f>
        <v>FLAG: bull EV &gt; 3x base - review bull drivers</v>
      </c>
      <c r="E39" s="24" t="s">
        <v>601</v>
      </c>
    </row>
    <row r="40" customFormat="false" ht="15" hidden="false" customHeight="false" outlineLevel="0" collapsed="false">
      <c r="A40" s="0" t="s">
        <v>602</v>
      </c>
      <c r="B40" s="56" t="n">
        <f aca="false">MAX(ABS(V_UtBullS-V_UtBaseS),ABS(V_UtBearS-V_UtBaseS))</f>
        <v>0</v>
      </c>
      <c r="C40" s="57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24"/>
    </row>
    <row r="41" customFormat="false" ht="15" hidden="false" customHeight="false" outlineLevel="0" collapsed="false">
      <c r="A41" s="0" t="s">
        <v>603</v>
      </c>
      <c r="B41" s="37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62" t="s">
        <v>604</v>
      </c>
      <c r="D41" s="3" t="str">
        <f aca="false">IF(AND(B41&gt;=0.72,B41&lt;=0.8),"OK: within GPU Market range",IF(B41&lt;0.72,"INFO: below range","FLAG: above range"))</f>
        <v>OK: within GPU Market range</v>
      </c>
      <c r="E41" s="24" t="s">
        <v>605</v>
      </c>
    </row>
    <row r="42" customFormat="false" ht="15" hidden="false" customHeight="false" outlineLevel="0" collapsed="false">
      <c r="A42" s="0" t="s">
        <v>606</v>
      </c>
      <c r="B42" s="32" t="n">
        <f aca="false">IF(NewDealOn=1,RM_ND,RM_GB300)</f>
        <v>16.69175</v>
      </c>
      <c r="C42" s="18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24" t="s">
        <v>607</v>
      </c>
    </row>
    <row r="43" customFormat="false" ht="15" hidden="false" customHeight="false" outlineLevel="0" collapsed="false">
      <c r="A43" s="0" t="s">
        <v>608</v>
      </c>
      <c r="B43" s="32" t="n">
        <f aca="false">VinExpQ4</f>
        <v>68.0352910958904</v>
      </c>
      <c r="C43" s="18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4" t="s">
        <v>609</v>
      </c>
    </row>
    <row r="44" customFormat="false" ht="15" hidden="false" customHeight="false" outlineLevel="0" collapsed="false">
      <c r="A44" s="0" t="s">
        <v>610</v>
      </c>
      <c r="B44" s="35" t="n">
        <f aca="false">SUMPRODUCT((Q_Idx&gt;LastHist)*(Q_Idx&lt;=LastHist+8)*AI_Model)-RPO_Tot*RPO24Pct</f>
        <v>4893.79581175241</v>
      </c>
      <c r="C44" s="47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24" t="s">
        <v>611</v>
      </c>
    </row>
    <row r="45" customFormat="false" ht="15" hidden="false" customHeight="false" outlineLevel="0" collapsed="false">
      <c r="A45" s="0" t="s">
        <v>612</v>
      </c>
      <c r="B45" s="35" t="n">
        <f aca="false">RPO_Tot*RPO24Pct-DR_24</f>
        <v>11246.4</v>
      </c>
      <c r="C45" s="47" t="s">
        <v>613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24" t="s">
        <v>614</v>
      </c>
    </row>
    <row r="46" customFormat="false" ht="15" hidden="false" customHeight="false" outlineLevel="0" collapsed="false">
      <c r="A46" s="0" t="s">
        <v>615</v>
      </c>
      <c r="B46" s="32" t="n">
        <f aca="false">PB_GB_IT</f>
        <v>40.0565217391304</v>
      </c>
      <c r="C46" s="18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24" t="s">
        <v>616</v>
      </c>
    </row>
    <row r="47" customFormat="false" ht="15" hidden="false" customHeight="false" outlineLevel="0" collapsed="false">
      <c r="A47" s="0" t="s">
        <v>617</v>
      </c>
      <c r="B47" s="32" t="n">
        <f aca="false">PB_EBGB</f>
        <v>11.5</v>
      </c>
      <c r="C47" s="18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24" t="s">
        <v>618</v>
      </c>
    </row>
    <row r="48" customFormat="false" ht="15" hidden="false" customHeight="false" outlineLevel="0" collapsed="false">
      <c r="A48" s="0" t="s">
        <v>619</v>
      </c>
      <c r="B48" s="35" t="n">
        <f aca="false">V_EV</f>
        <v>-898.814009603721</v>
      </c>
      <c r="C48" s="47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24.25 vs DCF 3.51; legacy equity floor $/sh 16.8 cons / 25.4 mark / 39.6 high</v>
      </c>
      <c r="E48" s="24" t="s">
        <v>620</v>
      </c>
    </row>
    <row r="49" customFormat="false" ht="15" hidden="false" customHeight="false" outlineLevel="0" collapsed="false">
      <c r="A49" s="0" t="s">
        <v>621</v>
      </c>
      <c r="B49" s="26" t="n">
        <f aca="false">0</f>
        <v>0</v>
      </c>
      <c r="C49" s="58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4" t="s">
        <v>622</v>
      </c>
    </row>
    <row r="50" customFormat="false" ht="15" hidden="false" customHeight="false" outlineLevel="0" collapsed="false">
      <c r="A50" s="0" t="s">
        <v>623</v>
      </c>
      <c r="B50" s="35" t="n">
        <f aca="false">V_DRAdj</f>
        <v>-5508.72242389994</v>
      </c>
      <c r="C50" s="47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24" t="s">
        <v>624</v>
      </c>
    </row>
    <row r="51" customFormat="false" ht="15" hidden="false" customHeight="false" outlineLevel="0" collapsed="false">
      <c r="A51" s="0" t="s">
        <v>625</v>
      </c>
      <c r="B51" s="29" t="n">
        <f aca="false">SUM(CF_Prepay)/SUMPRODUCT((Q_Idx&gt;LastHist)*CapNew)</f>
        <v>0.192252947908428</v>
      </c>
      <c r="C51" s="53" t="s">
        <v>584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24"/>
    </row>
    <row r="52" customFormat="false" ht="15" hidden="false" customHeight="false" outlineLevel="0" collapsed="false">
      <c r="A52" s="0" t="s">
        <v>626</v>
      </c>
      <c r="B52" s="26" t="n">
        <f aca="false">0</f>
        <v>0</v>
      </c>
      <c r="C52" s="58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4" t="s">
        <v>627</v>
      </c>
    </row>
    <row r="53" customFormat="false" ht="15" hidden="false" customHeight="false" outlineLevel="0" collapsed="false">
      <c r="A53" s="0" t="s">
        <v>628</v>
      </c>
      <c r="B53" s="35" t="n">
        <f aca="false">INDEX(GPU_End,1,5)</f>
        <v>30000</v>
      </c>
      <c r="C53" s="47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24" t="s">
        <v>629</v>
      </c>
    </row>
    <row r="54" customFormat="false" ht="15" hidden="false" customHeight="false" outlineLevel="0" collapsed="false">
      <c r="A54" s="0" t="s">
        <v>630</v>
      </c>
      <c r="B54" s="25" t="n">
        <f aca="false">PX_Ratio</f>
        <v>1.5535546875</v>
      </c>
      <c r="C54" s="17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24" t="s">
        <v>631</v>
      </c>
    </row>
    <row r="55" customFormat="false" ht="15" hidden="false" customHeight="false" outlineLevel="0" collapsed="false">
      <c r="A55" s="0" t="s">
        <v>632</v>
      </c>
      <c r="B55" s="26" t="n">
        <f aca="false">HistMWBasis</f>
        <v>1</v>
      </c>
      <c r="C55" s="58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24" t="s">
        <v>633</v>
      </c>
    </row>
    <row r="56" customFormat="false" ht="15" hidden="false" customHeight="false" outlineLevel="0" collapsed="false">
      <c r="A56" s="0" t="s">
        <v>634</v>
      </c>
      <c r="B56" s="35" t="n">
        <f aca="false">ARR_Step</f>
        <v>88</v>
      </c>
      <c r="C56" s="47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4"/>
    </row>
    <row r="57" customFormat="false" ht="15" hidden="false" customHeight="false" outlineLevel="0" collapsed="false">
      <c r="A57" s="0" t="s">
        <v>635</v>
      </c>
      <c r="B57" s="35" t="n">
        <f aca="false">V_EV</f>
        <v>-898.814009603721</v>
      </c>
      <c r="C57" s="47" t="n">
        <v>0</v>
      </c>
      <c r="D57" s="3" t="str">
        <f aca="false">IF(B57&lt;0,"FLAG: EV&lt;0; FD value/share floored at 0","OK")</f>
        <v>FLAG: EV&lt;0; FD value/share floored at 0</v>
      </c>
      <c r="E57" s="24"/>
    </row>
    <row r="58" customFormat="false" ht="15" hidden="false" customHeight="false" outlineLevel="0" collapsed="false">
      <c r="A58" s="0" t="s">
        <v>636</v>
      </c>
      <c r="B58" s="35" t="n">
        <f aca="false">V_TV</f>
        <v>71868.0542492547</v>
      </c>
      <c r="C58" s="47" t="n">
        <f aca="false">V_TVB</f>
        <v>61488.8409616238</v>
      </c>
      <c r="D58" s="3" t="str">
        <f aca="false">V_TVBasis</f>
        <v>RUN-OFF (reinvestment value-destroying)</v>
      </c>
      <c r="E58" s="24" t="s">
        <v>637</v>
      </c>
    </row>
    <row r="59" customFormat="false" ht="15" hidden="false" customHeight="false" outlineLevel="0" collapsed="false">
      <c r="A59" s="0" t="s">
        <v>638</v>
      </c>
      <c r="B59" s="33" t="str">
        <f aca="false">Liq_NegQ</f>
        <v>none to Q4'30</v>
      </c>
      <c r="C59" s="60" t="s">
        <v>639</v>
      </c>
      <c r="D59" s="3" t="str">
        <f aca="false">"INFO"</f>
        <v>INFO</v>
      </c>
      <c r="E59" s="24"/>
    </row>
    <row r="60" customFormat="false" ht="15" hidden="false" customHeight="false" outlineLevel="0" collapsed="false">
      <c r="A60" s="0" t="s">
        <v>640</v>
      </c>
      <c r="B60" s="35" t="n">
        <f aca="false">SUM(Liq_Aug)</f>
        <v>5750</v>
      </c>
      <c r="C60" s="47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24" t="s">
        <v>641</v>
      </c>
    </row>
    <row r="61" customFormat="false" ht="15" hidden="false" customHeight="false" outlineLevel="0" collapsed="false">
      <c r="A61" s="0" t="s">
        <v>642</v>
      </c>
      <c r="B61" s="35" t="n">
        <f aca="false">SecAmt*LoanOn</f>
        <v>0</v>
      </c>
      <c r="C61" s="47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24" t="s">
        <v>643</v>
      </c>
    </row>
    <row r="62" customFormat="false" ht="15" hidden="false" customHeight="false" outlineLevel="0" collapsed="false">
      <c r="A62" s="0" t="s">
        <v>644</v>
      </c>
      <c r="B62" s="35" t="n">
        <f aca="false">MIN(INDEX(Liq,1,11):INDEX(Liq,1,28))</f>
        <v>1000</v>
      </c>
      <c r="C62" s="47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24" t="s">
        <v>645</v>
      </c>
    </row>
    <row r="63" customFormat="false" ht="15" hidden="false" customHeight="false" outlineLevel="0" collapsed="false">
      <c r="A63" s="0" t="s">
        <v>646</v>
      </c>
      <c r="B63" s="35" t="n">
        <f aca="false">SUMPRODUCT((147&gt;Valuation!$H$80:$H$91)*Valuation!$E$80:$E$91)</f>
        <v>3337.5</v>
      </c>
      <c r="C63" s="47" t="n">
        <v>3337.5</v>
      </c>
      <c r="D63" s="3" t="str">
        <f aca="false">IF(ABS(B63-C63)&lt;5,"OK","CHECK")&amp;"; shares "&amp;TEXT(SUMPRODUCT((147&gt;Valuation!$H$80:$H$91)*Valuation!$E$80:$E$91*Valuation!$G$80:$G$91)/1000,"0.0")&amp;"M; at $46 debt "&amp;TEXT(SUMPRODUCT((46&lt;=Valuation!$H$80:$H$91)*Valuation!$E$80:$E$91),"#,##0")</f>
        <v>OK; shares 26.2M; at $46 debt 13,425</v>
      </c>
      <c r="E63" s="24" t="s">
        <v>647</v>
      </c>
    </row>
    <row r="64" customFormat="false" ht="15" hidden="false" customHeight="false" outlineLevel="0" collapsed="false">
      <c r="A64" s="0" t="s">
        <v>648</v>
      </c>
      <c r="B64" s="39" t="n">
        <f aca="false">V_SHF</f>
        <v>506.474954430797</v>
      </c>
      <c r="C64" s="61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78.6</v>
      </c>
      <c r="E64" s="24"/>
    </row>
    <row r="65" customFormat="false" ht="15" hidden="false" customHeight="false" outlineLevel="0" collapsed="false">
      <c r="A65" s="0" t="s">
        <v>649</v>
      </c>
      <c r="B65" s="39" t="n">
        <f aca="false">V_AuthNeed</f>
        <v>13262.174379532</v>
      </c>
      <c r="C65" s="61" t="n">
        <f aca="false">AuthAvail</f>
        <v>82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13,180M more (EGM approval); issued 10,991.2M + convert reserve 2,271.0M; spot basis 227M</v>
      </c>
      <c r="E65" s="24" t="s">
        <v>650</v>
      </c>
    </row>
    <row r="66" customFormat="false" ht="15" hidden="false" customHeight="false" outlineLevel="0" collapsed="false">
      <c r="A66" s="0" t="s">
        <v>651</v>
      </c>
      <c r="B66" s="39" t="n">
        <f aca="false">SUMPRODUCT((Q_Idx&gt;V_Q)*(Q_Idx&lt;=FP_PostQ)*Sh_PlanFlow)</f>
        <v>10991.2196047346</v>
      </c>
      <c r="C66" s="61" t="n">
        <f aca="false">V_NewShHead</f>
        <v>10991.2196047346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24"/>
    </row>
    <row r="67" customFormat="false" ht="15" hidden="false" customHeight="false" outlineLevel="0" collapsed="false">
      <c r="A67" s="0" t="s">
        <v>652</v>
      </c>
      <c r="B67" s="56" t="n">
        <f aca="false">V_CONVSC</f>
        <v>0</v>
      </c>
      <c r="C67" s="57" t="n">
        <f aca="false">V_CONVPT</f>
        <v>2.5415811975904E-005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3.97 | spot memo 88.87 | path memo 30.25</v>
      </c>
      <c r="E67" s="24"/>
    </row>
    <row r="68" customFormat="false" ht="15" hidden="false" customHeight="false" outlineLevel="0" collapsed="false">
      <c r="A68" s="0" t="s">
        <v>653</v>
      </c>
      <c r="B68" s="54" t="n">
        <f aca="false">V_BASIC</f>
        <v>308.691154</v>
      </c>
      <c r="C68" s="55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24"/>
    </row>
    <row r="69" customFormat="false" ht="15" hidden="false" customHeight="false" outlineLevel="0" collapsed="false">
      <c r="A69" s="0" t="s">
        <v>654</v>
      </c>
      <c r="B69" s="26" t="n">
        <f aca="false">CapIntFix</f>
        <v>1</v>
      </c>
      <c r="C69" s="58" t="n">
        <f aca="false">1</f>
        <v>1</v>
      </c>
      <c r="D69" s="3" t="str">
        <f aca="false">IF(CapIntFix=1,"OK","FLAG: capitalized interest flows into UFCF tax")</f>
        <v>OK</v>
      </c>
      <c r="E69" s="24"/>
    </row>
    <row r="70" customFormat="false" ht="15" hidden="false" customHeight="false" outlineLevel="0" collapsed="false">
      <c r="A70" s="0" t="s">
        <v>655</v>
      </c>
      <c r="B70" s="35" t="n">
        <f aca="false">V_AV</f>
        <v>0</v>
      </c>
      <c r="C70" s="47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24"/>
    </row>
    <row r="71" customFormat="false" ht="15" hidden="false" customHeight="false" outlineLevel="0" collapsed="false">
      <c r="A71" s="0" t="s">
        <v>656</v>
      </c>
      <c r="B71" s="26" t="n">
        <f aca="false">RedSites</f>
        <v>5</v>
      </c>
      <c r="C71" s="58"/>
      <c r="D71" s="3" t="str">
        <f aca="false">"INFO"</f>
        <v>INFO</v>
      </c>
      <c r="E71" s="24"/>
    </row>
    <row r="72" customFormat="false" ht="15" hidden="false" customHeight="false" outlineLevel="0" collapsed="false">
      <c r="A72" s="0" t="s">
        <v>657</v>
      </c>
      <c r="B72" s="35" t="n">
        <f aca="false">SUMIF(Q_Yr,2027,PL_EBIT)</f>
        <v>-1135.49021845689</v>
      </c>
      <c r="C72" s="47" t="n">
        <f aca="false">CHOOSE(MATCH(Life_B,{4,5,6},1),SkEBIT4,SkEBIT5,SkEBIT6)</f>
        <v>1980</v>
      </c>
      <c r="D72" s="3" t="str">
        <f aca="false">"INFO"</f>
        <v>INFO</v>
      </c>
      <c r="E72" s="24" t="s">
        <v>658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659</v>
      </c>
    </row>
    <row r="2" customFormat="false" ht="15" hidden="false" customHeight="false" outlineLevel="0" collapsed="false">
      <c r="A2" s="24" t="s">
        <v>660</v>
      </c>
    </row>
    <row r="4" customFormat="false" ht="15" hidden="false" customHeight="false" outlineLevel="0" collapsed="false">
      <c r="A4" s="3" t="s">
        <v>661</v>
      </c>
      <c r="D4" s="63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49" t="s">
        <v>662</v>
      </c>
      <c r="B6" s="49" t="s">
        <v>663</v>
      </c>
      <c r="C6" s="49" t="s">
        <v>129</v>
      </c>
      <c r="D6" s="49" t="s">
        <v>664</v>
      </c>
      <c r="E6" s="49" t="s">
        <v>130</v>
      </c>
      <c r="F6" s="49" t="s">
        <v>665</v>
      </c>
      <c r="G6" s="49"/>
      <c r="H6" s="49"/>
      <c r="I6" s="49"/>
      <c r="J6" s="49" t="s">
        <v>666</v>
      </c>
      <c r="K6" s="49" t="s">
        <v>542</v>
      </c>
      <c r="L6" s="49" t="s">
        <v>667</v>
      </c>
    </row>
    <row r="7" customFormat="false" ht="15" hidden="false" customHeight="false" outlineLevel="0" collapsed="false">
      <c r="A7" s="64" t="s">
        <v>668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</row>
    <row r="8" customFormat="false" ht="15" hidden="false" customHeight="false" outlineLevel="0" collapsed="false">
      <c r="A8" s="0" t="s">
        <v>669</v>
      </c>
      <c r="B8" s="24" t="s">
        <v>670</v>
      </c>
      <c r="C8" s="0" t="s">
        <v>671</v>
      </c>
      <c r="D8" s="66" t="n">
        <v>46299</v>
      </c>
      <c r="E8" s="0" t="s">
        <v>671</v>
      </c>
      <c r="F8" s="67" t="n">
        <f aca="false">D8</f>
        <v>46299</v>
      </c>
      <c r="J8" s="24" t="s">
        <v>672</v>
      </c>
      <c r="K8" s="24" t="s">
        <v>673</v>
      </c>
      <c r="L8" s="24" t="s">
        <v>674</v>
      </c>
    </row>
    <row r="9" customFormat="false" ht="15" hidden="false" customHeight="false" outlineLevel="0" collapsed="false">
      <c r="A9" s="0" t="s">
        <v>675</v>
      </c>
      <c r="B9" s="24" t="s">
        <v>676</v>
      </c>
      <c r="C9" s="0" t="s">
        <v>671</v>
      </c>
      <c r="D9" s="30" t="n">
        <v>10</v>
      </c>
      <c r="E9" s="0" t="s">
        <v>671</v>
      </c>
      <c r="F9" s="68" t="n">
        <f aca="false">D9</f>
        <v>10</v>
      </c>
      <c r="J9" s="24" t="s">
        <v>672</v>
      </c>
      <c r="K9" s="24" t="s">
        <v>673</v>
      </c>
      <c r="L9" s="24" t="s">
        <v>677</v>
      </c>
    </row>
    <row r="10" customFormat="false" ht="15" hidden="false" customHeight="false" outlineLevel="0" collapsed="false">
      <c r="A10" s="0" t="s">
        <v>678</v>
      </c>
      <c r="B10" s="24" t="s">
        <v>679</v>
      </c>
      <c r="C10" s="0" t="s">
        <v>671</v>
      </c>
      <c r="D10" s="30" t="n">
        <v>2023</v>
      </c>
      <c r="E10" s="0" t="s">
        <v>671</v>
      </c>
      <c r="F10" s="68" t="n">
        <f aca="false">D10</f>
        <v>2023</v>
      </c>
      <c r="J10" s="24" t="s">
        <v>672</v>
      </c>
      <c r="K10" s="24" t="s">
        <v>673</v>
      </c>
      <c r="L10" s="24" t="s">
        <v>680</v>
      </c>
    </row>
    <row r="11" customFormat="false" ht="15" hidden="false" customHeight="false" outlineLevel="0" collapsed="false">
      <c r="A11" s="0" t="s">
        <v>681</v>
      </c>
      <c r="B11" s="24" t="s">
        <v>682</v>
      </c>
      <c r="C11" s="0" t="s">
        <v>671</v>
      </c>
      <c r="D11" s="69" t="n">
        <v>242.81</v>
      </c>
      <c r="E11" s="0" t="s">
        <v>671</v>
      </c>
      <c r="F11" s="70" t="n">
        <f aca="false">D11</f>
        <v>242.81</v>
      </c>
      <c r="J11" s="24" t="s">
        <v>683</v>
      </c>
      <c r="K11" s="24" t="s">
        <v>684</v>
      </c>
      <c r="L11" s="24" t="s">
        <v>685</v>
      </c>
    </row>
    <row r="12" customFormat="false" ht="15" hidden="false" customHeight="false" outlineLevel="0" collapsed="false">
      <c r="A12" s="0" t="s">
        <v>686</v>
      </c>
      <c r="B12" s="24" t="s">
        <v>676</v>
      </c>
      <c r="C12" s="0" t="s">
        <v>671</v>
      </c>
      <c r="D12" s="30" t="n">
        <v>2</v>
      </c>
      <c r="E12" s="0" t="s">
        <v>671</v>
      </c>
      <c r="F12" s="68" t="n">
        <f aca="false">D12</f>
        <v>2</v>
      </c>
      <c r="J12" s="24" t="s">
        <v>672</v>
      </c>
      <c r="K12" s="24" t="s">
        <v>673</v>
      </c>
      <c r="L12" s="24" t="s">
        <v>687</v>
      </c>
    </row>
    <row r="13" customFormat="false" ht="15" hidden="false" customHeight="false" outlineLevel="0" collapsed="false">
      <c r="A13" s="0" t="s">
        <v>688</v>
      </c>
      <c r="B13" s="24" t="s">
        <v>689</v>
      </c>
      <c r="C13" s="31" t="n">
        <v>1</v>
      </c>
      <c r="D13" s="31" t="n">
        <v>1</v>
      </c>
      <c r="E13" s="31" t="n">
        <v>1</v>
      </c>
      <c r="F13" s="68" t="n">
        <f aca="false">CHOOSE(Scen,C13,D13,E13)</f>
        <v>1</v>
      </c>
      <c r="J13" s="24" t="s">
        <v>690</v>
      </c>
      <c r="K13" s="24" t="s">
        <v>691</v>
      </c>
      <c r="L13" s="24" t="s">
        <v>692</v>
      </c>
    </row>
    <row r="14" customFormat="false" ht="15" hidden="false" customHeight="false" outlineLevel="0" collapsed="false">
      <c r="A14" s="0" t="s">
        <v>693</v>
      </c>
      <c r="B14" s="24" t="s">
        <v>676</v>
      </c>
      <c r="C14" s="0" t="s">
        <v>671</v>
      </c>
      <c r="D14" s="30" t="n">
        <v>3</v>
      </c>
      <c r="E14" s="0" t="s">
        <v>671</v>
      </c>
      <c r="F14" s="68" t="n">
        <f aca="false">D14</f>
        <v>3</v>
      </c>
      <c r="J14" s="24" t="s">
        <v>672</v>
      </c>
      <c r="K14" s="24" t="s">
        <v>673</v>
      </c>
      <c r="L14" s="24" t="s">
        <v>694</v>
      </c>
    </row>
    <row r="15" customFormat="false" ht="15" hidden="false" customHeight="false" outlineLevel="0" collapsed="false">
      <c r="A15" s="0" t="s">
        <v>695</v>
      </c>
      <c r="B15" s="24" t="s">
        <v>696</v>
      </c>
      <c r="C15" s="0" t="s">
        <v>671</v>
      </c>
      <c r="D15" s="28" t="n">
        <v>42</v>
      </c>
      <c r="E15" s="0" t="s">
        <v>671</v>
      </c>
      <c r="F15" s="71" t="n">
        <f aca="false">D15</f>
        <v>42</v>
      </c>
      <c r="J15" s="24" t="s">
        <v>690</v>
      </c>
      <c r="K15" s="24" t="s">
        <v>691</v>
      </c>
      <c r="L15" s="24" t="s">
        <v>697</v>
      </c>
    </row>
    <row r="16" customFormat="false" ht="15" hidden="false" customHeight="false" outlineLevel="0" collapsed="false">
      <c r="A16" s="0" t="s">
        <v>698</v>
      </c>
      <c r="B16" s="24" t="s">
        <v>699</v>
      </c>
      <c r="C16" s="0" t="s">
        <v>671</v>
      </c>
      <c r="D16" s="30" t="n">
        <v>1</v>
      </c>
      <c r="E16" s="0" t="s">
        <v>671</v>
      </c>
      <c r="F16" s="68" t="n">
        <f aca="false">D16</f>
        <v>1</v>
      </c>
      <c r="J16" s="24" t="s">
        <v>700</v>
      </c>
      <c r="K16" s="24" t="s">
        <v>673</v>
      </c>
      <c r="L16" s="24"/>
    </row>
    <row r="17" customFormat="false" ht="15" hidden="false" customHeight="false" outlineLevel="0" collapsed="false">
      <c r="A17" s="0" t="s">
        <v>701</v>
      </c>
      <c r="B17" s="24" t="s">
        <v>702</v>
      </c>
      <c r="C17" s="0" t="s">
        <v>671</v>
      </c>
      <c r="D17" s="72" t="n">
        <v>4.5</v>
      </c>
      <c r="E17" s="0" t="s">
        <v>671</v>
      </c>
      <c r="F17" s="6" t="n">
        <f aca="false">D17</f>
        <v>4.5</v>
      </c>
      <c r="J17" s="24" t="s">
        <v>690</v>
      </c>
      <c r="K17" s="24" t="s">
        <v>684</v>
      </c>
      <c r="L17" s="24" t="s">
        <v>703</v>
      </c>
    </row>
    <row r="18" customFormat="false" ht="15" hidden="false" customHeight="false" outlineLevel="0" collapsed="false">
      <c r="A18" s="0" t="s">
        <v>704</v>
      </c>
      <c r="B18" s="24" t="s">
        <v>705</v>
      </c>
      <c r="C18" s="0" t="s">
        <v>671</v>
      </c>
      <c r="D18" s="25" t="n">
        <f aca="false">491/72</f>
        <v>6.81944444444445</v>
      </c>
      <c r="E18" s="0" t="s">
        <v>671</v>
      </c>
      <c r="F18" s="6" t="n">
        <f aca="false">D18</f>
        <v>6.81944444444445</v>
      </c>
      <c r="J18" s="24" t="s">
        <v>690</v>
      </c>
      <c r="K18" s="24" t="s">
        <v>706</v>
      </c>
      <c r="L18" s="24" t="s">
        <v>707</v>
      </c>
    </row>
    <row r="19" customFormat="false" ht="15" hidden="false" customHeight="false" outlineLevel="0" collapsed="false">
      <c r="A19" s="0" t="s">
        <v>708</v>
      </c>
      <c r="B19" s="24" t="s">
        <v>709</v>
      </c>
      <c r="C19" s="0" t="s">
        <v>671</v>
      </c>
      <c r="D19" s="72" t="n">
        <v>6.1</v>
      </c>
      <c r="E19" s="0" t="s">
        <v>671</v>
      </c>
      <c r="F19" s="6" t="n">
        <f aca="false">D19</f>
        <v>6.1</v>
      </c>
      <c r="J19" s="24" t="s">
        <v>690</v>
      </c>
      <c r="K19" s="24" t="s">
        <v>706</v>
      </c>
      <c r="L19" s="24" t="s">
        <v>710</v>
      </c>
    </row>
    <row r="20" customFormat="false" ht="15" hidden="false" customHeight="false" outlineLevel="0" collapsed="false">
      <c r="A20" s="0" t="s">
        <v>711</v>
      </c>
      <c r="B20" s="24" t="s">
        <v>696</v>
      </c>
      <c r="C20" s="0" t="s">
        <v>671</v>
      </c>
      <c r="D20" s="32" t="n">
        <f aca="false">IF(RackOn=1,GB_Racks*GB_RackPx+GB_NetMW+CPM_SP,53)</f>
        <v>49.2875</v>
      </c>
      <c r="E20" s="0" t="s">
        <v>671</v>
      </c>
      <c r="F20" s="71" t="n">
        <f aca="false">D20</f>
        <v>49.2875</v>
      </c>
      <c r="J20" s="24" t="s">
        <v>690</v>
      </c>
      <c r="K20" s="24" t="s">
        <v>706</v>
      </c>
      <c r="L20" s="24" t="s">
        <v>712</v>
      </c>
    </row>
    <row r="21" customFormat="false" ht="15" hidden="false" customHeight="false" outlineLevel="0" collapsed="false">
      <c r="A21" s="0" t="s">
        <v>713</v>
      </c>
      <c r="B21" s="24" t="s">
        <v>696</v>
      </c>
      <c r="C21" s="28" t="n">
        <v>45.8</v>
      </c>
      <c r="D21" s="28" t="n">
        <v>52.6</v>
      </c>
      <c r="E21" s="28" t="n">
        <v>60.7</v>
      </c>
      <c r="F21" s="71" t="n">
        <f aca="false">CHOOSE(Scen,C21,D21,E21)</f>
        <v>52.6</v>
      </c>
      <c r="J21" s="24" t="s">
        <v>690</v>
      </c>
      <c r="K21" s="24" t="s">
        <v>691</v>
      </c>
      <c r="L21" s="24" t="s">
        <v>714</v>
      </c>
    </row>
    <row r="22" customFormat="false" ht="15" hidden="false" customHeight="false" outlineLevel="0" collapsed="false">
      <c r="A22" s="0" t="s">
        <v>715</v>
      </c>
      <c r="B22" s="24" t="s">
        <v>696</v>
      </c>
      <c r="C22" s="0" t="s">
        <v>671</v>
      </c>
      <c r="D22" s="28" t="n">
        <v>42</v>
      </c>
      <c r="E22" s="0" t="s">
        <v>671</v>
      </c>
      <c r="F22" s="71" t="n">
        <f aca="false">D22</f>
        <v>42</v>
      </c>
      <c r="J22" s="24" t="s">
        <v>690</v>
      </c>
      <c r="K22" s="24" t="s">
        <v>691</v>
      </c>
      <c r="L22" s="24" t="s">
        <v>716</v>
      </c>
    </row>
    <row r="23" customFormat="false" ht="15" hidden="false" customHeight="false" outlineLevel="0" collapsed="false">
      <c r="A23" s="0" t="s">
        <v>717</v>
      </c>
      <c r="B23" s="24" t="s">
        <v>696</v>
      </c>
      <c r="C23" s="0" t="s">
        <v>671</v>
      </c>
      <c r="D23" s="28" t="n">
        <v>30</v>
      </c>
      <c r="E23" s="0" t="s">
        <v>671</v>
      </c>
      <c r="F23" s="71" t="n">
        <f aca="false">D23</f>
        <v>30</v>
      </c>
      <c r="J23" s="24" t="s">
        <v>690</v>
      </c>
      <c r="K23" s="24" t="s">
        <v>691</v>
      </c>
      <c r="L23" s="24" t="s">
        <v>718</v>
      </c>
    </row>
    <row r="24" customFormat="false" ht="15" hidden="false" customHeight="false" outlineLevel="0" collapsed="false">
      <c r="A24" s="0" t="s">
        <v>719</v>
      </c>
      <c r="B24" s="24" t="s">
        <v>696</v>
      </c>
      <c r="C24" s="0" t="s">
        <v>671</v>
      </c>
      <c r="D24" s="32" t="n">
        <f aca="false">IF(RackOn=1,GB_Racks*GB_RackPx+GB_NetMW,41)</f>
        <v>36.7875</v>
      </c>
      <c r="E24" s="0" t="s">
        <v>671</v>
      </c>
      <c r="F24" s="71" t="n">
        <f aca="false">D24</f>
        <v>36.7875</v>
      </c>
      <c r="J24" s="24" t="s">
        <v>690</v>
      </c>
      <c r="K24" s="24" t="s">
        <v>706</v>
      </c>
      <c r="L24" s="24" t="s">
        <v>720</v>
      </c>
    </row>
    <row r="25" customFormat="false" ht="15" hidden="false" customHeight="false" outlineLevel="0" collapsed="false">
      <c r="A25" s="0" t="s">
        <v>721</v>
      </c>
      <c r="B25" s="24" t="s">
        <v>696</v>
      </c>
      <c r="C25" s="28" t="n">
        <v>33.3</v>
      </c>
      <c r="D25" s="28" t="n">
        <v>40.1</v>
      </c>
      <c r="E25" s="28" t="n">
        <v>48.2</v>
      </c>
      <c r="F25" s="71" t="n">
        <f aca="false">CHOOSE(Scen,C25,D25,E25)</f>
        <v>40.1</v>
      </c>
      <c r="J25" s="24" t="s">
        <v>722</v>
      </c>
      <c r="K25" s="24" t="s">
        <v>691</v>
      </c>
      <c r="L25" s="24" t="s">
        <v>723</v>
      </c>
    </row>
    <row r="26" customFormat="false" ht="15" hidden="false" customHeight="false" outlineLevel="0" collapsed="false">
      <c r="A26" s="0" t="s">
        <v>724</v>
      </c>
      <c r="B26" s="24" t="s">
        <v>699</v>
      </c>
      <c r="C26" s="0" t="s">
        <v>671</v>
      </c>
      <c r="D26" s="30" t="n">
        <v>1</v>
      </c>
      <c r="E26" s="0" t="s">
        <v>671</v>
      </c>
      <c r="F26" s="68" t="n">
        <f aca="false">D26</f>
        <v>1</v>
      </c>
      <c r="J26" s="24" t="s">
        <v>672</v>
      </c>
      <c r="K26" s="24" t="s">
        <v>673</v>
      </c>
      <c r="L26" s="24" t="s">
        <v>725</v>
      </c>
    </row>
    <row r="27" customFormat="false" ht="15" hidden="false" customHeight="false" outlineLevel="0" collapsed="false">
      <c r="A27" s="0" t="s">
        <v>726</v>
      </c>
      <c r="B27" s="24" t="s">
        <v>727</v>
      </c>
      <c r="C27" s="0" t="s">
        <v>671</v>
      </c>
      <c r="D27" s="30" t="n">
        <v>2</v>
      </c>
      <c r="E27" s="0" t="s">
        <v>671</v>
      </c>
      <c r="F27" s="68" t="n">
        <f aca="false">D27</f>
        <v>2</v>
      </c>
      <c r="J27" s="24" t="s">
        <v>672</v>
      </c>
      <c r="K27" s="24" t="s">
        <v>673</v>
      </c>
      <c r="L27" s="24" t="s">
        <v>728</v>
      </c>
    </row>
    <row r="28" customFormat="false" ht="15" hidden="false" customHeight="false" outlineLevel="0" collapsed="false">
      <c r="A28" s="0" t="s">
        <v>729</v>
      </c>
      <c r="B28" s="24" t="s">
        <v>699</v>
      </c>
      <c r="C28" s="0" t="s">
        <v>671</v>
      </c>
      <c r="D28" s="30" t="n">
        <v>1</v>
      </c>
      <c r="E28" s="0" t="s">
        <v>671</v>
      </c>
      <c r="F28" s="68" t="n">
        <f aca="false">D28</f>
        <v>1</v>
      </c>
      <c r="J28" s="24" t="s">
        <v>672</v>
      </c>
      <c r="K28" s="24" t="s">
        <v>673</v>
      </c>
      <c r="L28" s="24" t="s">
        <v>730</v>
      </c>
    </row>
    <row r="29" customFormat="false" ht="15" hidden="false" customHeight="false" outlineLevel="0" collapsed="false">
      <c r="A29" s="0" t="s">
        <v>731</v>
      </c>
      <c r="B29" s="24" t="s">
        <v>732</v>
      </c>
      <c r="C29" s="0" t="s">
        <v>671</v>
      </c>
      <c r="D29" s="73" t="n">
        <v>0.75</v>
      </c>
      <c r="E29" s="0" t="s">
        <v>671</v>
      </c>
      <c r="F29" s="6" t="n">
        <f aca="false">D29</f>
        <v>0.75</v>
      </c>
      <c r="J29" s="24" t="s">
        <v>690</v>
      </c>
      <c r="K29" s="24" t="s">
        <v>733</v>
      </c>
      <c r="L29" s="24" t="s">
        <v>734</v>
      </c>
    </row>
    <row r="30" customFormat="false" ht="15" hidden="false" customHeight="false" outlineLevel="0" collapsed="false">
      <c r="A30" s="0" t="s">
        <v>735</v>
      </c>
      <c r="B30" s="24" t="s">
        <v>699</v>
      </c>
      <c r="C30" s="0" t="s">
        <v>671</v>
      </c>
      <c r="D30" s="30" t="n">
        <v>1</v>
      </c>
      <c r="E30" s="0" t="s">
        <v>671</v>
      </c>
      <c r="F30" s="68" t="n">
        <f aca="false">D30</f>
        <v>1</v>
      </c>
      <c r="J30" s="24" t="s">
        <v>736</v>
      </c>
      <c r="K30" s="24" t="s">
        <v>673</v>
      </c>
      <c r="L30" s="24"/>
    </row>
    <row r="31" customFormat="false" ht="15" hidden="false" customHeight="false" outlineLevel="0" collapsed="false">
      <c r="A31" s="0" t="s">
        <v>737</v>
      </c>
      <c r="B31" s="24" t="s">
        <v>709</v>
      </c>
      <c r="C31" s="0" t="s">
        <v>671</v>
      </c>
      <c r="D31" s="72" t="n">
        <v>1.6</v>
      </c>
      <c r="E31" s="0" t="s">
        <v>671</v>
      </c>
      <c r="F31" s="6" t="n">
        <f aca="false">D31</f>
        <v>1.6</v>
      </c>
      <c r="J31" s="24" t="s">
        <v>736</v>
      </c>
      <c r="K31" s="24" t="s">
        <v>706</v>
      </c>
      <c r="L31" s="24" t="s">
        <v>738</v>
      </c>
    </row>
    <row r="32" customFormat="false" ht="15" hidden="false" customHeight="false" outlineLevel="0" collapsed="false">
      <c r="A32" s="0" t="s">
        <v>739</v>
      </c>
      <c r="B32" s="24" t="s">
        <v>676</v>
      </c>
      <c r="C32" s="0" t="s">
        <v>671</v>
      </c>
      <c r="D32" s="30" t="n">
        <v>2</v>
      </c>
      <c r="E32" s="0" t="s">
        <v>671</v>
      </c>
      <c r="F32" s="68" t="n">
        <f aca="false">D32</f>
        <v>2</v>
      </c>
      <c r="J32" s="24" t="s">
        <v>736</v>
      </c>
      <c r="K32" s="24" t="s">
        <v>706</v>
      </c>
      <c r="L32" s="24" t="s">
        <v>740</v>
      </c>
    </row>
    <row r="33" customFormat="false" ht="15" hidden="false" customHeight="false" outlineLevel="0" collapsed="false">
      <c r="A33" s="0" t="s">
        <v>741</v>
      </c>
      <c r="B33" s="24" t="s">
        <v>742</v>
      </c>
      <c r="C33" s="0" t="s">
        <v>671</v>
      </c>
      <c r="D33" s="74" t="n">
        <v>1200</v>
      </c>
      <c r="E33" s="0" t="s">
        <v>671</v>
      </c>
      <c r="F33" s="5" t="n">
        <f aca="false">D33</f>
        <v>1200</v>
      </c>
      <c r="J33" s="24" t="s">
        <v>736</v>
      </c>
      <c r="K33" s="24" t="s">
        <v>706</v>
      </c>
      <c r="L33" s="24" t="s">
        <v>743</v>
      </c>
    </row>
    <row r="34" customFormat="false" ht="15" hidden="false" customHeight="false" outlineLevel="0" collapsed="false">
      <c r="A34" s="0" t="s">
        <v>744</v>
      </c>
      <c r="B34" s="24" t="s">
        <v>745</v>
      </c>
      <c r="C34" s="0" t="s">
        <v>671</v>
      </c>
      <c r="D34" s="74" t="n">
        <v>4500</v>
      </c>
      <c r="E34" s="0" t="s">
        <v>671</v>
      </c>
      <c r="F34" s="5" t="n">
        <f aca="false">D34</f>
        <v>4500</v>
      </c>
      <c r="J34" s="24" t="s">
        <v>736</v>
      </c>
      <c r="K34" s="24" t="s">
        <v>706</v>
      </c>
      <c r="L34" s="24" t="s">
        <v>746</v>
      </c>
    </row>
    <row r="35" customFormat="false" ht="15" hidden="false" customHeight="false" outlineLevel="0" collapsed="false">
      <c r="A35" s="0" t="s">
        <v>747</v>
      </c>
      <c r="B35" s="24" t="s">
        <v>748</v>
      </c>
      <c r="C35" s="0" t="s">
        <v>671</v>
      </c>
      <c r="D35" s="31" t="n">
        <v>20</v>
      </c>
      <c r="E35" s="0" t="s">
        <v>671</v>
      </c>
      <c r="F35" s="68" t="n">
        <f aca="false">D35</f>
        <v>20</v>
      </c>
      <c r="J35" s="24" t="s">
        <v>672</v>
      </c>
      <c r="K35" s="24" t="s">
        <v>691</v>
      </c>
      <c r="L35" s="24" t="s">
        <v>749</v>
      </c>
    </row>
    <row r="36" customFormat="false" ht="15" hidden="false" customHeight="false" outlineLevel="0" collapsed="false">
      <c r="A36" s="0" t="s">
        <v>750</v>
      </c>
      <c r="B36" s="24" t="s">
        <v>751</v>
      </c>
      <c r="C36" s="75" t="n">
        <v>0</v>
      </c>
      <c r="D36" s="75" t="n">
        <v>0</v>
      </c>
      <c r="E36" s="75" t="n">
        <v>0.25</v>
      </c>
      <c r="F36" s="51" t="n">
        <f aca="false">CHOOSE(Scen,C36,D36,E36)</f>
        <v>0</v>
      </c>
      <c r="J36" s="24" t="s">
        <v>736</v>
      </c>
      <c r="K36" s="24" t="s">
        <v>733</v>
      </c>
      <c r="L36" s="24" t="s">
        <v>752</v>
      </c>
    </row>
    <row r="37" customFormat="false" ht="15" hidden="false" customHeight="false" outlineLevel="0" collapsed="false">
      <c r="A37" s="0" t="s">
        <v>753</v>
      </c>
      <c r="B37" s="24" t="s">
        <v>699</v>
      </c>
      <c r="C37" s="0" t="s">
        <v>671</v>
      </c>
      <c r="D37" s="30" t="n">
        <v>1</v>
      </c>
      <c r="E37" s="0" t="s">
        <v>671</v>
      </c>
      <c r="F37" s="68" t="n">
        <f aca="false">D37</f>
        <v>1</v>
      </c>
      <c r="J37" s="24" t="s">
        <v>690</v>
      </c>
      <c r="K37" s="24" t="s">
        <v>673</v>
      </c>
      <c r="L37" s="24" t="s">
        <v>754</v>
      </c>
    </row>
    <row r="38" customFormat="false" ht="15" hidden="false" customHeight="false" outlineLevel="0" collapsed="false">
      <c r="A38" s="0" t="s">
        <v>755</v>
      </c>
      <c r="B38" s="24" t="s">
        <v>699</v>
      </c>
      <c r="C38" s="0" t="s">
        <v>671</v>
      </c>
      <c r="D38" s="31" t="n">
        <v>0</v>
      </c>
      <c r="E38" s="0" t="s">
        <v>671</v>
      </c>
      <c r="F38" s="68" t="n">
        <f aca="false">D38</f>
        <v>0</v>
      </c>
      <c r="J38" s="24" t="s">
        <v>690</v>
      </c>
      <c r="K38" s="24" t="s">
        <v>691</v>
      </c>
      <c r="L38" s="24" t="s">
        <v>756</v>
      </c>
    </row>
    <row r="39" customFormat="false" ht="15" hidden="false" customHeight="false" outlineLevel="0" collapsed="false">
      <c r="A39" s="0" t="s">
        <v>757</v>
      </c>
      <c r="B39" s="24" t="s">
        <v>699</v>
      </c>
      <c r="C39" s="0" t="s">
        <v>671</v>
      </c>
      <c r="D39" s="30" t="n">
        <v>1</v>
      </c>
      <c r="E39" s="0" t="s">
        <v>671</v>
      </c>
      <c r="F39" s="68" t="n">
        <f aca="false">D39</f>
        <v>1</v>
      </c>
      <c r="J39" s="24" t="s">
        <v>690</v>
      </c>
      <c r="K39" s="24" t="s">
        <v>673</v>
      </c>
      <c r="L39" s="24" t="s">
        <v>758</v>
      </c>
    </row>
    <row r="40" customFormat="false" ht="15" hidden="false" customHeight="false" outlineLevel="0" collapsed="false">
      <c r="A40" s="0" t="s">
        <v>759</v>
      </c>
      <c r="B40" s="24" t="s">
        <v>699</v>
      </c>
      <c r="C40" s="0" t="s">
        <v>671</v>
      </c>
      <c r="D40" s="30" t="n">
        <v>1</v>
      </c>
      <c r="E40" s="0" t="s">
        <v>671</v>
      </c>
      <c r="F40" s="68" t="n">
        <f aca="false">D40</f>
        <v>1</v>
      </c>
      <c r="J40" s="24" t="s">
        <v>690</v>
      </c>
      <c r="K40" s="24" t="s">
        <v>673</v>
      </c>
      <c r="L40" s="24"/>
    </row>
    <row r="41" customFormat="false" ht="15" hidden="false" customHeight="false" outlineLevel="0" collapsed="false">
      <c r="A41" s="0" t="s">
        <v>760</v>
      </c>
      <c r="B41" s="24" t="s">
        <v>751</v>
      </c>
      <c r="C41" s="0" t="s">
        <v>671</v>
      </c>
      <c r="D41" s="75" t="n">
        <v>0.1</v>
      </c>
      <c r="E41" s="0" t="s">
        <v>671</v>
      </c>
      <c r="F41" s="51" t="n">
        <f aca="false">D41</f>
        <v>0.1</v>
      </c>
      <c r="J41" s="24" t="s">
        <v>690</v>
      </c>
      <c r="K41" s="24" t="s">
        <v>733</v>
      </c>
      <c r="L41" s="24" t="s">
        <v>761</v>
      </c>
    </row>
    <row r="42" customFormat="false" ht="15" hidden="false" customHeight="false" outlineLevel="0" collapsed="false">
      <c r="A42" s="0" t="s">
        <v>762</v>
      </c>
      <c r="B42" s="24" t="s">
        <v>748</v>
      </c>
      <c r="C42" s="0" t="s">
        <v>671</v>
      </c>
      <c r="D42" s="31" t="n">
        <v>14</v>
      </c>
      <c r="E42" s="0" t="s">
        <v>671</v>
      </c>
      <c r="F42" s="68" t="n">
        <f aca="false">D42</f>
        <v>14</v>
      </c>
      <c r="J42" s="24" t="s">
        <v>690</v>
      </c>
      <c r="K42" s="24" t="s">
        <v>691</v>
      </c>
      <c r="L42" s="24" t="s">
        <v>70</v>
      </c>
    </row>
    <row r="43" customFormat="false" ht="15" hidden="false" customHeight="false" outlineLevel="0" collapsed="false">
      <c r="A43" s="0" t="s">
        <v>763</v>
      </c>
      <c r="B43" s="24" t="s">
        <v>689</v>
      </c>
      <c r="C43" s="0" t="s">
        <v>671</v>
      </c>
      <c r="D43" s="31" t="n">
        <v>2</v>
      </c>
      <c r="E43" s="0" t="s">
        <v>671</v>
      </c>
      <c r="F43" s="68" t="n">
        <f aca="false">D43</f>
        <v>2</v>
      </c>
      <c r="J43" s="24" t="s">
        <v>690</v>
      </c>
      <c r="K43" s="24" t="s">
        <v>691</v>
      </c>
      <c r="L43" s="24" t="s">
        <v>764</v>
      </c>
    </row>
    <row r="44" customFormat="false" ht="15" hidden="false" customHeight="false" outlineLevel="0" collapsed="false">
      <c r="A44" s="0" t="s">
        <v>765</v>
      </c>
      <c r="B44" s="24" t="s">
        <v>699</v>
      </c>
      <c r="C44" s="0" t="s">
        <v>671</v>
      </c>
      <c r="D44" s="30" t="n">
        <v>0</v>
      </c>
      <c r="E44" s="0" t="s">
        <v>671</v>
      </c>
      <c r="F44" s="68" t="n">
        <f aca="false">D44</f>
        <v>0</v>
      </c>
      <c r="J44" s="24" t="s">
        <v>766</v>
      </c>
      <c r="K44" s="24" t="s">
        <v>673</v>
      </c>
      <c r="L44" s="24" t="s">
        <v>767</v>
      </c>
    </row>
    <row r="45" customFormat="false" ht="15" hidden="false" customHeight="false" outlineLevel="0" collapsed="false">
      <c r="A45" s="0" t="s">
        <v>768</v>
      </c>
      <c r="B45" s="24" t="s">
        <v>751</v>
      </c>
      <c r="C45" s="43" t="n">
        <v>0</v>
      </c>
      <c r="D45" s="43" t="n">
        <v>0</v>
      </c>
      <c r="E45" s="43" t="n">
        <v>0.4</v>
      </c>
      <c r="F45" s="51" t="n">
        <f aca="false">CHOOSE(Scen,C45,D45,E45)</f>
        <v>0</v>
      </c>
      <c r="J45" s="24" t="s">
        <v>766</v>
      </c>
      <c r="K45" s="24" t="s">
        <v>691</v>
      </c>
      <c r="L45" s="24" t="s">
        <v>769</v>
      </c>
    </row>
    <row r="46" customFormat="false" ht="15" hidden="false" customHeight="false" outlineLevel="0" collapsed="false">
      <c r="A46" s="0" t="s">
        <v>770</v>
      </c>
      <c r="B46" s="24" t="s">
        <v>699</v>
      </c>
      <c r="C46" s="0" t="s">
        <v>671</v>
      </c>
      <c r="D46" s="31" t="n">
        <v>1</v>
      </c>
      <c r="E46" s="0" t="s">
        <v>671</v>
      </c>
      <c r="F46" s="68" t="n">
        <f aca="false">D46</f>
        <v>1</v>
      </c>
      <c r="J46" s="24" t="s">
        <v>672</v>
      </c>
      <c r="K46" s="24" t="s">
        <v>691</v>
      </c>
      <c r="L46" s="24"/>
    </row>
    <row r="47" customFormat="false" ht="15" hidden="false" customHeight="false" outlineLevel="0" collapsed="false">
      <c r="A47" s="0" t="s">
        <v>771</v>
      </c>
      <c r="B47" s="24" t="s">
        <v>745</v>
      </c>
      <c r="C47" s="0" t="s">
        <v>671</v>
      </c>
      <c r="D47" s="74" t="n">
        <v>1000</v>
      </c>
      <c r="E47" s="0" t="s">
        <v>671</v>
      </c>
      <c r="F47" s="5" t="n">
        <f aca="false">D47</f>
        <v>1000</v>
      </c>
      <c r="J47" s="24" t="s">
        <v>672</v>
      </c>
      <c r="K47" s="24" t="s">
        <v>673</v>
      </c>
      <c r="L47" s="24"/>
    </row>
    <row r="48" customFormat="false" ht="15" hidden="false" customHeight="false" outlineLevel="0" collapsed="false">
      <c r="A48" s="0" t="s">
        <v>772</v>
      </c>
      <c r="B48" s="24" t="s">
        <v>748</v>
      </c>
      <c r="C48" s="0" t="s">
        <v>671</v>
      </c>
      <c r="D48" s="30" t="n">
        <v>28</v>
      </c>
      <c r="E48" s="0" t="s">
        <v>671</v>
      </c>
      <c r="F48" s="68" t="n">
        <f aca="false">D48</f>
        <v>28</v>
      </c>
      <c r="J48" s="24" t="s">
        <v>672</v>
      </c>
      <c r="K48" s="24" t="s">
        <v>673</v>
      </c>
      <c r="L48" s="24" t="s">
        <v>773</v>
      </c>
    </row>
    <row r="49" customFormat="false" ht="15" hidden="false" customHeight="false" outlineLevel="0" collapsed="false">
      <c r="A49" s="0" t="s">
        <v>774</v>
      </c>
      <c r="B49" s="24" t="s">
        <v>751</v>
      </c>
      <c r="C49" s="43" t="n">
        <v>0</v>
      </c>
      <c r="D49" s="43" t="n">
        <v>0.03</v>
      </c>
      <c r="E49" s="43" t="n">
        <v>0.4</v>
      </c>
      <c r="F49" s="51" t="n">
        <f aca="false">CHOOSE(Scen,C49,D49,E49)</f>
        <v>0.03</v>
      </c>
      <c r="J49" s="24" t="s">
        <v>672</v>
      </c>
      <c r="K49" s="24" t="s">
        <v>691</v>
      </c>
      <c r="L49" s="24" t="s">
        <v>775</v>
      </c>
    </row>
    <row r="50" customFormat="false" ht="15" hidden="false" customHeight="false" outlineLevel="0" collapsed="false">
      <c r="A50" s="0" t="s">
        <v>776</v>
      </c>
      <c r="B50" s="24" t="s">
        <v>699</v>
      </c>
      <c r="C50" s="0" t="s">
        <v>671</v>
      </c>
      <c r="D50" s="30" t="n">
        <v>0</v>
      </c>
      <c r="E50" s="0" t="s">
        <v>671</v>
      </c>
      <c r="F50" s="68" t="n">
        <f aca="false">D50</f>
        <v>0</v>
      </c>
      <c r="J50" s="24" t="s">
        <v>672</v>
      </c>
      <c r="K50" s="24" t="s">
        <v>673</v>
      </c>
      <c r="L50" s="24" t="s">
        <v>777</v>
      </c>
    </row>
    <row r="51" customFormat="false" ht="15" hidden="false" customHeight="false" outlineLevel="0" collapsed="false">
      <c r="A51" s="0" t="s">
        <v>778</v>
      </c>
      <c r="B51" s="24" t="s">
        <v>748</v>
      </c>
      <c r="C51" s="0" t="s">
        <v>671</v>
      </c>
      <c r="D51" s="31" t="n">
        <v>13</v>
      </c>
      <c r="E51" s="0" t="s">
        <v>671</v>
      </c>
      <c r="F51" s="68" t="n">
        <f aca="false">D51</f>
        <v>13</v>
      </c>
      <c r="J51" s="24" t="s">
        <v>690</v>
      </c>
      <c r="K51" s="24" t="s">
        <v>691</v>
      </c>
      <c r="L51" s="24" t="s">
        <v>779</v>
      </c>
    </row>
    <row r="52" customFormat="false" ht="15" hidden="false" customHeight="false" outlineLevel="0" collapsed="false">
      <c r="A52" s="0" t="s">
        <v>780</v>
      </c>
      <c r="B52" s="24" t="s">
        <v>751</v>
      </c>
      <c r="C52" s="0" t="s">
        <v>671</v>
      </c>
      <c r="D52" s="43" t="n">
        <v>0.5</v>
      </c>
      <c r="E52" s="0" t="s">
        <v>671</v>
      </c>
      <c r="F52" s="51" t="n">
        <f aca="false">D52</f>
        <v>0.5</v>
      </c>
      <c r="J52" s="24" t="s">
        <v>672</v>
      </c>
      <c r="K52" s="24" t="s">
        <v>691</v>
      </c>
      <c r="L52" s="24" t="s">
        <v>781</v>
      </c>
    </row>
    <row r="53" customFormat="false" ht="15" hidden="false" customHeight="false" outlineLevel="0" collapsed="false">
      <c r="A53" s="0" t="s">
        <v>782</v>
      </c>
      <c r="B53" s="24" t="s">
        <v>699</v>
      </c>
      <c r="C53" s="0" t="s">
        <v>671</v>
      </c>
      <c r="D53" s="30" t="n">
        <v>0</v>
      </c>
      <c r="E53" s="0" t="s">
        <v>671</v>
      </c>
      <c r="F53" s="68" t="n">
        <f aca="false">D53</f>
        <v>0</v>
      </c>
      <c r="J53" s="24" t="s">
        <v>672</v>
      </c>
      <c r="K53" s="24" t="s">
        <v>673</v>
      </c>
      <c r="L53" s="24" t="s">
        <v>783</v>
      </c>
    </row>
    <row r="54" customFormat="false" ht="15" hidden="false" customHeight="false" outlineLevel="0" collapsed="false">
      <c r="A54" s="0" t="s">
        <v>784</v>
      </c>
      <c r="B54" s="24" t="s">
        <v>751</v>
      </c>
      <c r="C54" s="0" t="s">
        <v>671</v>
      </c>
      <c r="D54" s="43" t="n">
        <v>0.55</v>
      </c>
      <c r="E54" s="0" t="s">
        <v>671</v>
      </c>
      <c r="F54" s="51" t="n">
        <f aca="false">D54</f>
        <v>0.55</v>
      </c>
      <c r="J54" s="24" t="s">
        <v>736</v>
      </c>
      <c r="K54" s="24" t="s">
        <v>691</v>
      </c>
      <c r="L54" s="24" t="s">
        <v>785</v>
      </c>
    </row>
    <row r="55" customFormat="false" ht="15" hidden="false" customHeight="false" outlineLevel="0" collapsed="false">
      <c r="A55" s="0" t="s">
        <v>786</v>
      </c>
      <c r="B55" s="24" t="s">
        <v>751</v>
      </c>
      <c r="C55" s="0" t="s">
        <v>671</v>
      </c>
      <c r="D55" s="76" t="n">
        <v>0</v>
      </c>
      <c r="E55" s="0" t="s">
        <v>671</v>
      </c>
      <c r="F55" s="51" t="n">
        <f aca="false">D55</f>
        <v>0</v>
      </c>
      <c r="J55" s="24" t="s">
        <v>672</v>
      </c>
      <c r="K55" s="24" t="s">
        <v>673</v>
      </c>
      <c r="L55" s="24" t="s">
        <v>787</v>
      </c>
    </row>
    <row r="56" customFormat="false" ht="15" hidden="false" customHeight="false" outlineLevel="0" collapsed="false">
      <c r="A56" s="0" t="s">
        <v>788</v>
      </c>
      <c r="B56" s="24" t="s">
        <v>751</v>
      </c>
      <c r="C56" s="0" t="s">
        <v>671</v>
      </c>
      <c r="D56" s="77" t="n">
        <v>0.025</v>
      </c>
      <c r="E56" s="0" t="s">
        <v>671</v>
      </c>
      <c r="F56" s="78" t="n">
        <f aca="false">D56</f>
        <v>0.025</v>
      </c>
      <c r="J56" s="24" t="s">
        <v>736</v>
      </c>
      <c r="K56" s="24" t="s">
        <v>691</v>
      </c>
      <c r="L56" s="24" t="s">
        <v>789</v>
      </c>
    </row>
    <row r="57" customFormat="false" ht="15" hidden="false" customHeight="false" outlineLevel="0" collapsed="false">
      <c r="A57" s="0" t="s">
        <v>790</v>
      </c>
      <c r="B57" s="24" t="s">
        <v>689</v>
      </c>
      <c r="C57" s="0" t="s">
        <v>671</v>
      </c>
      <c r="D57" s="31" t="n">
        <v>20</v>
      </c>
      <c r="E57" s="0" t="s">
        <v>671</v>
      </c>
      <c r="F57" s="68" t="n">
        <f aca="false">D57</f>
        <v>20</v>
      </c>
      <c r="J57" s="24" t="s">
        <v>766</v>
      </c>
      <c r="K57" s="24" t="s">
        <v>691</v>
      </c>
      <c r="L57" s="24" t="s">
        <v>791</v>
      </c>
    </row>
    <row r="58" customFormat="false" ht="15" hidden="false" customHeight="false" outlineLevel="0" collapsed="false">
      <c r="A58" s="0" t="s">
        <v>792</v>
      </c>
      <c r="B58" s="24" t="s">
        <v>699</v>
      </c>
      <c r="C58" s="0" t="s">
        <v>671</v>
      </c>
      <c r="D58" s="30" t="n">
        <v>0</v>
      </c>
      <c r="E58" s="0" t="s">
        <v>671</v>
      </c>
      <c r="F58" s="68" t="n">
        <f aca="false">D58</f>
        <v>0</v>
      </c>
      <c r="J58" s="24" t="s">
        <v>683</v>
      </c>
      <c r="K58" s="24" t="s">
        <v>673</v>
      </c>
      <c r="L58" s="24" t="s">
        <v>793</v>
      </c>
    </row>
    <row r="59" customFormat="false" ht="15" hidden="false" customHeight="false" outlineLevel="0" collapsed="false">
      <c r="A59" s="0" t="s">
        <v>794</v>
      </c>
      <c r="B59" s="24" t="s">
        <v>732</v>
      </c>
      <c r="C59" s="0" t="s">
        <v>671</v>
      </c>
      <c r="D59" s="28" t="n">
        <v>20</v>
      </c>
      <c r="E59" s="0" t="s">
        <v>671</v>
      </c>
      <c r="F59" s="71" t="n">
        <f aca="false">D59</f>
        <v>20</v>
      </c>
      <c r="J59" s="24" t="s">
        <v>683</v>
      </c>
      <c r="K59" s="24" t="s">
        <v>691</v>
      </c>
      <c r="L59" s="24"/>
    </row>
    <row r="60" customFormat="false" ht="15" hidden="false" customHeight="false" outlineLevel="0" collapsed="false">
      <c r="A60" s="0" t="s">
        <v>795</v>
      </c>
      <c r="B60" s="24" t="s">
        <v>699</v>
      </c>
      <c r="C60" s="0" t="s">
        <v>671</v>
      </c>
      <c r="D60" s="30" t="n">
        <v>1</v>
      </c>
      <c r="E60" s="0" t="s">
        <v>671</v>
      </c>
      <c r="F60" s="68" t="n">
        <f aca="false">D60</f>
        <v>1</v>
      </c>
      <c r="J60" s="24" t="s">
        <v>683</v>
      </c>
      <c r="K60" s="24" t="s">
        <v>673</v>
      </c>
      <c r="L60" s="24"/>
    </row>
    <row r="61" customFormat="false" ht="15" hidden="false" customHeight="false" outlineLevel="0" collapsed="false">
      <c r="A61" s="0" t="s">
        <v>796</v>
      </c>
      <c r="B61" s="24" t="s">
        <v>797</v>
      </c>
      <c r="C61" s="0" t="s">
        <v>671</v>
      </c>
      <c r="D61" s="30" t="n">
        <v>0</v>
      </c>
      <c r="E61" s="0" t="s">
        <v>671</v>
      </c>
      <c r="F61" s="68" t="n">
        <f aca="false">D61</f>
        <v>0</v>
      </c>
      <c r="J61" s="24" t="s">
        <v>736</v>
      </c>
      <c r="K61" s="24" t="s">
        <v>706</v>
      </c>
      <c r="L61" s="24" t="s">
        <v>798</v>
      </c>
    </row>
    <row r="62" customFormat="false" ht="15" hidden="false" customHeight="false" outlineLevel="0" collapsed="false">
      <c r="A62" s="0" t="s">
        <v>799</v>
      </c>
      <c r="B62" s="24" t="s">
        <v>732</v>
      </c>
      <c r="C62" s="79" t="n">
        <v>16</v>
      </c>
      <c r="D62" s="79" t="n">
        <v>16</v>
      </c>
      <c r="E62" s="79" t="n">
        <v>14.5</v>
      </c>
      <c r="F62" s="71" t="n">
        <f aca="false">CHOOSE(Scen,C62,D62,E62)</f>
        <v>16</v>
      </c>
      <c r="J62" s="24" t="s">
        <v>736</v>
      </c>
      <c r="K62" s="24" t="s">
        <v>733</v>
      </c>
      <c r="L62" s="24" t="s">
        <v>800</v>
      </c>
    </row>
    <row r="63" customFormat="false" ht="15" hidden="false" customHeight="false" outlineLevel="0" collapsed="false">
      <c r="A63" s="0" t="s">
        <v>801</v>
      </c>
      <c r="B63" s="24" t="s">
        <v>748</v>
      </c>
      <c r="C63" s="0" t="s">
        <v>671</v>
      </c>
      <c r="D63" s="31" t="n">
        <v>15</v>
      </c>
      <c r="E63" s="0" t="s">
        <v>671</v>
      </c>
      <c r="F63" s="68" t="n">
        <f aca="false">D63</f>
        <v>15</v>
      </c>
      <c r="J63" s="24" t="s">
        <v>690</v>
      </c>
      <c r="K63" s="24" t="s">
        <v>691</v>
      </c>
      <c r="L63" s="24" t="s">
        <v>72</v>
      </c>
    </row>
    <row r="64" customFormat="false" ht="15" hidden="false" customHeight="false" outlineLevel="0" collapsed="false">
      <c r="A64" s="0" t="s">
        <v>802</v>
      </c>
      <c r="B64" s="24" t="s">
        <v>676</v>
      </c>
      <c r="C64" s="0" t="s">
        <v>671</v>
      </c>
      <c r="D64" s="30" t="n">
        <v>1</v>
      </c>
      <c r="E64" s="0" t="s">
        <v>671</v>
      </c>
      <c r="F64" s="68" t="n">
        <f aca="false">D64</f>
        <v>1</v>
      </c>
      <c r="J64" s="24" t="s">
        <v>672</v>
      </c>
      <c r="K64" s="24" t="s">
        <v>673</v>
      </c>
      <c r="L64" s="24" t="s">
        <v>803</v>
      </c>
    </row>
    <row r="65" customFormat="false" ht="15" hidden="false" customHeight="false" outlineLevel="0" collapsed="false">
      <c r="A65" s="0" t="s">
        <v>804</v>
      </c>
      <c r="B65" s="24" t="s">
        <v>751</v>
      </c>
      <c r="C65" s="0" t="s">
        <v>671</v>
      </c>
      <c r="D65" s="76" t="n">
        <v>0</v>
      </c>
      <c r="E65" s="0" t="s">
        <v>671</v>
      </c>
      <c r="F65" s="51" t="n">
        <f aca="false">D65</f>
        <v>0</v>
      </c>
      <c r="J65" s="24" t="s">
        <v>672</v>
      </c>
      <c r="K65" s="24" t="s">
        <v>673</v>
      </c>
      <c r="L65" s="24" t="s">
        <v>805</v>
      </c>
    </row>
    <row r="66" customFormat="false" ht="15" hidden="false" customHeight="false" outlineLevel="0" collapsed="false">
      <c r="A66" s="0" t="s">
        <v>806</v>
      </c>
      <c r="B66" s="24" t="s">
        <v>689</v>
      </c>
      <c r="C66" s="0" t="s">
        <v>671</v>
      </c>
      <c r="D66" s="31" t="n">
        <v>8</v>
      </c>
      <c r="E66" s="0" t="s">
        <v>671</v>
      </c>
      <c r="F66" s="68" t="n">
        <f aca="false">D66</f>
        <v>8</v>
      </c>
      <c r="J66" s="24" t="s">
        <v>672</v>
      </c>
      <c r="K66" s="24" t="s">
        <v>691</v>
      </c>
      <c r="L66" s="24" t="s">
        <v>807</v>
      </c>
    </row>
    <row r="67" customFormat="false" ht="15" hidden="false" customHeight="false" outlineLevel="0" collapsed="false">
      <c r="A67" s="0" t="s">
        <v>808</v>
      </c>
      <c r="B67" s="24" t="s">
        <v>809</v>
      </c>
      <c r="C67" s="0" t="s">
        <v>671</v>
      </c>
      <c r="D67" s="80" t="n">
        <v>82</v>
      </c>
      <c r="E67" s="0" t="s">
        <v>671</v>
      </c>
      <c r="F67" s="50" t="n">
        <f aca="false">D67</f>
        <v>82</v>
      </c>
      <c r="J67" s="24" t="s">
        <v>736</v>
      </c>
      <c r="K67" s="24" t="s">
        <v>691</v>
      </c>
      <c r="L67" s="24" t="s">
        <v>810</v>
      </c>
    </row>
    <row r="68" customFormat="false" ht="15" hidden="false" customHeight="false" outlineLevel="0" collapsed="false">
      <c r="A68" s="0" t="s">
        <v>811</v>
      </c>
      <c r="B68" s="24" t="s">
        <v>699</v>
      </c>
      <c r="C68" s="0" t="s">
        <v>671</v>
      </c>
      <c r="D68" s="30" t="n">
        <v>1</v>
      </c>
      <c r="E68" s="0" t="s">
        <v>671</v>
      </c>
      <c r="F68" s="68" t="n">
        <f aca="false">D68</f>
        <v>1</v>
      </c>
      <c r="J68" s="24" t="s">
        <v>672</v>
      </c>
      <c r="K68" s="24" t="s">
        <v>673</v>
      </c>
      <c r="L68" s="24" t="s">
        <v>812</v>
      </c>
    </row>
    <row r="69" customFormat="false" ht="15" hidden="false" customHeight="false" outlineLevel="0" collapsed="false">
      <c r="A69" s="0" t="s">
        <v>813</v>
      </c>
      <c r="B69" s="24" t="s">
        <v>699</v>
      </c>
      <c r="C69" s="0" t="s">
        <v>671</v>
      </c>
      <c r="D69" s="30" t="n">
        <v>1</v>
      </c>
      <c r="E69" s="0" t="s">
        <v>671</v>
      </c>
      <c r="F69" s="68" t="n">
        <f aca="false">D69</f>
        <v>1</v>
      </c>
      <c r="J69" s="24" t="s">
        <v>672</v>
      </c>
      <c r="K69" s="24" t="s">
        <v>673</v>
      </c>
      <c r="L69" s="24" t="s">
        <v>814</v>
      </c>
    </row>
    <row r="70" customFormat="false" ht="15" hidden="false" customHeight="false" outlineLevel="0" collapsed="false">
      <c r="A70" s="0" t="s">
        <v>815</v>
      </c>
      <c r="B70" s="24" t="s">
        <v>699</v>
      </c>
      <c r="C70" s="0" t="s">
        <v>671</v>
      </c>
      <c r="D70" s="30" t="n">
        <v>1</v>
      </c>
      <c r="E70" s="0" t="s">
        <v>671</v>
      </c>
      <c r="F70" s="68" t="n">
        <f aca="false">D70</f>
        <v>1</v>
      </c>
      <c r="J70" s="24" t="s">
        <v>690</v>
      </c>
      <c r="K70" s="24" t="s">
        <v>673</v>
      </c>
      <c r="L70" s="24" t="s">
        <v>816</v>
      </c>
    </row>
    <row r="71" customFormat="false" ht="15" hidden="false" customHeight="false" outlineLevel="0" collapsed="false">
      <c r="A71" s="0" t="s">
        <v>817</v>
      </c>
      <c r="B71" s="24" t="s">
        <v>732</v>
      </c>
      <c r="C71" s="0" t="s">
        <v>671</v>
      </c>
      <c r="D71" s="81" t="n">
        <v>2.25</v>
      </c>
      <c r="E71" s="0" t="s">
        <v>671</v>
      </c>
      <c r="F71" s="6" t="n">
        <f aca="false">D71</f>
        <v>2.25</v>
      </c>
      <c r="J71" s="24" t="s">
        <v>690</v>
      </c>
      <c r="K71" s="24" t="s">
        <v>691</v>
      </c>
      <c r="L71" s="24" t="s">
        <v>818</v>
      </c>
    </row>
    <row r="72" customFormat="false" ht="15" hidden="false" customHeight="false" outlineLevel="0" collapsed="false">
      <c r="A72" s="0" t="s">
        <v>819</v>
      </c>
      <c r="B72" s="24" t="s">
        <v>751</v>
      </c>
      <c r="C72" s="43" t="n">
        <v>0.15</v>
      </c>
      <c r="D72" s="43" t="n">
        <v>0.15</v>
      </c>
      <c r="E72" s="43" t="n">
        <v>0</v>
      </c>
      <c r="F72" s="51" t="n">
        <f aca="false">CHOOSE(Scen,C72,D72,E72)</f>
        <v>0.15</v>
      </c>
      <c r="J72" s="24" t="s">
        <v>820</v>
      </c>
      <c r="K72" s="24" t="s">
        <v>691</v>
      </c>
      <c r="L72" s="24" t="s">
        <v>821</v>
      </c>
    </row>
    <row r="73" customFormat="false" ht="15" hidden="false" customHeight="false" outlineLevel="0" collapsed="false">
      <c r="A73" s="0" t="s">
        <v>822</v>
      </c>
      <c r="B73" s="24" t="s">
        <v>823</v>
      </c>
      <c r="C73" s="0" t="s">
        <v>671</v>
      </c>
      <c r="D73" s="31" t="n">
        <v>18</v>
      </c>
      <c r="E73" s="0" t="s">
        <v>671</v>
      </c>
      <c r="F73" s="68" t="n">
        <f aca="false">D73</f>
        <v>18</v>
      </c>
      <c r="J73" s="24" t="s">
        <v>690</v>
      </c>
      <c r="K73" s="24" t="s">
        <v>691</v>
      </c>
      <c r="L73" s="24" t="s">
        <v>824</v>
      </c>
    </row>
    <row r="74" customFormat="false" ht="15" hidden="false" customHeight="false" outlineLevel="0" collapsed="false">
      <c r="A74" s="0" t="s">
        <v>825</v>
      </c>
      <c r="B74" s="24" t="s">
        <v>699</v>
      </c>
      <c r="C74" s="0" t="s">
        <v>671</v>
      </c>
      <c r="D74" s="30" t="n">
        <v>1</v>
      </c>
      <c r="E74" s="0" t="s">
        <v>671</v>
      </c>
      <c r="F74" s="68" t="n">
        <f aca="false">D74</f>
        <v>1</v>
      </c>
      <c r="J74" s="24" t="s">
        <v>672</v>
      </c>
      <c r="K74" s="24" t="s">
        <v>673</v>
      </c>
      <c r="L74" s="24"/>
    </row>
    <row r="75" customFormat="false" ht="15" hidden="false" customHeight="false" outlineLevel="0" collapsed="false">
      <c r="A75" s="0" t="s">
        <v>826</v>
      </c>
      <c r="B75" s="24" t="s">
        <v>676</v>
      </c>
      <c r="C75" s="0" t="s">
        <v>671</v>
      </c>
      <c r="D75" s="30" t="n">
        <v>2</v>
      </c>
      <c r="E75" s="0" t="s">
        <v>671</v>
      </c>
      <c r="F75" s="68" t="n">
        <f aca="false">D75</f>
        <v>2</v>
      </c>
      <c r="J75" s="24" t="s">
        <v>690</v>
      </c>
      <c r="K75" s="24" t="s">
        <v>673</v>
      </c>
      <c r="L75" s="24" t="s">
        <v>827</v>
      </c>
    </row>
    <row r="76" customFormat="false" ht="15" hidden="false" customHeight="false" outlineLevel="0" collapsed="false">
      <c r="A76" s="0" t="s">
        <v>828</v>
      </c>
      <c r="B76" s="24" t="s">
        <v>809</v>
      </c>
      <c r="C76" s="0" t="s">
        <v>671</v>
      </c>
      <c r="D76" s="82" t="n">
        <v>322</v>
      </c>
      <c r="E76" s="0" t="s">
        <v>671</v>
      </c>
      <c r="F76" s="50" t="n">
        <f aca="false">D76</f>
        <v>322</v>
      </c>
      <c r="J76" s="24" t="s">
        <v>736</v>
      </c>
      <c r="K76" s="24" t="s">
        <v>684</v>
      </c>
      <c r="L76" s="24" t="s">
        <v>829</v>
      </c>
    </row>
    <row r="77" customFormat="false" ht="15" hidden="false" customHeight="false" outlineLevel="0" collapsed="false">
      <c r="A77" s="0" t="s">
        <v>830</v>
      </c>
      <c r="B77" s="24" t="s">
        <v>751</v>
      </c>
      <c r="C77" s="0" t="s">
        <v>671</v>
      </c>
      <c r="D77" s="76" t="n">
        <v>0.2</v>
      </c>
      <c r="E77" s="0" t="s">
        <v>671</v>
      </c>
      <c r="F77" s="51" t="n">
        <f aca="false">D77</f>
        <v>0.2</v>
      </c>
      <c r="J77" s="24" t="s">
        <v>736</v>
      </c>
      <c r="K77" s="24" t="s">
        <v>684</v>
      </c>
      <c r="L77" s="24" t="s">
        <v>831</v>
      </c>
    </row>
    <row r="78" customFormat="false" ht="15" hidden="false" customHeight="false" outlineLevel="0" collapsed="false">
      <c r="A78" s="0" t="s">
        <v>832</v>
      </c>
      <c r="B78" s="24" t="s">
        <v>699</v>
      </c>
      <c r="C78" s="0" t="s">
        <v>671</v>
      </c>
      <c r="D78" s="30" t="n">
        <v>1</v>
      </c>
      <c r="E78" s="0" t="s">
        <v>671</v>
      </c>
      <c r="F78" s="68" t="n">
        <f aca="false">D78</f>
        <v>1</v>
      </c>
      <c r="J78" s="24" t="s">
        <v>820</v>
      </c>
      <c r="K78" s="24" t="s">
        <v>673</v>
      </c>
      <c r="L78" s="24" t="s">
        <v>833</v>
      </c>
    </row>
    <row r="79" customFormat="false" ht="15" hidden="false" customHeight="false" outlineLevel="0" collapsed="false">
      <c r="A79" s="0" t="s">
        <v>834</v>
      </c>
      <c r="B79" s="24" t="s">
        <v>751</v>
      </c>
      <c r="C79" s="0" t="s">
        <v>671</v>
      </c>
      <c r="D79" s="76" t="n">
        <v>0.3</v>
      </c>
      <c r="E79" s="0" t="s">
        <v>671</v>
      </c>
      <c r="F79" s="51" t="n">
        <f aca="false">D79</f>
        <v>0.3</v>
      </c>
      <c r="J79" s="24" t="s">
        <v>736</v>
      </c>
      <c r="K79" s="24" t="s">
        <v>684</v>
      </c>
      <c r="L79" s="24" t="s">
        <v>835</v>
      </c>
    </row>
    <row r="80" customFormat="false" ht="15" hidden="false" customHeight="false" outlineLevel="0" collapsed="false">
      <c r="A80" s="0" t="s">
        <v>836</v>
      </c>
      <c r="B80" s="24" t="s">
        <v>837</v>
      </c>
      <c r="C80" s="0" t="s">
        <v>671</v>
      </c>
      <c r="D80" s="25" t="n">
        <f aca="false">(2*2.95+3.85)/3</f>
        <v>3.25</v>
      </c>
      <c r="E80" s="0" t="s">
        <v>671</v>
      </c>
      <c r="F80" s="6" t="n">
        <f aca="false">D80</f>
        <v>3.25</v>
      </c>
      <c r="J80" s="24" t="s">
        <v>820</v>
      </c>
      <c r="K80" s="24" t="s">
        <v>706</v>
      </c>
      <c r="L80" s="24" t="s">
        <v>838</v>
      </c>
    </row>
    <row r="81" customFormat="false" ht="15" hidden="false" customHeight="false" outlineLevel="0" collapsed="false">
      <c r="A81" s="0" t="s">
        <v>839</v>
      </c>
      <c r="B81" s="24" t="s">
        <v>840</v>
      </c>
      <c r="C81" s="0" t="s">
        <v>671</v>
      </c>
      <c r="D81" s="28" t="n">
        <v>13.3</v>
      </c>
      <c r="E81" s="0" t="s">
        <v>671</v>
      </c>
      <c r="F81" s="71" t="n">
        <f aca="false">D81</f>
        <v>13.3</v>
      </c>
      <c r="J81" s="24" t="s">
        <v>672</v>
      </c>
      <c r="K81" s="24" t="s">
        <v>691</v>
      </c>
      <c r="L81" s="24" t="s">
        <v>841</v>
      </c>
    </row>
    <row r="82" customFormat="false" ht="15" hidden="false" customHeight="false" outlineLevel="0" collapsed="false">
      <c r="A82" s="0" t="s">
        <v>842</v>
      </c>
      <c r="B82" s="24" t="s">
        <v>840</v>
      </c>
      <c r="C82" s="0" t="s">
        <v>671</v>
      </c>
      <c r="D82" s="28" t="n">
        <v>13.5</v>
      </c>
      <c r="E82" s="0" t="s">
        <v>671</v>
      </c>
      <c r="F82" s="71" t="n">
        <f aca="false">D82</f>
        <v>13.5</v>
      </c>
      <c r="J82" s="24" t="s">
        <v>672</v>
      </c>
      <c r="K82" s="24" t="s">
        <v>691</v>
      </c>
      <c r="L82" s="24"/>
    </row>
    <row r="83" customFormat="false" ht="15" hidden="false" customHeight="false" outlineLevel="0" collapsed="false">
      <c r="A83" s="0" t="s">
        <v>843</v>
      </c>
      <c r="B83" s="24" t="s">
        <v>745</v>
      </c>
      <c r="C83" s="0" t="s">
        <v>671</v>
      </c>
      <c r="D83" s="83" t="n">
        <v>650</v>
      </c>
      <c r="E83" s="0" t="s">
        <v>671</v>
      </c>
      <c r="F83" s="5" t="n">
        <f aca="false">D83</f>
        <v>650</v>
      </c>
      <c r="J83" s="24" t="s">
        <v>672</v>
      </c>
      <c r="K83" s="24" t="s">
        <v>691</v>
      </c>
      <c r="L83" s="24" t="s">
        <v>844</v>
      </c>
    </row>
    <row r="84" customFormat="false" ht="15" hidden="false" customHeight="false" outlineLevel="0" collapsed="false">
      <c r="A84" s="0" t="s">
        <v>845</v>
      </c>
      <c r="B84" s="24" t="s">
        <v>745</v>
      </c>
      <c r="C84" s="0" t="s">
        <v>671</v>
      </c>
      <c r="D84" s="83" t="n">
        <v>700</v>
      </c>
      <c r="E84" s="0" t="s">
        <v>671</v>
      </c>
      <c r="F84" s="5" t="n">
        <f aca="false">D84</f>
        <v>700</v>
      </c>
      <c r="J84" s="24" t="s">
        <v>672</v>
      </c>
      <c r="K84" s="24" t="s">
        <v>691</v>
      </c>
      <c r="L84" s="24"/>
    </row>
    <row r="85" customFormat="false" ht="15" hidden="false" customHeight="false" outlineLevel="0" collapsed="false">
      <c r="A85" s="0" t="s">
        <v>846</v>
      </c>
      <c r="B85" s="24" t="s">
        <v>751</v>
      </c>
      <c r="C85" s="0" t="s">
        <v>671</v>
      </c>
      <c r="D85" s="84" t="n">
        <f aca="false">13.98/23</f>
        <v>0.607826086956522</v>
      </c>
      <c r="E85" s="0" t="s">
        <v>671</v>
      </c>
      <c r="F85" s="85" t="n">
        <f aca="false">D85</f>
        <v>0.607826086956522</v>
      </c>
      <c r="J85" s="24" t="s">
        <v>683</v>
      </c>
      <c r="K85" s="24" t="s">
        <v>691</v>
      </c>
      <c r="L85" s="24" t="s">
        <v>847</v>
      </c>
    </row>
    <row r="86" customFormat="false" ht="15" hidden="false" customHeight="false" outlineLevel="0" collapsed="false">
      <c r="A86" s="0" t="s">
        <v>848</v>
      </c>
      <c r="B86" s="24" t="s">
        <v>751</v>
      </c>
      <c r="C86" s="0" t="s">
        <v>671</v>
      </c>
      <c r="D86" s="75" t="n">
        <v>0.62</v>
      </c>
      <c r="E86" s="0" t="s">
        <v>671</v>
      </c>
      <c r="F86" s="51" t="n">
        <f aca="false">D86</f>
        <v>0.62</v>
      </c>
      <c r="J86" s="24" t="s">
        <v>820</v>
      </c>
      <c r="K86" s="24" t="s">
        <v>733</v>
      </c>
      <c r="L86" s="24" t="s">
        <v>849</v>
      </c>
    </row>
    <row r="87" customFormat="false" ht="15" hidden="false" customHeight="false" outlineLevel="0" collapsed="false">
      <c r="A87" s="0" t="s">
        <v>850</v>
      </c>
      <c r="B87" s="24" t="s">
        <v>699</v>
      </c>
      <c r="C87" s="0" t="s">
        <v>671</v>
      </c>
      <c r="D87" s="30" t="n">
        <v>1</v>
      </c>
      <c r="E87" s="0" t="s">
        <v>671</v>
      </c>
      <c r="F87" s="68" t="n">
        <f aca="false">D87</f>
        <v>1</v>
      </c>
      <c r="J87" s="24" t="s">
        <v>672</v>
      </c>
      <c r="K87" s="24" t="s">
        <v>673</v>
      </c>
      <c r="L87" s="24" t="s">
        <v>851</v>
      </c>
    </row>
    <row r="88" customFormat="false" ht="15" hidden="false" customHeight="false" outlineLevel="0" collapsed="false">
      <c r="A88" s="0" t="s">
        <v>852</v>
      </c>
      <c r="B88" s="24" t="s">
        <v>699</v>
      </c>
      <c r="C88" s="0" t="s">
        <v>671</v>
      </c>
      <c r="D88" s="30" t="n">
        <v>1</v>
      </c>
      <c r="E88" s="0" t="s">
        <v>671</v>
      </c>
      <c r="F88" s="68" t="n">
        <f aca="false">D88</f>
        <v>1</v>
      </c>
      <c r="J88" s="24" t="s">
        <v>672</v>
      </c>
      <c r="K88" s="24" t="s">
        <v>673</v>
      </c>
      <c r="L88" s="24" t="s">
        <v>853</v>
      </c>
    </row>
    <row r="89" customFormat="false" ht="15" hidden="false" customHeight="false" outlineLevel="0" collapsed="false">
      <c r="A89" s="0" t="s">
        <v>854</v>
      </c>
      <c r="B89" s="24" t="s">
        <v>676</v>
      </c>
      <c r="C89" s="0" t="s">
        <v>671</v>
      </c>
      <c r="D89" s="30" t="n">
        <v>1</v>
      </c>
      <c r="E89" s="0" t="s">
        <v>671</v>
      </c>
      <c r="F89" s="68" t="n">
        <f aca="false">D89</f>
        <v>1</v>
      </c>
      <c r="J89" s="24" t="s">
        <v>722</v>
      </c>
      <c r="K89" s="24" t="s">
        <v>673</v>
      </c>
      <c r="L89" s="24" t="s">
        <v>855</v>
      </c>
    </row>
    <row r="90" customFormat="false" ht="15" hidden="false" customHeight="false" outlineLevel="0" collapsed="false">
      <c r="A90" s="0" t="s">
        <v>856</v>
      </c>
      <c r="B90" s="24" t="s">
        <v>857</v>
      </c>
      <c r="C90" s="0" t="s">
        <v>671</v>
      </c>
      <c r="D90" s="74" t="n">
        <v>190</v>
      </c>
      <c r="E90" s="0" t="s">
        <v>671</v>
      </c>
      <c r="F90" s="5" t="n">
        <f aca="false">D90</f>
        <v>190</v>
      </c>
      <c r="J90" s="24" t="s">
        <v>736</v>
      </c>
      <c r="K90" s="24" t="s">
        <v>706</v>
      </c>
      <c r="L90" s="24" t="s">
        <v>858</v>
      </c>
    </row>
    <row r="91" customFormat="false" ht="15" hidden="false" customHeight="false" outlineLevel="0" collapsed="false">
      <c r="A91" s="0" t="s">
        <v>859</v>
      </c>
      <c r="B91" s="24" t="s">
        <v>732</v>
      </c>
      <c r="C91" s="0" t="s">
        <v>671</v>
      </c>
      <c r="D91" s="81" t="n">
        <v>2.2</v>
      </c>
      <c r="E91" s="0" t="s">
        <v>671</v>
      </c>
      <c r="F91" s="6" t="n">
        <f aca="false">D91</f>
        <v>2.2</v>
      </c>
      <c r="J91" s="24" t="s">
        <v>690</v>
      </c>
      <c r="K91" s="24" t="s">
        <v>691</v>
      </c>
      <c r="L91" s="24" t="s">
        <v>860</v>
      </c>
    </row>
    <row r="92" customFormat="false" ht="15" hidden="false" customHeight="false" outlineLevel="0" collapsed="false">
      <c r="A92" s="0" t="s">
        <v>861</v>
      </c>
      <c r="B92" s="24" t="s">
        <v>745</v>
      </c>
      <c r="C92" s="0" t="s">
        <v>671</v>
      </c>
      <c r="D92" s="86" t="n">
        <v>0</v>
      </c>
      <c r="E92" s="0" t="s">
        <v>671</v>
      </c>
      <c r="F92" s="5" t="n">
        <f aca="false">D92</f>
        <v>0</v>
      </c>
      <c r="J92" s="24" t="s">
        <v>736</v>
      </c>
      <c r="K92" s="24" t="s">
        <v>733</v>
      </c>
      <c r="L92" s="24" t="s">
        <v>862</v>
      </c>
    </row>
    <row r="93" customFormat="false" ht="15" hidden="false" customHeight="false" outlineLevel="0" collapsed="false">
      <c r="A93" s="0" t="s">
        <v>863</v>
      </c>
      <c r="B93" s="24" t="s">
        <v>699</v>
      </c>
      <c r="C93" s="0" t="s">
        <v>671</v>
      </c>
      <c r="D93" s="87" t="n">
        <v>0</v>
      </c>
      <c r="E93" s="0" t="s">
        <v>671</v>
      </c>
      <c r="F93" s="68" t="n">
        <f aca="false">D93</f>
        <v>0</v>
      </c>
      <c r="J93" s="24" t="s">
        <v>736</v>
      </c>
      <c r="K93" s="24" t="s">
        <v>733</v>
      </c>
      <c r="L93" s="24" t="s">
        <v>864</v>
      </c>
    </row>
    <row r="94" customFormat="false" ht="15" hidden="false" customHeight="false" outlineLevel="0" collapsed="false">
      <c r="A94" s="0" t="s">
        <v>865</v>
      </c>
      <c r="B94" s="24" t="s">
        <v>745</v>
      </c>
      <c r="C94" s="0" t="s">
        <v>671</v>
      </c>
      <c r="D94" s="86" t="n">
        <v>130</v>
      </c>
      <c r="E94" s="0" t="s">
        <v>671</v>
      </c>
      <c r="F94" s="5" t="n">
        <f aca="false">D94</f>
        <v>130</v>
      </c>
      <c r="J94" s="24" t="s">
        <v>736</v>
      </c>
      <c r="K94" s="24" t="s">
        <v>733</v>
      </c>
      <c r="L94" s="24" t="s">
        <v>866</v>
      </c>
    </row>
    <row r="95" customFormat="false" ht="15" hidden="false" customHeight="false" outlineLevel="0" collapsed="false">
      <c r="A95" s="0" t="s">
        <v>867</v>
      </c>
      <c r="B95" s="24" t="s">
        <v>699</v>
      </c>
      <c r="C95" s="0" t="s">
        <v>671</v>
      </c>
      <c r="D95" s="30" t="n">
        <v>0</v>
      </c>
      <c r="E95" s="0" t="s">
        <v>671</v>
      </c>
      <c r="F95" s="68" t="n">
        <f aca="false">D95</f>
        <v>0</v>
      </c>
      <c r="J95" s="24" t="s">
        <v>736</v>
      </c>
      <c r="K95" s="24" t="s">
        <v>673</v>
      </c>
      <c r="L95" s="24" t="s">
        <v>868</v>
      </c>
    </row>
    <row r="96" customFormat="false" ht="15" hidden="false" customHeight="false" outlineLevel="0" collapsed="false">
      <c r="A96" s="0" t="s">
        <v>869</v>
      </c>
      <c r="B96" s="24" t="s">
        <v>870</v>
      </c>
      <c r="C96" s="0" t="s">
        <v>671</v>
      </c>
      <c r="D96" s="83" t="n">
        <v>162</v>
      </c>
      <c r="E96" s="0" t="s">
        <v>671</v>
      </c>
      <c r="F96" s="5" t="n">
        <f aca="false">D96</f>
        <v>162</v>
      </c>
      <c r="J96" s="24" t="s">
        <v>736</v>
      </c>
      <c r="K96" s="24" t="s">
        <v>691</v>
      </c>
      <c r="L96" s="24" t="s">
        <v>871</v>
      </c>
    </row>
    <row r="97" customFormat="false" ht="15" hidden="false" customHeight="false" outlineLevel="0" collapsed="false">
      <c r="A97" s="0" t="s">
        <v>872</v>
      </c>
      <c r="B97" s="24" t="s">
        <v>699</v>
      </c>
      <c r="C97" s="0" t="s">
        <v>671</v>
      </c>
      <c r="D97" s="30" t="n">
        <v>0</v>
      </c>
      <c r="E97" s="0" t="s">
        <v>671</v>
      </c>
      <c r="F97" s="68" t="n">
        <f aca="false">D97</f>
        <v>0</v>
      </c>
      <c r="J97" s="24" t="s">
        <v>820</v>
      </c>
      <c r="K97" s="24" t="s">
        <v>673</v>
      </c>
      <c r="L97" s="24"/>
    </row>
    <row r="98" customFormat="false" ht="15" hidden="false" customHeight="false" outlineLevel="0" collapsed="false">
      <c r="A98" s="0" t="s">
        <v>873</v>
      </c>
      <c r="B98" s="24" t="s">
        <v>679</v>
      </c>
      <c r="C98" s="0" t="s">
        <v>671</v>
      </c>
      <c r="D98" s="30" t="n">
        <v>2028</v>
      </c>
      <c r="E98" s="0" t="s">
        <v>671</v>
      </c>
      <c r="F98" s="68" t="n">
        <f aca="false">D98</f>
        <v>2028</v>
      </c>
      <c r="J98" s="24" t="s">
        <v>672</v>
      </c>
      <c r="K98" s="24" t="s">
        <v>673</v>
      </c>
      <c r="L98" s="24"/>
    </row>
    <row r="99" customFormat="false" ht="15" hidden="false" customHeight="false" outlineLevel="0" collapsed="false">
      <c r="A99" s="0" t="s">
        <v>874</v>
      </c>
      <c r="B99" s="24" t="s">
        <v>676</v>
      </c>
      <c r="C99" s="0" t="s">
        <v>671</v>
      </c>
      <c r="D99" s="31" t="n">
        <v>0</v>
      </c>
      <c r="E99" s="0" t="s">
        <v>671</v>
      </c>
      <c r="F99" s="68" t="n">
        <f aca="false">D99</f>
        <v>0</v>
      </c>
      <c r="J99" s="24" t="s">
        <v>690</v>
      </c>
      <c r="K99" s="24" t="s">
        <v>691</v>
      </c>
      <c r="L99" s="24" t="s">
        <v>875</v>
      </c>
    </row>
    <row r="100" customFormat="false" ht="15" hidden="false" customHeight="false" outlineLevel="0" collapsed="false">
      <c r="A100" s="0" t="s">
        <v>876</v>
      </c>
      <c r="B100" s="24" t="s">
        <v>732</v>
      </c>
      <c r="C100" s="0" t="s">
        <v>671</v>
      </c>
      <c r="D100" s="23" t="n">
        <v>14.5</v>
      </c>
      <c r="E100" s="0" t="s">
        <v>671</v>
      </c>
      <c r="F100" s="71" t="n">
        <f aca="false">D100</f>
        <v>14.5</v>
      </c>
      <c r="J100" s="24" t="s">
        <v>690</v>
      </c>
      <c r="K100" s="24" t="s">
        <v>706</v>
      </c>
      <c r="L100" s="24" t="s">
        <v>877</v>
      </c>
    </row>
    <row r="101" customFormat="false" ht="15" hidden="false" customHeight="false" outlineLevel="0" collapsed="false">
      <c r="A101" s="0" t="s">
        <v>878</v>
      </c>
      <c r="B101" s="24" t="s">
        <v>699</v>
      </c>
      <c r="C101" s="0" t="s">
        <v>671</v>
      </c>
      <c r="D101" s="30" t="n">
        <v>0</v>
      </c>
      <c r="E101" s="0" t="s">
        <v>671</v>
      </c>
      <c r="F101" s="68" t="n">
        <f aca="false">D101</f>
        <v>0</v>
      </c>
      <c r="J101" s="24" t="s">
        <v>690</v>
      </c>
      <c r="K101" s="24" t="s">
        <v>673</v>
      </c>
      <c r="L101" s="24"/>
    </row>
    <row r="102" customFormat="false" ht="15" hidden="false" customHeight="false" outlineLevel="0" collapsed="false">
      <c r="A102" s="0" t="s">
        <v>879</v>
      </c>
      <c r="B102" s="24" t="s">
        <v>699</v>
      </c>
      <c r="C102" s="0" t="s">
        <v>671</v>
      </c>
      <c r="D102" s="30" t="n">
        <v>1</v>
      </c>
      <c r="E102" s="0" t="s">
        <v>671</v>
      </c>
      <c r="F102" s="68" t="n">
        <f aca="false">D102</f>
        <v>1</v>
      </c>
      <c r="J102" s="24" t="s">
        <v>736</v>
      </c>
      <c r="K102" s="24" t="s">
        <v>673</v>
      </c>
      <c r="L102" s="24" t="s">
        <v>880</v>
      </c>
    </row>
    <row r="103" customFormat="false" ht="15" hidden="false" customHeight="false" outlineLevel="0" collapsed="false">
      <c r="A103" s="0" t="s">
        <v>881</v>
      </c>
      <c r="B103" s="24" t="s">
        <v>748</v>
      </c>
      <c r="C103" s="0" t="s">
        <v>671</v>
      </c>
      <c r="D103" s="30" t="n">
        <v>13</v>
      </c>
      <c r="E103" s="0" t="s">
        <v>671</v>
      </c>
      <c r="F103" s="68" t="n">
        <f aca="false">D103</f>
        <v>13</v>
      </c>
      <c r="J103" s="24" t="s">
        <v>736</v>
      </c>
      <c r="K103" s="24" t="s">
        <v>673</v>
      </c>
      <c r="L103" s="24" t="s">
        <v>882</v>
      </c>
    </row>
    <row r="104" customFormat="false" ht="15" hidden="false" customHeight="false" outlineLevel="0" collapsed="false">
      <c r="A104" s="0" t="s">
        <v>883</v>
      </c>
      <c r="B104" s="24" t="s">
        <v>837</v>
      </c>
      <c r="C104" s="38" t="n">
        <v>4.18491755712413</v>
      </c>
      <c r="D104" s="38" t="n">
        <v>3.71992671744367</v>
      </c>
      <c r="E104" s="38" t="n">
        <v>3.37118358768332</v>
      </c>
      <c r="F104" s="88" t="n">
        <f aca="false">CHOOSE(Scen,C104,D104,E104)</f>
        <v>3.71992671744367</v>
      </c>
      <c r="J104" s="24" t="s">
        <v>884</v>
      </c>
      <c r="K104" s="24" t="s">
        <v>691</v>
      </c>
      <c r="L104" s="24" t="s">
        <v>885</v>
      </c>
    </row>
    <row r="105" customFormat="false" ht="15" hidden="false" customHeight="false" outlineLevel="0" collapsed="false">
      <c r="A105" s="0" t="s">
        <v>886</v>
      </c>
      <c r="B105" s="24" t="s">
        <v>887</v>
      </c>
      <c r="C105" s="0" t="s">
        <v>671</v>
      </c>
      <c r="D105" s="83" t="n">
        <v>491</v>
      </c>
      <c r="E105" s="0" t="s">
        <v>671</v>
      </c>
      <c r="F105" s="5" t="n">
        <f aca="false">D105</f>
        <v>491</v>
      </c>
      <c r="J105" s="24" t="s">
        <v>690</v>
      </c>
      <c r="K105" s="24" t="s">
        <v>691</v>
      </c>
      <c r="L105" s="24" t="s">
        <v>888</v>
      </c>
    </row>
    <row r="106" customFormat="false" ht="15" hidden="false" customHeight="false" outlineLevel="0" collapsed="false">
      <c r="A106" s="0" t="s">
        <v>889</v>
      </c>
      <c r="B106" s="24" t="s">
        <v>751</v>
      </c>
      <c r="C106" s="0" t="s">
        <v>671</v>
      </c>
      <c r="D106" s="43" t="n">
        <v>1</v>
      </c>
      <c r="E106" s="0" t="s">
        <v>671</v>
      </c>
      <c r="F106" s="51" t="n">
        <f aca="false">D106</f>
        <v>1</v>
      </c>
      <c r="J106" s="24" t="s">
        <v>736</v>
      </c>
      <c r="K106" s="24" t="s">
        <v>691</v>
      </c>
      <c r="L106" s="24" t="s">
        <v>890</v>
      </c>
    </row>
    <row r="107" customFormat="false" ht="15" hidden="false" customHeight="false" outlineLevel="0" collapsed="false">
      <c r="A107" s="0" t="s">
        <v>891</v>
      </c>
      <c r="B107" s="24" t="s">
        <v>732</v>
      </c>
      <c r="C107" s="0" t="s">
        <v>671</v>
      </c>
      <c r="D107" s="32" t="n">
        <f aca="false">ND_Px*ND_GPUMW_GB*8760*ND_Occ/1000000</f>
        <v>16</v>
      </c>
      <c r="E107" s="0" t="s">
        <v>671</v>
      </c>
      <c r="F107" s="71" t="n">
        <f aca="false">D107</f>
        <v>16</v>
      </c>
      <c r="J107" s="24" t="s">
        <v>736</v>
      </c>
      <c r="K107" s="24" t="s">
        <v>706</v>
      </c>
      <c r="L107" s="24" t="s">
        <v>892</v>
      </c>
    </row>
    <row r="108" customFormat="false" ht="15" hidden="false" customHeight="false" outlineLevel="0" collapsed="false">
      <c r="A108" s="0" t="s">
        <v>893</v>
      </c>
      <c r="B108" s="24" t="s">
        <v>699</v>
      </c>
      <c r="C108" s="0" t="s">
        <v>671</v>
      </c>
      <c r="D108" s="31" t="n">
        <v>1</v>
      </c>
      <c r="E108" s="0" t="s">
        <v>671</v>
      </c>
      <c r="F108" s="68" t="n">
        <f aca="false">D108</f>
        <v>1</v>
      </c>
      <c r="J108" s="24" t="s">
        <v>672</v>
      </c>
      <c r="K108" s="24" t="s">
        <v>691</v>
      </c>
      <c r="L108" s="24" t="s">
        <v>894</v>
      </c>
    </row>
    <row r="109" customFormat="false" ht="15" hidden="false" customHeight="false" outlineLevel="0" collapsed="false">
      <c r="A109" s="0" t="s">
        <v>895</v>
      </c>
      <c r="B109" s="24" t="s">
        <v>896</v>
      </c>
      <c r="C109" s="77" t="n">
        <v>-0.0125</v>
      </c>
      <c r="D109" s="77" t="n">
        <v>-0.03</v>
      </c>
      <c r="E109" s="77" t="n">
        <v>-0.06</v>
      </c>
      <c r="F109" s="78" t="n">
        <f aca="false">CHOOSE(Scen,C109,D109,E109)</f>
        <v>-0.03</v>
      </c>
      <c r="J109" s="24" t="s">
        <v>672</v>
      </c>
      <c r="K109" s="24" t="s">
        <v>691</v>
      </c>
      <c r="L109" s="24" t="s">
        <v>897</v>
      </c>
    </row>
    <row r="110" customFormat="false" ht="15" hidden="false" customHeight="false" outlineLevel="0" collapsed="false">
      <c r="A110" s="0" t="s">
        <v>898</v>
      </c>
      <c r="B110" s="24" t="s">
        <v>748</v>
      </c>
      <c r="C110" s="31" t="n">
        <v>21</v>
      </c>
      <c r="D110" s="31" t="n">
        <v>21</v>
      </c>
      <c r="E110" s="31" t="n">
        <v>13</v>
      </c>
      <c r="F110" s="68" t="n">
        <f aca="false">CHOOSE(Scen,C110,D110,E110)</f>
        <v>21</v>
      </c>
      <c r="J110" s="24" t="s">
        <v>672</v>
      </c>
      <c r="K110" s="24" t="s">
        <v>691</v>
      </c>
      <c r="L110" s="24" t="s">
        <v>899</v>
      </c>
    </row>
    <row r="111" customFormat="false" ht="15" hidden="false" customHeight="false" outlineLevel="0" collapsed="false">
      <c r="A111" s="0" t="s">
        <v>900</v>
      </c>
      <c r="B111" s="24" t="s">
        <v>699</v>
      </c>
      <c r="C111" s="0" t="s">
        <v>671</v>
      </c>
      <c r="D111" s="31" t="n">
        <v>0</v>
      </c>
      <c r="E111" s="0" t="s">
        <v>671</v>
      </c>
      <c r="F111" s="68" t="n">
        <f aca="false">D111</f>
        <v>0</v>
      </c>
      <c r="J111" s="24" t="s">
        <v>683</v>
      </c>
      <c r="K111" s="24" t="s">
        <v>691</v>
      </c>
      <c r="L111" s="24"/>
    </row>
    <row r="112" customFormat="false" ht="15" hidden="false" customHeight="false" outlineLevel="0" collapsed="false">
      <c r="A112" s="0" t="s">
        <v>901</v>
      </c>
      <c r="B112" s="24" t="s">
        <v>751</v>
      </c>
      <c r="C112" s="0" t="s">
        <v>671</v>
      </c>
      <c r="D112" s="43" t="n">
        <v>0.31</v>
      </c>
      <c r="E112" s="0" t="s">
        <v>671</v>
      </c>
      <c r="F112" s="51" t="n">
        <f aca="false">D112</f>
        <v>0.31</v>
      </c>
      <c r="J112" s="24" t="s">
        <v>683</v>
      </c>
      <c r="K112" s="24" t="s">
        <v>691</v>
      </c>
      <c r="L112" s="24"/>
    </row>
    <row r="113" customFormat="false" ht="15" hidden="false" customHeight="false" outlineLevel="0" collapsed="false">
      <c r="A113" s="0" t="s">
        <v>902</v>
      </c>
      <c r="B113" s="24" t="s">
        <v>699</v>
      </c>
      <c r="C113" s="0" t="s">
        <v>671</v>
      </c>
      <c r="D113" s="30" t="n">
        <v>1</v>
      </c>
      <c r="E113" s="0" t="s">
        <v>671</v>
      </c>
      <c r="F113" s="68" t="n">
        <f aca="false">D113</f>
        <v>1</v>
      </c>
      <c r="J113" s="24" t="s">
        <v>672</v>
      </c>
      <c r="K113" s="24" t="s">
        <v>673</v>
      </c>
      <c r="L113" s="24" t="s">
        <v>903</v>
      </c>
    </row>
    <row r="114" customFormat="false" ht="15" hidden="false" customHeight="false" outlineLevel="0" collapsed="false">
      <c r="A114" s="0" t="s">
        <v>904</v>
      </c>
      <c r="B114" s="24" t="s">
        <v>676</v>
      </c>
      <c r="C114" s="0" t="s">
        <v>671</v>
      </c>
      <c r="D114" s="30" t="n">
        <v>1</v>
      </c>
      <c r="E114" s="0" t="s">
        <v>671</v>
      </c>
      <c r="F114" s="68" t="n">
        <f aca="false">D114</f>
        <v>1</v>
      </c>
      <c r="J114" s="24" t="s">
        <v>672</v>
      </c>
      <c r="K114" s="24" t="s">
        <v>673</v>
      </c>
      <c r="L114" s="24" t="s">
        <v>905</v>
      </c>
    </row>
    <row r="115" customFormat="false" ht="15" hidden="false" customHeight="false" outlineLevel="0" collapsed="false">
      <c r="A115" s="0" t="s">
        <v>906</v>
      </c>
      <c r="B115" s="24" t="s">
        <v>732</v>
      </c>
      <c r="C115" s="28" t="n">
        <v>20</v>
      </c>
      <c r="D115" s="28" t="n">
        <v>16.2</v>
      </c>
      <c r="E115" s="28" t="n">
        <v>14.5</v>
      </c>
      <c r="F115" s="71" t="n">
        <f aca="false">CHOOSE(Scen,C115,D115,E115)</f>
        <v>16.2</v>
      </c>
      <c r="J115" s="24" t="s">
        <v>820</v>
      </c>
      <c r="K115" s="24" t="s">
        <v>691</v>
      </c>
      <c r="L115" s="24" t="s">
        <v>907</v>
      </c>
    </row>
    <row r="116" customFormat="false" ht="15" hidden="false" customHeight="false" outlineLevel="0" collapsed="false">
      <c r="A116" s="0" t="s">
        <v>908</v>
      </c>
      <c r="B116" s="24" t="s">
        <v>887</v>
      </c>
      <c r="C116" s="0" t="s">
        <v>671</v>
      </c>
      <c r="D116" s="31" t="n">
        <v>400</v>
      </c>
      <c r="E116" s="0" t="s">
        <v>671</v>
      </c>
      <c r="F116" s="68" t="n">
        <f aca="false">D116</f>
        <v>400</v>
      </c>
      <c r="J116" s="24" t="s">
        <v>690</v>
      </c>
      <c r="K116" s="24" t="s">
        <v>691</v>
      </c>
      <c r="L116" s="24" t="s">
        <v>909</v>
      </c>
    </row>
    <row r="117" customFormat="false" ht="15" hidden="false" customHeight="false" outlineLevel="0" collapsed="false">
      <c r="A117" s="0" t="s">
        <v>910</v>
      </c>
      <c r="B117" s="24" t="s">
        <v>751</v>
      </c>
      <c r="C117" s="0" t="s">
        <v>671</v>
      </c>
      <c r="D117" s="43" t="n">
        <v>0.05</v>
      </c>
      <c r="E117" s="0" t="s">
        <v>671</v>
      </c>
      <c r="F117" s="51" t="n">
        <f aca="false">D117</f>
        <v>0.05</v>
      </c>
      <c r="J117" s="24" t="s">
        <v>820</v>
      </c>
      <c r="K117" s="24" t="s">
        <v>691</v>
      </c>
      <c r="L117" s="24" t="s">
        <v>911</v>
      </c>
    </row>
    <row r="118" customFormat="false" ht="15" hidden="false" customHeight="false" outlineLevel="0" collapsed="false">
      <c r="A118" s="0" t="s">
        <v>912</v>
      </c>
      <c r="B118" s="24" t="s">
        <v>699</v>
      </c>
      <c r="C118" s="0" t="s">
        <v>671</v>
      </c>
      <c r="D118" s="30" t="n">
        <v>1</v>
      </c>
      <c r="E118" s="0" t="s">
        <v>671</v>
      </c>
      <c r="F118" s="68" t="n">
        <f aca="false">D118</f>
        <v>1</v>
      </c>
      <c r="J118" s="24" t="s">
        <v>672</v>
      </c>
      <c r="K118" s="24" t="s">
        <v>673</v>
      </c>
      <c r="L118" s="24"/>
    </row>
    <row r="119" customFormat="false" ht="15" hidden="false" customHeight="false" outlineLevel="0" collapsed="false">
      <c r="A119" s="0" t="s">
        <v>913</v>
      </c>
      <c r="B119" s="24" t="s">
        <v>699</v>
      </c>
      <c r="C119" s="0" t="s">
        <v>671</v>
      </c>
      <c r="D119" s="30" t="n">
        <v>1</v>
      </c>
      <c r="E119" s="0" t="s">
        <v>671</v>
      </c>
      <c r="F119" s="68" t="n">
        <f aca="false">D119</f>
        <v>1</v>
      </c>
      <c r="J119" s="24" t="s">
        <v>672</v>
      </c>
      <c r="K119" s="24" t="s">
        <v>673</v>
      </c>
      <c r="L119" s="24"/>
    </row>
    <row r="120" customFormat="false" ht="15" hidden="false" customHeight="false" outlineLevel="0" collapsed="false">
      <c r="A120" s="0" t="s">
        <v>914</v>
      </c>
      <c r="B120" s="24" t="s">
        <v>751</v>
      </c>
      <c r="C120" s="0" t="s">
        <v>671</v>
      </c>
      <c r="D120" s="43" t="n">
        <v>0.85</v>
      </c>
      <c r="E120" s="0" t="s">
        <v>671</v>
      </c>
      <c r="F120" s="51" t="n">
        <f aca="false">D120</f>
        <v>0.85</v>
      </c>
      <c r="J120" s="24" t="s">
        <v>820</v>
      </c>
      <c r="K120" s="24" t="s">
        <v>691</v>
      </c>
      <c r="L120" s="24" t="s">
        <v>915</v>
      </c>
    </row>
    <row r="121" customFormat="false" ht="15" hidden="false" customHeight="false" outlineLevel="0" collapsed="false">
      <c r="A121" s="0" t="s">
        <v>916</v>
      </c>
      <c r="B121" s="24" t="s">
        <v>732</v>
      </c>
      <c r="C121" s="0" t="s">
        <v>671</v>
      </c>
      <c r="D121" s="89" t="n">
        <f aca="false">MYRate</f>
        <v>16</v>
      </c>
      <c r="E121" s="0" t="s">
        <v>671</v>
      </c>
      <c r="F121" s="71" t="n">
        <f aca="false">D121</f>
        <v>16</v>
      </c>
      <c r="J121" s="24" t="s">
        <v>683</v>
      </c>
      <c r="K121" s="24" t="s">
        <v>691</v>
      </c>
      <c r="L121" s="24" t="s">
        <v>917</v>
      </c>
    </row>
    <row r="122" customFormat="false" ht="15" hidden="false" customHeight="false" outlineLevel="0" collapsed="false">
      <c r="A122" s="0" t="s">
        <v>918</v>
      </c>
      <c r="B122" s="24" t="s">
        <v>745</v>
      </c>
      <c r="C122" s="0" t="s">
        <v>671</v>
      </c>
      <c r="D122" s="74" t="n">
        <v>37490</v>
      </c>
      <c r="E122" s="0" t="s">
        <v>671</v>
      </c>
      <c r="F122" s="5" t="n">
        <f aca="false">D122</f>
        <v>37490</v>
      </c>
      <c r="J122" s="24" t="s">
        <v>736</v>
      </c>
      <c r="K122" s="24" t="s">
        <v>684</v>
      </c>
      <c r="L122" s="24" t="s">
        <v>919</v>
      </c>
    </row>
    <row r="123" customFormat="false" ht="15" hidden="false" customHeight="false" outlineLevel="0" collapsed="false">
      <c r="A123" s="0" t="s">
        <v>920</v>
      </c>
      <c r="B123" s="24" t="s">
        <v>751</v>
      </c>
      <c r="C123" s="0" t="s">
        <v>671</v>
      </c>
      <c r="D123" s="76" t="n">
        <v>0.36</v>
      </c>
      <c r="E123" s="0" t="s">
        <v>671</v>
      </c>
      <c r="F123" s="51" t="n">
        <f aca="false">D123</f>
        <v>0.36</v>
      </c>
      <c r="J123" s="24" t="s">
        <v>736</v>
      </c>
      <c r="K123" s="24" t="s">
        <v>684</v>
      </c>
      <c r="L123" s="24" t="s">
        <v>921</v>
      </c>
    </row>
    <row r="124" customFormat="false" ht="15" hidden="false" customHeight="false" outlineLevel="0" collapsed="false">
      <c r="A124" s="0" t="s">
        <v>922</v>
      </c>
      <c r="B124" s="24" t="s">
        <v>745</v>
      </c>
      <c r="C124" s="0" t="s">
        <v>671</v>
      </c>
      <c r="D124" s="82" t="n">
        <v>979.4</v>
      </c>
      <c r="E124" s="0" t="s">
        <v>671</v>
      </c>
      <c r="F124" s="50" t="n">
        <f aca="false">D124</f>
        <v>979.4</v>
      </c>
      <c r="J124" s="24" t="s">
        <v>736</v>
      </c>
      <c r="K124" s="24" t="s">
        <v>684</v>
      </c>
      <c r="L124" s="24" t="s">
        <v>923</v>
      </c>
    </row>
    <row r="125" customFormat="false" ht="15" hidden="false" customHeight="false" outlineLevel="0" collapsed="false">
      <c r="A125" s="0" t="s">
        <v>924</v>
      </c>
      <c r="B125" s="24" t="s">
        <v>745</v>
      </c>
      <c r="C125" s="0" t="s">
        <v>671</v>
      </c>
      <c r="D125" s="83" t="n">
        <v>2250</v>
      </c>
      <c r="E125" s="0" t="s">
        <v>671</v>
      </c>
      <c r="F125" s="5" t="n">
        <f aca="false">D125</f>
        <v>2250</v>
      </c>
      <c r="J125" s="24" t="s">
        <v>736</v>
      </c>
      <c r="K125" s="24" t="s">
        <v>691</v>
      </c>
      <c r="L125" s="24" t="s">
        <v>925</v>
      </c>
    </row>
    <row r="126" customFormat="false" ht="15" hidden="false" customHeight="false" outlineLevel="0" collapsed="false">
      <c r="A126" s="0" t="s">
        <v>926</v>
      </c>
      <c r="B126" s="24" t="s">
        <v>689</v>
      </c>
      <c r="C126" s="0" t="s">
        <v>671</v>
      </c>
      <c r="D126" s="31" t="n">
        <v>12</v>
      </c>
      <c r="E126" s="0" t="s">
        <v>671</v>
      </c>
      <c r="F126" s="68" t="n">
        <f aca="false">D126</f>
        <v>12</v>
      </c>
      <c r="J126" s="24" t="s">
        <v>736</v>
      </c>
      <c r="K126" s="24" t="s">
        <v>691</v>
      </c>
      <c r="L126" s="24" t="s">
        <v>927</v>
      </c>
    </row>
    <row r="127" customFormat="false" ht="15" hidden="false" customHeight="false" outlineLevel="0" collapsed="false">
      <c r="A127" s="0" t="s">
        <v>928</v>
      </c>
      <c r="B127" s="24" t="s">
        <v>676</v>
      </c>
      <c r="C127" s="0" t="s">
        <v>671</v>
      </c>
      <c r="D127" s="31" t="n">
        <v>1</v>
      </c>
      <c r="E127" s="0" t="s">
        <v>671</v>
      </c>
      <c r="F127" s="68" t="n">
        <f aca="false">D127</f>
        <v>1</v>
      </c>
      <c r="J127" s="24" t="s">
        <v>736</v>
      </c>
      <c r="K127" s="24" t="s">
        <v>691</v>
      </c>
      <c r="L127" s="24"/>
    </row>
    <row r="128" customFormat="false" ht="15" hidden="false" customHeight="false" outlineLevel="0" collapsed="false">
      <c r="A128" s="0" t="s">
        <v>929</v>
      </c>
      <c r="B128" s="24" t="s">
        <v>930</v>
      </c>
      <c r="C128" s="0" t="s">
        <v>671</v>
      </c>
      <c r="D128" s="38" t="n">
        <v>1.20048899755501</v>
      </c>
      <c r="E128" s="0" t="s">
        <v>671</v>
      </c>
      <c r="F128" s="88" t="n">
        <f aca="false">D128</f>
        <v>1.20048899755501</v>
      </c>
      <c r="J128" s="24" t="s">
        <v>690</v>
      </c>
      <c r="K128" s="24" t="s">
        <v>691</v>
      </c>
      <c r="L128" s="24" t="s">
        <v>931</v>
      </c>
    </row>
    <row r="129" customFormat="false" ht="15" hidden="false" customHeight="false" outlineLevel="0" collapsed="false">
      <c r="A129" s="0" t="s">
        <v>932</v>
      </c>
      <c r="B129" s="24" t="s">
        <v>732</v>
      </c>
      <c r="C129" s="23" t="n">
        <v>50</v>
      </c>
      <c r="D129" s="23" t="n">
        <v>45</v>
      </c>
      <c r="E129" s="23" t="n">
        <v>40</v>
      </c>
      <c r="F129" s="71" t="n">
        <f aca="false">CHOOSE(Scen,C129,D129,E129)</f>
        <v>45</v>
      </c>
      <c r="J129" s="24" t="s">
        <v>736</v>
      </c>
      <c r="K129" s="24" t="s">
        <v>684</v>
      </c>
      <c r="L129" s="24" t="s">
        <v>933</v>
      </c>
    </row>
    <row r="130" customFormat="false" ht="15" hidden="false" customHeight="false" outlineLevel="0" collapsed="false">
      <c r="A130" s="0" t="s">
        <v>934</v>
      </c>
      <c r="B130" s="24" t="s">
        <v>699</v>
      </c>
      <c r="C130" s="0" t="s">
        <v>671</v>
      </c>
      <c r="D130" s="30" t="n">
        <v>1</v>
      </c>
      <c r="E130" s="0" t="s">
        <v>671</v>
      </c>
      <c r="F130" s="68" t="n">
        <f aca="false">D130</f>
        <v>1</v>
      </c>
      <c r="J130" s="24" t="s">
        <v>736</v>
      </c>
      <c r="K130" s="24" t="s">
        <v>673</v>
      </c>
      <c r="L130" s="24" t="s">
        <v>935</v>
      </c>
    </row>
    <row r="131" customFormat="false" ht="15" hidden="false" customHeight="false" outlineLevel="0" collapsed="false">
      <c r="A131" s="0" t="s">
        <v>936</v>
      </c>
      <c r="B131" s="24" t="s">
        <v>699</v>
      </c>
      <c r="C131" s="31" t="n">
        <v>1</v>
      </c>
      <c r="D131" s="31" t="n">
        <v>1</v>
      </c>
      <c r="E131" s="31" t="n">
        <v>0</v>
      </c>
      <c r="F131" s="68" t="n">
        <f aca="false">CHOOSE(Scen,C131,D131,E131)</f>
        <v>1</v>
      </c>
      <c r="J131" s="24" t="s">
        <v>820</v>
      </c>
      <c r="K131" s="24" t="s">
        <v>691</v>
      </c>
      <c r="L131" s="24" t="s">
        <v>937</v>
      </c>
    </row>
    <row r="132" customFormat="false" ht="15" hidden="false" customHeight="false" outlineLevel="0" collapsed="false">
      <c r="A132" s="0" t="s">
        <v>938</v>
      </c>
      <c r="B132" s="24" t="s">
        <v>699</v>
      </c>
      <c r="C132" s="0" t="s">
        <v>671</v>
      </c>
      <c r="D132" s="30" t="n">
        <v>1</v>
      </c>
      <c r="E132" s="0" t="s">
        <v>671</v>
      </c>
      <c r="F132" s="68" t="n">
        <f aca="false">D132</f>
        <v>1</v>
      </c>
      <c r="J132" s="24" t="s">
        <v>736</v>
      </c>
      <c r="K132" s="24" t="s">
        <v>684</v>
      </c>
      <c r="L132" s="24" t="s">
        <v>939</v>
      </c>
    </row>
    <row r="133" customFormat="false" ht="15" hidden="false" customHeight="false" outlineLevel="0" collapsed="false">
      <c r="A133" s="0" t="s">
        <v>940</v>
      </c>
      <c r="B133" s="24" t="s">
        <v>699</v>
      </c>
      <c r="C133" s="0" t="s">
        <v>671</v>
      </c>
      <c r="D133" s="31" t="n">
        <v>1</v>
      </c>
      <c r="E133" s="0" t="s">
        <v>671</v>
      </c>
      <c r="F133" s="68" t="n">
        <f aca="false">D133</f>
        <v>1</v>
      </c>
      <c r="J133" s="24" t="s">
        <v>683</v>
      </c>
      <c r="K133" s="24" t="s">
        <v>691</v>
      </c>
      <c r="L133" s="24" t="s">
        <v>941</v>
      </c>
    </row>
    <row r="134" customFormat="false" ht="15" hidden="false" customHeight="false" outlineLevel="0" collapsed="false">
      <c r="A134" s="0" t="s">
        <v>942</v>
      </c>
      <c r="B134" s="24" t="s">
        <v>751</v>
      </c>
      <c r="C134" s="41" t="n">
        <v>0.385</v>
      </c>
      <c r="D134" s="41" t="n">
        <v>0.385</v>
      </c>
      <c r="E134" s="41" t="n">
        <v>0</v>
      </c>
      <c r="F134" s="85" t="n">
        <f aca="false">CHOOSE(Scen,C134,D134,E134)</f>
        <v>0.385</v>
      </c>
      <c r="J134" s="24" t="s">
        <v>683</v>
      </c>
      <c r="K134" s="24" t="s">
        <v>691</v>
      </c>
      <c r="L134" s="24" t="s">
        <v>943</v>
      </c>
    </row>
    <row r="135" customFormat="false" ht="15" hidden="false" customHeight="false" outlineLevel="0" collapsed="false">
      <c r="A135" s="0" t="s">
        <v>944</v>
      </c>
      <c r="B135" s="24" t="s">
        <v>751</v>
      </c>
      <c r="C135" s="41" t="n">
        <v>0.385</v>
      </c>
      <c r="D135" s="41" t="n">
        <v>0.225</v>
      </c>
      <c r="E135" s="41" t="n">
        <v>0</v>
      </c>
      <c r="F135" s="85" t="n">
        <f aca="false">CHOOSE(Scen,C135,D135,E135)</f>
        <v>0.225</v>
      </c>
      <c r="J135" s="24" t="s">
        <v>683</v>
      </c>
      <c r="K135" s="24" t="s">
        <v>691</v>
      </c>
      <c r="L135" s="24" t="s">
        <v>945</v>
      </c>
    </row>
    <row r="136" customFormat="false" ht="15" hidden="false" customHeight="false" outlineLevel="0" collapsed="false">
      <c r="A136" s="0" t="s">
        <v>946</v>
      </c>
      <c r="B136" s="24" t="s">
        <v>748</v>
      </c>
      <c r="C136" s="0" t="s">
        <v>671</v>
      </c>
      <c r="D136" s="31" t="n">
        <v>17</v>
      </c>
      <c r="E136" s="0" t="s">
        <v>671</v>
      </c>
      <c r="F136" s="68" t="n">
        <f aca="false">D136</f>
        <v>17</v>
      </c>
      <c r="J136" s="24" t="s">
        <v>683</v>
      </c>
      <c r="K136" s="24" t="s">
        <v>691</v>
      </c>
      <c r="L136" s="24" t="s">
        <v>95</v>
      </c>
    </row>
    <row r="137" customFormat="false" ht="15" hidden="false" customHeight="false" outlineLevel="0" collapsed="false">
      <c r="A137" s="0" t="s">
        <v>947</v>
      </c>
      <c r="B137" s="24" t="s">
        <v>751</v>
      </c>
      <c r="C137" s="43" t="n">
        <v>0.4</v>
      </c>
      <c r="D137" s="43" t="n">
        <v>0.3</v>
      </c>
      <c r="E137" s="43" t="n">
        <v>0</v>
      </c>
      <c r="F137" s="51" t="n">
        <f aca="false">CHOOSE(Scen,C137,D137,E137)</f>
        <v>0.3</v>
      </c>
      <c r="J137" s="24" t="s">
        <v>820</v>
      </c>
      <c r="K137" s="24" t="s">
        <v>691</v>
      </c>
      <c r="L137" s="24" t="s">
        <v>948</v>
      </c>
    </row>
    <row r="138" customFormat="false" ht="15" hidden="false" customHeight="false" outlineLevel="0" collapsed="false">
      <c r="A138" s="0" t="s">
        <v>949</v>
      </c>
      <c r="B138" s="24" t="s">
        <v>699</v>
      </c>
      <c r="C138" s="0" t="s">
        <v>671</v>
      </c>
      <c r="D138" s="30" t="n">
        <v>1</v>
      </c>
      <c r="E138" s="0" t="s">
        <v>671</v>
      </c>
      <c r="F138" s="68" t="n">
        <f aca="false">D138</f>
        <v>1</v>
      </c>
      <c r="J138" s="24" t="s">
        <v>672</v>
      </c>
      <c r="K138" s="24" t="s">
        <v>673</v>
      </c>
      <c r="L138" s="24" t="s">
        <v>950</v>
      </c>
    </row>
    <row r="139" customFormat="false" ht="15" hidden="false" customHeight="false" outlineLevel="0" collapsed="false">
      <c r="A139" s="0" t="s">
        <v>951</v>
      </c>
      <c r="B139" s="24" t="s">
        <v>699</v>
      </c>
      <c r="C139" s="0" t="s">
        <v>671</v>
      </c>
      <c r="D139" s="30" t="n">
        <v>1</v>
      </c>
      <c r="E139" s="0" t="s">
        <v>671</v>
      </c>
      <c r="F139" s="68" t="n">
        <f aca="false">D139</f>
        <v>1</v>
      </c>
      <c r="J139" s="24" t="s">
        <v>672</v>
      </c>
      <c r="K139" s="24" t="s">
        <v>673</v>
      </c>
      <c r="L139" s="24"/>
    </row>
    <row r="140" customFormat="false" ht="15" hidden="false" customHeight="false" outlineLevel="0" collapsed="false">
      <c r="A140" s="0" t="s">
        <v>952</v>
      </c>
      <c r="B140" s="24" t="s">
        <v>699</v>
      </c>
      <c r="C140" s="0" t="s">
        <v>671</v>
      </c>
      <c r="D140" s="30" t="n">
        <v>1</v>
      </c>
      <c r="E140" s="0" t="s">
        <v>671</v>
      </c>
      <c r="F140" s="68" t="n">
        <f aca="false">D140</f>
        <v>1</v>
      </c>
      <c r="J140" s="24" t="s">
        <v>736</v>
      </c>
      <c r="K140" s="24" t="s">
        <v>673</v>
      </c>
      <c r="L140" s="24"/>
    </row>
    <row r="141" customFormat="false" ht="15" hidden="false" customHeight="false" outlineLevel="0" collapsed="false">
      <c r="A141" s="0" t="s">
        <v>953</v>
      </c>
      <c r="B141" s="24" t="s">
        <v>699</v>
      </c>
      <c r="C141" s="0" t="s">
        <v>671</v>
      </c>
      <c r="D141" s="30" t="n">
        <v>1</v>
      </c>
      <c r="E141" s="0" t="s">
        <v>671</v>
      </c>
      <c r="F141" s="68" t="n">
        <f aca="false">D141</f>
        <v>1</v>
      </c>
      <c r="J141" s="24" t="s">
        <v>736</v>
      </c>
      <c r="K141" s="24" t="s">
        <v>684</v>
      </c>
      <c r="L141" s="24" t="s">
        <v>954</v>
      </c>
    </row>
    <row r="142" customFormat="false" ht="15" hidden="false" customHeight="false" outlineLevel="0" collapsed="false">
      <c r="A142" s="0" t="s">
        <v>955</v>
      </c>
      <c r="B142" s="24" t="s">
        <v>956</v>
      </c>
      <c r="C142" s="0" t="s">
        <v>671</v>
      </c>
      <c r="D142" s="74" t="n">
        <v>30000</v>
      </c>
      <c r="E142" s="0" t="s">
        <v>671</v>
      </c>
      <c r="F142" s="5" t="n">
        <f aca="false">D142</f>
        <v>30000</v>
      </c>
      <c r="J142" s="24" t="s">
        <v>736</v>
      </c>
      <c r="K142" s="24" t="s">
        <v>684</v>
      </c>
      <c r="L142" s="24" t="s">
        <v>957</v>
      </c>
    </row>
    <row r="143" customFormat="false" ht="15" hidden="false" customHeight="false" outlineLevel="0" collapsed="false">
      <c r="A143" s="0" t="s">
        <v>958</v>
      </c>
      <c r="B143" s="24" t="s">
        <v>699</v>
      </c>
      <c r="C143" s="30" t="n">
        <v>0</v>
      </c>
      <c r="D143" s="30" t="n">
        <v>0</v>
      </c>
      <c r="E143" s="30" t="n">
        <v>1</v>
      </c>
      <c r="F143" s="68" t="n">
        <f aca="false">CHOOSE(Scen,C143,D143,E143)</f>
        <v>0</v>
      </c>
      <c r="J143" s="24" t="s">
        <v>672</v>
      </c>
      <c r="K143" s="24" t="s">
        <v>673</v>
      </c>
      <c r="L143" s="24" t="s">
        <v>959</v>
      </c>
    </row>
    <row r="144" customFormat="false" ht="15" hidden="false" customHeight="false" outlineLevel="0" collapsed="false">
      <c r="A144" s="0" t="s">
        <v>960</v>
      </c>
      <c r="B144" s="24" t="s">
        <v>699</v>
      </c>
      <c r="C144" s="0" t="s">
        <v>671</v>
      </c>
      <c r="D144" s="30" t="n">
        <v>0</v>
      </c>
      <c r="E144" s="0" t="s">
        <v>671</v>
      </c>
      <c r="F144" s="68" t="n">
        <f aca="false">D144</f>
        <v>0</v>
      </c>
      <c r="J144" s="24" t="s">
        <v>672</v>
      </c>
      <c r="K144" s="24" t="s">
        <v>673</v>
      </c>
      <c r="L144" s="24" t="s">
        <v>961</v>
      </c>
    </row>
    <row r="145" customFormat="false" ht="15" hidden="false" customHeight="false" outlineLevel="0" collapsed="false">
      <c r="A145" s="0" t="s">
        <v>962</v>
      </c>
      <c r="B145" s="24" t="s">
        <v>699</v>
      </c>
      <c r="C145" s="0" t="s">
        <v>671</v>
      </c>
      <c r="D145" s="30" t="n">
        <v>1</v>
      </c>
      <c r="E145" s="0" t="s">
        <v>671</v>
      </c>
      <c r="F145" s="68" t="n">
        <f aca="false">D145</f>
        <v>1</v>
      </c>
      <c r="J145" s="24" t="s">
        <v>672</v>
      </c>
      <c r="K145" s="24" t="s">
        <v>673</v>
      </c>
      <c r="L145" s="24"/>
    </row>
    <row r="146" customFormat="false" ht="15" hidden="false" customHeight="false" outlineLevel="0" collapsed="false">
      <c r="A146" s="0" t="s">
        <v>963</v>
      </c>
      <c r="B146" s="24" t="s">
        <v>964</v>
      </c>
      <c r="C146" s="0" t="s">
        <v>671</v>
      </c>
      <c r="D146" s="41" t="n">
        <v>0.125</v>
      </c>
      <c r="E146" s="0" t="s">
        <v>671</v>
      </c>
      <c r="F146" s="85" t="n">
        <f aca="false">D146</f>
        <v>0.125</v>
      </c>
      <c r="J146" s="24" t="s">
        <v>820</v>
      </c>
      <c r="K146" s="24" t="s">
        <v>691</v>
      </c>
      <c r="L146" s="24" t="s">
        <v>965</v>
      </c>
    </row>
    <row r="147" customFormat="false" ht="15" hidden="false" customHeight="false" outlineLevel="0" collapsed="false">
      <c r="A147" s="0" t="s">
        <v>966</v>
      </c>
      <c r="B147" s="24" t="s">
        <v>748</v>
      </c>
      <c r="C147" s="0" t="s">
        <v>671</v>
      </c>
      <c r="D147" s="31" t="n">
        <v>11</v>
      </c>
      <c r="E147" s="0" t="s">
        <v>671</v>
      </c>
      <c r="F147" s="68" t="n">
        <f aca="false">D147</f>
        <v>11</v>
      </c>
      <c r="J147" s="24" t="s">
        <v>820</v>
      </c>
      <c r="K147" s="24" t="s">
        <v>691</v>
      </c>
      <c r="L147" s="24" t="s">
        <v>882</v>
      </c>
    </row>
    <row r="148" customFormat="false" ht="15" hidden="false" customHeight="false" outlineLevel="0" collapsed="false">
      <c r="A148" s="0" t="s">
        <v>967</v>
      </c>
      <c r="B148" s="24" t="s">
        <v>968</v>
      </c>
      <c r="C148" s="0" t="s">
        <v>671</v>
      </c>
      <c r="D148" s="90" t="s">
        <v>62</v>
      </c>
      <c r="E148" s="0" t="s">
        <v>671</v>
      </c>
      <c r="F148" s="4" t="str">
        <f aca="false">D148</f>
        <v>Q4'27</v>
      </c>
      <c r="J148" s="24" t="s">
        <v>683</v>
      </c>
      <c r="K148" s="24" t="s">
        <v>691</v>
      </c>
      <c r="L148" s="24" t="s">
        <v>969</v>
      </c>
    </row>
    <row r="149" customFormat="false" ht="15" hidden="false" customHeight="false" outlineLevel="0" collapsed="false">
      <c r="A149" s="0" t="s">
        <v>970</v>
      </c>
      <c r="B149" s="24" t="s">
        <v>971</v>
      </c>
      <c r="C149" s="0" t="s">
        <v>671</v>
      </c>
      <c r="D149" s="81" t="n">
        <v>-0.15</v>
      </c>
      <c r="E149" s="0" t="s">
        <v>671</v>
      </c>
      <c r="F149" s="6" t="n">
        <f aca="false">D149</f>
        <v>-0.15</v>
      </c>
      <c r="J149" s="24" t="s">
        <v>683</v>
      </c>
      <c r="K149" s="24" t="s">
        <v>691</v>
      </c>
      <c r="L149" s="24"/>
    </row>
    <row r="150" customFormat="false" ht="15" hidden="false" customHeight="false" outlineLevel="0" collapsed="false">
      <c r="A150" s="0" t="s">
        <v>972</v>
      </c>
      <c r="B150" s="24" t="s">
        <v>971</v>
      </c>
      <c r="C150" s="0" t="s">
        <v>671</v>
      </c>
      <c r="D150" s="28" t="n">
        <v>-6.8</v>
      </c>
      <c r="E150" s="0" t="s">
        <v>671</v>
      </c>
      <c r="F150" s="71" t="n">
        <f aca="false">D150</f>
        <v>-6.8</v>
      </c>
      <c r="J150" s="24" t="s">
        <v>683</v>
      </c>
      <c r="K150" s="24" t="s">
        <v>691</v>
      </c>
      <c r="L150" s="24"/>
    </row>
    <row r="151" customFormat="false" ht="15" hidden="false" customHeight="false" outlineLevel="0" collapsed="false">
      <c r="A151" s="0" t="s">
        <v>973</v>
      </c>
      <c r="B151" s="24" t="s">
        <v>968</v>
      </c>
      <c r="C151" s="0" t="s">
        <v>671</v>
      </c>
      <c r="D151" s="90" t="s">
        <v>974</v>
      </c>
      <c r="E151" s="0" t="s">
        <v>671</v>
      </c>
      <c r="F151" s="4" t="str">
        <f aca="false">D151</f>
        <v>never thru 2030</v>
      </c>
      <c r="J151" s="24" t="s">
        <v>683</v>
      </c>
      <c r="K151" s="24" t="s">
        <v>691</v>
      </c>
      <c r="L151" s="24"/>
    </row>
    <row r="152" customFormat="false" ht="15" hidden="false" customHeight="false" outlineLevel="0" collapsed="false">
      <c r="A152" s="0" t="s">
        <v>975</v>
      </c>
      <c r="B152" s="24" t="s">
        <v>971</v>
      </c>
      <c r="C152" s="0" t="s">
        <v>671</v>
      </c>
      <c r="D152" s="28" t="n">
        <v>7.1</v>
      </c>
      <c r="E152" s="0" t="s">
        <v>671</v>
      </c>
      <c r="F152" s="71" t="n">
        <f aca="false">D152</f>
        <v>7.1</v>
      </c>
      <c r="J152" s="24" t="s">
        <v>683</v>
      </c>
      <c r="K152" s="24" t="s">
        <v>691</v>
      </c>
      <c r="L152" s="24"/>
    </row>
    <row r="153" customFormat="false" ht="15" hidden="false" customHeight="false" outlineLevel="0" collapsed="false">
      <c r="A153" s="0" t="s">
        <v>976</v>
      </c>
      <c r="B153" s="24" t="s">
        <v>971</v>
      </c>
      <c r="C153" s="0" t="s">
        <v>671</v>
      </c>
      <c r="D153" s="28" t="n">
        <v>1.5</v>
      </c>
      <c r="E153" s="0" t="s">
        <v>671</v>
      </c>
      <c r="F153" s="71" t="n">
        <f aca="false">D153</f>
        <v>1.5</v>
      </c>
      <c r="J153" s="24" t="s">
        <v>683</v>
      </c>
      <c r="K153" s="24" t="s">
        <v>691</v>
      </c>
      <c r="L153" s="24"/>
    </row>
    <row r="154" customFormat="false" ht="15" hidden="false" customHeight="false" outlineLevel="0" collapsed="false">
      <c r="A154" s="0" t="s">
        <v>977</v>
      </c>
      <c r="B154" s="24" t="s">
        <v>968</v>
      </c>
      <c r="C154" s="0" t="s">
        <v>671</v>
      </c>
      <c r="D154" s="90" t="s">
        <v>72</v>
      </c>
      <c r="E154" s="0" t="s">
        <v>671</v>
      </c>
      <c r="F154" s="4" t="str">
        <f aca="false">D154</f>
        <v>Q3'27</v>
      </c>
      <c r="J154" s="24" t="s">
        <v>683</v>
      </c>
      <c r="K154" s="24" t="s">
        <v>691</v>
      </c>
      <c r="L154" s="24"/>
    </row>
    <row r="155" customFormat="false" ht="15" hidden="false" customHeight="false" outlineLevel="0" collapsed="false">
      <c r="A155" s="0" t="s">
        <v>978</v>
      </c>
      <c r="B155" s="24" t="s">
        <v>971</v>
      </c>
      <c r="C155" s="0" t="s">
        <v>671</v>
      </c>
      <c r="D155" s="28" t="n">
        <v>-7.4</v>
      </c>
      <c r="E155" s="0" t="s">
        <v>671</v>
      </c>
      <c r="F155" s="71" t="n">
        <f aca="false">D155</f>
        <v>-7.4</v>
      </c>
      <c r="J155" s="24" t="s">
        <v>683</v>
      </c>
      <c r="K155" s="24" t="s">
        <v>691</v>
      </c>
      <c r="L155" s="24"/>
    </row>
    <row r="156" customFormat="false" ht="15" hidden="false" customHeight="false" outlineLevel="0" collapsed="false">
      <c r="A156" s="0" t="s">
        <v>979</v>
      </c>
      <c r="B156" s="24" t="s">
        <v>971</v>
      </c>
      <c r="C156" s="0" t="s">
        <v>671</v>
      </c>
      <c r="D156" s="28" t="n">
        <v>-15.6</v>
      </c>
      <c r="E156" s="0" t="s">
        <v>671</v>
      </c>
      <c r="F156" s="71" t="n">
        <f aca="false">D156</f>
        <v>-15.6</v>
      </c>
      <c r="J156" s="24" t="s">
        <v>683</v>
      </c>
      <c r="K156" s="24" t="s">
        <v>691</v>
      </c>
      <c r="L156" s="24"/>
    </row>
    <row r="157" customFormat="false" ht="15" hidden="false" customHeight="false" outlineLevel="0" collapsed="false">
      <c r="A157" s="0" t="s">
        <v>980</v>
      </c>
      <c r="B157" s="24" t="s">
        <v>968</v>
      </c>
      <c r="C157" s="0" t="s">
        <v>671</v>
      </c>
      <c r="D157" s="90" t="s">
        <v>70</v>
      </c>
      <c r="E157" s="0" t="s">
        <v>671</v>
      </c>
      <c r="F157" s="4" t="str">
        <f aca="false">D157</f>
        <v>Q2'27</v>
      </c>
      <c r="J157" s="24" t="s">
        <v>683</v>
      </c>
      <c r="K157" s="24" t="s">
        <v>691</v>
      </c>
      <c r="L157" s="24"/>
    </row>
    <row r="158" customFormat="false" ht="15" hidden="false" customHeight="false" outlineLevel="0" collapsed="false">
      <c r="A158" s="0" t="s">
        <v>981</v>
      </c>
      <c r="B158" s="24" t="s">
        <v>971</v>
      </c>
      <c r="C158" s="0" t="s">
        <v>671</v>
      </c>
      <c r="D158" s="28" t="n">
        <v>-9.9</v>
      </c>
      <c r="E158" s="0" t="s">
        <v>671</v>
      </c>
      <c r="F158" s="71" t="n">
        <f aca="false">D158</f>
        <v>-9.9</v>
      </c>
      <c r="J158" s="24" t="s">
        <v>683</v>
      </c>
      <c r="K158" s="24" t="s">
        <v>691</v>
      </c>
      <c r="L158" s="24"/>
    </row>
    <row r="159" customFormat="false" ht="15" hidden="false" customHeight="false" outlineLevel="0" collapsed="false">
      <c r="A159" s="0" t="s">
        <v>982</v>
      </c>
      <c r="B159" s="24" t="s">
        <v>971</v>
      </c>
      <c r="C159" s="0" t="s">
        <v>671</v>
      </c>
      <c r="D159" s="90" t="s">
        <v>983</v>
      </c>
      <c r="E159" s="0" t="s">
        <v>671</v>
      </c>
      <c r="F159" s="4" t="str">
        <f aca="false">D159</f>
        <v>negative</v>
      </c>
      <c r="J159" s="24" t="s">
        <v>683</v>
      </c>
      <c r="K159" s="24" t="s">
        <v>691</v>
      </c>
      <c r="L159" s="24"/>
    </row>
    <row r="160" customFormat="false" ht="15" hidden="false" customHeight="false" outlineLevel="0" collapsed="false">
      <c r="A160" s="0" t="s">
        <v>984</v>
      </c>
      <c r="B160" s="24" t="s">
        <v>971</v>
      </c>
      <c r="C160" s="0" t="s">
        <v>671</v>
      </c>
      <c r="D160" s="28" t="n">
        <v>2.3</v>
      </c>
      <c r="E160" s="0" t="s">
        <v>671</v>
      </c>
      <c r="F160" s="71" t="n">
        <f aca="false">D160</f>
        <v>2.3</v>
      </c>
      <c r="J160" s="24" t="s">
        <v>683</v>
      </c>
      <c r="K160" s="24" t="s">
        <v>691</v>
      </c>
      <c r="L160" s="24" t="s">
        <v>985</v>
      </c>
    </row>
    <row r="161" customFormat="false" ht="15" hidden="false" customHeight="false" outlineLevel="0" collapsed="false">
      <c r="A161" s="0" t="s">
        <v>986</v>
      </c>
      <c r="B161" s="24" t="s">
        <v>971</v>
      </c>
      <c r="C161" s="0" t="s">
        <v>671</v>
      </c>
      <c r="D161" s="28" t="n">
        <v>16.3</v>
      </c>
      <c r="E161" s="0" t="s">
        <v>671</v>
      </c>
      <c r="F161" s="71" t="n">
        <f aca="false">D161</f>
        <v>16.3</v>
      </c>
      <c r="J161" s="24" t="s">
        <v>683</v>
      </c>
      <c r="K161" s="24" t="s">
        <v>691</v>
      </c>
      <c r="L161" s="24"/>
    </row>
    <row r="162" customFormat="false" ht="15" hidden="false" customHeight="false" outlineLevel="0" collapsed="false">
      <c r="A162" s="0" t="s">
        <v>987</v>
      </c>
      <c r="B162" s="24" t="s">
        <v>745</v>
      </c>
      <c r="C162" s="0" t="s">
        <v>671</v>
      </c>
      <c r="D162" s="83" t="n">
        <v>-340</v>
      </c>
      <c r="E162" s="0" t="s">
        <v>671</v>
      </c>
      <c r="F162" s="5" t="n">
        <f aca="false">D162</f>
        <v>-340</v>
      </c>
      <c r="J162" s="24" t="s">
        <v>683</v>
      </c>
      <c r="K162" s="24" t="s">
        <v>691</v>
      </c>
      <c r="L162" s="24"/>
    </row>
    <row r="163" customFormat="false" ht="15" hidden="false" customHeight="false" outlineLevel="0" collapsed="false">
      <c r="A163" s="0" t="s">
        <v>988</v>
      </c>
      <c r="B163" s="24" t="s">
        <v>745</v>
      </c>
      <c r="C163" s="0" t="s">
        <v>671</v>
      </c>
      <c r="D163" s="83" t="n">
        <v>-782</v>
      </c>
      <c r="E163" s="0" t="s">
        <v>671</v>
      </c>
      <c r="F163" s="5" t="n">
        <f aca="false">D163</f>
        <v>-782</v>
      </c>
      <c r="J163" s="24" t="s">
        <v>683</v>
      </c>
      <c r="K163" s="24" t="s">
        <v>691</v>
      </c>
      <c r="L163" s="24"/>
    </row>
    <row r="164" customFormat="false" ht="15" hidden="false" customHeight="false" outlineLevel="0" collapsed="false">
      <c r="A164" s="0" t="s">
        <v>989</v>
      </c>
      <c r="B164" s="24" t="s">
        <v>745</v>
      </c>
      <c r="C164" s="0" t="s">
        <v>671</v>
      </c>
      <c r="D164" s="83" t="n">
        <v>-1600</v>
      </c>
      <c r="E164" s="0" t="s">
        <v>671</v>
      </c>
      <c r="F164" s="5" t="n">
        <f aca="false">D164</f>
        <v>-1600</v>
      </c>
      <c r="J164" s="24" t="s">
        <v>683</v>
      </c>
      <c r="K164" s="24" t="s">
        <v>691</v>
      </c>
      <c r="L164" s="24"/>
    </row>
    <row r="165" customFormat="false" ht="15" hidden="false" customHeight="false" outlineLevel="0" collapsed="false">
      <c r="A165" s="0" t="s">
        <v>990</v>
      </c>
      <c r="B165" s="24" t="s">
        <v>991</v>
      </c>
      <c r="C165" s="0" t="s">
        <v>671</v>
      </c>
      <c r="D165" s="83" t="n">
        <v>45000</v>
      </c>
      <c r="E165" s="0" t="s">
        <v>671</v>
      </c>
      <c r="F165" s="5" t="n">
        <f aca="false">D165</f>
        <v>45000</v>
      </c>
      <c r="J165" s="24" t="s">
        <v>690</v>
      </c>
      <c r="K165" s="24" t="s">
        <v>691</v>
      </c>
      <c r="L165" s="24" t="s">
        <v>992</v>
      </c>
    </row>
    <row r="166" customFormat="false" ht="15" hidden="false" customHeight="false" outlineLevel="0" collapsed="false">
      <c r="A166" s="0" t="s">
        <v>993</v>
      </c>
      <c r="B166" s="24" t="s">
        <v>991</v>
      </c>
      <c r="C166" s="0" t="s">
        <v>671</v>
      </c>
      <c r="D166" s="83" t="n">
        <v>60000</v>
      </c>
      <c r="E166" s="0" t="s">
        <v>671</v>
      </c>
      <c r="F166" s="5" t="n">
        <f aca="false">D166</f>
        <v>60000</v>
      </c>
      <c r="J166" s="24" t="s">
        <v>690</v>
      </c>
      <c r="K166" s="24" t="s">
        <v>691</v>
      </c>
      <c r="L166" s="24"/>
    </row>
    <row r="167" customFormat="false" ht="15" hidden="false" customHeight="false" outlineLevel="0" collapsed="false">
      <c r="A167" s="0" t="s">
        <v>994</v>
      </c>
      <c r="B167" s="24" t="s">
        <v>696</v>
      </c>
      <c r="C167" s="0" t="s">
        <v>671</v>
      </c>
      <c r="D167" s="72" t="n">
        <v>12.5</v>
      </c>
      <c r="E167" s="0" t="s">
        <v>671</v>
      </c>
      <c r="F167" s="6" t="n">
        <f aca="false">D167</f>
        <v>12.5</v>
      </c>
      <c r="J167" s="24" t="s">
        <v>690</v>
      </c>
      <c r="K167" s="24" t="s">
        <v>706</v>
      </c>
      <c r="L167" s="24" t="s">
        <v>995</v>
      </c>
    </row>
    <row r="168" customFormat="false" ht="15" hidden="false" customHeight="false" outlineLevel="0" collapsed="false">
      <c r="A168" s="0" t="s">
        <v>996</v>
      </c>
      <c r="B168" s="24" t="s">
        <v>699</v>
      </c>
      <c r="C168" s="30" t="n">
        <v>1</v>
      </c>
      <c r="D168" s="30" t="n">
        <v>1</v>
      </c>
      <c r="E168" s="30" t="n">
        <v>1</v>
      </c>
      <c r="F168" s="68" t="n">
        <f aca="false">CHOOSE(Scen,C168,D168,E168)</f>
        <v>1</v>
      </c>
      <c r="J168" s="24" t="s">
        <v>820</v>
      </c>
      <c r="K168" s="24" t="s">
        <v>673</v>
      </c>
      <c r="L168" s="24" t="s">
        <v>997</v>
      </c>
    </row>
    <row r="169" customFormat="false" ht="15" hidden="false" customHeight="false" outlineLevel="0" collapsed="false">
      <c r="A169" s="0" t="s">
        <v>998</v>
      </c>
      <c r="B169" s="24" t="s">
        <v>751</v>
      </c>
      <c r="C169" s="77" t="n">
        <v>0.0625</v>
      </c>
      <c r="D169" s="77" t="n">
        <v>0.22</v>
      </c>
      <c r="E169" s="77" t="n">
        <v>0.31</v>
      </c>
      <c r="F169" s="78" t="n">
        <f aca="false">CHOOSE(Scen,C169,D169,E169)</f>
        <v>0.22</v>
      </c>
      <c r="J169" s="24" t="s">
        <v>820</v>
      </c>
      <c r="K169" s="24" t="s">
        <v>691</v>
      </c>
      <c r="L169" s="24" t="s">
        <v>999</v>
      </c>
    </row>
    <row r="170" customFormat="false" ht="15" hidden="false" customHeight="false" outlineLevel="0" collapsed="false">
      <c r="A170" s="0" t="s">
        <v>1000</v>
      </c>
      <c r="B170" s="24" t="s">
        <v>748</v>
      </c>
      <c r="C170" s="0" t="s">
        <v>671</v>
      </c>
      <c r="D170" s="31" t="n">
        <v>13</v>
      </c>
      <c r="E170" s="0" t="s">
        <v>671</v>
      </c>
      <c r="F170" s="68" t="n">
        <f aca="false">D170</f>
        <v>13</v>
      </c>
      <c r="J170" s="24" t="s">
        <v>820</v>
      </c>
      <c r="K170" s="24" t="s">
        <v>691</v>
      </c>
      <c r="L170" s="24" t="s">
        <v>1001</v>
      </c>
    </row>
    <row r="171" customFormat="false" ht="15" hidden="false" customHeight="false" outlineLevel="0" collapsed="false">
      <c r="A171" s="64" t="s">
        <v>1002</v>
      </c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</row>
    <row r="172" customFormat="false" ht="15" hidden="false" customHeight="false" outlineLevel="0" collapsed="false">
      <c r="A172" s="0" t="s">
        <v>1003</v>
      </c>
      <c r="B172" s="24" t="s">
        <v>930</v>
      </c>
      <c r="C172" s="91" t="n">
        <v>1</v>
      </c>
      <c r="D172" s="91" t="n">
        <v>1</v>
      </c>
      <c r="E172" s="91" t="n">
        <v>0.85</v>
      </c>
      <c r="F172" s="70" t="n">
        <f aca="false">CHOOSE(Scen,C172,D172,E172)</f>
        <v>1</v>
      </c>
      <c r="J172" s="24" t="s">
        <v>683</v>
      </c>
      <c r="K172" s="24" t="s">
        <v>733</v>
      </c>
      <c r="L172" s="24" t="s">
        <v>1004</v>
      </c>
    </row>
    <row r="173" customFormat="false" ht="15" hidden="false" customHeight="false" outlineLevel="0" collapsed="false">
      <c r="A173" s="0" t="s">
        <v>1005</v>
      </c>
      <c r="B173" s="24" t="s">
        <v>689</v>
      </c>
      <c r="C173" s="87" t="n">
        <v>0</v>
      </c>
      <c r="D173" s="87" t="n">
        <v>0</v>
      </c>
      <c r="E173" s="87" t="n">
        <v>0</v>
      </c>
      <c r="F173" s="68" t="n">
        <f aca="false">CHOOSE(Scen,C173,D173,E173)</f>
        <v>0</v>
      </c>
      <c r="J173" s="24" t="s">
        <v>683</v>
      </c>
      <c r="K173" s="24" t="s">
        <v>733</v>
      </c>
      <c r="L173" s="24" t="s">
        <v>1006</v>
      </c>
    </row>
    <row r="174" customFormat="false" ht="15" hidden="false" customHeight="false" outlineLevel="0" collapsed="false">
      <c r="A174" s="0" t="s">
        <v>1007</v>
      </c>
      <c r="B174" s="24" t="s">
        <v>930</v>
      </c>
      <c r="C174" s="92" t="n">
        <v>1.2</v>
      </c>
      <c r="D174" s="92" t="n">
        <v>1.25</v>
      </c>
      <c r="E174" s="92" t="n">
        <v>1.35</v>
      </c>
      <c r="F174" s="70" t="n">
        <f aca="false">CHOOSE(Scen,C174,D174,E174)</f>
        <v>1.25</v>
      </c>
      <c r="J174" s="24" t="s">
        <v>690</v>
      </c>
      <c r="K174" s="24" t="s">
        <v>691</v>
      </c>
      <c r="L174" s="24" t="s">
        <v>1008</v>
      </c>
    </row>
    <row r="175" customFormat="false" ht="15" hidden="false" customHeight="false" outlineLevel="0" collapsed="false">
      <c r="A175" s="0" t="s">
        <v>1009</v>
      </c>
      <c r="B175" s="24" t="s">
        <v>751</v>
      </c>
      <c r="C175" s="0" t="s">
        <v>671</v>
      </c>
      <c r="D175" s="75" t="n">
        <v>0.8</v>
      </c>
      <c r="E175" s="0" t="s">
        <v>671</v>
      </c>
      <c r="F175" s="51" t="n">
        <f aca="false">D175</f>
        <v>0.8</v>
      </c>
      <c r="J175" s="24" t="s">
        <v>690</v>
      </c>
      <c r="K175" s="24" t="s">
        <v>733</v>
      </c>
      <c r="L175" s="24" t="s">
        <v>1010</v>
      </c>
    </row>
    <row r="176" customFormat="false" ht="15" hidden="false" customHeight="false" outlineLevel="0" collapsed="false">
      <c r="A176" s="0" t="s">
        <v>1011</v>
      </c>
      <c r="B176" s="24" t="s">
        <v>887</v>
      </c>
      <c r="C176" s="0" t="s">
        <v>671</v>
      </c>
      <c r="D176" s="83" t="n">
        <v>713</v>
      </c>
      <c r="E176" s="0" t="s">
        <v>671</v>
      </c>
      <c r="F176" s="5" t="n">
        <f aca="false">D176</f>
        <v>713</v>
      </c>
      <c r="J176" s="24" t="s">
        <v>690</v>
      </c>
      <c r="K176" s="24" t="s">
        <v>691</v>
      </c>
      <c r="L176" s="24" t="s">
        <v>1012</v>
      </c>
    </row>
    <row r="177" customFormat="false" ht="15" hidden="false" customHeight="false" outlineLevel="0" collapsed="false">
      <c r="A177" s="0" t="s">
        <v>1013</v>
      </c>
      <c r="B177" s="24" t="s">
        <v>887</v>
      </c>
      <c r="C177" s="0" t="s">
        <v>671</v>
      </c>
      <c r="D177" s="83" t="n">
        <v>500</v>
      </c>
      <c r="E177" s="0" t="s">
        <v>671</v>
      </c>
      <c r="F177" s="5" t="n">
        <f aca="false">D177</f>
        <v>500</v>
      </c>
      <c r="J177" s="24" t="s">
        <v>690</v>
      </c>
      <c r="K177" s="24" t="s">
        <v>691</v>
      </c>
      <c r="L177" s="24" t="s">
        <v>1014</v>
      </c>
    </row>
    <row r="178" customFormat="false" ht="15" hidden="false" customHeight="false" outlineLevel="0" collapsed="false">
      <c r="A178" s="0" t="s">
        <v>1015</v>
      </c>
      <c r="B178" s="24" t="s">
        <v>887</v>
      </c>
      <c r="C178" s="0" t="s">
        <v>671</v>
      </c>
      <c r="D178" s="86" t="n">
        <v>320</v>
      </c>
      <c r="E178" s="0" t="s">
        <v>671</v>
      </c>
      <c r="F178" s="5" t="n">
        <f aca="false">D178</f>
        <v>320</v>
      </c>
      <c r="J178" s="24" t="s">
        <v>690</v>
      </c>
      <c r="K178" s="24" t="s">
        <v>733</v>
      </c>
      <c r="L178" s="24" t="s">
        <v>1016</v>
      </c>
    </row>
    <row r="179" customFormat="false" ht="15" hidden="false" customHeight="false" outlineLevel="0" collapsed="false">
      <c r="A179" s="64" t="s">
        <v>1017</v>
      </c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</row>
    <row r="180" customFormat="false" ht="15" hidden="false" customHeight="false" outlineLevel="0" collapsed="false">
      <c r="A180" s="0" t="s">
        <v>1018</v>
      </c>
      <c r="B180" s="24" t="s">
        <v>751</v>
      </c>
      <c r="C180" s="76" t="n">
        <v>0.25</v>
      </c>
      <c r="D180" s="76" t="n">
        <v>0.35</v>
      </c>
      <c r="E180" s="76" t="n">
        <v>0.35</v>
      </c>
      <c r="F180" s="51" t="n">
        <f aca="false">CHOOSE(Scen,C180,D180,E180)</f>
        <v>0.35</v>
      </c>
      <c r="J180" s="24" t="s">
        <v>820</v>
      </c>
      <c r="K180" s="24" t="s">
        <v>706</v>
      </c>
      <c r="L180" s="24" t="s">
        <v>1019</v>
      </c>
    </row>
    <row r="181" customFormat="false" ht="15" hidden="false" customHeight="false" outlineLevel="0" collapsed="false">
      <c r="A181" s="0" t="s">
        <v>1020</v>
      </c>
      <c r="B181" s="24" t="s">
        <v>930</v>
      </c>
      <c r="C181" s="91" t="n">
        <v>1.05</v>
      </c>
      <c r="D181" s="91" t="n">
        <v>1</v>
      </c>
      <c r="E181" s="91" t="n">
        <v>0.9</v>
      </c>
      <c r="F181" s="70" t="n">
        <f aca="false">CHOOSE(Scen,C181,D181,E181)</f>
        <v>1</v>
      </c>
      <c r="J181" s="24" t="s">
        <v>820</v>
      </c>
      <c r="K181" s="24" t="s">
        <v>733</v>
      </c>
      <c r="L181" s="24" t="s">
        <v>1021</v>
      </c>
    </row>
    <row r="182" customFormat="false" ht="15" hidden="false" customHeight="false" outlineLevel="0" collapsed="false">
      <c r="A182" s="0" t="s">
        <v>1022</v>
      </c>
      <c r="B182" s="24" t="s">
        <v>699</v>
      </c>
      <c r="C182" s="0" t="s">
        <v>671</v>
      </c>
      <c r="D182" s="30" t="n">
        <v>1</v>
      </c>
      <c r="E182" s="0" t="s">
        <v>671</v>
      </c>
      <c r="F182" s="68" t="n">
        <f aca="false">D182</f>
        <v>1</v>
      </c>
      <c r="J182" s="24" t="s">
        <v>820</v>
      </c>
      <c r="K182" s="24" t="s">
        <v>673</v>
      </c>
      <c r="L182" s="24"/>
    </row>
    <row r="183" customFormat="false" ht="15" hidden="false" customHeight="false" outlineLevel="0" collapsed="false">
      <c r="A183" s="0" t="s">
        <v>1023</v>
      </c>
      <c r="B183" s="24" t="s">
        <v>699</v>
      </c>
      <c r="C183" s="0" t="s">
        <v>671</v>
      </c>
      <c r="D183" s="87" t="n">
        <v>0</v>
      </c>
      <c r="E183" s="0" t="s">
        <v>671</v>
      </c>
      <c r="F183" s="68" t="n">
        <f aca="false">D183</f>
        <v>0</v>
      </c>
      <c r="J183" s="24" t="s">
        <v>683</v>
      </c>
      <c r="K183" s="24" t="s">
        <v>733</v>
      </c>
      <c r="L183" s="24" t="s">
        <v>1024</v>
      </c>
    </row>
    <row r="184" customFormat="false" ht="15" hidden="false" customHeight="false" outlineLevel="0" collapsed="false">
      <c r="A184" s="0" t="s">
        <v>1025</v>
      </c>
      <c r="B184" s="24" t="s">
        <v>896</v>
      </c>
      <c r="C184" s="0" t="s">
        <v>671</v>
      </c>
      <c r="D184" s="75" t="n">
        <v>-0.15</v>
      </c>
      <c r="E184" s="0" t="s">
        <v>671</v>
      </c>
      <c r="F184" s="51" t="n">
        <f aca="false">D184</f>
        <v>-0.15</v>
      </c>
      <c r="J184" s="24" t="s">
        <v>683</v>
      </c>
      <c r="K184" s="24" t="s">
        <v>733</v>
      </c>
      <c r="L184" s="24" t="s">
        <v>1026</v>
      </c>
    </row>
    <row r="185" customFormat="false" ht="15" hidden="false" customHeight="false" outlineLevel="0" collapsed="false">
      <c r="A185" s="0" t="s">
        <v>1027</v>
      </c>
      <c r="B185" s="24" t="s">
        <v>748</v>
      </c>
      <c r="C185" s="0" t="s">
        <v>671</v>
      </c>
      <c r="D185" s="87" t="n">
        <v>17</v>
      </c>
      <c r="E185" s="0" t="s">
        <v>671</v>
      </c>
      <c r="F185" s="68" t="n">
        <f aca="false">D185</f>
        <v>17</v>
      </c>
      <c r="J185" s="24" t="s">
        <v>683</v>
      </c>
      <c r="K185" s="24" t="s">
        <v>733</v>
      </c>
      <c r="L185" s="24" t="s">
        <v>95</v>
      </c>
    </row>
    <row r="186" customFormat="false" ht="15" hidden="false" customHeight="false" outlineLevel="0" collapsed="false">
      <c r="A186" s="0" t="s">
        <v>1028</v>
      </c>
      <c r="B186" s="24" t="s">
        <v>896</v>
      </c>
      <c r="C186" s="75" t="n">
        <v>-0.05</v>
      </c>
      <c r="D186" s="75" t="n">
        <v>-0.15</v>
      </c>
      <c r="E186" s="75" t="n">
        <v>-0.3</v>
      </c>
      <c r="F186" s="51" t="n">
        <f aca="false">CHOOSE(Scen,C186,D186,E186)</f>
        <v>-0.15</v>
      </c>
      <c r="J186" s="24" t="s">
        <v>820</v>
      </c>
      <c r="K186" s="24" t="s">
        <v>733</v>
      </c>
      <c r="L186" s="24" t="s">
        <v>1029</v>
      </c>
    </row>
    <row r="187" customFormat="false" ht="15" hidden="false" customHeight="false" outlineLevel="0" collapsed="false">
      <c r="A187" s="0" t="s">
        <v>1030</v>
      </c>
      <c r="B187" s="24" t="s">
        <v>896</v>
      </c>
      <c r="C187" s="41" t="n">
        <v>-0.025</v>
      </c>
      <c r="D187" s="41" t="n">
        <v>-0.06</v>
      </c>
      <c r="E187" s="41" t="n">
        <v>-0.095</v>
      </c>
      <c r="F187" s="85" t="n">
        <f aca="false">CHOOSE(Scen,C187,D187,E187)</f>
        <v>-0.06</v>
      </c>
      <c r="J187" s="24" t="s">
        <v>820</v>
      </c>
      <c r="K187" s="24" t="s">
        <v>691</v>
      </c>
      <c r="L187" s="24" t="s">
        <v>1031</v>
      </c>
    </row>
    <row r="188" customFormat="false" ht="15" hidden="false" customHeight="false" outlineLevel="0" collapsed="false">
      <c r="A188" s="0" t="s">
        <v>1032</v>
      </c>
      <c r="B188" s="24" t="s">
        <v>896</v>
      </c>
      <c r="C188" s="41" t="n">
        <v>-0.025</v>
      </c>
      <c r="D188" s="41" t="n">
        <v>-0.06</v>
      </c>
      <c r="E188" s="41" t="n">
        <v>-0.095</v>
      </c>
      <c r="F188" s="85" t="n">
        <f aca="false">CHOOSE(Scen,C188,D188,E188)</f>
        <v>-0.06</v>
      </c>
      <c r="J188" s="24" t="s">
        <v>820</v>
      </c>
      <c r="K188" s="24" t="s">
        <v>691</v>
      </c>
      <c r="L188" s="24" t="s">
        <v>1033</v>
      </c>
    </row>
    <row r="189" customFormat="false" ht="15" hidden="false" customHeight="false" outlineLevel="0" collapsed="false">
      <c r="A189" s="0" t="s">
        <v>1034</v>
      </c>
      <c r="B189" s="24" t="s">
        <v>748</v>
      </c>
      <c r="C189" s="0" t="s">
        <v>671</v>
      </c>
      <c r="D189" s="30" t="n">
        <v>12</v>
      </c>
      <c r="E189" s="0" t="s">
        <v>671</v>
      </c>
      <c r="F189" s="68" t="n">
        <f aca="false">D189</f>
        <v>12</v>
      </c>
      <c r="J189" s="24" t="s">
        <v>820</v>
      </c>
      <c r="K189" s="24" t="s">
        <v>684</v>
      </c>
      <c r="L189" s="24" t="s">
        <v>1035</v>
      </c>
    </row>
    <row r="190" customFormat="false" ht="15" hidden="false" customHeight="false" outlineLevel="0" collapsed="false">
      <c r="A190" s="0" t="s">
        <v>1036</v>
      </c>
      <c r="B190" s="24" t="s">
        <v>930</v>
      </c>
      <c r="C190" s="0" t="s">
        <v>671</v>
      </c>
      <c r="D190" s="69" t="n">
        <v>1.22</v>
      </c>
      <c r="E190" s="0" t="s">
        <v>671</v>
      </c>
      <c r="F190" s="70" t="n">
        <f aca="false">D190</f>
        <v>1.22</v>
      </c>
      <c r="J190" s="24" t="s">
        <v>820</v>
      </c>
      <c r="K190" s="24" t="s">
        <v>706</v>
      </c>
      <c r="L190" s="24" t="s">
        <v>1037</v>
      </c>
    </row>
    <row r="191" customFormat="false" ht="15" hidden="false" customHeight="false" outlineLevel="0" collapsed="false">
      <c r="A191" s="0" t="s">
        <v>1038</v>
      </c>
      <c r="B191" s="24" t="s">
        <v>930</v>
      </c>
      <c r="C191" s="0" t="s">
        <v>671</v>
      </c>
      <c r="D191" s="25" t="n">
        <f aca="false">(RubinMW/GPUMW_N)/(MYRate/ND_GPUMW_GB)</f>
        <v>1.5535546875</v>
      </c>
      <c r="E191" s="0" t="s">
        <v>671</v>
      </c>
      <c r="F191" s="6" t="n">
        <f aca="false">D191</f>
        <v>1.5535546875</v>
      </c>
      <c r="J191" s="24" t="s">
        <v>820</v>
      </c>
      <c r="K191" s="24" t="s">
        <v>706</v>
      </c>
      <c r="L191" s="24" t="s">
        <v>1039</v>
      </c>
    </row>
    <row r="192" customFormat="false" ht="15" hidden="false" customHeight="false" outlineLevel="0" collapsed="false">
      <c r="A192" s="0" t="s">
        <v>1040</v>
      </c>
      <c r="B192" s="24" t="s">
        <v>699</v>
      </c>
      <c r="C192" s="0" t="s">
        <v>671</v>
      </c>
      <c r="D192" s="30" t="n">
        <v>1</v>
      </c>
      <c r="E192" s="0" t="s">
        <v>671</v>
      </c>
      <c r="F192" s="68" t="n">
        <f aca="false">D192</f>
        <v>1</v>
      </c>
      <c r="J192" s="24" t="s">
        <v>820</v>
      </c>
      <c r="K192" s="24" t="s">
        <v>673</v>
      </c>
      <c r="L192" s="24" t="s">
        <v>1041</v>
      </c>
    </row>
    <row r="193" customFormat="false" ht="15" hidden="false" customHeight="false" outlineLevel="0" collapsed="false">
      <c r="A193" s="0" t="s">
        <v>1042</v>
      </c>
      <c r="B193" s="24" t="s">
        <v>751</v>
      </c>
      <c r="C193" s="0" t="s">
        <v>671</v>
      </c>
      <c r="D193" s="76" t="n">
        <v>0</v>
      </c>
      <c r="E193" s="0" t="s">
        <v>671</v>
      </c>
      <c r="F193" s="51" t="n">
        <f aca="false">D193</f>
        <v>0</v>
      </c>
      <c r="J193" s="24" t="s">
        <v>820</v>
      </c>
      <c r="K193" s="24" t="s">
        <v>706</v>
      </c>
      <c r="L193" s="24" t="s">
        <v>1043</v>
      </c>
    </row>
    <row r="194" customFormat="false" ht="15" hidden="false" customHeight="false" outlineLevel="0" collapsed="false">
      <c r="A194" s="0" t="s">
        <v>1044</v>
      </c>
      <c r="B194" s="24" t="s">
        <v>1045</v>
      </c>
      <c r="C194" s="0" t="s">
        <v>671</v>
      </c>
      <c r="D194" s="30" t="n">
        <v>0</v>
      </c>
      <c r="E194" s="0" t="s">
        <v>671</v>
      </c>
      <c r="F194" s="68" t="n">
        <f aca="false">D194</f>
        <v>0</v>
      </c>
      <c r="J194" s="24" t="s">
        <v>820</v>
      </c>
      <c r="K194" s="24" t="s">
        <v>706</v>
      </c>
      <c r="L194" s="24" t="s">
        <v>1046</v>
      </c>
    </row>
    <row r="195" customFormat="false" ht="15" hidden="false" customHeight="false" outlineLevel="0" collapsed="false">
      <c r="A195" s="0" t="s">
        <v>1047</v>
      </c>
      <c r="B195" s="24" t="s">
        <v>748</v>
      </c>
      <c r="C195" s="0" t="s">
        <v>671</v>
      </c>
      <c r="D195" s="31" t="n">
        <v>13</v>
      </c>
      <c r="E195" s="0" t="s">
        <v>671</v>
      </c>
      <c r="F195" s="68" t="n">
        <f aca="false">D195</f>
        <v>13</v>
      </c>
      <c r="J195" s="24" t="s">
        <v>820</v>
      </c>
      <c r="K195" s="24" t="s">
        <v>691</v>
      </c>
      <c r="L195" s="24" t="s">
        <v>1048</v>
      </c>
    </row>
    <row r="196" customFormat="false" ht="15" hidden="false" customHeight="false" outlineLevel="0" collapsed="false">
      <c r="A196" s="0" t="s">
        <v>1049</v>
      </c>
      <c r="B196" s="24" t="s">
        <v>689</v>
      </c>
      <c r="C196" s="30" t="n">
        <v>3</v>
      </c>
      <c r="D196" s="30" t="n">
        <v>4</v>
      </c>
      <c r="E196" s="30" t="n">
        <v>5</v>
      </c>
      <c r="F196" s="68" t="n">
        <f aca="false">CHOOSE(Scen,C196,D196,E196)</f>
        <v>4</v>
      </c>
      <c r="J196" s="24" t="s">
        <v>1050</v>
      </c>
      <c r="K196" s="24" t="s">
        <v>706</v>
      </c>
      <c r="L196" s="24" t="s">
        <v>1051</v>
      </c>
    </row>
    <row r="197" customFormat="false" ht="15" hidden="false" customHeight="false" outlineLevel="0" collapsed="false">
      <c r="A197" s="0" t="s">
        <v>1052</v>
      </c>
      <c r="B197" s="24" t="s">
        <v>930</v>
      </c>
      <c r="C197" s="81" t="n">
        <v>1</v>
      </c>
      <c r="D197" s="81" t="n">
        <v>0.95</v>
      </c>
      <c r="E197" s="81" t="n">
        <v>0.85</v>
      </c>
      <c r="F197" s="6" t="n">
        <f aca="false">CHOOSE(Scen,C197,D197,E197)</f>
        <v>0.95</v>
      </c>
      <c r="J197" s="24" t="s">
        <v>820</v>
      </c>
      <c r="K197" s="24" t="s">
        <v>691</v>
      </c>
      <c r="L197" s="24" t="s">
        <v>1053</v>
      </c>
    </row>
    <row r="198" customFormat="false" ht="15" hidden="false" customHeight="false" outlineLevel="0" collapsed="false">
      <c r="A198" s="0" t="s">
        <v>1054</v>
      </c>
      <c r="B198" s="24" t="s">
        <v>930</v>
      </c>
      <c r="C198" s="81" t="n">
        <v>0.85</v>
      </c>
      <c r="D198" s="81" t="n">
        <v>0.72</v>
      </c>
      <c r="E198" s="81" t="n">
        <v>0.65</v>
      </c>
      <c r="F198" s="6" t="n">
        <f aca="false">CHOOSE(Scen,C198,D198,E198)</f>
        <v>0.72</v>
      </c>
      <c r="J198" s="24" t="s">
        <v>820</v>
      </c>
      <c r="K198" s="24" t="s">
        <v>691</v>
      </c>
      <c r="L198" s="24" t="s">
        <v>1055</v>
      </c>
    </row>
    <row r="199" customFormat="false" ht="15" hidden="false" customHeight="false" outlineLevel="0" collapsed="false">
      <c r="A199" s="0" t="s">
        <v>1056</v>
      </c>
      <c r="B199" s="24" t="s">
        <v>751</v>
      </c>
      <c r="C199" s="75" t="n">
        <v>0.9</v>
      </c>
      <c r="D199" s="75" t="n">
        <f aca="false">IF(UtilQ2&gt;1,1,IF(UtilQ2&lt;0.4,0.4,UtilQ2))</f>
        <v>0.750319556751226</v>
      </c>
      <c r="E199" s="75" t="n">
        <v>0.65</v>
      </c>
      <c r="F199" s="51" t="n">
        <f aca="false">CHOOSE(Scen,C199,D199,E199)</f>
        <v>0.750319556751226</v>
      </c>
      <c r="J199" s="24" t="s">
        <v>820</v>
      </c>
      <c r="K199" s="24" t="s">
        <v>733</v>
      </c>
      <c r="L199" s="24" t="s">
        <v>1057</v>
      </c>
    </row>
    <row r="200" customFormat="false" ht="15" hidden="false" customHeight="false" outlineLevel="0" collapsed="false">
      <c r="A200" s="0" t="s">
        <v>1058</v>
      </c>
      <c r="B200" s="24" t="s">
        <v>751</v>
      </c>
      <c r="C200" s="75" t="n">
        <v>0.95</v>
      </c>
      <c r="D200" s="75" t="n">
        <f aca="false">IF(UtilQ2&gt;1,1,IF(UtilQ2&lt;0.4,0.4,UtilQ2))</f>
        <v>0.750319556751226</v>
      </c>
      <c r="E200" s="75" t="n">
        <v>0.75</v>
      </c>
      <c r="F200" s="51" t="n">
        <f aca="false">CHOOSE(Scen,C200,D200,E200)</f>
        <v>0.750319556751226</v>
      </c>
      <c r="J200" s="24" t="s">
        <v>820</v>
      </c>
      <c r="K200" s="24" t="s">
        <v>733</v>
      </c>
      <c r="L200" s="24" t="s">
        <v>1059</v>
      </c>
    </row>
    <row r="201" customFormat="false" ht="15" hidden="false" customHeight="false" outlineLevel="0" collapsed="false">
      <c r="A201" s="0" t="s">
        <v>1060</v>
      </c>
      <c r="B201" s="24" t="s">
        <v>751</v>
      </c>
      <c r="C201" s="75" t="n">
        <v>0.5</v>
      </c>
      <c r="D201" s="75" t="n">
        <v>0.4</v>
      </c>
      <c r="E201" s="75" t="n">
        <v>0.3</v>
      </c>
      <c r="F201" s="51" t="n">
        <f aca="false">CHOOSE(Scen,C201,D201,E201)</f>
        <v>0.4</v>
      </c>
      <c r="J201" s="24" t="s">
        <v>820</v>
      </c>
      <c r="K201" s="24" t="s">
        <v>733</v>
      </c>
      <c r="L201" s="24"/>
    </row>
    <row r="202" customFormat="false" ht="15" hidden="false" customHeight="false" outlineLevel="0" collapsed="false">
      <c r="A202" s="0" t="s">
        <v>1061</v>
      </c>
      <c r="B202" s="24" t="s">
        <v>751</v>
      </c>
      <c r="C202" s="75" t="n">
        <v>0.7</v>
      </c>
      <c r="D202" s="75" t="n">
        <v>0.65</v>
      </c>
      <c r="E202" s="75" t="n">
        <v>0.6</v>
      </c>
      <c r="F202" s="51" t="n">
        <f aca="false">CHOOSE(Scen,C202,D202,E202)</f>
        <v>0.65</v>
      </c>
      <c r="J202" s="24" t="s">
        <v>1062</v>
      </c>
      <c r="K202" s="24" t="s">
        <v>733</v>
      </c>
      <c r="L202" s="24" t="s">
        <v>1063</v>
      </c>
    </row>
    <row r="203" customFormat="false" ht="15" hidden="false" customHeight="false" outlineLevel="0" collapsed="false">
      <c r="A203" s="64" t="s">
        <v>1064</v>
      </c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</row>
    <row r="204" customFormat="false" ht="15" hidden="false" customHeight="false" outlineLevel="0" collapsed="false">
      <c r="A204" s="0" t="s">
        <v>1065</v>
      </c>
      <c r="B204" s="24" t="s">
        <v>745</v>
      </c>
      <c r="C204" s="0" t="s">
        <v>671</v>
      </c>
      <c r="D204" s="69" t="n">
        <v>17392.9</v>
      </c>
      <c r="E204" s="0" t="s">
        <v>671</v>
      </c>
      <c r="F204" s="70" t="n">
        <f aca="false">D204</f>
        <v>17392.9</v>
      </c>
      <c r="J204" s="24" t="s">
        <v>736</v>
      </c>
      <c r="K204" s="24" t="s">
        <v>684</v>
      </c>
      <c r="L204" s="24" t="s">
        <v>1066</v>
      </c>
    </row>
    <row r="205" customFormat="false" ht="15" hidden="false" customHeight="false" outlineLevel="0" collapsed="false">
      <c r="A205" s="0" t="s">
        <v>1067</v>
      </c>
      <c r="B205" s="24" t="s">
        <v>857</v>
      </c>
      <c r="C205" s="0" t="s">
        <v>671</v>
      </c>
      <c r="D205" s="83" t="n">
        <v>240</v>
      </c>
      <c r="E205" s="0" t="s">
        <v>671</v>
      </c>
      <c r="F205" s="5" t="n">
        <f aca="false">D205</f>
        <v>240</v>
      </c>
      <c r="J205" s="24" t="s">
        <v>690</v>
      </c>
      <c r="K205" s="24" t="s">
        <v>691</v>
      </c>
      <c r="L205" s="24" t="s">
        <v>1068</v>
      </c>
    </row>
    <row r="206" customFormat="false" ht="15" hidden="false" customHeight="false" outlineLevel="0" collapsed="false">
      <c r="A206" s="0" t="s">
        <v>1069</v>
      </c>
      <c r="B206" s="24" t="s">
        <v>676</v>
      </c>
      <c r="C206" s="0" t="s">
        <v>671</v>
      </c>
      <c r="D206" s="30" t="n">
        <v>9</v>
      </c>
      <c r="E206" s="0" t="s">
        <v>671</v>
      </c>
      <c r="F206" s="68" t="n">
        <f aca="false">D206</f>
        <v>9</v>
      </c>
      <c r="J206" s="24" t="s">
        <v>736</v>
      </c>
      <c r="K206" s="24" t="s">
        <v>684</v>
      </c>
      <c r="L206" s="24" t="s">
        <v>1070</v>
      </c>
    </row>
    <row r="207" customFormat="false" ht="15" hidden="false" customHeight="false" outlineLevel="0" collapsed="false">
      <c r="A207" s="0" t="s">
        <v>1071</v>
      </c>
      <c r="B207" s="24" t="s">
        <v>840</v>
      </c>
      <c r="C207" s="0" t="s">
        <v>671</v>
      </c>
      <c r="D207" s="69" t="n">
        <v>12</v>
      </c>
      <c r="E207" s="0" t="s">
        <v>671</v>
      </c>
      <c r="F207" s="70" t="n">
        <f aca="false">D207</f>
        <v>12</v>
      </c>
      <c r="J207" s="24" t="s">
        <v>736</v>
      </c>
      <c r="K207" s="24" t="s">
        <v>684</v>
      </c>
      <c r="L207" s="24" t="s">
        <v>1072</v>
      </c>
    </row>
    <row r="208" customFormat="false" ht="15" hidden="false" customHeight="false" outlineLevel="0" collapsed="false">
      <c r="A208" s="0" t="s">
        <v>1073</v>
      </c>
      <c r="B208" s="24" t="s">
        <v>840</v>
      </c>
      <c r="C208" s="0" t="s">
        <v>671</v>
      </c>
      <c r="D208" s="69" t="n">
        <v>22.5</v>
      </c>
      <c r="E208" s="0" t="s">
        <v>671</v>
      </c>
      <c r="F208" s="70" t="n">
        <f aca="false">D208</f>
        <v>22.5</v>
      </c>
      <c r="J208" s="24" t="s">
        <v>736</v>
      </c>
      <c r="K208" s="24" t="s">
        <v>706</v>
      </c>
      <c r="L208" s="24" t="s">
        <v>1074</v>
      </c>
    </row>
    <row r="209" customFormat="false" ht="15" hidden="false" customHeight="false" outlineLevel="0" collapsed="false">
      <c r="A209" s="0" t="s">
        <v>1075</v>
      </c>
      <c r="B209" s="24" t="s">
        <v>699</v>
      </c>
      <c r="C209" s="0" t="s">
        <v>671</v>
      </c>
      <c r="D209" s="31" t="n">
        <v>1</v>
      </c>
      <c r="E209" s="0" t="s">
        <v>671</v>
      </c>
      <c r="F209" s="68" t="n">
        <f aca="false">D209</f>
        <v>1</v>
      </c>
      <c r="J209" s="24" t="s">
        <v>690</v>
      </c>
      <c r="K209" s="24" t="s">
        <v>691</v>
      </c>
      <c r="L209" s="24" t="s">
        <v>1076</v>
      </c>
    </row>
    <row r="210" customFormat="false" ht="15" hidden="false" customHeight="false" outlineLevel="0" collapsed="false">
      <c r="A210" s="0" t="s">
        <v>1077</v>
      </c>
      <c r="B210" s="24" t="s">
        <v>930</v>
      </c>
      <c r="C210" s="0" t="s">
        <v>671</v>
      </c>
      <c r="D210" s="92" t="n">
        <v>0.5</v>
      </c>
      <c r="E210" s="0" t="s">
        <v>671</v>
      </c>
      <c r="F210" s="70" t="n">
        <f aca="false">D210</f>
        <v>0.5</v>
      </c>
      <c r="J210" s="24" t="s">
        <v>672</v>
      </c>
      <c r="K210" s="24" t="s">
        <v>691</v>
      </c>
      <c r="L210" s="24" t="s">
        <v>1078</v>
      </c>
    </row>
    <row r="211" customFormat="false" ht="15" hidden="false" customHeight="false" outlineLevel="0" collapsed="false">
      <c r="A211" s="0" t="s">
        <v>1079</v>
      </c>
      <c r="B211" s="24" t="s">
        <v>857</v>
      </c>
      <c r="C211" s="0" t="s">
        <v>671</v>
      </c>
      <c r="D211" s="80" t="n">
        <v>122.9</v>
      </c>
      <c r="E211" s="0" t="s">
        <v>671</v>
      </c>
      <c r="F211" s="50" t="n">
        <f aca="false">D211</f>
        <v>122.9</v>
      </c>
      <c r="J211" s="24" t="s">
        <v>690</v>
      </c>
      <c r="K211" s="24" t="s">
        <v>691</v>
      </c>
      <c r="L211" s="24" t="s">
        <v>1080</v>
      </c>
    </row>
    <row r="212" customFormat="false" ht="15" hidden="false" customHeight="false" outlineLevel="0" collapsed="false">
      <c r="A212" s="0" t="s">
        <v>1081</v>
      </c>
      <c r="B212" s="24" t="s">
        <v>699</v>
      </c>
      <c r="C212" s="0" t="s">
        <v>671</v>
      </c>
      <c r="D212" s="30" t="n">
        <v>1</v>
      </c>
      <c r="E212" s="0" t="s">
        <v>671</v>
      </c>
      <c r="F212" s="68" t="n">
        <f aca="false">D212</f>
        <v>1</v>
      </c>
      <c r="J212" s="24" t="s">
        <v>690</v>
      </c>
      <c r="K212" s="24" t="s">
        <v>673</v>
      </c>
      <c r="L212" s="24" t="s">
        <v>1082</v>
      </c>
    </row>
    <row r="213" customFormat="false" ht="15" hidden="false" customHeight="false" outlineLevel="0" collapsed="false">
      <c r="A213" s="0" t="s">
        <v>1083</v>
      </c>
      <c r="B213" s="24" t="s">
        <v>748</v>
      </c>
      <c r="C213" s="31" t="n">
        <v>13</v>
      </c>
      <c r="D213" s="31" t="n">
        <v>14</v>
      </c>
      <c r="E213" s="31" t="n">
        <v>15</v>
      </c>
      <c r="F213" s="68" t="n">
        <f aca="false">CHOOSE(Scen,C213,D213,E213)</f>
        <v>14</v>
      </c>
      <c r="J213" s="24" t="s">
        <v>690</v>
      </c>
      <c r="K213" s="24" t="s">
        <v>691</v>
      </c>
      <c r="L213" s="24" t="s">
        <v>1084</v>
      </c>
    </row>
    <row r="214" customFormat="false" ht="15" hidden="false" customHeight="false" outlineLevel="0" collapsed="false">
      <c r="A214" s="0" t="s">
        <v>1085</v>
      </c>
      <c r="B214" s="24" t="s">
        <v>742</v>
      </c>
      <c r="C214" s="0" t="s">
        <v>671</v>
      </c>
      <c r="D214" s="83" t="n">
        <v>350</v>
      </c>
      <c r="E214" s="0" t="s">
        <v>671</v>
      </c>
      <c r="F214" s="5" t="n">
        <f aca="false">D214</f>
        <v>350</v>
      </c>
      <c r="J214" s="24" t="s">
        <v>722</v>
      </c>
      <c r="K214" s="24" t="s">
        <v>691</v>
      </c>
      <c r="L214" s="24" t="s">
        <v>1086</v>
      </c>
    </row>
    <row r="215" customFormat="false" ht="15" hidden="false" customHeight="false" outlineLevel="0" collapsed="false">
      <c r="A215" s="0" t="s">
        <v>1087</v>
      </c>
      <c r="B215" s="24" t="s">
        <v>676</v>
      </c>
      <c r="C215" s="0" t="s">
        <v>671</v>
      </c>
      <c r="D215" s="30" t="n">
        <v>1</v>
      </c>
      <c r="E215" s="0" t="s">
        <v>671</v>
      </c>
      <c r="F215" s="68" t="n">
        <f aca="false">D215</f>
        <v>1</v>
      </c>
      <c r="J215" s="24" t="s">
        <v>736</v>
      </c>
      <c r="K215" s="24" t="s">
        <v>673</v>
      </c>
      <c r="L215" s="24" t="s">
        <v>1088</v>
      </c>
    </row>
    <row r="216" customFormat="false" ht="15" hidden="false" customHeight="false" outlineLevel="0" collapsed="false">
      <c r="A216" s="0" t="s">
        <v>1089</v>
      </c>
      <c r="B216" s="24" t="s">
        <v>742</v>
      </c>
      <c r="C216" s="0" t="s">
        <v>671</v>
      </c>
      <c r="D216" s="39" t="n">
        <f aca="false">IF(TopCust=1,0.21,0.24)*574.9</f>
        <v>120.729</v>
      </c>
      <c r="E216" s="0" t="s">
        <v>671</v>
      </c>
      <c r="F216" s="50" t="n">
        <f aca="false">D216</f>
        <v>120.729</v>
      </c>
      <c r="J216" s="24" t="s">
        <v>736</v>
      </c>
      <c r="K216" s="24" t="s">
        <v>706</v>
      </c>
      <c r="L216" s="24" t="s">
        <v>1090</v>
      </c>
    </row>
    <row r="217" customFormat="false" ht="15" hidden="false" customHeight="false" outlineLevel="0" collapsed="false">
      <c r="A217" s="0" t="s">
        <v>1091</v>
      </c>
      <c r="B217" s="24" t="s">
        <v>742</v>
      </c>
      <c r="C217" s="0" t="s">
        <v>671</v>
      </c>
      <c r="D217" s="39" t="n">
        <f aca="false">2880.7/20</f>
        <v>144.035</v>
      </c>
      <c r="E217" s="0" t="s">
        <v>671</v>
      </c>
      <c r="F217" s="50" t="n">
        <f aca="false">D217</f>
        <v>144.035</v>
      </c>
      <c r="J217" s="24" t="s">
        <v>736</v>
      </c>
      <c r="K217" s="24" t="s">
        <v>706</v>
      </c>
      <c r="L217" s="24" t="s">
        <v>1092</v>
      </c>
    </row>
    <row r="218" customFormat="false" ht="15" hidden="false" customHeight="false" outlineLevel="0" collapsed="false">
      <c r="A218" s="0" t="s">
        <v>1093</v>
      </c>
      <c r="B218" s="24" t="s">
        <v>742</v>
      </c>
      <c r="C218" s="0" t="s">
        <v>671</v>
      </c>
      <c r="D218" s="74" t="n">
        <v>40</v>
      </c>
      <c r="E218" s="0" t="s">
        <v>671</v>
      </c>
      <c r="F218" s="5" t="n">
        <f aca="false">D218</f>
        <v>40</v>
      </c>
      <c r="J218" s="24" t="s">
        <v>820</v>
      </c>
      <c r="K218" s="24" t="s">
        <v>706</v>
      </c>
      <c r="L218" s="24" t="s">
        <v>1094</v>
      </c>
    </row>
    <row r="219" customFormat="false" ht="15" hidden="false" customHeight="false" outlineLevel="0" collapsed="false">
      <c r="A219" s="0" t="s">
        <v>1095</v>
      </c>
      <c r="B219" s="24" t="s">
        <v>742</v>
      </c>
      <c r="C219" s="0" t="s">
        <v>671</v>
      </c>
      <c r="D219" s="74" t="n">
        <v>125</v>
      </c>
      <c r="E219" s="0" t="s">
        <v>671</v>
      </c>
      <c r="F219" s="5" t="n">
        <f aca="false">D219</f>
        <v>125</v>
      </c>
      <c r="J219" s="24" t="s">
        <v>820</v>
      </c>
      <c r="K219" s="24" t="s">
        <v>706</v>
      </c>
      <c r="L219" s="24"/>
    </row>
    <row r="220" customFormat="false" ht="15" hidden="false" customHeight="false" outlineLevel="0" collapsed="false">
      <c r="A220" s="0" t="s">
        <v>1096</v>
      </c>
      <c r="B220" s="24" t="s">
        <v>857</v>
      </c>
      <c r="C220" s="86" t="n">
        <v>0</v>
      </c>
      <c r="D220" s="86" t="n">
        <v>0</v>
      </c>
      <c r="E220" s="86" t="n">
        <v>0</v>
      </c>
      <c r="F220" s="5" t="n">
        <f aca="false">CHOOSE(Scen,C220,D220,E220)</f>
        <v>0</v>
      </c>
      <c r="J220" s="24" t="s">
        <v>690</v>
      </c>
      <c r="K220" s="24" t="s">
        <v>733</v>
      </c>
      <c r="L220" s="24" t="s">
        <v>1097</v>
      </c>
    </row>
    <row r="221" customFormat="false" ht="15" hidden="false" customHeight="false" outlineLevel="0" collapsed="false">
      <c r="A221" s="0" t="s">
        <v>1098</v>
      </c>
      <c r="B221" s="24" t="s">
        <v>857</v>
      </c>
      <c r="C221" s="86" t="n">
        <v>0</v>
      </c>
      <c r="D221" s="86" t="n">
        <v>0</v>
      </c>
      <c r="E221" s="86" t="n">
        <v>0</v>
      </c>
      <c r="F221" s="5" t="n">
        <f aca="false">CHOOSE(Scen,C221,D221,E221)</f>
        <v>0</v>
      </c>
      <c r="J221" s="24" t="s">
        <v>690</v>
      </c>
      <c r="K221" s="24" t="s">
        <v>733</v>
      </c>
      <c r="L221" s="24" t="s">
        <v>1099</v>
      </c>
    </row>
    <row r="222" customFormat="false" ht="15" hidden="false" customHeight="false" outlineLevel="0" collapsed="false">
      <c r="A222" s="0" t="s">
        <v>1100</v>
      </c>
      <c r="B222" s="24" t="s">
        <v>857</v>
      </c>
      <c r="C222" s="86" t="n">
        <v>0</v>
      </c>
      <c r="D222" s="86" t="n">
        <v>0</v>
      </c>
      <c r="E222" s="86" t="n">
        <v>0</v>
      </c>
      <c r="F222" s="5" t="n">
        <f aca="false">CHOOSE(Scen,C222,D222,E222)</f>
        <v>0</v>
      </c>
      <c r="J222" s="24" t="s">
        <v>690</v>
      </c>
      <c r="K222" s="24" t="s">
        <v>733</v>
      </c>
      <c r="L222" s="24" t="s">
        <v>1099</v>
      </c>
    </row>
    <row r="223" customFormat="false" ht="15" hidden="false" customHeight="false" outlineLevel="0" collapsed="false">
      <c r="A223" s="0" t="s">
        <v>1101</v>
      </c>
      <c r="B223" s="24" t="s">
        <v>930</v>
      </c>
      <c r="C223" s="0" t="s">
        <v>671</v>
      </c>
      <c r="D223" s="92" t="n">
        <v>1.2</v>
      </c>
      <c r="E223" s="0" t="s">
        <v>671</v>
      </c>
      <c r="F223" s="70" t="n">
        <f aca="false">D223</f>
        <v>1.2</v>
      </c>
      <c r="J223" s="24" t="s">
        <v>690</v>
      </c>
      <c r="K223" s="24" t="s">
        <v>691</v>
      </c>
      <c r="L223" s="24" t="s">
        <v>1102</v>
      </c>
    </row>
    <row r="224" customFormat="false" ht="15" hidden="false" customHeight="false" outlineLevel="0" collapsed="false">
      <c r="A224" s="0" t="s">
        <v>1103</v>
      </c>
      <c r="B224" s="24" t="s">
        <v>689</v>
      </c>
      <c r="C224" s="31" t="n">
        <v>2</v>
      </c>
      <c r="D224" s="31" t="n">
        <v>4</v>
      </c>
      <c r="E224" s="31" t="n">
        <v>6</v>
      </c>
      <c r="F224" s="68" t="n">
        <f aca="false">CHOOSE(Scen,C224,D224,E224)</f>
        <v>4</v>
      </c>
      <c r="J224" s="24" t="s">
        <v>820</v>
      </c>
      <c r="K224" s="24" t="s">
        <v>691</v>
      </c>
      <c r="L224" s="24" t="s">
        <v>1104</v>
      </c>
    </row>
    <row r="225" customFormat="false" ht="15" hidden="false" customHeight="false" outlineLevel="0" collapsed="false">
      <c r="A225" s="0" t="s">
        <v>1105</v>
      </c>
      <c r="B225" s="24" t="s">
        <v>751</v>
      </c>
      <c r="C225" s="0" t="s">
        <v>671</v>
      </c>
      <c r="D225" s="43" t="n">
        <v>0.45</v>
      </c>
      <c r="E225" s="0" t="s">
        <v>671</v>
      </c>
      <c r="F225" s="51" t="n">
        <f aca="false">D225</f>
        <v>0.45</v>
      </c>
      <c r="J225" s="24" t="s">
        <v>820</v>
      </c>
      <c r="K225" s="24" t="s">
        <v>691</v>
      </c>
      <c r="L225" s="24" t="s">
        <v>1106</v>
      </c>
    </row>
    <row r="226" customFormat="false" ht="15" hidden="false" customHeight="false" outlineLevel="0" collapsed="false">
      <c r="A226" s="0" t="s">
        <v>1107</v>
      </c>
      <c r="B226" s="24" t="s">
        <v>751</v>
      </c>
      <c r="C226" s="0" t="s">
        <v>671</v>
      </c>
      <c r="D226" s="43" t="n">
        <v>0.5</v>
      </c>
      <c r="E226" s="0" t="s">
        <v>671</v>
      </c>
      <c r="F226" s="51" t="n">
        <f aca="false">D226</f>
        <v>0.5</v>
      </c>
      <c r="J226" s="24" t="s">
        <v>820</v>
      </c>
      <c r="K226" s="24" t="s">
        <v>691</v>
      </c>
      <c r="L226" s="24" t="s">
        <v>1108</v>
      </c>
    </row>
    <row r="227" customFormat="false" ht="15" hidden="false" customHeight="false" outlineLevel="0" collapsed="false">
      <c r="A227" s="0" t="s">
        <v>1109</v>
      </c>
      <c r="B227" s="24" t="s">
        <v>751</v>
      </c>
      <c r="C227" s="0" t="s">
        <v>671</v>
      </c>
      <c r="D227" s="43" t="n">
        <v>0.04</v>
      </c>
      <c r="E227" s="0" t="s">
        <v>671</v>
      </c>
      <c r="F227" s="51" t="n">
        <f aca="false">D227</f>
        <v>0.04</v>
      </c>
      <c r="J227" s="24" t="s">
        <v>820</v>
      </c>
      <c r="K227" s="24" t="s">
        <v>691</v>
      </c>
      <c r="L227" s="24" t="s">
        <v>1110</v>
      </c>
    </row>
    <row r="228" customFormat="false" ht="15" hidden="false" customHeight="false" outlineLevel="0" collapsed="false">
      <c r="A228" s="0" t="s">
        <v>1111</v>
      </c>
      <c r="B228" s="24" t="s">
        <v>857</v>
      </c>
      <c r="C228" s="0" t="s">
        <v>671</v>
      </c>
      <c r="D228" s="83" t="n">
        <v>83</v>
      </c>
      <c r="E228" s="0" t="s">
        <v>671</v>
      </c>
      <c r="F228" s="5" t="n">
        <f aca="false">D228</f>
        <v>83</v>
      </c>
      <c r="J228" s="24" t="s">
        <v>1112</v>
      </c>
      <c r="K228" s="24" t="s">
        <v>691</v>
      </c>
      <c r="L228" s="24" t="s">
        <v>1113</v>
      </c>
    </row>
    <row r="229" customFormat="false" ht="15" hidden="false" customHeight="false" outlineLevel="0" collapsed="false">
      <c r="A229" s="0" t="s">
        <v>1114</v>
      </c>
      <c r="B229" s="24" t="s">
        <v>857</v>
      </c>
      <c r="C229" s="0" t="s">
        <v>671</v>
      </c>
      <c r="D229" s="83" t="n">
        <v>200</v>
      </c>
      <c r="E229" s="0" t="s">
        <v>671</v>
      </c>
      <c r="F229" s="5" t="n">
        <f aca="false">D229</f>
        <v>200</v>
      </c>
      <c r="J229" s="24" t="s">
        <v>1112</v>
      </c>
      <c r="K229" s="24" t="s">
        <v>691</v>
      </c>
      <c r="L229" s="24"/>
    </row>
    <row r="230" customFormat="false" ht="15" hidden="false" customHeight="false" outlineLevel="0" collapsed="false">
      <c r="A230" s="0" t="s">
        <v>1115</v>
      </c>
      <c r="B230" s="24" t="s">
        <v>751</v>
      </c>
      <c r="C230" s="0" t="s">
        <v>671</v>
      </c>
      <c r="D230" s="43" t="n">
        <v>0.35</v>
      </c>
      <c r="E230" s="0" t="s">
        <v>671</v>
      </c>
      <c r="F230" s="51" t="n">
        <f aca="false">D230</f>
        <v>0.35</v>
      </c>
      <c r="J230" s="24" t="s">
        <v>683</v>
      </c>
      <c r="K230" s="24" t="s">
        <v>691</v>
      </c>
      <c r="L230" s="24" t="s">
        <v>1116</v>
      </c>
    </row>
    <row r="231" customFormat="false" ht="15" hidden="false" customHeight="false" outlineLevel="0" collapsed="false">
      <c r="A231" s="0" t="s">
        <v>1117</v>
      </c>
      <c r="B231" s="24" t="s">
        <v>751</v>
      </c>
      <c r="C231" s="0" t="s">
        <v>671</v>
      </c>
      <c r="D231" s="75" t="n">
        <v>0</v>
      </c>
      <c r="E231" s="0" t="s">
        <v>671</v>
      </c>
      <c r="F231" s="51" t="n">
        <f aca="false">D231</f>
        <v>0</v>
      </c>
      <c r="J231" s="24" t="s">
        <v>1112</v>
      </c>
      <c r="K231" s="24" t="s">
        <v>733</v>
      </c>
      <c r="L231" s="24" t="s">
        <v>1118</v>
      </c>
    </row>
    <row r="232" customFormat="false" ht="15" hidden="false" customHeight="false" outlineLevel="0" collapsed="false">
      <c r="A232" s="64" t="s">
        <v>1119</v>
      </c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</row>
    <row r="233" customFormat="false" ht="15" hidden="false" customHeight="false" outlineLevel="0" collapsed="false">
      <c r="A233" s="0" t="s">
        <v>1120</v>
      </c>
      <c r="B233" s="24" t="s">
        <v>964</v>
      </c>
      <c r="C233" s="93" t="n">
        <v>0.03</v>
      </c>
      <c r="D233" s="93" t="n">
        <v>0.02</v>
      </c>
      <c r="E233" s="93" t="n">
        <v>0</v>
      </c>
      <c r="F233" s="85" t="n">
        <f aca="false">CHOOSE(Scen,C233,D233,E233)</f>
        <v>0.02</v>
      </c>
      <c r="J233" s="24" t="s">
        <v>736</v>
      </c>
      <c r="K233" s="24" t="s">
        <v>733</v>
      </c>
      <c r="L233" s="24" t="s">
        <v>1121</v>
      </c>
    </row>
    <row r="234" customFormat="false" ht="15" hidden="false" customHeight="false" outlineLevel="0" collapsed="false">
      <c r="A234" s="64" t="s">
        <v>1122</v>
      </c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</row>
    <row r="235" customFormat="false" ht="15" hidden="false" customHeight="false" outlineLevel="0" collapsed="false">
      <c r="A235" s="0" t="s">
        <v>1123</v>
      </c>
      <c r="B235" s="24" t="s">
        <v>1124</v>
      </c>
      <c r="C235" s="86" t="n">
        <v>65</v>
      </c>
      <c r="D235" s="86" t="n">
        <v>75</v>
      </c>
      <c r="E235" s="86" t="n">
        <v>90</v>
      </c>
      <c r="F235" s="5" t="n">
        <f aca="false">CHOOSE(Scen,C235,D235,E235)</f>
        <v>75</v>
      </c>
      <c r="J235" s="24" t="s">
        <v>690</v>
      </c>
      <c r="K235" s="24" t="s">
        <v>733</v>
      </c>
      <c r="L235" s="24" t="s">
        <v>1125</v>
      </c>
    </row>
    <row r="236" customFormat="false" ht="15" hidden="false" customHeight="false" outlineLevel="0" collapsed="false">
      <c r="A236" s="0" t="s">
        <v>1126</v>
      </c>
      <c r="B236" s="24" t="s">
        <v>1127</v>
      </c>
      <c r="C236" s="92" t="n">
        <v>2</v>
      </c>
      <c r="D236" s="92" t="n">
        <v>2.25</v>
      </c>
      <c r="E236" s="92" t="n">
        <v>2.5</v>
      </c>
      <c r="F236" s="70" t="n">
        <f aca="false">CHOOSE(Scen,C236,D236,E236)</f>
        <v>2.25</v>
      </c>
      <c r="J236" s="24" t="s">
        <v>690</v>
      </c>
      <c r="K236" s="24" t="s">
        <v>691</v>
      </c>
      <c r="L236" s="24" t="s">
        <v>1128</v>
      </c>
    </row>
    <row r="237" customFormat="false" ht="15" hidden="false" customHeight="false" outlineLevel="0" collapsed="false">
      <c r="A237" s="0" t="s">
        <v>1129</v>
      </c>
      <c r="B237" s="24" t="s">
        <v>1127</v>
      </c>
      <c r="C237" s="69" t="n">
        <v>0.9</v>
      </c>
      <c r="D237" s="69" t="n">
        <v>1.1</v>
      </c>
      <c r="E237" s="69" t="n">
        <v>1.6</v>
      </c>
      <c r="F237" s="70" t="n">
        <f aca="false">CHOOSE(Scen,C237,D237,E237)</f>
        <v>1.1</v>
      </c>
      <c r="J237" s="24" t="s">
        <v>690</v>
      </c>
      <c r="K237" s="24" t="s">
        <v>706</v>
      </c>
      <c r="L237" s="24" t="s">
        <v>1130</v>
      </c>
    </row>
    <row r="238" customFormat="false" ht="15" hidden="false" customHeight="false" outlineLevel="0" collapsed="false">
      <c r="A238" s="0" t="s">
        <v>1131</v>
      </c>
      <c r="B238" s="24" t="s">
        <v>1132</v>
      </c>
      <c r="C238" s="93" t="n">
        <v>0.05</v>
      </c>
      <c r="D238" s="93" t="n">
        <v>0.06</v>
      </c>
      <c r="E238" s="93" t="n">
        <v>0.08</v>
      </c>
      <c r="F238" s="85" t="n">
        <f aca="false">CHOOSE(Scen,C238,D238,E238)</f>
        <v>0.06</v>
      </c>
      <c r="J238" s="24" t="s">
        <v>672</v>
      </c>
      <c r="K238" s="24" t="s">
        <v>733</v>
      </c>
      <c r="L238" s="24" t="s">
        <v>1133</v>
      </c>
    </row>
    <row r="239" customFormat="false" ht="15" hidden="false" customHeight="false" outlineLevel="0" collapsed="false">
      <c r="A239" s="0" t="s">
        <v>1134</v>
      </c>
      <c r="B239" s="24" t="s">
        <v>1132</v>
      </c>
      <c r="C239" s="0" t="s">
        <v>671</v>
      </c>
      <c r="D239" s="41" t="n">
        <v>0.04</v>
      </c>
      <c r="E239" s="0" t="s">
        <v>671</v>
      </c>
      <c r="F239" s="85" t="n">
        <f aca="false">D239</f>
        <v>0.04</v>
      </c>
      <c r="J239" s="24" t="s">
        <v>736</v>
      </c>
      <c r="K239" s="24" t="s">
        <v>691</v>
      </c>
      <c r="L239" s="24" t="s">
        <v>1135</v>
      </c>
    </row>
    <row r="240" customFormat="false" ht="15" hidden="false" customHeight="false" outlineLevel="0" collapsed="false">
      <c r="A240" s="64" t="s">
        <v>1136</v>
      </c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</row>
    <row r="241" customFormat="false" ht="15" hidden="false" customHeight="false" outlineLevel="0" collapsed="false">
      <c r="A241" s="0" t="s">
        <v>1137</v>
      </c>
      <c r="B241" s="24" t="s">
        <v>991</v>
      </c>
      <c r="C241" s="0" t="s">
        <v>671</v>
      </c>
      <c r="D241" s="86" t="n">
        <v>35000</v>
      </c>
      <c r="E241" s="0" t="s">
        <v>671</v>
      </c>
      <c r="F241" s="5" t="n">
        <f aca="false">D241</f>
        <v>35000</v>
      </c>
      <c r="J241" s="24" t="s">
        <v>820</v>
      </c>
      <c r="K241" s="24" t="s">
        <v>733</v>
      </c>
      <c r="L241" s="24" t="s">
        <v>1138</v>
      </c>
    </row>
    <row r="242" customFormat="false" ht="15" hidden="false" customHeight="false" outlineLevel="0" collapsed="false">
      <c r="A242" s="0" t="s">
        <v>1139</v>
      </c>
      <c r="B242" s="24" t="s">
        <v>991</v>
      </c>
      <c r="C242" s="0" t="s">
        <v>671</v>
      </c>
      <c r="D242" s="86" t="n">
        <v>60000</v>
      </c>
      <c r="E242" s="0" t="s">
        <v>671</v>
      </c>
      <c r="F242" s="5" t="n">
        <f aca="false">D242</f>
        <v>60000</v>
      </c>
      <c r="J242" s="24" t="s">
        <v>820</v>
      </c>
      <c r="K242" s="24" t="s">
        <v>733</v>
      </c>
      <c r="L242" s="24" t="s">
        <v>1140</v>
      </c>
    </row>
    <row r="243" customFormat="false" ht="15" hidden="false" customHeight="false" outlineLevel="0" collapsed="false">
      <c r="A243" s="0" t="s">
        <v>1141</v>
      </c>
      <c r="B243" s="24" t="s">
        <v>991</v>
      </c>
      <c r="C243" s="0" t="s">
        <v>671</v>
      </c>
      <c r="D243" s="86" t="n">
        <v>90000</v>
      </c>
      <c r="E243" s="0" t="s">
        <v>671</v>
      </c>
      <c r="F243" s="5" t="n">
        <f aca="false">D243</f>
        <v>90000</v>
      </c>
      <c r="J243" s="24" t="s">
        <v>820</v>
      </c>
      <c r="K243" s="24" t="s">
        <v>733</v>
      </c>
      <c r="L243" s="24"/>
    </row>
    <row r="244" customFormat="false" ht="15" hidden="false" customHeight="false" outlineLevel="0" collapsed="false">
      <c r="A244" s="0" t="s">
        <v>1142</v>
      </c>
      <c r="B244" s="24" t="s">
        <v>696</v>
      </c>
      <c r="C244" s="0" t="s">
        <v>671</v>
      </c>
      <c r="D244" s="92" t="n">
        <v>30</v>
      </c>
      <c r="E244" s="0" t="s">
        <v>671</v>
      </c>
      <c r="F244" s="70" t="n">
        <f aca="false">D244</f>
        <v>30</v>
      </c>
      <c r="J244" s="24" t="s">
        <v>690</v>
      </c>
      <c r="K244" s="24" t="s">
        <v>691</v>
      </c>
      <c r="L244" s="24" t="s">
        <v>1143</v>
      </c>
    </row>
    <row r="245" customFormat="false" ht="15" hidden="false" customHeight="false" outlineLevel="0" collapsed="false">
      <c r="A245" s="0" t="s">
        <v>1144</v>
      </c>
      <c r="B245" s="24" t="s">
        <v>696</v>
      </c>
      <c r="C245" s="0" t="s">
        <v>671</v>
      </c>
      <c r="D245" s="91" t="n">
        <v>3.75</v>
      </c>
      <c r="E245" s="0" t="s">
        <v>671</v>
      </c>
      <c r="F245" s="70" t="n">
        <f aca="false">D245</f>
        <v>3.75</v>
      </c>
      <c r="J245" s="24" t="s">
        <v>690</v>
      </c>
      <c r="K245" s="24" t="s">
        <v>733</v>
      </c>
      <c r="L245" s="24" t="s">
        <v>1145</v>
      </c>
    </row>
    <row r="246" customFormat="false" ht="15" hidden="false" customHeight="false" outlineLevel="0" collapsed="false">
      <c r="A246" s="0" t="s">
        <v>1146</v>
      </c>
      <c r="B246" s="24" t="s">
        <v>696</v>
      </c>
      <c r="C246" s="0" t="s">
        <v>671</v>
      </c>
      <c r="D246" s="91" t="n">
        <v>8.75</v>
      </c>
      <c r="E246" s="0" t="s">
        <v>671</v>
      </c>
      <c r="F246" s="70" t="n">
        <f aca="false">D246</f>
        <v>8.75</v>
      </c>
      <c r="J246" s="24" t="s">
        <v>690</v>
      </c>
      <c r="K246" s="24" t="s">
        <v>733</v>
      </c>
      <c r="L246" s="24" t="s">
        <v>1147</v>
      </c>
    </row>
    <row r="247" customFormat="false" ht="15" hidden="false" customHeight="false" outlineLevel="0" collapsed="false">
      <c r="A247" s="0" t="s">
        <v>1148</v>
      </c>
      <c r="B247" s="24" t="s">
        <v>689</v>
      </c>
      <c r="C247" s="0" t="s">
        <v>671</v>
      </c>
      <c r="D247" s="31" t="n">
        <v>2</v>
      </c>
      <c r="E247" s="0" t="s">
        <v>671</v>
      </c>
      <c r="F247" s="68" t="n">
        <f aca="false">D247</f>
        <v>2</v>
      </c>
      <c r="J247" s="24" t="s">
        <v>690</v>
      </c>
      <c r="K247" s="24" t="s">
        <v>691</v>
      </c>
      <c r="L247" s="24" t="s">
        <v>1149</v>
      </c>
    </row>
    <row r="248" customFormat="false" ht="15" hidden="false" customHeight="false" outlineLevel="0" collapsed="false">
      <c r="A248" s="0" t="s">
        <v>1150</v>
      </c>
      <c r="B248" s="24" t="s">
        <v>689</v>
      </c>
      <c r="C248" s="31" t="n">
        <v>1</v>
      </c>
      <c r="D248" s="31" t="n">
        <v>1</v>
      </c>
      <c r="E248" s="31" t="n">
        <v>0</v>
      </c>
      <c r="F248" s="68" t="n">
        <f aca="false">CHOOSE(Scen,C248,D248,E248)</f>
        <v>1</v>
      </c>
      <c r="J248" s="24" t="s">
        <v>1151</v>
      </c>
      <c r="K248" s="24" t="s">
        <v>691</v>
      </c>
      <c r="L248" s="24" t="s">
        <v>1152</v>
      </c>
    </row>
    <row r="249" customFormat="false" ht="15" hidden="false" customHeight="false" outlineLevel="0" collapsed="false">
      <c r="A249" s="0" t="s">
        <v>1153</v>
      </c>
      <c r="B249" s="24" t="s">
        <v>689</v>
      </c>
      <c r="C249" s="31" t="n">
        <v>1</v>
      </c>
      <c r="D249" s="31" t="n">
        <v>1</v>
      </c>
      <c r="E249" s="31" t="n">
        <v>2</v>
      </c>
      <c r="F249" s="68" t="n">
        <f aca="false">CHOOSE(Scen,C249,D249,E249)</f>
        <v>1</v>
      </c>
      <c r="J249" s="24" t="s">
        <v>690</v>
      </c>
      <c r="K249" s="24" t="s">
        <v>691</v>
      </c>
      <c r="L249" s="24" t="s">
        <v>1154</v>
      </c>
    </row>
    <row r="250" customFormat="false" ht="15" hidden="false" customHeight="false" outlineLevel="0" collapsed="false">
      <c r="A250" s="0" t="s">
        <v>1155</v>
      </c>
      <c r="B250" s="24" t="s">
        <v>745</v>
      </c>
      <c r="C250" s="0" t="s">
        <v>671</v>
      </c>
      <c r="D250" s="82" t="n">
        <v>167.6</v>
      </c>
      <c r="E250" s="0" t="s">
        <v>671</v>
      </c>
      <c r="F250" s="50" t="n">
        <f aca="false">D250</f>
        <v>167.6</v>
      </c>
      <c r="J250" s="24" t="s">
        <v>736</v>
      </c>
      <c r="K250" s="24" t="s">
        <v>684</v>
      </c>
      <c r="L250" s="24" t="s">
        <v>1156</v>
      </c>
    </row>
    <row r="251" customFormat="false" ht="15" hidden="false" customHeight="false" outlineLevel="0" collapsed="false">
      <c r="A251" s="0" t="s">
        <v>1157</v>
      </c>
      <c r="B251" s="24" t="s">
        <v>748</v>
      </c>
      <c r="C251" s="0" t="s">
        <v>671</v>
      </c>
      <c r="D251" s="30" t="n">
        <v>5</v>
      </c>
      <c r="E251" s="0" t="s">
        <v>671</v>
      </c>
      <c r="F251" s="68" t="n">
        <f aca="false">D251</f>
        <v>5</v>
      </c>
      <c r="J251" s="24" t="s">
        <v>820</v>
      </c>
      <c r="K251" s="24" t="s">
        <v>684</v>
      </c>
      <c r="L251" s="24"/>
    </row>
    <row r="252" customFormat="false" ht="15" hidden="false" customHeight="false" outlineLevel="0" collapsed="false">
      <c r="A252" s="0" t="s">
        <v>1158</v>
      </c>
      <c r="B252" s="24" t="s">
        <v>748</v>
      </c>
      <c r="C252" s="0" t="s">
        <v>671</v>
      </c>
      <c r="D252" s="30" t="n">
        <v>6</v>
      </c>
      <c r="E252" s="0" t="s">
        <v>671</v>
      </c>
      <c r="F252" s="68" t="n">
        <f aca="false">D252</f>
        <v>6</v>
      </c>
      <c r="J252" s="24" t="s">
        <v>820</v>
      </c>
      <c r="K252" s="24" t="s">
        <v>684</v>
      </c>
      <c r="L252" s="24"/>
    </row>
    <row r="253" customFormat="false" ht="15" hidden="false" customHeight="false" outlineLevel="0" collapsed="false">
      <c r="A253" s="0" t="s">
        <v>1159</v>
      </c>
      <c r="B253" s="24" t="s">
        <v>748</v>
      </c>
      <c r="C253" s="0" t="s">
        <v>671</v>
      </c>
      <c r="D253" s="30" t="n">
        <v>8</v>
      </c>
      <c r="E253" s="0" t="s">
        <v>671</v>
      </c>
      <c r="F253" s="68" t="n">
        <f aca="false">D253</f>
        <v>8</v>
      </c>
      <c r="J253" s="24" t="s">
        <v>820</v>
      </c>
      <c r="K253" s="24" t="s">
        <v>684</v>
      </c>
      <c r="L253" s="24"/>
    </row>
    <row r="254" customFormat="false" ht="15" hidden="false" customHeight="false" outlineLevel="0" collapsed="false">
      <c r="A254" s="0" t="s">
        <v>1160</v>
      </c>
      <c r="B254" s="24" t="s">
        <v>748</v>
      </c>
      <c r="C254" s="0" t="s">
        <v>671</v>
      </c>
      <c r="D254" s="87" t="n">
        <v>14</v>
      </c>
      <c r="E254" s="0" t="s">
        <v>671</v>
      </c>
      <c r="F254" s="68" t="n">
        <f aca="false">D254</f>
        <v>14</v>
      </c>
      <c r="J254" s="24" t="s">
        <v>820</v>
      </c>
      <c r="K254" s="24" t="s">
        <v>733</v>
      </c>
      <c r="L254" s="24" t="s">
        <v>1161</v>
      </c>
    </row>
    <row r="255" customFormat="false" ht="15" hidden="false" customHeight="false" outlineLevel="0" collapsed="false">
      <c r="A255" s="0" t="s">
        <v>1162</v>
      </c>
      <c r="B255" s="24" t="s">
        <v>745</v>
      </c>
      <c r="C255" s="0" t="s">
        <v>671</v>
      </c>
      <c r="D255" s="83" t="n">
        <v>1450</v>
      </c>
      <c r="E255" s="0" t="s">
        <v>671</v>
      </c>
      <c r="F255" s="5" t="n">
        <f aca="false">D255</f>
        <v>1450</v>
      </c>
      <c r="J255" s="24" t="s">
        <v>683</v>
      </c>
      <c r="K255" s="24" t="s">
        <v>691</v>
      </c>
      <c r="L255" s="24" t="s">
        <v>1163</v>
      </c>
    </row>
    <row r="256" customFormat="false" ht="15" hidden="false" customHeight="false" outlineLevel="0" collapsed="false">
      <c r="A256" s="0" t="s">
        <v>1164</v>
      </c>
      <c r="B256" s="24" t="s">
        <v>745</v>
      </c>
      <c r="C256" s="0" t="s">
        <v>671</v>
      </c>
      <c r="D256" s="82" t="n">
        <v>582.3</v>
      </c>
      <c r="E256" s="0" t="s">
        <v>671</v>
      </c>
      <c r="F256" s="50" t="n">
        <f aca="false">D256</f>
        <v>582.3</v>
      </c>
      <c r="J256" s="24" t="s">
        <v>736</v>
      </c>
      <c r="K256" s="24" t="s">
        <v>684</v>
      </c>
      <c r="L256" s="24" t="s">
        <v>1165</v>
      </c>
    </row>
    <row r="257" customFormat="false" ht="15" hidden="false" customHeight="false" outlineLevel="0" collapsed="false">
      <c r="A257" s="0" t="s">
        <v>1166</v>
      </c>
      <c r="B257" s="24" t="s">
        <v>840</v>
      </c>
      <c r="C257" s="0" t="s">
        <v>671</v>
      </c>
      <c r="D257" s="23" t="n">
        <v>20</v>
      </c>
      <c r="E257" s="0" t="s">
        <v>671</v>
      </c>
      <c r="F257" s="71" t="n">
        <f aca="false">D257</f>
        <v>20</v>
      </c>
      <c r="J257" s="24" t="s">
        <v>820</v>
      </c>
      <c r="K257" s="24" t="s">
        <v>706</v>
      </c>
      <c r="L257" s="24"/>
    </row>
    <row r="258" customFormat="false" ht="15" hidden="false" customHeight="false" outlineLevel="0" collapsed="false">
      <c r="A258" s="0" t="s">
        <v>1167</v>
      </c>
      <c r="B258" s="24" t="s">
        <v>840</v>
      </c>
      <c r="C258" s="0" t="s">
        <v>671</v>
      </c>
      <c r="D258" s="23" t="n">
        <v>25</v>
      </c>
      <c r="E258" s="0" t="s">
        <v>671</v>
      </c>
      <c r="F258" s="71" t="n">
        <f aca="false">D258</f>
        <v>25</v>
      </c>
      <c r="J258" s="24" t="s">
        <v>820</v>
      </c>
      <c r="K258" s="24" t="s">
        <v>706</v>
      </c>
      <c r="L258" s="24"/>
    </row>
    <row r="259" customFormat="false" ht="15" hidden="false" customHeight="false" outlineLevel="0" collapsed="false">
      <c r="A259" s="0" t="s">
        <v>1168</v>
      </c>
      <c r="B259" s="24" t="s">
        <v>840</v>
      </c>
      <c r="C259" s="0" t="s">
        <v>671</v>
      </c>
      <c r="D259" s="23" t="n">
        <v>12</v>
      </c>
      <c r="E259" s="0" t="s">
        <v>671</v>
      </c>
      <c r="F259" s="71" t="n">
        <f aca="false">D259</f>
        <v>12</v>
      </c>
      <c r="J259" s="24" t="s">
        <v>820</v>
      </c>
      <c r="K259" s="24" t="s">
        <v>706</v>
      </c>
      <c r="L259" s="24"/>
    </row>
    <row r="260" customFormat="false" ht="15" hidden="false" customHeight="false" outlineLevel="0" collapsed="false">
      <c r="A260" s="0" t="s">
        <v>1169</v>
      </c>
      <c r="B260" s="24" t="s">
        <v>676</v>
      </c>
      <c r="C260" s="0" t="s">
        <v>671</v>
      </c>
      <c r="D260" s="30" t="n">
        <v>2</v>
      </c>
      <c r="E260" s="0" t="s">
        <v>671</v>
      </c>
      <c r="F260" s="68" t="n">
        <f aca="false">D260</f>
        <v>2</v>
      </c>
      <c r="J260" s="24" t="s">
        <v>672</v>
      </c>
      <c r="K260" s="24" t="s">
        <v>673</v>
      </c>
      <c r="L260" s="24" t="s">
        <v>1170</v>
      </c>
    </row>
    <row r="261" customFormat="false" ht="15" hidden="false" customHeight="false" outlineLevel="0" collapsed="false">
      <c r="A261" s="0" t="s">
        <v>1171</v>
      </c>
      <c r="B261" s="24" t="s">
        <v>751</v>
      </c>
      <c r="C261" s="46" t="n">
        <v>0.374</v>
      </c>
      <c r="D261" s="46" t="n">
        <v>0.374</v>
      </c>
      <c r="E261" s="46" t="n">
        <v>0.374</v>
      </c>
      <c r="F261" s="85" t="n">
        <f aca="false">CHOOSE(Scen,C261,D261,E261)</f>
        <v>0.374</v>
      </c>
      <c r="J261" s="24" t="s">
        <v>736</v>
      </c>
      <c r="K261" s="24" t="s">
        <v>706</v>
      </c>
      <c r="L261" s="24" t="s">
        <v>1172</v>
      </c>
    </row>
    <row r="262" customFormat="false" ht="15" hidden="false" customHeight="false" outlineLevel="0" collapsed="false">
      <c r="A262" s="0" t="s">
        <v>1173</v>
      </c>
      <c r="B262" s="24" t="s">
        <v>823</v>
      </c>
      <c r="C262" s="0" t="s">
        <v>671</v>
      </c>
      <c r="D262" s="31" t="n">
        <v>5</v>
      </c>
      <c r="E262" s="0" t="s">
        <v>671</v>
      </c>
      <c r="F262" s="68" t="n">
        <f aca="false">D262</f>
        <v>5</v>
      </c>
      <c r="J262" s="24" t="s">
        <v>672</v>
      </c>
      <c r="K262" s="24" t="s">
        <v>691</v>
      </c>
      <c r="L262" s="24" t="s">
        <v>1174</v>
      </c>
    </row>
    <row r="263" customFormat="false" ht="15" hidden="false" customHeight="false" outlineLevel="0" collapsed="false">
      <c r="A263" s="0" t="s">
        <v>1175</v>
      </c>
      <c r="B263" s="24" t="s">
        <v>751</v>
      </c>
      <c r="C263" s="0" t="s">
        <v>671</v>
      </c>
      <c r="D263" s="43" t="n">
        <v>0.6</v>
      </c>
      <c r="E263" s="0" t="s">
        <v>671</v>
      </c>
      <c r="F263" s="51" t="n">
        <f aca="false">D263</f>
        <v>0.6</v>
      </c>
      <c r="J263" s="24" t="s">
        <v>1176</v>
      </c>
      <c r="K263" s="24" t="s">
        <v>691</v>
      </c>
      <c r="L263" s="24" t="s">
        <v>1177</v>
      </c>
    </row>
    <row r="264" customFormat="false" ht="15" hidden="false" customHeight="false" outlineLevel="0" collapsed="false">
      <c r="A264" s="0" t="s">
        <v>1178</v>
      </c>
      <c r="B264" s="24" t="s">
        <v>751</v>
      </c>
      <c r="C264" s="0" t="s">
        <v>671</v>
      </c>
      <c r="D264" s="43" t="n">
        <v>0.4</v>
      </c>
      <c r="E264" s="0" t="s">
        <v>671</v>
      </c>
      <c r="F264" s="51" t="n">
        <f aca="false">D264</f>
        <v>0.4</v>
      </c>
      <c r="J264" s="24" t="s">
        <v>1176</v>
      </c>
      <c r="K264" s="24" t="s">
        <v>691</v>
      </c>
      <c r="L264" s="24"/>
    </row>
    <row r="265" customFormat="false" ht="15" hidden="false" customHeight="false" outlineLevel="0" collapsed="false">
      <c r="A265" s="0" t="s">
        <v>1179</v>
      </c>
      <c r="B265" s="24" t="s">
        <v>745</v>
      </c>
      <c r="C265" s="0" t="s">
        <v>671</v>
      </c>
      <c r="D265" s="86"/>
      <c r="E265" s="0" t="s">
        <v>671</v>
      </c>
      <c r="F265" s="5" t="n">
        <f aca="false">D265</f>
        <v>0</v>
      </c>
      <c r="J265" s="24" t="s">
        <v>736</v>
      </c>
      <c r="K265" s="24" t="s">
        <v>733</v>
      </c>
      <c r="L265" s="24" t="s">
        <v>1180</v>
      </c>
    </row>
    <row r="266" customFormat="false" ht="15" hidden="false" customHeight="false" outlineLevel="0" collapsed="false">
      <c r="A266" s="0" t="s">
        <v>1181</v>
      </c>
      <c r="B266" s="24" t="s">
        <v>745</v>
      </c>
      <c r="C266" s="0" t="s">
        <v>671</v>
      </c>
      <c r="D266" s="83" t="n">
        <v>3000</v>
      </c>
      <c r="E266" s="0" t="s">
        <v>671</v>
      </c>
      <c r="F266" s="5" t="n">
        <f aca="false">D266</f>
        <v>3000</v>
      </c>
      <c r="J266" s="24" t="s">
        <v>736</v>
      </c>
      <c r="K266" s="24" t="s">
        <v>691</v>
      </c>
      <c r="L266" s="24" t="s">
        <v>1182</v>
      </c>
    </row>
    <row r="267" customFormat="false" ht="15" hidden="false" customHeight="false" outlineLevel="0" collapsed="false">
      <c r="A267" s="0" t="s">
        <v>1183</v>
      </c>
      <c r="B267" s="24" t="s">
        <v>689</v>
      </c>
      <c r="C267" s="0" t="s">
        <v>671</v>
      </c>
      <c r="D267" s="31" t="n">
        <v>3</v>
      </c>
      <c r="E267" s="0" t="s">
        <v>671</v>
      </c>
      <c r="F267" s="68" t="n">
        <f aca="false">D267</f>
        <v>3</v>
      </c>
      <c r="J267" s="24" t="s">
        <v>690</v>
      </c>
      <c r="K267" s="24" t="s">
        <v>691</v>
      </c>
      <c r="L267" s="24" t="s">
        <v>1184</v>
      </c>
    </row>
    <row r="268" customFormat="false" ht="15" hidden="false" customHeight="false" outlineLevel="0" collapsed="false">
      <c r="A268" s="0" t="s">
        <v>1185</v>
      </c>
      <c r="B268" s="24" t="s">
        <v>1132</v>
      </c>
      <c r="C268" s="0" t="s">
        <v>671</v>
      </c>
      <c r="D268" s="93" t="n">
        <v>0.02</v>
      </c>
      <c r="E268" s="0" t="s">
        <v>671</v>
      </c>
      <c r="F268" s="85" t="n">
        <f aca="false">D268</f>
        <v>0.02</v>
      </c>
      <c r="J268" s="24" t="s">
        <v>672</v>
      </c>
      <c r="K268" s="24" t="s">
        <v>733</v>
      </c>
      <c r="L268" s="24"/>
    </row>
    <row r="269" customFormat="false" ht="15" hidden="false" customHeight="false" outlineLevel="0" collapsed="false">
      <c r="A269" s="0" t="s">
        <v>1186</v>
      </c>
      <c r="B269" s="24" t="s">
        <v>751</v>
      </c>
      <c r="C269" s="0" t="s">
        <v>671</v>
      </c>
      <c r="D269" s="75" t="n">
        <v>0.8</v>
      </c>
      <c r="E269" s="0" t="s">
        <v>671</v>
      </c>
      <c r="F269" s="51" t="n">
        <f aca="false">D269</f>
        <v>0.8</v>
      </c>
      <c r="J269" s="24" t="s">
        <v>736</v>
      </c>
      <c r="K269" s="24" t="s">
        <v>733</v>
      </c>
      <c r="L269" s="24" t="s">
        <v>1187</v>
      </c>
    </row>
    <row r="270" customFormat="false" ht="15" hidden="false" customHeight="false" outlineLevel="0" collapsed="false">
      <c r="A270" s="0" t="s">
        <v>1188</v>
      </c>
      <c r="B270" s="24" t="s">
        <v>751</v>
      </c>
      <c r="C270" s="0" t="s">
        <v>671</v>
      </c>
      <c r="D270" s="75" t="n">
        <v>0.08</v>
      </c>
      <c r="E270" s="0" t="s">
        <v>671</v>
      </c>
      <c r="F270" s="51" t="n">
        <f aca="false">D270</f>
        <v>0.08</v>
      </c>
      <c r="J270" s="24" t="s">
        <v>736</v>
      </c>
      <c r="K270" s="24" t="s">
        <v>733</v>
      </c>
      <c r="L270" s="24"/>
    </row>
    <row r="271" customFormat="false" ht="15" hidden="false" customHeight="false" outlineLevel="0" collapsed="false">
      <c r="A271" s="0" t="s">
        <v>1189</v>
      </c>
      <c r="B271" s="24" t="s">
        <v>751</v>
      </c>
      <c r="C271" s="0" t="s">
        <v>671</v>
      </c>
      <c r="D271" s="75" t="n">
        <v>0.12</v>
      </c>
      <c r="E271" s="0" t="s">
        <v>671</v>
      </c>
      <c r="F271" s="51" t="n">
        <f aca="false">D271</f>
        <v>0.12</v>
      </c>
      <c r="J271" s="24" t="s">
        <v>736</v>
      </c>
      <c r="K271" s="24" t="s">
        <v>733</v>
      </c>
      <c r="L271" s="24"/>
    </row>
    <row r="272" customFormat="false" ht="15" hidden="false" customHeight="false" outlineLevel="0" collapsed="false">
      <c r="A272" s="0" t="s">
        <v>1190</v>
      </c>
      <c r="B272" s="24" t="s">
        <v>823</v>
      </c>
      <c r="C272" s="23" t="n">
        <v>6</v>
      </c>
      <c r="D272" s="23" t="n">
        <v>5</v>
      </c>
      <c r="E272" s="23" t="n">
        <v>4</v>
      </c>
      <c r="F272" s="71" t="n">
        <f aca="false">CHOOSE(Scen,C272,D272,E272)</f>
        <v>5</v>
      </c>
      <c r="J272" s="24" t="s">
        <v>1151</v>
      </c>
      <c r="K272" s="24" t="s">
        <v>684</v>
      </c>
      <c r="L272" s="24" t="s">
        <v>1191</v>
      </c>
    </row>
    <row r="273" customFormat="false" ht="15" hidden="false" customHeight="false" outlineLevel="0" collapsed="false">
      <c r="A273" s="0" t="s">
        <v>1192</v>
      </c>
      <c r="B273" s="24" t="s">
        <v>823</v>
      </c>
      <c r="C273" s="23" t="n">
        <v>6</v>
      </c>
      <c r="D273" s="23" t="n">
        <v>5</v>
      </c>
      <c r="E273" s="23" t="n">
        <v>4</v>
      </c>
      <c r="F273" s="71" t="n">
        <f aca="false">CHOOSE(Scen,C273,D273,E273)</f>
        <v>5</v>
      </c>
      <c r="J273" s="24" t="s">
        <v>1151</v>
      </c>
      <c r="K273" s="24" t="s">
        <v>684</v>
      </c>
      <c r="L273" s="24" t="s">
        <v>1193</v>
      </c>
    </row>
    <row r="274" customFormat="false" ht="15" hidden="false" customHeight="false" outlineLevel="0" collapsed="false">
      <c r="A274" s="0" t="s">
        <v>1194</v>
      </c>
      <c r="B274" s="24" t="s">
        <v>823</v>
      </c>
      <c r="C274" s="23" t="n">
        <v>6</v>
      </c>
      <c r="D274" s="23" t="n">
        <v>5</v>
      </c>
      <c r="E274" s="23" t="n">
        <v>4</v>
      </c>
      <c r="F274" s="71" t="n">
        <f aca="false">CHOOSE(Scen,C274,D274,E274)</f>
        <v>5</v>
      </c>
      <c r="J274" s="24" t="s">
        <v>1151</v>
      </c>
      <c r="K274" s="24" t="s">
        <v>684</v>
      </c>
      <c r="L274" s="24" t="s">
        <v>1195</v>
      </c>
    </row>
    <row r="275" customFormat="false" ht="15" hidden="false" customHeight="false" outlineLevel="0" collapsed="false">
      <c r="A275" s="0" t="s">
        <v>1196</v>
      </c>
      <c r="B275" s="24" t="s">
        <v>823</v>
      </c>
      <c r="C275" s="0" t="s">
        <v>671</v>
      </c>
      <c r="D275" s="30" t="n">
        <v>0</v>
      </c>
      <c r="E275" s="0" t="s">
        <v>671</v>
      </c>
      <c r="F275" s="68" t="n">
        <f aca="false">D275</f>
        <v>0</v>
      </c>
      <c r="J275" s="24" t="s">
        <v>672</v>
      </c>
      <c r="K275" s="24" t="s">
        <v>673</v>
      </c>
      <c r="L275" s="24" t="s">
        <v>1197</v>
      </c>
    </row>
    <row r="276" customFormat="false" ht="15" hidden="false" customHeight="false" outlineLevel="0" collapsed="false">
      <c r="A276" s="0" t="s">
        <v>1198</v>
      </c>
      <c r="B276" s="24" t="s">
        <v>823</v>
      </c>
      <c r="C276" s="0" t="s">
        <v>671</v>
      </c>
      <c r="D276" s="30" t="n">
        <v>20</v>
      </c>
      <c r="E276" s="0" t="s">
        <v>671</v>
      </c>
      <c r="F276" s="68" t="n">
        <f aca="false">D276</f>
        <v>20</v>
      </c>
      <c r="J276" s="24" t="s">
        <v>736</v>
      </c>
      <c r="K276" s="24" t="s">
        <v>684</v>
      </c>
      <c r="L276" s="24" t="s">
        <v>1199</v>
      </c>
    </row>
    <row r="277" customFormat="false" ht="15" hidden="false" customHeight="false" outlineLevel="0" collapsed="false">
      <c r="A277" s="0" t="s">
        <v>1200</v>
      </c>
      <c r="B277" s="24" t="s">
        <v>823</v>
      </c>
      <c r="C277" s="0" t="s">
        <v>671</v>
      </c>
      <c r="D277" s="31" t="n">
        <v>10</v>
      </c>
      <c r="E277" s="0" t="s">
        <v>671</v>
      </c>
      <c r="F277" s="68" t="n">
        <f aca="false">D277</f>
        <v>10</v>
      </c>
      <c r="J277" s="24" t="s">
        <v>736</v>
      </c>
      <c r="K277" s="24" t="s">
        <v>691</v>
      </c>
      <c r="L277" s="24" t="s">
        <v>1201</v>
      </c>
    </row>
    <row r="278" customFormat="false" ht="15" hidden="false" customHeight="false" outlineLevel="0" collapsed="false">
      <c r="A278" s="0" t="s">
        <v>1202</v>
      </c>
      <c r="B278" s="24" t="s">
        <v>823</v>
      </c>
      <c r="C278" s="0" t="s">
        <v>671</v>
      </c>
      <c r="D278" s="31" t="n">
        <v>5</v>
      </c>
      <c r="E278" s="0" t="s">
        <v>671</v>
      </c>
      <c r="F278" s="68" t="n">
        <f aca="false">D278</f>
        <v>5</v>
      </c>
      <c r="J278" s="24" t="s">
        <v>672</v>
      </c>
      <c r="K278" s="24" t="s">
        <v>691</v>
      </c>
      <c r="L278" s="24"/>
    </row>
    <row r="279" customFormat="false" ht="15" hidden="false" customHeight="false" outlineLevel="0" collapsed="false">
      <c r="A279" s="0" t="s">
        <v>1203</v>
      </c>
      <c r="B279" s="24" t="s">
        <v>748</v>
      </c>
      <c r="C279" s="0" t="s">
        <v>671</v>
      </c>
      <c r="D279" s="87" t="n">
        <v>0</v>
      </c>
      <c r="E279" s="0" t="s">
        <v>671</v>
      </c>
      <c r="F279" s="68" t="n">
        <f aca="false">D279</f>
        <v>0</v>
      </c>
      <c r="J279" s="24" t="s">
        <v>683</v>
      </c>
      <c r="K279" s="24" t="s">
        <v>733</v>
      </c>
      <c r="L279" s="24" t="s">
        <v>1204</v>
      </c>
    </row>
    <row r="280" customFormat="false" ht="15" hidden="false" customHeight="false" outlineLevel="0" collapsed="false">
      <c r="A280" s="0" t="s">
        <v>1205</v>
      </c>
      <c r="B280" s="24" t="s">
        <v>751</v>
      </c>
      <c r="C280" s="0" t="s">
        <v>671</v>
      </c>
      <c r="D280" s="75" t="n">
        <v>0</v>
      </c>
      <c r="E280" s="0" t="s">
        <v>671</v>
      </c>
      <c r="F280" s="51" t="n">
        <f aca="false">D280</f>
        <v>0</v>
      </c>
      <c r="J280" s="24" t="s">
        <v>683</v>
      </c>
      <c r="K280" s="24" t="s">
        <v>733</v>
      </c>
      <c r="L280" s="24"/>
    </row>
    <row r="281" customFormat="false" ht="15" hidden="false" customHeight="false" outlineLevel="0" collapsed="false">
      <c r="A281" s="0" t="s">
        <v>1206</v>
      </c>
      <c r="B281" s="24" t="s">
        <v>748</v>
      </c>
      <c r="C281" s="0" t="s">
        <v>671</v>
      </c>
      <c r="D281" s="87" t="n">
        <v>0</v>
      </c>
      <c r="E281" s="0" t="s">
        <v>671</v>
      </c>
      <c r="F281" s="68" t="n">
        <f aca="false">D281</f>
        <v>0</v>
      </c>
      <c r="J281" s="24" t="s">
        <v>683</v>
      </c>
      <c r="K281" s="24" t="s">
        <v>733</v>
      </c>
      <c r="L281" s="24"/>
    </row>
    <row r="282" customFormat="false" ht="15" hidden="false" customHeight="false" outlineLevel="0" collapsed="false">
      <c r="A282" s="0" t="s">
        <v>1207</v>
      </c>
      <c r="B282" s="24" t="s">
        <v>751</v>
      </c>
      <c r="C282" s="0" t="s">
        <v>671</v>
      </c>
      <c r="D282" s="75" t="n">
        <v>0</v>
      </c>
      <c r="E282" s="0" t="s">
        <v>671</v>
      </c>
      <c r="F282" s="51" t="n">
        <f aca="false">D282</f>
        <v>0</v>
      </c>
      <c r="J282" s="24" t="s">
        <v>683</v>
      </c>
      <c r="K282" s="24" t="s">
        <v>733</v>
      </c>
      <c r="L282" s="24"/>
    </row>
    <row r="283" customFormat="false" ht="15" hidden="false" customHeight="false" outlineLevel="0" collapsed="false">
      <c r="A283" s="0" t="s">
        <v>1208</v>
      </c>
      <c r="B283" s="24" t="s">
        <v>748</v>
      </c>
      <c r="C283" s="0" t="s">
        <v>671</v>
      </c>
      <c r="D283" s="87" t="n">
        <v>0</v>
      </c>
      <c r="E283" s="0" t="s">
        <v>671</v>
      </c>
      <c r="F283" s="68" t="n">
        <f aca="false">D283</f>
        <v>0</v>
      </c>
      <c r="J283" s="24" t="s">
        <v>683</v>
      </c>
      <c r="K283" s="24" t="s">
        <v>733</v>
      </c>
      <c r="L283" s="24"/>
    </row>
    <row r="284" customFormat="false" ht="15" hidden="false" customHeight="false" outlineLevel="0" collapsed="false">
      <c r="A284" s="0" t="s">
        <v>1209</v>
      </c>
      <c r="B284" s="24" t="s">
        <v>751</v>
      </c>
      <c r="C284" s="0" t="s">
        <v>671</v>
      </c>
      <c r="D284" s="75" t="n">
        <v>0</v>
      </c>
      <c r="E284" s="0" t="s">
        <v>671</v>
      </c>
      <c r="F284" s="51" t="n">
        <f aca="false">D284</f>
        <v>0</v>
      </c>
      <c r="J284" s="24" t="s">
        <v>683</v>
      </c>
      <c r="K284" s="24" t="s">
        <v>733</v>
      </c>
      <c r="L284" s="24"/>
    </row>
    <row r="285" customFormat="false" ht="15" hidden="false" customHeight="false" outlineLevel="0" collapsed="false">
      <c r="A285" s="0" t="s">
        <v>1210</v>
      </c>
      <c r="B285" s="24" t="s">
        <v>745</v>
      </c>
      <c r="C285" s="0" t="s">
        <v>671</v>
      </c>
      <c r="D285" s="69" t="n">
        <v>142.4</v>
      </c>
      <c r="E285" s="0" t="s">
        <v>671</v>
      </c>
      <c r="F285" s="70" t="n">
        <f aca="false">D285</f>
        <v>142.4</v>
      </c>
      <c r="J285" s="24" t="s">
        <v>736</v>
      </c>
      <c r="K285" s="24" t="s">
        <v>706</v>
      </c>
      <c r="L285" s="24" t="s">
        <v>1211</v>
      </c>
    </row>
    <row r="286" customFormat="false" ht="15" hidden="false" customHeight="false" outlineLevel="0" collapsed="false">
      <c r="A286" s="0" t="s">
        <v>1212</v>
      </c>
      <c r="B286" s="24" t="s">
        <v>742</v>
      </c>
      <c r="C286" s="0" t="s">
        <v>671</v>
      </c>
      <c r="D286" s="91" t="n">
        <v>5</v>
      </c>
      <c r="E286" s="0" t="s">
        <v>671</v>
      </c>
      <c r="F286" s="70" t="n">
        <f aca="false">D286</f>
        <v>5</v>
      </c>
      <c r="J286" s="24" t="s">
        <v>736</v>
      </c>
      <c r="K286" s="24" t="s">
        <v>733</v>
      </c>
      <c r="L286" s="24" t="s">
        <v>1213</v>
      </c>
    </row>
    <row r="287" customFormat="false" ht="15" hidden="false" customHeight="false" outlineLevel="0" collapsed="false">
      <c r="A287" s="64" t="s">
        <v>1214</v>
      </c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</row>
    <row r="288" customFormat="false" ht="15" hidden="false" customHeight="false" outlineLevel="0" collapsed="false">
      <c r="A288" s="0" t="s">
        <v>1215</v>
      </c>
      <c r="B288" s="24" t="s">
        <v>745</v>
      </c>
      <c r="C288" s="0" t="s">
        <v>671</v>
      </c>
      <c r="D288" s="69" t="n">
        <v>5975.2</v>
      </c>
      <c r="E288" s="0" t="s">
        <v>671</v>
      </c>
      <c r="F288" s="70" t="n">
        <f aca="false">D288</f>
        <v>5975.2</v>
      </c>
      <c r="J288" s="24" t="s">
        <v>736</v>
      </c>
      <c r="K288" s="24" t="s">
        <v>684</v>
      </c>
      <c r="L288" s="24" t="s">
        <v>1216</v>
      </c>
    </row>
    <row r="289" customFormat="false" ht="15" hidden="false" customHeight="false" outlineLevel="0" collapsed="false">
      <c r="A289" s="0" t="s">
        <v>1217</v>
      </c>
      <c r="B289" s="24" t="s">
        <v>745</v>
      </c>
      <c r="C289" s="0" t="s">
        <v>671</v>
      </c>
      <c r="D289" s="69" t="n">
        <v>1577.5</v>
      </c>
      <c r="E289" s="0" t="s">
        <v>671</v>
      </c>
      <c r="F289" s="70" t="n">
        <f aca="false">D289</f>
        <v>1577.5</v>
      </c>
      <c r="J289" s="24" t="s">
        <v>736</v>
      </c>
      <c r="K289" s="24" t="s">
        <v>684</v>
      </c>
      <c r="L289" s="24" t="s">
        <v>1218</v>
      </c>
    </row>
    <row r="290" customFormat="false" ht="15" hidden="false" customHeight="false" outlineLevel="0" collapsed="false">
      <c r="A290" s="0" t="s">
        <v>1219</v>
      </c>
      <c r="B290" s="24" t="s">
        <v>745</v>
      </c>
      <c r="C290" s="0" t="s">
        <v>671</v>
      </c>
      <c r="D290" s="69" t="n">
        <v>9000</v>
      </c>
      <c r="E290" s="0" t="s">
        <v>671</v>
      </c>
      <c r="F290" s="70" t="n">
        <f aca="false">D290</f>
        <v>9000</v>
      </c>
      <c r="J290" s="24" t="s">
        <v>736</v>
      </c>
      <c r="K290" s="24" t="s">
        <v>684</v>
      </c>
      <c r="L290" s="24" t="s">
        <v>1220</v>
      </c>
    </row>
    <row r="291" customFormat="false" ht="15" hidden="false" customHeight="false" outlineLevel="0" collapsed="false">
      <c r="A291" s="0" t="s">
        <v>1221</v>
      </c>
      <c r="B291" s="24" t="s">
        <v>751</v>
      </c>
      <c r="C291" s="46" t="n">
        <v>0.45</v>
      </c>
      <c r="D291" s="46" t="n">
        <v>0.385</v>
      </c>
      <c r="E291" s="46" t="n">
        <v>0.25</v>
      </c>
      <c r="F291" s="85" t="n">
        <f aca="false">CHOOSE(Scen,C291,D291,E291)</f>
        <v>0.385</v>
      </c>
      <c r="J291" s="24" t="s">
        <v>1151</v>
      </c>
      <c r="K291" s="24" t="s">
        <v>706</v>
      </c>
      <c r="L291" s="24" t="s">
        <v>1222</v>
      </c>
    </row>
    <row r="292" customFormat="false" ht="15" hidden="false" customHeight="false" outlineLevel="0" collapsed="false">
      <c r="A292" s="0" t="s">
        <v>1223</v>
      </c>
      <c r="B292" s="24" t="s">
        <v>689</v>
      </c>
      <c r="C292" s="0" t="s">
        <v>671</v>
      </c>
      <c r="D292" s="31" t="n">
        <v>16</v>
      </c>
      <c r="E292" s="0" t="s">
        <v>671</v>
      </c>
      <c r="F292" s="68" t="n">
        <f aca="false">D292</f>
        <v>16</v>
      </c>
      <c r="J292" s="24" t="s">
        <v>672</v>
      </c>
      <c r="K292" s="24" t="s">
        <v>691</v>
      </c>
      <c r="L292" s="24" t="s">
        <v>1224</v>
      </c>
    </row>
    <row r="293" customFormat="false" ht="15" hidden="false" customHeight="false" outlineLevel="0" collapsed="false">
      <c r="A293" s="64" t="s">
        <v>1225</v>
      </c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</row>
    <row r="294" customFormat="false" ht="15" hidden="false" customHeight="false" outlineLevel="0" collapsed="false">
      <c r="A294" s="0" t="s">
        <v>1226</v>
      </c>
      <c r="B294" s="24" t="s">
        <v>699</v>
      </c>
      <c r="C294" s="0" t="s">
        <v>671</v>
      </c>
      <c r="D294" s="30" t="n">
        <v>0</v>
      </c>
      <c r="E294" s="0" t="s">
        <v>671</v>
      </c>
      <c r="F294" s="68" t="n">
        <f aca="false">D294</f>
        <v>0</v>
      </c>
      <c r="J294" s="24" t="s">
        <v>736</v>
      </c>
      <c r="K294" s="24" t="s">
        <v>673</v>
      </c>
      <c r="L294" s="24" t="s">
        <v>1227</v>
      </c>
    </row>
    <row r="295" customFormat="false" ht="15" hidden="false" customHeight="false" outlineLevel="0" collapsed="false">
      <c r="A295" s="0" t="s">
        <v>1228</v>
      </c>
      <c r="B295" s="24" t="s">
        <v>699</v>
      </c>
      <c r="C295" s="0" t="s">
        <v>671</v>
      </c>
      <c r="D295" s="30" t="n">
        <v>0</v>
      </c>
      <c r="E295" s="0" t="s">
        <v>671</v>
      </c>
      <c r="F295" s="68" t="n">
        <f aca="false">D295</f>
        <v>0</v>
      </c>
      <c r="J295" s="24" t="s">
        <v>736</v>
      </c>
      <c r="K295" s="24" t="s">
        <v>673</v>
      </c>
      <c r="L295" s="24" t="s">
        <v>1229</v>
      </c>
    </row>
    <row r="296" customFormat="false" ht="15" hidden="false" customHeight="false" outlineLevel="0" collapsed="false">
      <c r="A296" s="0" t="s">
        <v>1230</v>
      </c>
      <c r="B296" s="24" t="s">
        <v>745</v>
      </c>
      <c r="C296" s="0" t="s">
        <v>671</v>
      </c>
      <c r="D296" s="74" t="n">
        <v>5750</v>
      </c>
      <c r="E296" s="0" t="s">
        <v>671</v>
      </c>
      <c r="F296" s="5" t="n">
        <f aca="false">D296</f>
        <v>5750</v>
      </c>
      <c r="J296" s="24" t="s">
        <v>736</v>
      </c>
      <c r="K296" s="24" t="s">
        <v>684</v>
      </c>
      <c r="L296" s="24" t="s">
        <v>1231</v>
      </c>
    </row>
    <row r="297" customFormat="false" ht="15" hidden="false" customHeight="false" outlineLevel="0" collapsed="false">
      <c r="A297" s="0" t="s">
        <v>1232</v>
      </c>
      <c r="B297" s="24" t="s">
        <v>745</v>
      </c>
      <c r="C297" s="0" t="s">
        <v>671</v>
      </c>
      <c r="D297" s="82" t="n">
        <v>8042.1</v>
      </c>
      <c r="E297" s="0" t="s">
        <v>671</v>
      </c>
      <c r="F297" s="50" t="n">
        <f aca="false">D297</f>
        <v>8042.1</v>
      </c>
      <c r="J297" s="24" t="s">
        <v>736</v>
      </c>
      <c r="K297" s="24" t="s">
        <v>684</v>
      </c>
      <c r="L297" s="24" t="s">
        <v>1233</v>
      </c>
    </row>
    <row r="298" customFormat="false" ht="15" hidden="false" customHeight="false" outlineLevel="0" collapsed="false">
      <c r="A298" s="0" t="s">
        <v>1234</v>
      </c>
      <c r="B298" s="24" t="s">
        <v>745</v>
      </c>
      <c r="C298" s="0" t="s">
        <v>671</v>
      </c>
      <c r="D298" s="74" t="n">
        <v>1056</v>
      </c>
      <c r="E298" s="0" t="s">
        <v>671</v>
      </c>
      <c r="F298" s="5" t="n">
        <f aca="false">D298</f>
        <v>1056</v>
      </c>
      <c r="J298" s="24" t="s">
        <v>736</v>
      </c>
      <c r="K298" s="24" t="s">
        <v>684</v>
      </c>
      <c r="L298" s="24"/>
    </row>
    <row r="299" customFormat="false" ht="15" hidden="false" customHeight="false" outlineLevel="0" collapsed="false">
      <c r="A299" s="0" t="s">
        <v>1235</v>
      </c>
      <c r="B299" s="24" t="s">
        <v>745</v>
      </c>
      <c r="C299" s="0" t="s">
        <v>671</v>
      </c>
      <c r="D299" s="82" t="n">
        <v>7697.1</v>
      </c>
      <c r="E299" s="0" t="s">
        <v>671</v>
      </c>
      <c r="F299" s="50" t="n">
        <f aca="false">D299</f>
        <v>7697.1</v>
      </c>
      <c r="J299" s="24" t="s">
        <v>736</v>
      </c>
      <c r="K299" s="24" t="s">
        <v>706</v>
      </c>
      <c r="L299" s="24" t="s">
        <v>1236</v>
      </c>
    </row>
    <row r="300" customFormat="false" ht="15" hidden="false" customHeight="false" outlineLevel="0" collapsed="false">
      <c r="A300" s="0" t="s">
        <v>1237</v>
      </c>
      <c r="B300" s="24" t="s">
        <v>745</v>
      </c>
      <c r="C300" s="0" t="s">
        <v>671</v>
      </c>
      <c r="D300" s="82" t="n">
        <v>46.7</v>
      </c>
      <c r="E300" s="0" t="s">
        <v>671</v>
      </c>
      <c r="F300" s="50" t="n">
        <f aca="false">D300</f>
        <v>46.7</v>
      </c>
      <c r="J300" s="24" t="s">
        <v>736</v>
      </c>
      <c r="K300" s="24" t="s">
        <v>684</v>
      </c>
      <c r="L300" s="24"/>
    </row>
    <row r="301" customFormat="false" ht="15" hidden="false" customHeight="false" outlineLevel="0" collapsed="false">
      <c r="A301" s="0" t="s">
        <v>1238</v>
      </c>
      <c r="B301" s="24" t="s">
        <v>971</v>
      </c>
      <c r="C301" s="0" t="s">
        <v>671</v>
      </c>
      <c r="D301" s="28" t="n">
        <v>14.6</v>
      </c>
      <c r="E301" s="0" t="s">
        <v>671</v>
      </c>
      <c r="F301" s="71" t="n">
        <f aca="false">D301</f>
        <v>14.6</v>
      </c>
      <c r="J301" s="24" t="s">
        <v>683</v>
      </c>
      <c r="K301" s="24" t="s">
        <v>691</v>
      </c>
      <c r="L301" s="24" t="s">
        <v>1239</v>
      </c>
    </row>
    <row r="302" customFormat="false" ht="15" hidden="false" customHeight="false" outlineLevel="0" collapsed="false">
      <c r="A302" s="0" t="s">
        <v>1240</v>
      </c>
      <c r="B302" s="24" t="s">
        <v>971</v>
      </c>
      <c r="C302" s="0" t="s">
        <v>671</v>
      </c>
      <c r="D302" s="28" t="n">
        <v>1.1</v>
      </c>
      <c r="E302" s="0" t="s">
        <v>671</v>
      </c>
      <c r="F302" s="71" t="n">
        <f aca="false">D302</f>
        <v>1.1</v>
      </c>
      <c r="J302" s="24" t="s">
        <v>683</v>
      </c>
      <c r="K302" s="24" t="s">
        <v>691</v>
      </c>
      <c r="L302" s="24"/>
    </row>
    <row r="303" customFormat="false" ht="15" hidden="false" customHeight="false" outlineLevel="0" collapsed="false">
      <c r="A303" s="0" t="s">
        <v>1241</v>
      </c>
      <c r="B303" s="24" t="s">
        <v>971</v>
      </c>
      <c r="C303" s="0" t="s">
        <v>671</v>
      </c>
      <c r="D303" s="28" t="n">
        <v>-2.7</v>
      </c>
      <c r="E303" s="0" t="s">
        <v>671</v>
      </c>
      <c r="F303" s="71" t="n">
        <f aca="false">D303</f>
        <v>-2.7</v>
      </c>
      <c r="J303" s="24" t="s">
        <v>683</v>
      </c>
      <c r="K303" s="24" t="s">
        <v>691</v>
      </c>
      <c r="L303" s="24"/>
    </row>
    <row r="304" customFormat="false" ht="15" hidden="false" customHeight="false" outlineLevel="0" collapsed="false">
      <c r="A304" s="0" t="s">
        <v>1242</v>
      </c>
      <c r="B304" s="24" t="s">
        <v>971</v>
      </c>
      <c r="C304" s="0" t="s">
        <v>671</v>
      </c>
      <c r="D304" s="28" t="n">
        <v>-9.9</v>
      </c>
      <c r="E304" s="0" t="s">
        <v>671</v>
      </c>
      <c r="F304" s="71" t="n">
        <f aca="false">D304</f>
        <v>-9.9</v>
      </c>
      <c r="J304" s="24" t="s">
        <v>683</v>
      </c>
      <c r="K304" s="24" t="s">
        <v>691</v>
      </c>
      <c r="L304" s="24"/>
    </row>
    <row r="305" customFormat="false" ht="15" hidden="false" customHeight="false" outlineLevel="0" collapsed="false">
      <c r="A305" s="0" t="s">
        <v>1243</v>
      </c>
      <c r="B305" s="24" t="s">
        <v>745</v>
      </c>
      <c r="C305" s="0" t="s">
        <v>671</v>
      </c>
      <c r="D305" s="83" t="n">
        <v>7000</v>
      </c>
      <c r="E305" s="0" t="s">
        <v>671</v>
      </c>
      <c r="F305" s="5" t="n">
        <f aca="false">D305</f>
        <v>7000</v>
      </c>
      <c r="J305" s="24" t="s">
        <v>683</v>
      </c>
      <c r="K305" s="24" t="s">
        <v>691</v>
      </c>
      <c r="L305" s="24"/>
    </row>
    <row r="306" customFormat="false" ht="15" hidden="false" customHeight="false" outlineLevel="0" collapsed="false">
      <c r="A306" s="0" t="s">
        <v>1244</v>
      </c>
      <c r="B306" s="24" t="s">
        <v>745</v>
      </c>
      <c r="C306" s="0" t="s">
        <v>671</v>
      </c>
      <c r="D306" s="83" t="n">
        <v>9900</v>
      </c>
      <c r="E306" s="0" t="s">
        <v>671</v>
      </c>
      <c r="F306" s="5" t="n">
        <f aca="false">D306</f>
        <v>9900</v>
      </c>
      <c r="J306" s="24" t="s">
        <v>683</v>
      </c>
      <c r="K306" s="24" t="s">
        <v>691</v>
      </c>
      <c r="L306" s="24"/>
    </row>
    <row r="307" customFormat="false" ht="15" hidden="false" customHeight="false" outlineLevel="0" collapsed="false">
      <c r="A307" s="0" t="s">
        <v>1245</v>
      </c>
      <c r="B307" s="24" t="s">
        <v>745</v>
      </c>
      <c r="C307" s="0" t="s">
        <v>671</v>
      </c>
      <c r="D307" s="83" t="n">
        <v>12900</v>
      </c>
      <c r="E307" s="0" t="s">
        <v>671</v>
      </c>
      <c r="F307" s="5" t="n">
        <f aca="false">D307</f>
        <v>12900</v>
      </c>
      <c r="J307" s="24" t="s">
        <v>683</v>
      </c>
      <c r="K307" s="24" t="s">
        <v>691</v>
      </c>
      <c r="L307" s="24"/>
    </row>
    <row r="308" customFormat="false" ht="15" hidden="false" customHeight="false" outlineLevel="0" collapsed="false">
      <c r="A308" s="0" t="s">
        <v>1246</v>
      </c>
      <c r="B308" s="24" t="s">
        <v>745</v>
      </c>
      <c r="C308" s="0" t="s">
        <v>671</v>
      </c>
      <c r="D308" s="83" t="n">
        <v>7600</v>
      </c>
      <c r="E308" s="0" t="s">
        <v>671</v>
      </c>
      <c r="F308" s="5" t="n">
        <f aca="false">D308</f>
        <v>7600</v>
      </c>
      <c r="J308" s="24" t="s">
        <v>683</v>
      </c>
      <c r="K308" s="24" t="s">
        <v>691</v>
      </c>
      <c r="L308" s="24"/>
    </row>
    <row r="309" customFormat="false" ht="15" hidden="false" customHeight="false" outlineLevel="0" collapsed="false">
      <c r="A309" s="0" t="s">
        <v>1247</v>
      </c>
      <c r="B309" s="24" t="s">
        <v>745</v>
      </c>
      <c r="C309" s="0" t="s">
        <v>671</v>
      </c>
      <c r="D309" s="83" t="n">
        <v>25300</v>
      </c>
      <c r="E309" s="0" t="s">
        <v>671</v>
      </c>
      <c r="F309" s="5" t="n">
        <f aca="false">D309</f>
        <v>25300</v>
      </c>
      <c r="J309" s="24" t="s">
        <v>683</v>
      </c>
      <c r="K309" s="24" t="s">
        <v>691</v>
      </c>
      <c r="L309" s="24"/>
    </row>
    <row r="310" customFormat="false" ht="15" hidden="false" customHeight="false" outlineLevel="0" collapsed="false">
      <c r="A310" s="0" t="s">
        <v>1248</v>
      </c>
      <c r="B310" s="24" t="s">
        <v>930</v>
      </c>
      <c r="C310" s="0" t="s">
        <v>671</v>
      </c>
      <c r="D310" s="28" t="n">
        <v>11.1</v>
      </c>
      <c r="E310" s="0" t="s">
        <v>671</v>
      </c>
      <c r="F310" s="71" t="n">
        <f aca="false">D310</f>
        <v>11.1</v>
      </c>
      <c r="J310" s="24" t="s">
        <v>683</v>
      </c>
      <c r="K310" s="24" t="s">
        <v>691</v>
      </c>
      <c r="L310" s="24"/>
    </row>
    <row r="311" customFormat="false" ht="15" hidden="false" customHeight="false" outlineLevel="0" collapsed="false">
      <c r="A311" s="0" t="s">
        <v>1249</v>
      </c>
      <c r="B311" s="24" t="s">
        <v>930</v>
      </c>
      <c r="C311" s="0" t="s">
        <v>671</v>
      </c>
      <c r="D311" s="28" t="n">
        <v>4.8</v>
      </c>
      <c r="E311" s="0" t="s">
        <v>671</v>
      </c>
      <c r="F311" s="71" t="n">
        <f aca="false">D311</f>
        <v>4.8</v>
      </c>
      <c r="J311" s="24" t="s">
        <v>683</v>
      </c>
      <c r="K311" s="24" t="s">
        <v>691</v>
      </c>
      <c r="L311" s="24"/>
    </row>
    <row r="312" customFormat="false" ht="15" hidden="false" customHeight="false" outlineLevel="0" collapsed="false">
      <c r="A312" s="0" t="s">
        <v>1250</v>
      </c>
      <c r="B312" s="24" t="s">
        <v>837</v>
      </c>
      <c r="C312" s="0" t="s">
        <v>671</v>
      </c>
      <c r="D312" s="72" t="n">
        <v>3.27</v>
      </c>
      <c r="E312" s="0" t="s">
        <v>671</v>
      </c>
      <c r="F312" s="6" t="n">
        <f aca="false">D312</f>
        <v>3.27</v>
      </c>
      <c r="J312" s="24" t="s">
        <v>820</v>
      </c>
      <c r="K312" s="24" t="s">
        <v>706</v>
      </c>
      <c r="L312" s="24" t="s">
        <v>1251</v>
      </c>
    </row>
    <row r="313" customFormat="false" ht="15" hidden="false" customHeight="false" outlineLevel="0" collapsed="false">
      <c r="A313" s="0" t="s">
        <v>1252</v>
      </c>
      <c r="B313" s="24" t="s">
        <v>930</v>
      </c>
      <c r="C313" s="0" t="s">
        <v>671</v>
      </c>
      <c r="D313" s="72" t="n">
        <v>0.46</v>
      </c>
      <c r="E313" s="0" t="s">
        <v>671</v>
      </c>
      <c r="F313" s="6" t="n">
        <f aca="false">D313</f>
        <v>0.46</v>
      </c>
      <c r="J313" s="24" t="s">
        <v>736</v>
      </c>
      <c r="K313" s="24" t="s">
        <v>706</v>
      </c>
      <c r="L313" s="24" t="s">
        <v>1253</v>
      </c>
    </row>
    <row r="314" customFormat="false" ht="15" hidden="false" customHeight="false" outlineLevel="0" collapsed="false">
      <c r="A314" s="0" t="s">
        <v>1254</v>
      </c>
      <c r="B314" s="24" t="s">
        <v>745</v>
      </c>
      <c r="C314" s="0" t="s">
        <v>671</v>
      </c>
      <c r="D314" s="74" t="n">
        <v>5197.7</v>
      </c>
      <c r="E314" s="0" t="s">
        <v>671</v>
      </c>
      <c r="F314" s="5" t="n">
        <f aca="false">D314</f>
        <v>5197.7</v>
      </c>
      <c r="J314" s="24" t="s">
        <v>736</v>
      </c>
      <c r="K314" s="24" t="s">
        <v>684</v>
      </c>
      <c r="L314" s="24" t="s">
        <v>1255</v>
      </c>
    </row>
    <row r="315" customFormat="false" ht="15" hidden="false" customHeight="false" outlineLevel="0" collapsed="false">
      <c r="A315" s="0" t="s">
        <v>1256</v>
      </c>
      <c r="B315" s="24" t="s">
        <v>840</v>
      </c>
      <c r="C315" s="0" t="s">
        <v>671</v>
      </c>
      <c r="D315" s="23" t="n">
        <v>13</v>
      </c>
      <c r="E315" s="0" t="s">
        <v>671</v>
      </c>
      <c r="F315" s="71" t="n">
        <f aca="false">D315</f>
        <v>13</v>
      </c>
      <c r="J315" s="24" t="s">
        <v>700</v>
      </c>
      <c r="K315" s="24" t="s">
        <v>706</v>
      </c>
      <c r="L315" s="24" t="s">
        <v>1257</v>
      </c>
    </row>
    <row r="316" customFormat="false" ht="15" hidden="false" customHeight="false" outlineLevel="0" collapsed="false">
      <c r="A316" s="0" t="s">
        <v>1258</v>
      </c>
      <c r="B316" s="24" t="s">
        <v>745</v>
      </c>
      <c r="C316" s="0" t="s">
        <v>671</v>
      </c>
      <c r="D316" s="86" t="n">
        <v>2000</v>
      </c>
      <c r="E316" s="0" t="s">
        <v>671</v>
      </c>
      <c r="F316" s="5" t="n">
        <f aca="false">D316</f>
        <v>2000</v>
      </c>
      <c r="J316" s="24" t="s">
        <v>672</v>
      </c>
      <c r="K316" s="24" t="s">
        <v>733</v>
      </c>
      <c r="L316" s="24" t="s">
        <v>1259</v>
      </c>
    </row>
    <row r="317" customFormat="false" ht="15" hidden="false" customHeight="false" outlineLevel="0" collapsed="false">
      <c r="A317" s="0" t="s">
        <v>1260</v>
      </c>
      <c r="B317" s="24" t="s">
        <v>751</v>
      </c>
      <c r="C317" s="0" t="s">
        <v>671</v>
      </c>
      <c r="D317" s="94" t="n">
        <v>0.035</v>
      </c>
      <c r="E317" s="0" t="s">
        <v>671</v>
      </c>
      <c r="F317" s="78" t="n">
        <f aca="false">D317</f>
        <v>0.035</v>
      </c>
      <c r="J317" s="24" t="s">
        <v>672</v>
      </c>
      <c r="K317" s="24" t="s">
        <v>733</v>
      </c>
      <c r="L317" s="24"/>
    </row>
    <row r="318" customFormat="false" ht="15" hidden="false" customHeight="false" outlineLevel="0" collapsed="false">
      <c r="A318" s="0" t="s">
        <v>1261</v>
      </c>
      <c r="B318" s="24" t="s">
        <v>751</v>
      </c>
      <c r="C318" s="0" t="s">
        <v>671</v>
      </c>
      <c r="D318" s="94" t="n">
        <v>0.04</v>
      </c>
      <c r="E318" s="0" t="s">
        <v>671</v>
      </c>
      <c r="F318" s="78" t="n">
        <f aca="false">D318</f>
        <v>0.04</v>
      </c>
      <c r="J318" s="24" t="s">
        <v>736</v>
      </c>
      <c r="K318" s="24" t="s">
        <v>733</v>
      </c>
      <c r="L318" s="24"/>
    </row>
    <row r="319" customFormat="false" ht="15" hidden="false" customHeight="false" outlineLevel="0" collapsed="false">
      <c r="A319" s="0" t="s">
        <v>1262</v>
      </c>
      <c r="B319" s="24" t="s">
        <v>751</v>
      </c>
      <c r="C319" s="0" t="s">
        <v>671</v>
      </c>
      <c r="D319" s="95" t="n">
        <v>0.025</v>
      </c>
      <c r="E319" s="0" t="s">
        <v>671</v>
      </c>
      <c r="F319" s="78" t="n">
        <f aca="false">D319</f>
        <v>0.025</v>
      </c>
      <c r="J319" s="24" t="s">
        <v>736</v>
      </c>
      <c r="K319" s="24" t="s">
        <v>684</v>
      </c>
      <c r="L319" s="24" t="s">
        <v>1263</v>
      </c>
    </row>
    <row r="320" customFormat="false" ht="15" hidden="false" customHeight="false" outlineLevel="0" collapsed="false">
      <c r="A320" s="0" t="s">
        <v>1264</v>
      </c>
      <c r="B320" s="24" t="s">
        <v>745</v>
      </c>
      <c r="C320" s="0" t="s">
        <v>671</v>
      </c>
      <c r="D320" s="74" t="n">
        <v>775</v>
      </c>
      <c r="E320" s="0" t="s">
        <v>671</v>
      </c>
      <c r="F320" s="5" t="n">
        <f aca="false">D320</f>
        <v>775</v>
      </c>
      <c r="J320" s="24" t="s">
        <v>736</v>
      </c>
      <c r="K320" s="24" t="s">
        <v>684</v>
      </c>
      <c r="L320" s="24" t="s">
        <v>1265</v>
      </c>
    </row>
    <row r="321" customFormat="false" ht="15" hidden="false" customHeight="false" outlineLevel="0" collapsed="false">
      <c r="A321" s="0" t="s">
        <v>1266</v>
      </c>
      <c r="B321" s="24" t="s">
        <v>748</v>
      </c>
      <c r="C321" s="0" t="s">
        <v>671</v>
      </c>
      <c r="D321" s="30" t="n">
        <v>11</v>
      </c>
      <c r="E321" s="0" t="s">
        <v>671</v>
      </c>
      <c r="F321" s="68" t="n">
        <f aca="false">D321</f>
        <v>11</v>
      </c>
      <c r="J321" s="24" t="s">
        <v>736</v>
      </c>
      <c r="K321" s="24" t="s">
        <v>684</v>
      </c>
      <c r="L321" s="24" t="s">
        <v>1267</v>
      </c>
    </row>
    <row r="322" customFormat="false" ht="15" hidden="false" customHeight="false" outlineLevel="0" collapsed="false">
      <c r="A322" s="0" t="s">
        <v>1268</v>
      </c>
      <c r="B322" s="24" t="s">
        <v>748</v>
      </c>
      <c r="C322" s="0" t="s">
        <v>671</v>
      </c>
      <c r="D322" s="30" t="n">
        <v>28</v>
      </c>
      <c r="E322" s="0" t="s">
        <v>671</v>
      </c>
      <c r="F322" s="68" t="n">
        <f aca="false">D322</f>
        <v>28</v>
      </c>
      <c r="J322" s="24" t="s">
        <v>736</v>
      </c>
      <c r="K322" s="24" t="s">
        <v>684</v>
      </c>
      <c r="L322" s="24" t="s">
        <v>1269</v>
      </c>
    </row>
    <row r="323" customFormat="false" ht="15" hidden="false" customHeight="false" outlineLevel="0" collapsed="false">
      <c r="A323" s="0" t="s">
        <v>1270</v>
      </c>
      <c r="B323" s="24" t="s">
        <v>751</v>
      </c>
      <c r="C323" s="0" t="s">
        <v>671</v>
      </c>
      <c r="D323" s="94" t="n">
        <v>0.03</v>
      </c>
      <c r="E323" s="0" t="s">
        <v>671</v>
      </c>
      <c r="F323" s="78" t="n">
        <f aca="false">D323</f>
        <v>0.03</v>
      </c>
      <c r="J323" s="24" t="s">
        <v>736</v>
      </c>
      <c r="K323" s="24" t="s">
        <v>733</v>
      </c>
      <c r="L323" s="24"/>
    </row>
    <row r="324" customFormat="false" ht="15" hidden="false" customHeight="false" outlineLevel="0" collapsed="false">
      <c r="A324" s="0" t="s">
        <v>1271</v>
      </c>
      <c r="B324" s="24" t="s">
        <v>751</v>
      </c>
      <c r="C324" s="75" t="n">
        <v>0.6</v>
      </c>
      <c r="D324" s="75" t="n">
        <v>0.5</v>
      </c>
      <c r="E324" s="75" t="n">
        <v>0.3</v>
      </c>
      <c r="F324" s="51" t="n">
        <f aca="false">CHOOSE(Scen,C324,D324,E324)</f>
        <v>0.5</v>
      </c>
      <c r="J324" s="24" t="s">
        <v>672</v>
      </c>
      <c r="K324" s="24" t="s">
        <v>733</v>
      </c>
      <c r="L324" s="24"/>
    </row>
    <row r="325" customFormat="false" ht="15" hidden="false" customHeight="false" outlineLevel="0" collapsed="false">
      <c r="A325" s="0" t="s">
        <v>1272</v>
      </c>
      <c r="B325" s="24" t="s">
        <v>751</v>
      </c>
      <c r="C325" s="0" t="s">
        <v>671</v>
      </c>
      <c r="D325" s="75" t="n">
        <v>0.03</v>
      </c>
      <c r="E325" s="0" t="s">
        <v>671</v>
      </c>
      <c r="F325" s="51" t="n">
        <f aca="false">D325</f>
        <v>0.03</v>
      </c>
      <c r="J325" s="24" t="s">
        <v>672</v>
      </c>
      <c r="K325" s="24" t="s">
        <v>733</v>
      </c>
      <c r="L325" s="24"/>
    </row>
    <row r="326" customFormat="false" ht="15" hidden="false" customHeight="false" outlineLevel="0" collapsed="false">
      <c r="A326" s="0" t="s">
        <v>1273</v>
      </c>
      <c r="B326" s="24" t="s">
        <v>745</v>
      </c>
      <c r="C326" s="0" t="s">
        <v>671</v>
      </c>
      <c r="D326" s="74" t="n">
        <v>5680</v>
      </c>
      <c r="E326" s="0" t="s">
        <v>671</v>
      </c>
      <c r="F326" s="5" t="n">
        <f aca="false">D326</f>
        <v>5680</v>
      </c>
      <c r="J326" s="24" t="s">
        <v>736</v>
      </c>
      <c r="K326" s="24" t="s">
        <v>684</v>
      </c>
      <c r="L326" s="24" t="s">
        <v>1274</v>
      </c>
    </row>
    <row r="327" customFormat="false" ht="15" hidden="false" customHeight="false" outlineLevel="0" collapsed="false">
      <c r="A327" s="0" t="s">
        <v>1275</v>
      </c>
      <c r="B327" s="24" t="s">
        <v>809</v>
      </c>
      <c r="C327" s="0" t="s">
        <v>671</v>
      </c>
      <c r="D327" s="69" t="n">
        <v>15.77</v>
      </c>
      <c r="E327" s="0" t="s">
        <v>671</v>
      </c>
      <c r="F327" s="70" t="n">
        <f aca="false">D327</f>
        <v>15.77</v>
      </c>
      <c r="J327" s="24" t="s">
        <v>736</v>
      </c>
      <c r="K327" s="24" t="s">
        <v>684</v>
      </c>
      <c r="L327" s="24" t="s">
        <v>1276</v>
      </c>
    </row>
    <row r="328" customFormat="false" ht="15" hidden="false" customHeight="false" outlineLevel="0" collapsed="false">
      <c r="A328" s="0" t="s">
        <v>1277</v>
      </c>
      <c r="B328" s="24" t="s">
        <v>748</v>
      </c>
      <c r="C328" s="0" t="s">
        <v>671</v>
      </c>
      <c r="D328" s="30" t="n">
        <v>11</v>
      </c>
      <c r="E328" s="0" t="s">
        <v>671</v>
      </c>
      <c r="F328" s="68" t="n">
        <f aca="false">D328</f>
        <v>11</v>
      </c>
      <c r="J328" s="24" t="s">
        <v>736</v>
      </c>
      <c r="K328" s="24" t="s">
        <v>684</v>
      </c>
      <c r="L328" s="24" t="s">
        <v>1278</v>
      </c>
    </row>
    <row r="329" customFormat="false" ht="15" hidden="false" customHeight="false" outlineLevel="0" collapsed="false">
      <c r="A329" s="0" t="s">
        <v>1279</v>
      </c>
      <c r="B329" s="24" t="s">
        <v>809</v>
      </c>
      <c r="C329" s="0" t="s">
        <v>671</v>
      </c>
      <c r="D329" s="91" t="n">
        <v>0</v>
      </c>
      <c r="E329" s="0" t="s">
        <v>671</v>
      </c>
      <c r="F329" s="70" t="n">
        <f aca="false">D329</f>
        <v>0</v>
      </c>
      <c r="J329" s="24" t="s">
        <v>736</v>
      </c>
      <c r="K329" s="24" t="s">
        <v>1280</v>
      </c>
      <c r="L329" s="24" t="s">
        <v>1281</v>
      </c>
    </row>
    <row r="330" customFormat="false" ht="15" hidden="false" customHeight="false" outlineLevel="0" collapsed="false">
      <c r="A330" s="0" t="s">
        <v>1282</v>
      </c>
      <c r="B330" s="24" t="s">
        <v>676</v>
      </c>
      <c r="C330" s="0" t="s">
        <v>671</v>
      </c>
      <c r="D330" s="30" t="n">
        <v>2</v>
      </c>
      <c r="E330" s="0" t="s">
        <v>671</v>
      </c>
      <c r="F330" s="68" t="n">
        <f aca="false">D330</f>
        <v>2</v>
      </c>
      <c r="J330" s="24" t="s">
        <v>672</v>
      </c>
      <c r="K330" s="24" t="s">
        <v>673</v>
      </c>
      <c r="L330" s="24" t="s">
        <v>1283</v>
      </c>
    </row>
    <row r="331" customFormat="false" ht="15" hidden="false" customHeight="false" outlineLevel="0" collapsed="false">
      <c r="A331" s="0" t="s">
        <v>1284</v>
      </c>
      <c r="B331" s="24" t="s">
        <v>809</v>
      </c>
      <c r="C331" s="0" t="s">
        <v>671</v>
      </c>
      <c r="D331" s="96" t="n">
        <v>21.065936</v>
      </c>
      <c r="E331" s="0" t="s">
        <v>671</v>
      </c>
      <c r="F331" s="88" t="n">
        <f aca="false">D331</f>
        <v>21.065936</v>
      </c>
      <c r="J331" s="24" t="s">
        <v>736</v>
      </c>
      <c r="K331" s="24" t="s">
        <v>684</v>
      </c>
      <c r="L331" s="24" t="s">
        <v>1285</v>
      </c>
    </row>
    <row r="332" customFormat="false" ht="15" hidden="false" customHeight="false" outlineLevel="0" collapsed="false">
      <c r="A332" s="0" t="s">
        <v>1286</v>
      </c>
      <c r="B332" s="24" t="s">
        <v>748</v>
      </c>
      <c r="C332" s="0" t="s">
        <v>671</v>
      </c>
      <c r="D332" s="30" t="n">
        <v>9</v>
      </c>
      <c r="E332" s="0" t="s">
        <v>671</v>
      </c>
      <c r="F332" s="68" t="n">
        <f aca="false">D332</f>
        <v>9</v>
      </c>
      <c r="J332" s="24" t="s">
        <v>736</v>
      </c>
      <c r="K332" s="24" t="s">
        <v>684</v>
      </c>
      <c r="L332" s="24" t="s">
        <v>1287</v>
      </c>
    </row>
    <row r="333" customFormat="false" ht="15" hidden="false" customHeight="false" outlineLevel="0" collapsed="false">
      <c r="A333" s="0" t="s">
        <v>1288</v>
      </c>
      <c r="B333" s="24" t="s">
        <v>809</v>
      </c>
      <c r="C333" s="0" t="s">
        <v>671</v>
      </c>
      <c r="D333" s="96" t="n">
        <v>6.7406</v>
      </c>
      <c r="E333" s="0" t="s">
        <v>671</v>
      </c>
      <c r="F333" s="88" t="n">
        <f aca="false">D333</f>
        <v>6.7406</v>
      </c>
      <c r="J333" s="24" t="s">
        <v>736</v>
      </c>
      <c r="K333" s="24" t="s">
        <v>684</v>
      </c>
      <c r="L333" s="24" t="s">
        <v>1289</v>
      </c>
    </row>
    <row r="334" customFormat="false" ht="15" hidden="false" customHeight="false" outlineLevel="0" collapsed="false">
      <c r="A334" s="0" t="s">
        <v>1290</v>
      </c>
      <c r="B334" s="24" t="s">
        <v>682</v>
      </c>
      <c r="C334" s="0" t="s">
        <v>671</v>
      </c>
      <c r="D334" s="69" t="n">
        <v>88.65</v>
      </c>
      <c r="E334" s="0" t="s">
        <v>671</v>
      </c>
      <c r="F334" s="70" t="n">
        <f aca="false">D334</f>
        <v>88.65</v>
      </c>
      <c r="J334" s="24" t="s">
        <v>736</v>
      </c>
      <c r="K334" s="24" t="s">
        <v>684</v>
      </c>
      <c r="L334" s="24"/>
    </row>
    <row r="335" customFormat="false" ht="15" hidden="false" customHeight="false" outlineLevel="0" collapsed="false">
      <c r="A335" s="0" t="s">
        <v>1291</v>
      </c>
      <c r="B335" s="24" t="s">
        <v>809</v>
      </c>
      <c r="C335" s="0" t="s">
        <v>671</v>
      </c>
      <c r="D335" s="96" t="n">
        <v>6.234091</v>
      </c>
      <c r="E335" s="0" t="s">
        <v>671</v>
      </c>
      <c r="F335" s="88" t="n">
        <f aca="false">D335</f>
        <v>6.234091</v>
      </c>
      <c r="J335" s="24" t="s">
        <v>736</v>
      </c>
      <c r="K335" s="24" t="s">
        <v>684</v>
      </c>
      <c r="L335" s="24" t="s">
        <v>1292</v>
      </c>
    </row>
    <row r="336" customFormat="false" ht="15" hidden="false" customHeight="false" outlineLevel="0" collapsed="false">
      <c r="A336" s="0" t="s">
        <v>1293</v>
      </c>
      <c r="B336" s="24" t="s">
        <v>809</v>
      </c>
      <c r="C336" s="0" t="s">
        <v>671</v>
      </c>
      <c r="D336" s="96" t="n">
        <v>2.743655</v>
      </c>
      <c r="E336" s="0" t="s">
        <v>671</v>
      </c>
      <c r="F336" s="88" t="n">
        <f aca="false">D336</f>
        <v>2.743655</v>
      </c>
      <c r="J336" s="24" t="s">
        <v>736</v>
      </c>
      <c r="K336" s="24" t="s">
        <v>684</v>
      </c>
      <c r="L336" s="24" t="s">
        <v>1294</v>
      </c>
    </row>
    <row r="337" customFormat="false" ht="15" hidden="false" customHeight="false" outlineLevel="0" collapsed="false">
      <c r="A337" s="0" t="s">
        <v>1295</v>
      </c>
      <c r="B337" s="24" t="s">
        <v>699</v>
      </c>
      <c r="C337" s="0" t="s">
        <v>671</v>
      </c>
      <c r="D337" s="30" t="n">
        <v>0</v>
      </c>
      <c r="E337" s="0" t="s">
        <v>671</v>
      </c>
      <c r="F337" s="68" t="n">
        <f aca="false">D337</f>
        <v>0</v>
      </c>
      <c r="J337" s="24" t="s">
        <v>672</v>
      </c>
      <c r="K337" s="24" t="s">
        <v>673</v>
      </c>
      <c r="L337" s="24"/>
    </row>
    <row r="338" customFormat="false" ht="15" hidden="false" customHeight="false" outlineLevel="0" collapsed="false">
      <c r="A338" s="0" t="s">
        <v>1296</v>
      </c>
      <c r="B338" s="24" t="s">
        <v>809</v>
      </c>
      <c r="C338" s="0" t="s">
        <v>671</v>
      </c>
      <c r="D338" s="96" t="n">
        <v>12.270507</v>
      </c>
      <c r="E338" s="0" t="s">
        <v>671</v>
      </c>
      <c r="F338" s="88" t="n">
        <f aca="false">D338</f>
        <v>12.270507</v>
      </c>
      <c r="J338" s="24" t="s">
        <v>736</v>
      </c>
      <c r="K338" s="24" t="s">
        <v>684</v>
      </c>
      <c r="L338" s="24" t="s">
        <v>1297</v>
      </c>
    </row>
    <row r="339" customFormat="false" ht="15" hidden="false" customHeight="false" outlineLevel="0" collapsed="false">
      <c r="A339" s="0" t="s">
        <v>1298</v>
      </c>
      <c r="B339" s="24" t="s">
        <v>809</v>
      </c>
      <c r="C339" s="0" t="s">
        <v>671</v>
      </c>
      <c r="D339" s="23" t="n">
        <v>369.2</v>
      </c>
      <c r="E339" s="0" t="s">
        <v>671</v>
      </c>
      <c r="F339" s="71" t="n">
        <f aca="false">D339</f>
        <v>369.2</v>
      </c>
      <c r="J339" s="24" t="s">
        <v>736</v>
      </c>
      <c r="K339" s="24" t="s">
        <v>684</v>
      </c>
      <c r="L339" s="24" t="s">
        <v>1299</v>
      </c>
    </row>
    <row r="340" customFormat="false" ht="15" hidden="false" customHeight="false" outlineLevel="0" collapsed="false">
      <c r="A340" s="0" t="s">
        <v>1300</v>
      </c>
      <c r="B340" s="24" t="s">
        <v>809</v>
      </c>
      <c r="C340" s="0" t="s">
        <v>671</v>
      </c>
      <c r="D340" s="23" t="n">
        <v>381.5</v>
      </c>
      <c r="E340" s="0" t="s">
        <v>671</v>
      </c>
      <c r="F340" s="71" t="n">
        <f aca="false">D340</f>
        <v>381.5</v>
      </c>
      <c r="J340" s="24" t="s">
        <v>736</v>
      </c>
      <c r="K340" s="24" t="s">
        <v>684</v>
      </c>
      <c r="L340" s="24" t="s">
        <v>1301</v>
      </c>
    </row>
    <row r="341" customFormat="false" ht="15" hidden="false" customHeight="false" outlineLevel="0" collapsed="false">
      <c r="A341" s="0" t="s">
        <v>1302</v>
      </c>
      <c r="B341" s="24" t="s">
        <v>809</v>
      </c>
      <c r="C341" s="0" t="s">
        <v>671</v>
      </c>
      <c r="D341" s="72" t="n">
        <v>50.03</v>
      </c>
      <c r="E341" s="0" t="s">
        <v>671</v>
      </c>
      <c r="F341" s="6" t="n">
        <f aca="false">D341</f>
        <v>50.03</v>
      </c>
      <c r="J341" s="24" t="s">
        <v>736</v>
      </c>
      <c r="K341" s="24" t="s">
        <v>684</v>
      </c>
      <c r="L341" s="24" t="s">
        <v>1303</v>
      </c>
    </row>
    <row r="342" customFormat="false" ht="15" hidden="false" customHeight="false" outlineLevel="0" collapsed="false">
      <c r="A342" s="0" t="s">
        <v>1304</v>
      </c>
      <c r="B342" s="24" t="s">
        <v>745</v>
      </c>
      <c r="C342" s="0" t="s">
        <v>671</v>
      </c>
      <c r="D342" s="74" t="n">
        <v>7680</v>
      </c>
      <c r="E342" s="0" t="s">
        <v>671</v>
      </c>
      <c r="F342" s="5" t="n">
        <f aca="false">D342</f>
        <v>7680</v>
      </c>
      <c r="J342" s="24" t="s">
        <v>736</v>
      </c>
      <c r="K342" s="24" t="s">
        <v>684</v>
      </c>
      <c r="L342" s="24"/>
    </row>
    <row r="343" customFormat="false" ht="15" hidden="false" customHeight="false" outlineLevel="0" collapsed="false">
      <c r="A343" s="0" t="s">
        <v>1305</v>
      </c>
      <c r="B343" s="24" t="s">
        <v>745</v>
      </c>
      <c r="C343" s="0" t="s">
        <v>671</v>
      </c>
      <c r="D343" s="74" t="n">
        <v>79500</v>
      </c>
      <c r="E343" s="0" t="s">
        <v>671</v>
      </c>
      <c r="F343" s="5" t="n">
        <f aca="false">D343</f>
        <v>79500</v>
      </c>
      <c r="J343" s="24" t="s">
        <v>820</v>
      </c>
      <c r="K343" s="24" t="s">
        <v>706</v>
      </c>
      <c r="L343" s="24" t="s">
        <v>1306</v>
      </c>
    </row>
    <row r="344" customFormat="false" ht="15" hidden="false" customHeight="false" outlineLevel="0" collapsed="false">
      <c r="A344" s="0" t="s">
        <v>1307</v>
      </c>
      <c r="B344" s="24" t="s">
        <v>857</v>
      </c>
      <c r="C344" s="0" t="s">
        <v>671</v>
      </c>
      <c r="D344" s="74" t="n">
        <v>1500</v>
      </c>
      <c r="E344" s="0" t="s">
        <v>671</v>
      </c>
      <c r="F344" s="5" t="n">
        <f aca="false">D344</f>
        <v>1500</v>
      </c>
      <c r="J344" s="24" t="s">
        <v>820</v>
      </c>
      <c r="K344" s="24" t="s">
        <v>706</v>
      </c>
      <c r="L344" s="24"/>
    </row>
    <row r="345" customFormat="false" ht="15" hidden="false" customHeight="false" outlineLevel="0" collapsed="false">
      <c r="A345" s="0" t="s">
        <v>1308</v>
      </c>
      <c r="B345" s="24" t="s">
        <v>857</v>
      </c>
      <c r="C345" s="0" t="s">
        <v>671</v>
      </c>
      <c r="D345" s="74" t="n">
        <v>3700</v>
      </c>
      <c r="E345" s="0" t="s">
        <v>671</v>
      </c>
      <c r="F345" s="5" t="n">
        <f aca="false">D345</f>
        <v>3700</v>
      </c>
      <c r="J345" s="24" t="s">
        <v>820</v>
      </c>
      <c r="K345" s="24" t="s">
        <v>706</v>
      </c>
      <c r="L345" s="24"/>
    </row>
    <row r="346" customFormat="false" ht="15" hidden="false" customHeight="false" outlineLevel="0" collapsed="false">
      <c r="A346" s="0" t="s">
        <v>1309</v>
      </c>
      <c r="B346" s="24" t="s">
        <v>745</v>
      </c>
      <c r="C346" s="0" t="s">
        <v>671</v>
      </c>
      <c r="D346" s="86" t="n">
        <v>0</v>
      </c>
      <c r="E346" s="0" t="s">
        <v>671</v>
      </c>
      <c r="F346" s="5" t="n">
        <f aca="false">D346</f>
        <v>0</v>
      </c>
      <c r="J346" s="24" t="s">
        <v>820</v>
      </c>
      <c r="K346" s="24" t="s">
        <v>733</v>
      </c>
      <c r="L346" s="24"/>
    </row>
    <row r="347" customFormat="false" ht="15" hidden="false" customHeight="false" outlineLevel="0" collapsed="false">
      <c r="A347" s="0" t="s">
        <v>1310</v>
      </c>
      <c r="B347" s="24" t="s">
        <v>745</v>
      </c>
      <c r="C347" s="0" t="s">
        <v>671</v>
      </c>
      <c r="D347" s="86" t="n">
        <v>0</v>
      </c>
      <c r="E347" s="0" t="s">
        <v>671</v>
      </c>
      <c r="F347" s="5" t="n">
        <f aca="false">D347</f>
        <v>0</v>
      </c>
      <c r="J347" s="24" t="s">
        <v>820</v>
      </c>
      <c r="K347" s="24" t="s">
        <v>733</v>
      </c>
      <c r="L347" s="24"/>
    </row>
    <row r="348" customFormat="false" ht="15" hidden="false" customHeight="false" outlineLevel="0" collapsed="false">
      <c r="A348" s="0" t="s">
        <v>1311</v>
      </c>
      <c r="B348" s="24" t="s">
        <v>676</v>
      </c>
      <c r="C348" s="0" t="s">
        <v>671</v>
      </c>
      <c r="D348" s="30" t="n">
        <v>2</v>
      </c>
      <c r="E348" s="0" t="s">
        <v>671</v>
      </c>
      <c r="F348" s="68" t="n">
        <f aca="false">D348</f>
        <v>2</v>
      </c>
      <c r="J348" s="24" t="s">
        <v>672</v>
      </c>
      <c r="K348" s="24" t="s">
        <v>673</v>
      </c>
      <c r="L348" s="24" t="s">
        <v>1312</v>
      </c>
    </row>
    <row r="349" customFormat="false" ht="15" hidden="false" customHeight="false" outlineLevel="0" collapsed="false">
      <c r="A349" s="0" t="s">
        <v>1313</v>
      </c>
      <c r="B349" s="24" t="s">
        <v>964</v>
      </c>
      <c r="C349" s="0" t="s">
        <v>671</v>
      </c>
      <c r="D349" s="94" t="n">
        <v>0</v>
      </c>
      <c r="E349" s="0" t="s">
        <v>671</v>
      </c>
      <c r="F349" s="78" t="n">
        <f aca="false">D349</f>
        <v>0</v>
      </c>
      <c r="J349" s="24" t="s">
        <v>736</v>
      </c>
      <c r="K349" s="24" t="s">
        <v>733</v>
      </c>
      <c r="L349" s="24" t="s">
        <v>1314</v>
      </c>
    </row>
    <row r="350" customFormat="false" ht="15" hidden="false" customHeight="false" outlineLevel="0" collapsed="false">
      <c r="A350" s="0" t="s">
        <v>1315</v>
      </c>
      <c r="B350" s="24" t="s">
        <v>751</v>
      </c>
      <c r="C350" s="0" t="s">
        <v>671</v>
      </c>
      <c r="D350" s="41" t="n">
        <v>0.258</v>
      </c>
      <c r="E350" s="0" t="s">
        <v>671</v>
      </c>
      <c r="F350" s="85" t="n">
        <f aca="false">D350</f>
        <v>0.258</v>
      </c>
      <c r="J350" s="24" t="s">
        <v>736</v>
      </c>
      <c r="K350" s="24" t="s">
        <v>691</v>
      </c>
      <c r="L350" s="24" t="s">
        <v>1316</v>
      </c>
    </row>
    <row r="351" customFormat="false" ht="15" hidden="false" customHeight="false" outlineLevel="0" collapsed="false">
      <c r="A351" s="0" t="s">
        <v>1317</v>
      </c>
      <c r="B351" s="24" t="s">
        <v>676</v>
      </c>
      <c r="C351" s="0" t="s">
        <v>671</v>
      </c>
      <c r="D351" s="30" t="n">
        <v>3</v>
      </c>
      <c r="E351" s="0" t="s">
        <v>671</v>
      </c>
      <c r="F351" s="68" t="n">
        <f aca="false">D351</f>
        <v>3</v>
      </c>
      <c r="J351" s="24" t="s">
        <v>736</v>
      </c>
      <c r="K351" s="24" t="s">
        <v>673</v>
      </c>
      <c r="L351" s="24" t="s">
        <v>1318</v>
      </c>
    </row>
    <row r="352" customFormat="false" ht="15" hidden="false" customHeight="false" outlineLevel="0" collapsed="false">
      <c r="A352" s="64" t="s">
        <v>1319</v>
      </c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</row>
    <row r="353" customFormat="false" ht="15" hidden="false" customHeight="false" outlineLevel="0" collapsed="false">
      <c r="A353" s="0" t="s">
        <v>1320</v>
      </c>
      <c r="B353" s="24" t="s">
        <v>699</v>
      </c>
      <c r="C353" s="0" t="s">
        <v>671</v>
      </c>
      <c r="D353" s="31" t="n">
        <v>1</v>
      </c>
      <c r="E353" s="0" t="s">
        <v>671</v>
      </c>
      <c r="F353" s="68" t="n">
        <f aca="false">D353</f>
        <v>1</v>
      </c>
      <c r="J353" s="24" t="s">
        <v>672</v>
      </c>
      <c r="K353" s="24" t="s">
        <v>691</v>
      </c>
      <c r="L353" s="24" t="s">
        <v>1321</v>
      </c>
    </row>
    <row r="354" customFormat="false" ht="15" hidden="false" customHeight="false" outlineLevel="0" collapsed="false">
      <c r="A354" s="0" t="s">
        <v>1322</v>
      </c>
      <c r="B354" s="24" t="s">
        <v>676</v>
      </c>
      <c r="C354" s="31" t="n">
        <v>1</v>
      </c>
      <c r="D354" s="31" t="n">
        <v>1</v>
      </c>
      <c r="E354" s="31" t="n">
        <v>2</v>
      </c>
      <c r="F354" s="68" t="n">
        <f aca="false">CHOOSE(Scen,C354,D354,E354)</f>
        <v>1</v>
      </c>
      <c r="J354" s="24" t="s">
        <v>672</v>
      </c>
      <c r="K354" s="24" t="s">
        <v>691</v>
      </c>
      <c r="L354" s="24" t="s">
        <v>1323</v>
      </c>
    </row>
    <row r="355" customFormat="false" ht="15" hidden="false" customHeight="false" outlineLevel="0" collapsed="false">
      <c r="A355" s="0" t="s">
        <v>1324</v>
      </c>
      <c r="B355" s="24" t="s">
        <v>748</v>
      </c>
      <c r="C355" s="0" t="s">
        <v>671</v>
      </c>
      <c r="D355" s="31" t="n">
        <v>12</v>
      </c>
      <c r="E355" s="0" t="s">
        <v>671</v>
      </c>
      <c r="F355" s="68" t="n">
        <f aca="false">D355</f>
        <v>12</v>
      </c>
      <c r="J355" s="24" t="s">
        <v>672</v>
      </c>
      <c r="K355" s="24" t="s">
        <v>691</v>
      </c>
      <c r="L355" s="24" t="s">
        <v>474</v>
      </c>
    </row>
    <row r="356" customFormat="false" ht="15" hidden="false" customHeight="false" outlineLevel="0" collapsed="false">
      <c r="A356" s="0" t="s">
        <v>1325</v>
      </c>
      <c r="B356" s="24" t="s">
        <v>751</v>
      </c>
      <c r="C356" s="43" t="n">
        <v>0</v>
      </c>
      <c r="D356" s="43" t="n">
        <v>0</v>
      </c>
      <c r="E356" s="43" t="n">
        <v>0.4</v>
      </c>
      <c r="F356" s="51" t="n">
        <f aca="false">CHOOSE(Scen,C356,D356,E356)</f>
        <v>0</v>
      </c>
      <c r="J356" s="24" t="s">
        <v>672</v>
      </c>
      <c r="K356" s="24" t="s">
        <v>691</v>
      </c>
      <c r="L356" s="24" t="s">
        <v>1326</v>
      </c>
    </row>
    <row r="357" customFormat="false" ht="15" hidden="false" customHeight="false" outlineLevel="0" collapsed="false">
      <c r="A357" s="0" t="s">
        <v>1327</v>
      </c>
      <c r="B357" s="24" t="s">
        <v>745</v>
      </c>
      <c r="C357" s="83" t="n">
        <v>0</v>
      </c>
      <c r="D357" s="83" t="n">
        <v>0</v>
      </c>
      <c r="E357" s="83" t="n">
        <v>9000</v>
      </c>
      <c r="F357" s="5" t="n">
        <f aca="false">CHOOSE(Scen,C357,D357,E357)</f>
        <v>0</v>
      </c>
      <c r="J357" s="24" t="s">
        <v>672</v>
      </c>
      <c r="K357" s="24" t="s">
        <v>691</v>
      </c>
      <c r="L357" s="24" t="s">
        <v>1328</v>
      </c>
    </row>
    <row r="358" customFormat="false" ht="15" hidden="false" customHeight="false" outlineLevel="0" collapsed="false">
      <c r="A358" s="0" t="s">
        <v>1329</v>
      </c>
      <c r="B358" s="24" t="s">
        <v>682</v>
      </c>
      <c r="C358" s="0" t="s">
        <v>671</v>
      </c>
      <c r="D358" s="25" t="n">
        <f aca="false">SharePx*(1-FP_ATMDisc)</f>
        <v>242.81</v>
      </c>
      <c r="E358" s="0" t="s">
        <v>671</v>
      </c>
      <c r="F358" s="6" t="n">
        <f aca="false">D358</f>
        <v>242.81</v>
      </c>
      <c r="J358" s="24" t="s">
        <v>672</v>
      </c>
      <c r="K358" s="24" t="s">
        <v>706</v>
      </c>
      <c r="L358" s="24"/>
    </row>
    <row r="359" customFormat="false" ht="15" hidden="false" customHeight="false" outlineLevel="0" collapsed="false">
      <c r="A359" s="0" t="s">
        <v>1330</v>
      </c>
      <c r="B359" s="24" t="s">
        <v>809</v>
      </c>
      <c r="C359" s="0" t="s">
        <v>671</v>
      </c>
      <c r="D359" s="37" t="n">
        <f aca="false">FP_On*(1-StopBuild)*IF(OR(FP_ATMMode=1,FP_Resize=1),ATM_Rem,FP_ATMAmt/FP_ATMPx)</f>
        <v>12.270507</v>
      </c>
      <c r="E359" s="0" t="s">
        <v>671</v>
      </c>
      <c r="F359" s="88" t="n">
        <f aca="false">D359</f>
        <v>12.270507</v>
      </c>
      <c r="J359" s="24" t="s">
        <v>672</v>
      </c>
      <c r="K359" s="24" t="s">
        <v>706</v>
      </c>
      <c r="L359" s="24"/>
    </row>
    <row r="360" customFormat="false" ht="15" hidden="false" customHeight="false" outlineLevel="0" collapsed="false">
      <c r="A360" s="0" t="s">
        <v>1331</v>
      </c>
      <c r="B360" s="24" t="s">
        <v>745</v>
      </c>
      <c r="C360" s="0" t="s">
        <v>671</v>
      </c>
      <c r="D360" s="35" t="n">
        <f aca="false">FP_ATMSh*FP_ATMPx</f>
        <v>2979.40180467</v>
      </c>
      <c r="E360" s="0" t="s">
        <v>671</v>
      </c>
      <c r="F360" s="5" t="n">
        <f aca="false">D360</f>
        <v>2979.40180467</v>
      </c>
      <c r="J360" s="24" t="s">
        <v>672</v>
      </c>
      <c r="K360" s="24" t="s">
        <v>706</v>
      </c>
      <c r="L360" s="24" t="s">
        <v>1332</v>
      </c>
    </row>
    <row r="361" customFormat="false" ht="15" hidden="false" customHeight="false" outlineLevel="0" collapsed="false">
      <c r="A361" s="0" t="s">
        <v>1333</v>
      </c>
      <c r="B361" s="24" t="s">
        <v>699</v>
      </c>
      <c r="C361" s="31" t="n">
        <v>1</v>
      </c>
      <c r="D361" s="31" t="n">
        <v>1</v>
      </c>
      <c r="E361" s="31" t="n">
        <v>0</v>
      </c>
      <c r="F361" s="68" t="n">
        <f aca="false">CHOOSE(Scen,C361,D361,E361)</f>
        <v>1</v>
      </c>
      <c r="J361" s="24" t="s">
        <v>672</v>
      </c>
      <c r="K361" s="24" t="s">
        <v>691</v>
      </c>
      <c r="L361" s="24" t="s">
        <v>1334</v>
      </c>
    </row>
    <row r="362" customFormat="false" ht="15" hidden="false" customHeight="false" outlineLevel="0" collapsed="false">
      <c r="A362" s="0" t="s">
        <v>1335</v>
      </c>
      <c r="B362" s="24" t="s">
        <v>748</v>
      </c>
      <c r="C362" s="0" t="s">
        <v>671</v>
      </c>
      <c r="D362" s="31" t="n">
        <v>13</v>
      </c>
      <c r="E362" s="0" t="s">
        <v>671</v>
      </c>
      <c r="F362" s="68" t="n">
        <f aca="false">D362</f>
        <v>13</v>
      </c>
      <c r="J362" s="24" t="s">
        <v>672</v>
      </c>
      <c r="K362" s="24" t="s">
        <v>691</v>
      </c>
      <c r="L362" s="24" t="s">
        <v>1336</v>
      </c>
    </row>
    <row r="363" customFormat="false" ht="15" hidden="false" customHeight="false" outlineLevel="0" collapsed="false">
      <c r="A363" s="0" t="s">
        <v>1337</v>
      </c>
      <c r="B363" s="24" t="s">
        <v>748</v>
      </c>
      <c r="C363" s="0" t="s">
        <v>671</v>
      </c>
      <c r="D363" s="31" t="n">
        <v>15</v>
      </c>
      <c r="E363" s="0" t="s">
        <v>671</v>
      </c>
      <c r="F363" s="68" t="n">
        <f aca="false">D363</f>
        <v>15</v>
      </c>
      <c r="J363" s="24" t="s">
        <v>672</v>
      </c>
      <c r="K363" s="24" t="s">
        <v>691</v>
      </c>
      <c r="L363" s="24" t="s">
        <v>72</v>
      </c>
    </row>
    <row r="364" customFormat="false" ht="15" hidden="false" customHeight="false" outlineLevel="0" collapsed="false">
      <c r="A364" s="0" t="s">
        <v>1338</v>
      </c>
      <c r="B364" s="24" t="s">
        <v>745</v>
      </c>
      <c r="C364" s="0" t="s">
        <v>671</v>
      </c>
      <c r="D364" s="83" t="n">
        <v>6400</v>
      </c>
      <c r="E364" s="0" t="s">
        <v>671</v>
      </c>
      <c r="F364" s="5" t="n">
        <f aca="false">D364</f>
        <v>6400</v>
      </c>
      <c r="J364" s="24" t="s">
        <v>672</v>
      </c>
      <c r="K364" s="24" t="s">
        <v>691</v>
      </c>
      <c r="L364" s="24" t="s">
        <v>1339</v>
      </c>
    </row>
    <row r="365" customFormat="false" ht="15" hidden="false" customHeight="false" outlineLevel="0" collapsed="false">
      <c r="A365" s="0" t="s">
        <v>1340</v>
      </c>
      <c r="B365" s="24" t="s">
        <v>745</v>
      </c>
      <c r="C365" s="0" t="s">
        <v>671</v>
      </c>
      <c r="D365" s="83" t="n">
        <v>6400</v>
      </c>
      <c r="E365" s="0" t="s">
        <v>671</v>
      </c>
      <c r="F365" s="5" t="n">
        <f aca="false">D365</f>
        <v>6400</v>
      </c>
      <c r="J365" s="24" t="s">
        <v>672</v>
      </c>
      <c r="K365" s="24" t="s">
        <v>691</v>
      </c>
      <c r="L365" s="24"/>
    </row>
    <row r="366" customFormat="false" ht="15" hidden="false" customHeight="false" outlineLevel="0" collapsed="false">
      <c r="A366" s="0" t="s">
        <v>1341</v>
      </c>
      <c r="B366" s="24" t="s">
        <v>699</v>
      </c>
      <c r="C366" s="0" t="s">
        <v>671</v>
      </c>
      <c r="D366" s="31" t="n">
        <v>1</v>
      </c>
      <c r="E366" s="0" t="s">
        <v>671</v>
      </c>
      <c r="F366" s="68" t="n">
        <f aca="false">D366</f>
        <v>1</v>
      </c>
      <c r="J366" s="24" t="s">
        <v>672</v>
      </c>
      <c r="K366" s="24" t="s">
        <v>691</v>
      </c>
      <c r="L366" s="24" t="s">
        <v>1342</v>
      </c>
    </row>
    <row r="367" customFormat="false" ht="15" hidden="false" customHeight="false" outlineLevel="0" collapsed="false">
      <c r="A367" s="0" t="s">
        <v>1343</v>
      </c>
      <c r="B367" s="24" t="s">
        <v>745</v>
      </c>
      <c r="C367" s="0" t="s">
        <v>671</v>
      </c>
      <c r="D367" s="35" t="n">
        <f aca="false">MAX(0,FP_CV1Amt-ABS_CVOff*SUMPRODUCT((Q_Idx&lt;=FP_CV1Idx)*ABS_Draw))</f>
        <v>6400</v>
      </c>
      <c r="E367" s="0" t="s">
        <v>671</v>
      </c>
      <c r="F367" s="5" t="n">
        <f aca="false">D367</f>
        <v>6400</v>
      </c>
      <c r="J367" s="24" t="s">
        <v>672</v>
      </c>
      <c r="K367" s="24" t="s">
        <v>706</v>
      </c>
      <c r="L367" s="24"/>
    </row>
    <row r="368" customFormat="false" ht="15" hidden="false" customHeight="false" outlineLevel="0" collapsed="false">
      <c r="A368" s="0" t="s">
        <v>1344</v>
      </c>
      <c r="B368" s="24" t="s">
        <v>745</v>
      </c>
      <c r="C368" s="0" t="s">
        <v>671</v>
      </c>
      <c r="D368" s="35" t="n">
        <f aca="false">MAX(0,FP_CV2Amt-MAX(0,ABS_CVOff*SUMPRODUCT((Q_Idx&lt;=FP_CV2Idx)*ABS_Draw)-(FP_CV1Amt-FP_CV1Net)))</f>
        <v>6400</v>
      </c>
      <c r="E368" s="0" t="s">
        <v>671</v>
      </c>
      <c r="F368" s="5" t="n">
        <f aca="false">D368</f>
        <v>6400</v>
      </c>
      <c r="J368" s="24" t="s">
        <v>672</v>
      </c>
      <c r="K368" s="24" t="s">
        <v>706</v>
      </c>
      <c r="L368" s="24"/>
    </row>
    <row r="369" customFormat="false" ht="15" hidden="false" customHeight="false" outlineLevel="0" collapsed="false">
      <c r="A369" s="0" t="s">
        <v>1345</v>
      </c>
      <c r="B369" s="24" t="s">
        <v>751</v>
      </c>
      <c r="C369" s="0" t="s">
        <v>671</v>
      </c>
      <c r="D369" s="76" t="n">
        <v>0.6</v>
      </c>
      <c r="E369" s="0" t="s">
        <v>671</v>
      </c>
      <c r="F369" s="51" t="n">
        <f aca="false">D369</f>
        <v>0.6</v>
      </c>
      <c r="J369" s="24" t="s">
        <v>736</v>
      </c>
      <c r="K369" s="24" t="s">
        <v>706</v>
      </c>
      <c r="L369" s="24" t="s">
        <v>1346</v>
      </c>
    </row>
    <row r="370" customFormat="false" ht="15" hidden="false" customHeight="false" outlineLevel="0" collapsed="false">
      <c r="A370" s="0" t="s">
        <v>1347</v>
      </c>
      <c r="B370" s="24" t="s">
        <v>751</v>
      </c>
      <c r="C370" s="0" t="s">
        <v>671</v>
      </c>
      <c r="D370" s="95" t="n">
        <v>0.005</v>
      </c>
      <c r="E370" s="0" t="s">
        <v>671</v>
      </c>
      <c r="F370" s="78" t="n">
        <f aca="false">D370</f>
        <v>0.005</v>
      </c>
      <c r="J370" s="24" t="s">
        <v>736</v>
      </c>
      <c r="K370" s="24" t="s">
        <v>684</v>
      </c>
      <c r="L370" s="24" t="s">
        <v>1348</v>
      </c>
    </row>
    <row r="371" customFormat="false" ht="15" hidden="false" customHeight="false" outlineLevel="0" collapsed="false">
      <c r="A371" s="0" t="s">
        <v>1349</v>
      </c>
      <c r="B371" s="24" t="s">
        <v>751</v>
      </c>
      <c r="C371" s="0" t="s">
        <v>671</v>
      </c>
      <c r="D371" s="95" t="n">
        <v>0.045</v>
      </c>
      <c r="E371" s="0" t="s">
        <v>671</v>
      </c>
      <c r="F371" s="78" t="n">
        <f aca="false">D371</f>
        <v>0.045</v>
      </c>
      <c r="J371" s="24" t="s">
        <v>736</v>
      </c>
      <c r="K371" s="24" t="s">
        <v>684</v>
      </c>
      <c r="L371" s="24" t="s">
        <v>1350</v>
      </c>
    </row>
    <row r="372" customFormat="false" ht="15" hidden="false" customHeight="false" outlineLevel="0" collapsed="false">
      <c r="A372" s="0" t="s">
        <v>1351</v>
      </c>
      <c r="B372" s="24" t="s">
        <v>930</v>
      </c>
      <c r="C372" s="0" t="s">
        <v>671</v>
      </c>
      <c r="D372" s="72" t="n">
        <v>1.1</v>
      </c>
      <c r="E372" s="0" t="s">
        <v>671</v>
      </c>
      <c r="F372" s="6" t="n">
        <f aca="false">D372</f>
        <v>1.1</v>
      </c>
      <c r="J372" s="24" t="s">
        <v>736</v>
      </c>
      <c r="K372" s="24" t="s">
        <v>684</v>
      </c>
      <c r="L372" s="24" t="s">
        <v>1352</v>
      </c>
    </row>
    <row r="373" customFormat="false" ht="15" hidden="false" customHeight="false" outlineLevel="0" collapsed="false">
      <c r="A373" s="0" t="s">
        <v>1353</v>
      </c>
      <c r="B373" s="24" t="s">
        <v>930</v>
      </c>
      <c r="C373" s="0" t="s">
        <v>671</v>
      </c>
      <c r="D373" s="72" t="n">
        <v>1.25</v>
      </c>
      <c r="E373" s="0" t="s">
        <v>671</v>
      </c>
      <c r="F373" s="6" t="n">
        <f aca="false">D373</f>
        <v>1.25</v>
      </c>
      <c r="J373" s="24" t="s">
        <v>736</v>
      </c>
      <c r="K373" s="24" t="s">
        <v>684</v>
      </c>
      <c r="L373" s="24" t="s">
        <v>1354</v>
      </c>
    </row>
    <row r="374" customFormat="false" ht="15" hidden="false" customHeight="false" outlineLevel="0" collapsed="false">
      <c r="A374" s="0" t="s">
        <v>1355</v>
      </c>
      <c r="B374" s="24" t="s">
        <v>751</v>
      </c>
      <c r="C374" s="0" t="s">
        <v>671</v>
      </c>
      <c r="D374" s="76" t="n">
        <v>0.4</v>
      </c>
      <c r="E374" s="0" t="s">
        <v>671</v>
      </c>
      <c r="F374" s="51" t="n">
        <f aca="false">D374</f>
        <v>0.4</v>
      </c>
      <c r="J374" s="24" t="s">
        <v>736</v>
      </c>
      <c r="K374" s="24" t="s">
        <v>706</v>
      </c>
      <c r="L374" s="24" t="s">
        <v>1356</v>
      </c>
    </row>
    <row r="375" customFormat="false" ht="15" hidden="false" customHeight="false" outlineLevel="0" collapsed="false">
      <c r="A375" s="0" t="s">
        <v>1357</v>
      </c>
      <c r="B375" s="24" t="s">
        <v>751</v>
      </c>
      <c r="C375" s="0" t="s">
        <v>671</v>
      </c>
      <c r="D375" s="76" t="n">
        <v>0.45</v>
      </c>
      <c r="E375" s="0" t="s">
        <v>671</v>
      </c>
      <c r="F375" s="51" t="n">
        <f aca="false">D375</f>
        <v>0.45</v>
      </c>
      <c r="J375" s="24" t="s">
        <v>736</v>
      </c>
      <c r="K375" s="24" t="s">
        <v>706</v>
      </c>
      <c r="L375" s="24" t="s">
        <v>1358</v>
      </c>
    </row>
    <row r="376" customFormat="false" ht="15" hidden="false" customHeight="false" outlineLevel="0" collapsed="false">
      <c r="A376" s="0" t="s">
        <v>1359</v>
      </c>
      <c r="B376" s="24" t="s">
        <v>823</v>
      </c>
      <c r="C376" s="0" t="s">
        <v>671</v>
      </c>
      <c r="D376" s="23" t="n">
        <v>3.5</v>
      </c>
      <c r="E376" s="0" t="s">
        <v>671</v>
      </c>
      <c r="F376" s="71" t="n">
        <f aca="false">D376</f>
        <v>3.5</v>
      </c>
      <c r="J376" s="24" t="s">
        <v>736</v>
      </c>
      <c r="K376" s="24" t="s">
        <v>706</v>
      </c>
      <c r="L376" s="24" t="s">
        <v>1360</v>
      </c>
    </row>
    <row r="377" customFormat="false" ht="15" hidden="false" customHeight="false" outlineLevel="0" collapsed="false">
      <c r="A377" s="0" t="s">
        <v>1361</v>
      </c>
      <c r="B377" s="24" t="s">
        <v>823</v>
      </c>
      <c r="C377" s="0" t="s">
        <v>671</v>
      </c>
      <c r="D377" s="23" t="n">
        <v>7.5</v>
      </c>
      <c r="E377" s="0" t="s">
        <v>671</v>
      </c>
      <c r="F377" s="71" t="n">
        <f aca="false">D377</f>
        <v>7.5</v>
      </c>
      <c r="J377" s="24" t="s">
        <v>736</v>
      </c>
      <c r="K377" s="24" t="s">
        <v>706</v>
      </c>
      <c r="L377" s="24" t="s">
        <v>1362</v>
      </c>
    </row>
    <row r="378" customFormat="false" ht="15" hidden="false" customHeight="false" outlineLevel="0" collapsed="false">
      <c r="A378" s="0" t="s">
        <v>1363</v>
      </c>
      <c r="B378" s="24" t="s">
        <v>682</v>
      </c>
      <c r="C378" s="0" t="s">
        <v>671</v>
      </c>
      <c r="D378" s="97" t="n">
        <f aca="false">SharePx</f>
        <v>242.81</v>
      </c>
      <c r="E378" s="0" t="s">
        <v>671</v>
      </c>
      <c r="F378" s="6" t="n">
        <f aca="false">D378</f>
        <v>242.81</v>
      </c>
      <c r="J378" s="24" t="s">
        <v>672</v>
      </c>
      <c r="K378" s="24" t="s">
        <v>691</v>
      </c>
      <c r="L378" s="24" t="s">
        <v>1364</v>
      </c>
    </row>
    <row r="379" customFormat="false" ht="15" hidden="false" customHeight="false" outlineLevel="0" collapsed="false">
      <c r="A379" s="0" t="s">
        <v>1365</v>
      </c>
      <c r="B379" s="24" t="s">
        <v>751</v>
      </c>
      <c r="C379" s="0" t="s">
        <v>671</v>
      </c>
      <c r="D379" s="29" t="n">
        <f aca="false">1-AugNet/AugGross</f>
        <v>0.0121739130434783</v>
      </c>
      <c r="E379" s="0" t="s">
        <v>671</v>
      </c>
      <c r="F379" s="85" t="n">
        <f aca="false">D379</f>
        <v>0.0121739130434783</v>
      </c>
      <c r="J379" s="24" t="s">
        <v>736</v>
      </c>
      <c r="K379" s="24" t="s">
        <v>706</v>
      </c>
      <c r="L379" s="24" t="s">
        <v>1366</v>
      </c>
    </row>
    <row r="380" customFormat="false" ht="15" hidden="false" customHeight="false" outlineLevel="0" collapsed="false">
      <c r="A380" s="0" t="s">
        <v>1367</v>
      </c>
      <c r="B380" s="24" t="s">
        <v>748</v>
      </c>
      <c r="C380" s="0" t="s">
        <v>671</v>
      </c>
      <c r="D380" s="26" t="n">
        <f aca="false">IF(FP_Resize=1,FP_TopEnd,16)</f>
        <v>28</v>
      </c>
      <c r="E380" s="0" t="s">
        <v>671</v>
      </c>
      <c r="F380" s="68" t="n">
        <f aca="false">D380</f>
        <v>28</v>
      </c>
      <c r="J380" s="24" t="s">
        <v>672</v>
      </c>
      <c r="K380" s="24" t="s">
        <v>706</v>
      </c>
      <c r="L380" s="24" t="s">
        <v>1368</v>
      </c>
    </row>
    <row r="381" customFormat="false" ht="15" hidden="false" customHeight="false" outlineLevel="0" collapsed="false">
      <c r="A381" s="0" t="s">
        <v>1369</v>
      </c>
      <c r="B381" s="24" t="s">
        <v>745</v>
      </c>
      <c r="C381" s="0" t="s">
        <v>671</v>
      </c>
      <c r="D381" s="82" t="n">
        <v>-37.1</v>
      </c>
      <c r="E381" s="0" t="s">
        <v>671</v>
      </c>
      <c r="F381" s="50" t="n">
        <f aca="false">D381</f>
        <v>-37.1</v>
      </c>
      <c r="J381" s="24" t="s">
        <v>736</v>
      </c>
      <c r="K381" s="24" t="s">
        <v>684</v>
      </c>
      <c r="L381" s="24" t="s">
        <v>1370</v>
      </c>
    </row>
    <row r="382" customFormat="false" ht="15" hidden="false" customHeight="false" outlineLevel="0" collapsed="false">
      <c r="A382" s="0" t="s">
        <v>1371</v>
      </c>
      <c r="B382" s="24" t="s">
        <v>699</v>
      </c>
      <c r="C382" s="0" t="s">
        <v>671</v>
      </c>
      <c r="D382" s="30" t="n">
        <v>1</v>
      </c>
      <c r="E382" s="0" t="s">
        <v>671</v>
      </c>
      <c r="F382" s="68" t="n">
        <f aca="false">D382</f>
        <v>1</v>
      </c>
      <c r="J382" s="24" t="s">
        <v>672</v>
      </c>
      <c r="K382" s="24" t="s">
        <v>673</v>
      </c>
      <c r="L382" s="24" t="s">
        <v>1372</v>
      </c>
    </row>
    <row r="383" customFormat="false" ht="15" hidden="false" customHeight="false" outlineLevel="0" collapsed="false">
      <c r="A383" s="64" t="s">
        <v>1373</v>
      </c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</row>
    <row r="384" customFormat="false" ht="15" hidden="false" customHeight="false" outlineLevel="0" collapsed="false">
      <c r="A384" s="0" t="s">
        <v>1374</v>
      </c>
      <c r="B384" s="24" t="s">
        <v>751</v>
      </c>
      <c r="C384" s="41" t="n">
        <v>0.1</v>
      </c>
      <c r="D384" s="41" t="n">
        <v>0.11</v>
      </c>
      <c r="E384" s="41" t="n">
        <v>0.13</v>
      </c>
      <c r="F384" s="85" t="n">
        <f aca="false">CHOOSE(Scen,C384,D384,E384)</f>
        <v>0.11</v>
      </c>
      <c r="J384" s="24" t="s">
        <v>672</v>
      </c>
      <c r="K384" s="24" t="s">
        <v>691</v>
      </c>
      <c r="L384" s="24"/>
    </row>
    <row r="385" customFormat="false" ht="15" hidden="false" customHeight="false" outlineLevel="0" collapsed="false">
      <c r="A385" s="0" t="s">
        <v>1375</v>
      </c>
      <c r="B385" s="24" t="s">
        <v>751</v>
      </c>
      <c r="C385" s="41" t="n">
        <v>0.12</v>
      </c>
      <c r="D385" s="41" t="n">
        <v>0.13</v>
      </c>
      <c r="E385" s="41" t="n">
        <v>0.15</v>
      </c>
      <c r="F385" s="85" t="n">
        <f aca="false">CHOOSE(Scen,C385,D385,E385)</f>
        <v>0.13</v>
      </c>
      <c r="J385" s="24" t="s">
        <v>672</v>
      </c>
      <c r="K385" s="24" t="s">
        <v>691</v>
      </c>
      <c r="L385" s="24"/>
    </row>
    <row r="386" customFormat="false" ht="15" hidden="false" customHeight="false" outlineLevel="0" collapsed="false">
      <c r="A386" s="0" t="s">
        <v>1376</v>
      </c>
      <c r="B386" s="24" t="s">
        <v>751</v>
      </c>
      <c r="C386" s="41" t="n">
        <v>0.035</v>
      </c>
      <c r="D386" s="41" t="n">
        <v>0.03</v>
      </c>
      <c r="E386" s="41" t="n">
        <v>0.02</v>
      </c>
      <c r="F386" s="85" t="n">
        <f aca="false">CHOOSE(Scen,C386,D386,E386)</f>
        <v>0.03</v>
      </c>
      <c r="J386" s="24" t="s">
        <v>672</v>
      </c>
      <c r="K386" s="24" t="s">
        <v>691</v>
      </c>
      <c r="L386" s="24"/>
    </row>
    <row r="387" customFormat="false" ht="15" hidden="false" customHeight="false" outlineLevel="0" collapsed="false">
      <c r="A387" s="0" t="s">
        <v>1377</v>
      </c>
      <c r="B387" s="24" t="s">
        <v>699</v>
      </c>
      <c r="C387" s="0" t="s">
        <v>671</v>
      </c>
      <c r="D387" s="30" t="n">
        <v>1</v>
      </c>
      <c r="E387" s="0" t="s">
        <v>671</v>
      </c>
      <c r="F387" s="68" t="n">
        <f aca="false">D387</f>
        <v>1</v>
      </c>
      <c r="J387" s="24" t="s">
        <v>683</v>
      </c>
      <c r="K387" s="24" t="s">
        <v>673</v>
      </c>
      <c r="L387" s="24" t="s">
        <v>1378</v>
      </c>
    </row>
    <row r="388" customFormat="false" ht="15" hidden="false" customHeight="false" outlineLevel="0" collapsed="false">
      <c r="A388" s="0" t="s">
        <v>1379</v>
      </c>
      <c r="B388" s="24" t="s">
        <v>751</v>
      </c>
      <c r="C388" s="41" t="n">
        <v>0.14</v>
      </c>
      <c r="D388" s="41" t="n">
        <v>0.12</v>
      </c>
      <c r="E388" s="41" t="n">
        <v>0.1</v>
      </c>
      <c r="F388" s="85" t="n">
        <f aca="false">CHOOSE(Scen,C388,D388,E388)</f>
        <v>0.12</v>
      </c>
      <c r="J388" s="24" t="s">
        <v>683</v>
      </c>
      <c r="K388" s="24" t="s">
        <v>691</v>
      </c>
      <c r="L388" s="24" t="s">
        <v>1380</v>
      </c>
    </row>
    <row r="389" customFormat="false" ht="15" hidden="false" customHeight="false" outlineLevel="0" collapsed="false">
      <c r="A389" s="0" t="s">
        <v>1381</v>
      </c>
      <c r="B389" s="24" t="s">
        <v>751</v>
      </c>
      <c r="C389" s="41" t="n">
        <v>0.25</v>
      </c>
      <c r="D389" s="41" t="n">
        <v>0.25</v>
      </c>
      <c r="E389" s="41" t="n">
        <v>0.2</v>
      </c>
      <c r="F389" s="85" t="n">
        <f aca="false">CHOOSE(Scen,C389,D389,E389)</f>
        <v>0.25</v>
      </c>
      <c r="J389" s="24" t="s">
        <v>683</v>
      </c>
      <c r="K389" s="24" t="s">
        <v>691</v>
      </c>
      <c r="L389" s="24" t="s">
        <v>1382</v>
      </c>
    </row>
    <row r="390" customFormat="false" ht="15" hidden="false" customHeight="false" outlineLevel="0" collapsed="false">
      <c r="A390" s="0" t="s">
        <v>1383</v>
      </c>
      <c r="B390" s="24" t="s">
        <v>751</v>
      </c>
      <c r="C390" s="0" t="s">
        <v>671</v>
      </c>
      <c r="D390" s="41" t="n">
        <v>0.04</v>
      </c>
      <c r="E390" s="0" t="s">
        <v>671</v>
      </c>
      <c r="F390" s="85" t="n">
        <f aca="false">D390</f>
        <v>0.04</v>
      </c>
      <c r="J390" s="24" t="s">
        <v>672</v>
      </c>
      <c r="K390" s="24" t="s">
        <v>691</v>
      </c>
      <c r="L390" s="24"/>
    </row>
    <row r="391" customFormat="false" ht="15" hidden="false" customHeight="false" outlineLevel="0" collapsed="false">
      <c r="A391" s="0" t="s">
        <v>1384</v>
      </c>
      <c r="B391" s="24" t="s">
        <v>930</v>
      </c>
      <c r="C391" s="98" t="n">
        <v>18</v>
      </c>
      <c r="D391" s="98" t="n">
        <v>14</v>
      </c>
      <c r="E391" s="98" t="n">
        <v>9</v>
      </c>
      <c r="F391" s="99" t="n">
        <f aca="false">CHOOSE(Scen,C391,D391,E391)</f>
        <v>14</v>
      </c>
      <c r="J391" s="24" t="s">
        <v>820</v>
      </c>
      <c r="K391" s="24" t="s">
        <v>733</v>
      </c>
      <c r="L391" s="24" t="s">
        <v>1385</v>
      </c>
    </row>
    <row r="392" customFormat="false" ht="15" hidden="false" customHeight="false" outlineLevel="0" collapsed="false">
      <c r="A392" s="0" t="s">
        <v>1386</v>
      </c>
      <c r="B392" s="24" t="s">
        <v>751</v>
      </c>
      <c r="C392" s="0" t="s">
        <v>671</v>
      </c>
      <c r="D392" s="76" t="n">
        <v>1</v>
      </c>
      <c r="E392" s="0" t="s">
        <v>671</v>
      </c>
      <c r="F392" s="51" t="n">
        <f aca="false">D392</f>
        <v>1</v>
      </c>
      <c r="J392" s="24" t="s">
        <v>672</v>
      </c>
      <c r="K392" s="24" t="s">
        <v>673</v>
      </c>
      <c r="L392" s="24" t="s">
        <v>1387</v>
      </c>
    </row>
    <row r="393" customFormat="false" ht="15" hidden="false" customHeight="false" outlineLevel="0" collapsed="false">
      <c r="A393" s="0" t="s">
        <v>1388</v>
      </c>
      <c r="B393" s="24" t="s">
        <v>930</v>
      </c>
      <c r="C393" s="0" t="s">
        <v>671</v>
      </c>
      <c r="D393" s="92" t="n">
        <v>1</v>
      </c>
      <c r="E393" s="0" t="s">
        <v>671</v>
      </c>
      <c r="F393" s="70" t="n">
        <f aca="false">D393</f>
        <v>1</v>
      </c>
      <c r="J393" s="24" t="s">
        <v>672</v>
      </c>
      <c r="K393" s="24" t="s">
        <v>691</v>
      </c>
      <c r="L393" s="24"/>
    </row>
    <row r="394" customFormat="false" ht="15" hidden="false" customHeight="false" outlineLevel="0" collapsed="false">
      <c r="A394" s="0" t="s">
        <v>1389</v>
      </c>
      <c r="B394" s="24" t="s">
        <v>696</v>
      </c>
      <c r="C394" s="0" t="s">
        <v>671</v>
      </c>
      <c r="D394" s="91" t="n">
        <v>0</v>
      </c>
      <c r="E394" s="0" t="s">
        <v>671</v>
      </c>
      <c r="F394" s="70" t="n">
        <f aca="false">D394</f>
        <v>0</v>
      </c>
      <c r="J394" s="24" t="s">
        <v>820</v>
      </c>
      <c r="K394" s="24" t="s">
        <v>733</v>
      </c>
      <c r="L394" s="24" t="s">
        <v>1390</v>
      </c>
    </row>
    <row r="395" customFormat="false" ht="15" hidden="false" customHeight="false" outlineLevel="0" collapsed="false">
      <c r="A395" s="0" t="s">
        <v>1391</v>
      </c>
      <c r="B395" s="24" t="s">
        <v>745</v>
      </c>
      <c r="C395" s="0" t="s">
        <v>671</v>
      </c>
      <c r="D395" s="82" t="n">
        <v>1517.7</v>
      </c>
      <c r="E395" s="0" t="s">
        <v>671</v>
      </c>
      <c r="F395" s="50" t="n">
        <f aca="false">D395</f>
        <v>1517.7</v>
      </c>
      <c r="J395" s="24" t="s">
        <v>736</v>
      </c>
      <c r="K395" s="24" t="s">
        <v>684</v>
      </c>
      <c r="L395" s="24" t="s">
        <v>1392</v>
      </c>
    </row>
    <row r="396" customFormat="false" ht="15" hidden="false" customHeight="false" outlineLevel="0" collapsed="false">
      <c r="A396" s="0" t="s">
        <v>1393</v>
      </c>
      <c r="B396" s="24" t="s">
        <v>745</v>
      </c>
      <c r="C396" s="0" t="s">
        <v>671</v>
      </c>
      <c r="D396" s="83" t="n">
        <v>4200</v>
      </c>
      <c r="E396" s="0" t="s">
        <v>671</v>
      </c>
      <c r="F396" s="5" t="n">
        <f aca="false">D396</f>
        <v>4200</v>
      </c>
      <c r="J396" s="24" t="s">
        <v>736</v>
      </c>
      <c r="K396" s="24" t="s">
        <v>691</v>
      </c>
      <c r="L396" s="24" t="s">
        <v>1394</v>
      </c>
    </row>
    <row r="397" customFormat="false" ht="15" hidden="false" customHeight="false" outlineLevel="0" collapsed="false">
      <c r="A397" s="0" t="s">
        <v>1395</v>
      </c>
      <c r="B397" s="24" t="s">
        <v>745</v>
      </c>
      <c r="C397" s="0" t="s">
        <v>671</v>
      </c>
      <c r="D397" s="82" t="n">
        <v>130.6</v>
      </c>
      <c r="E397" s="0" t="s">
        <v>671</v>
      </c>
      <c r="F397" s="50" t="n">
        <f aca="false">D397</f>
        <v>130.6</v>
      </c>
      <c r="J397" s="24" t="s">
        <v>736</v>
      </c>
      <c r="K397" s="24" t="s">
        <v>684</v>
      </c>
      <c r="L397" s="24" t="s">
        <v>1396</v>
      </c>
    </row>
    <row r="398" customFormat="false" ht="15" hidden="false" customHeight="false" outlineLevel="0" collapsed="false">
      <c r="A398" s="0" t="s">
        <v>1397</v>
      </c>
      <c r="B398" s="24" t="s">
        <v>745</v>
      </c>
      <c r="C398" s="0" t="s">
        <v>671</v>
      </c>
      <c r="D398" s="82" t="n">
        <v>130.6</v>
      </c>
      <c r="E398" s="0" t="s">
        <v>671</v>
      </c>
      <c r="F398" s="50" t="n">
        <f aca="false">D398</f>
        <v>130.6</v>
      </c>
      <c r="J398" s="24" t="s">
        <v>736</v>
      </c>
      <c r="K398" s="24" t="s">
        <v>684</v>
      </c>
      <c r="L398" s="24" t="s">
        <v>1398</v>
      </c>
    </row>
    <row r="399" customFormat="false" ht="15" hidden="false" customHeight="false" outlineLevel="0" collapsed="false">
      <c r="A399" s="0" t="s">
        <v>1399</v>
      </c>
      <c r="B399" s="24" t="s">
        <v>745</v>
      </c>
      <c r="C399" s="0" t="s">
        <v>671</v>
      </c>
      <c r="D399" s="74" t="n">
        <v>0</v>
      </c>
      <c r="E399" s="0" t="s">
        <v>671</v>
      </c>
      <c r="F399" s="5" t="n">
        <f aca="false">D399</f>
        <v>0</v>
      </c>
      <c r="J399" s="24" t="s">
        <v>736</v>
      </c>
      <c r="K399" s="24" t="s">
        <v>684</v>
      </c>
      <c r="L399" s="24" t="s">
        <v>1400</v>
      </c>
    </row>
    <row r="400" customFormat="false" ht="15" hidden="false" customHeight="false" outlineLevel="0" collapsed="false">
      <c r="A400" s="0" t="s">
        <v>1401</v>
      </c>
      <c r="B400" s="24" t="s">
        <v>745</v>
      </c>
      <c r="C400" s="0" t="s">
        <v>671</v>
      </c>
      <c r="D400" s="83" t="n">
        <v>2750</v>
      </c>
      <c r="E400" s="0" t="s">
        <v>671</v>
      </c>
      <c r="F400" s="5" t="n">
        <f aca="false">D400</f>
        <v>2750</v>
      </c>
      <c r="J400" s="24" t="s">
        <v>736</v>
      </c>
      <c r="K400" s="24" t="s">
        <v>691</v>
      </c>
      <c r="L400" s="24" t="s">
        <v>1402</v>
      </c>
    </row>
    <row r="401" customFormat="false" ht="15" hidden="false" customHeight="false" outlineLevel="0" collapsed="false">
      <c r="A401" s="0" t="s">
        <v>1403</v>
      </c>
      <c r="B401" s="24" t="s">
        <v>930</v>
      </c>
      <c r="C401" s="0" t="s">
        <v>671</v>
      </c>
      <c r="D401" s="23" t="n">
        <v>0</v>
      </c>
      <c r="E401" s="0" t="s">
        <v>671</v>
      </c>
      <c r="F401" s="71" t="n">
        <f aca="false">D401</f>
        <v>0</v>
      </c>
      <c r="J401" s="24" t="s">
        <v>672</v>
      </c>
      <c r="K401" s="24" t="s">
        <v>673</v>
      </c>
      <c r="L401" s="24" t="s">
        <v>1404</v>
      </c>
    </row>
    <row r="402" customFormat="false" ht="15" hidden="false" customHeight="false" outlineLevel="0" collapsed="false">
      <c r="A402" s="0" t="s">
        <v>1405</v>
      </c>
      <c r="B402" s="24" t="s">
        <v>745</v>
      </c>
      <c r="C402" s="0" t="s">
        <v>671</v>
      </c>
      <c r="D402" s="82" t="n">
        <v>16.3</v>
      </c>
      <c r="E402" s="0" t="s">
        <v>671</v>
      </c>
      <c r="F402" s="50" t="n">
        <f aca="false">D402</f>
        <v>16.3</v>
      </c>
      <c r="J402" s="24" t="s">
        <v>736</v>
      </c>
      <c r="K402" s="24" t="s">
        <v>684</v>
      </c>
      <c r="L402" s="24" t="s">
        <v>1406</v>
      </c>
    </row>
    <row r="403" customFormat="false" ht="15" hidden="false" customHeight="false" outlineLevel="0" collapsed="false">
      <c r="A403" s="0" t="s">
        <v>1407</v>
      </c>
      <c r="B403" s="24" t="s">
        <v>930</v>
      </c>
      <c r="C403" s="23" t="n">
        <v>1</v>
      </c>
      <c r="D403" s="23" t="n">
        <v>0.5</v>
      </c>
      <c r="E403" s="23" t="n">
        <v>0</v>
      </c>
      <c r="F403" s="71" t="n">
        <f aca="false">CHOOSE(Scen,C403,D403,E403)</f>
        <v>0.5</v>
      </c>
      <c r="J403" s="24" t="s">
        <v>672</v>
      </c>
      <c r="K403" s="24" t="s">
        <v>673</v>
      </c>
      <c r="L403" s="24" t="s">
        <v>1408</v>
      </c>
    </row>
    <row r="404" customFormat="false" ht="15" hidden="false" customHeight="false" outlineLevel="0" collapsed="false">
      <c r="A404" s="0" t="s">
        <v>1409</v>
      </c>
      <c r="B404" s="24" t="s">
        <v>745</v>
      </c>
      <c r="C404" s="0" t="s">
        <v>671</v>
      </c>
      <c r="D404" s="74" t="n">
        <v>5320</v>
      </c>
      <c r="E404" s="0" t="s">
        <v>671</v>
      </c>
      <c r="F404" s="5" t="n">
        <f aca="false">D404</f>
        <v>5320</v>
      </c>
      <c r="J404" s="24" t="s">
        <v>736</v>
      </c>
      <c r="K404" s="24" t="s">
        <v>684</v>
      </c>
      <c r="L404" s="24" t="s">
        <v>1410</v>
      </c>
    </row>
    <row r="405" customFormat="false" ht="15" hidden="false" customHeight="false" outlineLevel="0" collapsed="false">
      <c r="A405" s="0" t="s">
        <v>1411</v>
      </c>
      <c r="B405" s="24" t="s">
        <v>745</v>
      </c>
      <c r="C405" s="0" t="s">
        <v>671</v>
      </c>
      <c r="D405" s="74" t="n">
        <v>12050</v>
      </c>
      <c r="E405" s="0" t="s">
        <v>671</v>
      </c>
      <c r="F405" s="5" t="n">
        <f aca="false">D405</f>
        <v>12050</v>
      </c>
      <c r="J405" s="24" t="s">
        <v>736</v>
      </c>
      <c r="K405" s="24" t="s">
        <v>684</v>
      </c>
      <c r="L405" s="24" t="s">
        <v>1412</v>
      </c>
    </row>
    <row r="406" customFormat="false" ht="15" hidden="false" customHeight="false" outlineLevel="0" collapsed="false">
      <c r="A406" s="0" t="s">
        <v>1413</v>
      </c>
      <c r="B406" s="24" t="s">
        <v>745</v>
      </c>
      <c r="C406" s="0" t="s">
        <v>671</v>
      </c>
      <c r="D406" s="74" t="n">
        <v>1625</v>
      </c>
      <c r="E406" s="0" t="s">
        <v>671</v>
      </c>
      <c r="F406" s="5" t="n">
        <f aca="false">D406</f>
        <v>1625</v>
      </c>
      <c r="J406" s="24" t="s">
        <v>736</v>
      </c>
      <c r="K406" s="24" t="s">
        <v>684</v>
      </c>
      <c r="L406" s="24" t="s">
        <v>1414</v>
      </c>
    </row>
    <row r="407" customFormat="false" ht="15" hidden="false" customHeight="false" outlineLevel="0" collapsed="false">
      <c r="A407" s="0" t="s">
        <v>1415</v>
      </c>
      <c r="B407" s="24" t="s">
        <v>751</v>
      </c>
      <c r="C407" s="0" t="s">
        <v>671</v>
      </c>
      <c r="D407" s="76" t="n">
        <v>0</v>
      </c>
      <c r="E407" s="0" t="s">
        <v>671</v>
      </c>
      <c r="F407" s="51" t="n">
        <f aca="false">D407</f>
        <v>0</v>
      </c>
      <c r="J407" s="24" t="s">
        <v>672</v>
      </c>
      <c r="K407" s="24" t="s">
        <v>673</v>
      </c>
      <c r="L407" s="24" t="s">
        <v>1416</v>
      </c>
    </row>
    <row r="408" customFormat="false" ht="15" hidden="false" customHeight="false" outlineLevel="0" collapsed="false">
      <c r="A408" s="0" t="s">
        <v>1417</v>
      </c>
      <c r="B408" s="24" t="s">
        <v>745</v>
      </c>
      <c r="C408" s="0" t="s">
        <v>671</v>
      </c>
      <c r="D408" s="83" t="n">
        <v>820</v>
      </c>
      <c r="E408" s="0" t="s">
        <v>671</v>
      </c>
      <c r="F408" s="5" t="n">
        <f aca="false">D408</f>
        <v>820</v>
      </c>
      <c r="J408" s="24" t="s">
        <v>683</v>
      </c>
      <c r="K408" s="24" t="s">
        <v>691</v>
      </c>
      <c r="L408" s="24" t="s">
        <v>1418</v>
      </c>
    </row>
    <row r="409" customFormat="false" ht="15" hidden="false" customHeight="false" outlineLevel="0" collapsed="false">
      <c r="A409" s="0" t="s">
        <v>1419</v>
      </c>
      <c r="B409" s="24" t="s">
        <v>745</v>
      </c>
      <c r="C409" s="0" t="s">
        <v>671</v>
      </c>
      <c r="D409" s="83" t="n">
        <v>1980</v>
      </c>
      <c r="E409" s="0" t="s">
        <v>671</v>
      </c>
      <c r="F409" s="5" t="n">
        <f aca="false">D409</f>
        <v>1980</v>
      </c>
      <c r="J409" s="24" t="s">
        <v>683</v>
      </c>
      <c r="K409" s="24" t="s">
        <v>691</v>
      </c>
      <c r="L409" s="24"/>
    </row>
    <row r="410" customFormat="false" ht="15" hidden="false" customHeight="false" outlineLevel="0" collapsed="false">
      <c r="A410" s="0" t="s">
        <v>1420</v>
      </c>
      <c r="B410" s="24" t="s">
        <v>745</v>
      </c>
      <c r="C410" s="0" t="s">
        <v>671</v>
      </c>
      <c r="D410" s="83" t="n">
        <v>2750</v>
      </c>
      <c r="E410" s="0" t="s">
        <v>671</v>
      </c>
      <c r="F410" s="5" t="n">
        <f aca="false">D410</f>
        <v>2750</v>
      </c>
      <c r="J410" s="24" t="s">
        <v>683</v>
      </c>
      <c r="K410" s="24" t="s">
        <v>691</v>
      </c>
      <c r="L410" s="24"/>
    </row>
    <row r="411" customFormat="false" ht="15" hidden="false" customHeight="false" outlineLevel="0" collapsed="false">
      <c r="A411" s="0" t="s">
        <v>1421</v>
      </c>
      <c r="B411" s="24" t="s">
        <v>751</v>
      </c>
      <c r="C411" s="43" t="n">
        <v>0.15</v>
      </c>
      <c r="D411" s="43" t="n">
        <v>0.25</v>
      </c>
      <c r="E411" s="43" t="n">
        <v>0.4</v>
      </c>
      <c r="F411" s="51" t="n">
        <f aca="false">CHOOSE(Scen,C411,D411,E411)</f>
        <v>0.25</v>
      </c>
      <c r="J411" s="24" t="s">
        <v>672</v>
      </c>
      <c r="K411" s="24" t="s">
        <v>691</v>
      </c>
      <c r="L411" s="24"/>
    </row>
    <row r="413" customFormat="false" ht="15" hidden="false" customHeight="false" outlineLevel="0" collapsed="false">
      <c r="A413" s="64" t="s">
        <v>1422</v>
      </c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</row>
    <row r="414" customFormat="false" ht="15" hidden="false" customHeight="false" outlineLevel="0" collapsed="false">
      <c r="A414" s="49" t="s">
        <v>1423</v>
      </c>
      <c r="B414" s="49" t="s">
        <v>663</v>
      </c>
      <c r="C414" s="49" t="n">
        <v>2024</v>
      </c>
      <c r="D414" s="49" t="n">
        <v>2025</v>
      </c>
      <c r="E414" s="49" t="n">
        <v>2026</v>
      </c>
      <c r="F414" s="49" t="n">
        <v>2027</v>
      </c>
      <c r="G414" s="49" t="n">
        <v>2028</v>
      </c>
      <c r="H414" s="49" t="n">
        <v>2029</v>
      </c>
      <c r="I414" s="49" t="n">
        <v>2030</v>
      </c>
      <c r="J414" s="49" t="s">
        <v>666</v>
      </c>
      <c r="K414" s="49" t="s">
        <v>542</v>
      </c>
      <c r="L414" s="49" t="s">
        <v>667</v>
      </c>
    </row>
    <row r="415" customFormat="false" ht="15" hidden="false" customHeight="false" outlineLevel="0" collapsed="false">
      <c r="A415" s="0" t="s">
        <v>1424</v>
      </c>
      <c r="B415" s="24" t="s">
        <v>751</v>
      </c>
      <c r="C415" s="43" t="n">
        <v>0.3</v>
      </c>
      <c r="D415" s="43" t="n">
        <v>0.3</v>
      </c>
      <c r="E415" s="43" t="n">
        <v>0.3</v>
      </c>
      <c r="F415" s="43" t="n">
        <v>0.5</v>
      </c>
      <c r="G415" s="43" t="n">
        <v>0.65</v>
      </c>
      <c r="H415" s="43" t="n">
        <v>0.7</v>
      </c>
      <c r="I415" s="43" t="n">
        <v>0.75</v>
      </c>
      <c r="J415" s="24" t="s">
        <v>690</v>
      </c>
      <c r="K415" s="24" t="s">
        <v>691</v>
      </c>
      <c r="L415" s="24" t="s">
        <v>1425</v>
      </c>
    </row>
    <row r="416" customFormat="false" ht="15" hidden="false" customHeight="false" outlineLevel="0" collapsed="false">
      <c r="A416" s="0" t="s">
        <v>1426</v>
      </c>
      <c r="B416" s="24" t="s">
        <v>751</v>
      </c>
      <c r="C416" s="75" t="n">
        <v>1</v>
      </c>
      <c r="D416" s="75" t="n">
        <v>0.6</v>
      </c>
      <c r="E416" s="75" t="n">
        <v>0.1</v>
      </c>
      <c r="F416" s="75" t="n">
        <v>0</v>
      </c>
      <c r="G416" s="75" t="n">
        <v>0</v>
      </c>
      <c r="H416" s="75" t="n">
        <v>0</v>
      </c>
      <c r="I416" s="75" t="n">
        <v>0</v>
      </c>
      <c r="J416" s="24" t="s">
        <v>820</v>
      </c>
      <c r="K416" s="24" t="s">
        <v>733</v>
      </c>
      <c r="L416" s="24"/>
    </row>
    <row r="417" customFormat="false" ht="15" hidden="false" customHeight="false" outlineLevel="0" collapsed="false">
      <c r="A417" s="0" t="s">
        <v>1427</v>
      </c>
      <c r="B417" s="24" t="s">
        <v>751</v>
      </c>
      <c r="C417" s="75" t="n">
        <v>0</v>
      </c>
      <c r="D417" s="75" t="n">
        <v>0.4</v>
      </c>
      <c r="E417" s="75" t="n">
        <v>0.9</v>
      </c>
      <c r="F417" s="75" t="n">
        <v>0.6</v>
      </c>
      <c r="G417" s="75" t="n">
        <v>0.3</v>
      </c>
      <c r="H417" s="75" t="n">
        <v>0.1</v>
      </c>
      <c r="I417" s="75" t="n">
        <v>0</v>
      </c>
      <c r="J417" s="24" t="s">
        <v>820</v>
      </c>
      <c r="K417" s="24" t="s">
        <v>733</v>
      </c>
      <c r="L417" s="24"/>
    </row>
    <row r="418" customFormat="false" ht="15" hidden="false" customHeight="false" outlineLevel="0" collapsed="false">
      <c r="A418" s="0" t="s">
        <v>1428</v>
      </c>
      <c r="B418" s="24" t="s">
        <v>751</v>
      </c>
      <c r="C418" s="75" t="n">
        <v>0</v>
      </c>
      <c r="D418" s="75" t="n">
        <v>0</v>
      </c>
      <c r="E418" s="75" t="n">
        <v>0</v>
      </c>
      <c r="F418" s="75" t="n">
        <v>0.4</v>
      </c>
      <c r="G418" s="75" t="n">
        <v>0.7</v>
      </c>
      <c r="H418" s="75" t="n">
        <v>0.9</v>
      </c>
      <c r="I418" s="75" t="n">
        <v>1</v>
      </c>
      <c r="J418" s="24" t="s">
        <v>820</v>
      </c>
      <c r="K418" s="24" t="s">
        <v>733</v>
      </c>
      <c r="L418" s="24" t="s">
        <v>1429</v>
      </c>
    </row>
    <row r="419" customFormat="false" ht="15" hidden="false" customHeight="false" outlineLevel="0" collapsed="false">
      <c r="A419" s="0" t="s">
        <v>1430</v>
      </c>
      <c r="B419" s="24" t="s">
        <v>751</v>
      </c>
      <c r="C419" s="43" t="n">
        <v>0.85</v>
      </c>
      <c r="D419" s="43" t="n">
        <v>0.88</v>
      </c>
      <c r="E419" s="43" t="n">
        <v>0.9</v>
      </c>
      <c r="F419" s="43" t="n">
        <v>0.9</v>
      </c>
      <c r="G419" s="43" t="n">
        <v>0.9</v>
      </c>
      <c r="H419" s="43" t="n">
        <v>0.9</v>
      </c>
      <c r="I419" s="43" t="n">
        <v>0.9</v>
      </c>
      <c r="J419" s="24" t="s">
        <v>820</v>
      </c>
      <c r="K419" s="24" t="s">
        <v>691</v>
      </c>
      <c r="L419" s="24" t="s">
        <v>1431</v>
      </c>
    </row>
    <row r="420" customFormat="false" ht="15" hidden="false" customHeight="false" outlineLevel="0" collapsed="false">
      <c r="A420" s="0" t="s">
        <v>1432</v>
      </c>
      <c r="B420" s="24" t="s">
        <v>751</v>
      </c>
      <c r="C420" s="75" t="n">
        <v>0.1</v>
      </c>
      <c r="D420" s="75" t="n">
        <v>0.1</v>
      </c>
      <c r="E420" s="75" t="n">
        <v>0.1</v>
      </c>
      <c r="F420" s="75" t="n">
        <v>0.1</v>
      </c>
      <c r="G420" s="75" t="n">
        <v>0.1</v>
      </c>
      <c r="H420" s="75" t="n">
        <v>0.1</v>
      </c>
      <c r="I420" s="75" t="n">
        <v>0.1</v>
      </c>
      <c r="J420" s="24" t="s">
        <v>820</v>
      </c>
      <c r="K420" s="24" t="s">
        <v>733</v>
      </c>
      <c r="L420" s="24"/>
    </row>
    <row r="421" customFormat="false" ht="15" hidden="false" customHeight="false" outlineLevel="0" collapsed="false">
      <c r="A421" s="0" t="s">
        <v>1433</v>
      </c>
      <c r="B421" s="24" t="s">
        <v>751</v>
      </c>
      <c r="C421" s="75" t="n">
        <v>0.05</v>
      </c>
      <c r="D421" s="75" t="n">
        <v>0.05</v>
      </c>
      <c r="E421" s="75" t="n">
        <v>0.1</v>
      </c>
      <c r="F421" s="75" t="n">
        <v>0.15</v>
      </c>
      <c r="G421" s="75" t="n">
        <v>0.2</v>
      </c>
      <c r="H421" s="75" t="n">
        <v>0.2</v>
      </c>
      <c r="I421" s="75" t="n">
        <v>0.2</v>
      </c>
      <c r="J421" s="24" t="s">
        <v>820</v>
      </c>
      <c r="K421" s="24" t="s">
        <v>733</v>
      </c>
      <c r="L421" s="24" t="s">
        <v>1434</v>
      </c>
    </row>
    <row r="422" customFormat="false" ht="15" hidden="false" customHeight="false" outlineLevel="0" collapsed="false">
      <c r="A422" s="0" t="s">
        <v>1435</v>
      </c>
      <c r="B422" s="24" t="s">
        <v>1436</v>
      </c>
      <c r="C422" s="86" t="n">
        <v>0</v>
      </c>
      <c r="D422" s="86" t="n">
        <v>0</v>
      </c>
      <c r="E422" s="86" t="n">
        <v>0</v>
      </c>
      <c r="F422" s="86" t="n">
        <v>0</v>
      </c>
      <c r="G422" s="86" t="n">
        <v>0</v>
      </c>
      <c r="H422" s="86" t="n">
        <v>0</v>
      </c>
      <c r="I422" s="86" t="n">
        <v>0</v>
      </c>
      <c r="J422" s="24" t="s">
        <v>820</v>
      </c>
      <c r="K422" s="24" t="s">
        <v>733</v>
      </c>
      <c r="L422" s="24" t="s">
        <v>1437</v>
      </c>
    </row>
    <row r="423" customFormat="false" ht="15" hidden="false" customHeight="false" outlineLevel="0" collapsed="false">
      <c r="A423" s="0" t="s">
        <v>1438</v>
      </c>
      <c r="B423" s="24" t="s">
        <v>745</v>
      </c>
      <c r="C423" s="83"/>
      <c r="D423" s="83"/>
      <c r="E423" s="83" t="n">
        <v>3340</v>
      </c>
      <c r="F423" s="83" t="n">
        <v>12300</v>
      </c>
      <c r="G423" s="83" t="n">
        <v>23000</v>
      </c>
      <c r="H423" s="83"/>
      <c r="I423" s="83"/>
      <c r="J423" s="24" t="s">
        <v>683</v>
      </c>
      <c r="K423" s="24" t="s">
        <v>691</v>
      </c>
      <c r="L423" s="24" t="s">
        <v>1439</v>
      </c>
    </row>
    <row r="424" customFormat="false" ht="15" hidden="false" customHeight="false" outlineLevel="0" collapsed="false">
      <c r="A424" s="0" t="s">
        <v>1440</v>
      </c>
      <c r="B424" s="24" t="s">
        <v>745</v>
      </c>
      <c r="C424" s="83"/>
      <c r="D424" s="83"/>
      <c r="E424" s="83" t="n">
        <v>1390</v>
      </c>
      <c r="F424" s="83" t="n">
        <v>6730</v>
      </c>
      <c r="G424" s="83" t="n">
        <v>13980</v>
      </c>
      <c r="H424" s="83"/>
      <c r="I424" s="83"/>
      <c r="J424" s="24" t="s">
        <v>683</v>
      </c>
      <c r="K424" s="24" t="s">
        <v>691</v>
      </c>
      <c r="L424" s="24" t="s">
        <v>1441</v>
      </c>
    </row>
    <row r="425" customFormat="false" ht="15" hidden="false" customHeight="false" outlineLevel="0" collapsed="false">
      <c r="A425" s="0" t="s">
        <v>519</v>
      </c>
      <c r="B425" s="24" t="s">
        <v>745</v>
      </c>
      <c r="C425" s="83"/>
      <c r="D425" s="83"/>
      <c r="E425" s="83"/>
      <c r="F425" s="83" t="n">
        <v>29100</v>
      </c>
      <c r="G425" s="83"/>
      <c r="H425" s="83"/>
      <c r="I425" s="83"/>
      <c r="J425" s="24" t="s">
        <v>683</v>
      </c>
      <c r="K425" s="24" t="s">
        <v>691</v>
      </c>
      <c r="L425" s="24" t="s">
        <v>1442</v>
      </c>
    </row>
    <row r="426" customFormat="false" ht="15" hidden="false" customHeight="false" outlineLevel="0" collapsed="false">
      <c r="A426" s="0" t="s">
        <v>1443</v>
      </c>
      <c r="B426" s="24" t="s">
        <v>1132</v>
      </c>
      <c r="C426" s="75" t="n">
        <v>0.11</v>
      </c>
      <c r="D426" s="75" t="n">
        <v>0.11</v>
      </c>
      <c r="E426" s="75" t="n">
        <v>0.11</v>
      </c>
      <c r="F426" s="75" t="n">
        <v>0.09</v>
      </c>
      <c r="G426" s="75" t="n">
        <v>0.08</v>
      </c>
      <c r="H426" s="75" t="n">
        <v>0.07</v>
      </c>
      <c r="I426" s="75" t="n">
        <v>0.06</v>
      </c>
      <c r="J426" s="24" t="s">
        <v>672</v>
      </c>
      <c r="K426" s="24" t="s">
        <v>733</v>
      </c>
      <c r="L426" s="24" t="s">
        <v>1444</v>
      </c>
    </row>
    <row r="427" customFormat="false" ht="15" hidden="false" customHeight="false" outlineLevel="0" collapsed="false">
      <c r="A427" s="0" t="s">
        <v>1445</v>
      </c>
      <c r="B427" s="24" t="s">
        <v>1132</v>
      </c>
      <c r="C427" s="75" t="n">
        <v>0.22</v>
      </c>
      <c r="D427" s="75" t="n">
        <v>0.22</v>
      </c>
      <c r="E427" s="75" t="n">
        <v>0.22</v>
      </c>
      <c r="F427" s="75" t="n">
        <v>0.14</v>
      </c>
      <c r="G427" s="75" t="n">
        <v>0.1</v>
      </c>
      <c r="H427" s="75" t="n">
        <v>0.08</v>
      </c>
      <c r="I427" s="75" t="n">
        <v>0.07</v>
      </c>
      <c r="J427" s="24" t="s">
        <v>672</v>
      </c>
      <c r="K427" s="24" t="s">
        <v>733</v>
      </c>
      <c r="L427" s="24" t="s">
        <v>1446</v>
      </c>
    </row>
    <row r="429" customFormat="false" ht="15" hidden="false" customHeight="false" outlineLevel="0" collapsed="false">
      <c r="A429" s="3" t="s">
        <v>1447</v>
      </c>
    </row>
    <row r="430" customFormat="false" ht="15" hidden="false" customHeight="false" outlineLevel="0" collapsed="false">
      <c r="C430" s="49" t="s">
        <v>1448</v>
      </c>
      <c r="D430" s="49" t="s">
        <v>1449</v>
      </c>
      <c r="E430" s="49" t="s">
        <v>1450</v>
      </c>
      <c r="F430" s="49" t="s">
        <v>1451</v>
      </c>
      <c r="G430" s="49" t="s">
        <v>1452</v>
      </c>
      <c r="H430" s="49" t="s">
        <v>1453</v>
      </c>
      <c r="I430" s="49" t="s">
        <v>1454</v>
      </c>
      <c r="J430" s="49" t="s">
        <v>1455</v>
      </c>
    </row>
    <row r="431" customFormat="false" ht="15" hidden="false" customHeight="false" outlineLevel="0" collapsed="false">
      <c r="A431" s="0" t="s">
        <v>1456</v>
      </c>
      <c r="C431" s="72" t="n">
        <v>3.5275</v>
      </c>
      <c r="D431" s="72" t="n">
        <v>3.1796</v>
      </c>
      <c r="E431" s="72" t="n">
        <v>3.717</v>
      </c>
      <c r="J431" s="0" t="s">
        <v>820</v>
      </c>
      <c r="K431" s="0" t="s">
        <v>706</v>
      </c>
      <c r="L431" s="0" t="s">
        <v>1457</v>
      </c>
    </row>
    <row r="432" customFormat="false" ht="15" hidden="false" customHeight="false" outlineLevel="0" collapsed="false">
      <c r="A432" s="0" t="s">
        <v>1458</v>
      </c>
      <c r="C432" s="27" t="n">
        <f aca="false">1</f>
        <v>1</v>
      </c>
      <c r="D432" s="27" t="n">
        <f aca="false">D431/C431</f>
        <v>0.901374911410347</v>
      </c>
      <c r="E432" s="27" t="n">
        <f aca="false">E431/C431</f>
        <v>1.0537207654146</v>
      </c>
      <c r="F432" s="75" t="n">
        <v>0.85</v>
      </c>
      <c r="G432" s="75" t="n">
        <v>0.7</v>
      </c>
      <c r="H432" s="75" t="n">
        <v>0.55</v>
      </c>
      <c r="I432" s="75" t="n">
        <v>0.45</v>
      </c>
      <c r="J432" s="75" t="s">
        <v>820</v>
      </c>
      <c r="K432" s="0" t="s">
        <v>733</v>
      </c>
    </row>
    <row r="433" customFormat="false" ht="15" hidden="false" customHeight="false" outlineLevel="0" collapsed="false">
      <c r="A433" s="0" t="s">
        <v>1459</v>
      </c>
      <c r="C433" s="100" t="n">
        <f aca="false">1-ResidBearCut*0/4</f>
        <v>1</v>
      </c>
      <c r="D433" s="100" t="n">
        <f aca="false">1-ResidBearCut*1/4</f>
        <v>0.9125</v>
      </c>
      <c r="E433" s="100" t="n">
        <f aca="false">1-ResidBearCut*2/4</f>
        <v>0.825</v>
      </c>
      <c r="F433" s="100" t="n">
        <f aca="false">1-ResidBearCut*3/4</f>
        <v>0.7375</v>
      </c>
      <c r="G433" s="100" t="n">
        <f aca="false">1-ResidBearCut*4/4</f>
        <v>0.65</v>
      </c>
      <c r="H433" s="100" t="n">
        <f aca="false">(1-ResidBearCut)*(1-ResidBearCut/4)^1</f>
        <v>0.593125</v>
      </c>
      <c r="I433" s="100" t="n">
        <f aca="false">(1-ResidBearCut)*(1-ResidBearCut/4)^2</f>
        <v>0.5412265625</v>
      </c>
      <c r="J433" s="100" t="s">
        <v>683</v>
      </c>
      <c r="K433" s="0" t="s">
        <v>733</v>
      </c>
    </row>
    <row r="434" customFormat="false" ht="15" hidden="false" customHeight="false" outlineLevel="0" collapsed="false">
      <c r="A434" s="0" t="s">
        <v>1460</v>
      </c>
      <c r="C434" s="51" t="n">
        <f aca="false">IF(Scen=3,C433,C432)</f>
        <v>1</v>
      </c>
      <c r="D434" s="51" t="n">
        <f aca="false">IF(Scen=3,D433,D432)</f>
        <v>0.901374911410347</v>
      </c>
      <c r="E434" s="51" t="n">
        <f aca="false">IF(Scen=3,E433,E432)</f>
        <v>1.0537207654146</v>
      </c>
      <c r="F434" s="51" t="n">
        <f aca="false">IF(Scen=3,F433,F432)</f>
        <v>0.85</v>
      </c>
      <c r="G434" s="51" t="n">
        <f aca="false">IF(Scen=3,G433,G432)</f>
        <v>0.7</v>
      </c>
      <c r="H434" s="51" t="n">
        <f aca="false">IF(Scen=3,H433,H432)</f>
        <v>0.55</v>
      </c>
      <c r="I434" s="51" t="n">
        <f aca="false">IF(Scen=3,I433,I432)</f>
        <v>0.45</v>
      </c>
      <c r="J434" s="51" t="str">
        <f aca="false">IF(Scen=3,J433,J432)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1461</v>
      </c>
    </row>
    <row r="3" customFormat="false" ht="15" hidden="false" customHeight="false" outlineLevel="0" collapsed="false">
      <c r="A3" s="3" t="s">
        <v>437</v>
      </c>
      <c r="F3" s="0" t="s">
        <v>1462</v>
      </c>
      <c r="G3" s="0" t="s">
        <v>1463</v>
      </c>
      <c r="H3" s="0" t="s">
        <v>1464</v>
      </c>
      <c r="I3" s="0" t="s">
        <v>1465</v>
      </c>
      <c r="J3" s="0" t="s">
        <v>1466</v>
      </c>
      <c r="K3" s="0" t="s">
        <v>1467</v>
      </c>
      <c r="L3" s="0" t="s">
        <v>1468</v>
      </c>
      <c r="M3" s="0" t="s">
        <v>1469</v>
      </c>
      <c r="N3" s="0" t="s">
        <v>1287</v>
      </c>
      <c r="O3" s="0" t="s">
        <v>1470</v>
      </c>
      <c r="P3" s="0" t="s">
        <v>1267</v>
      </c>
      <c r="Q3" s="0" t="s">
        <v>474</v>
      </c>
      <c r="R3" s="0" t="s">
        <v>882</v>
      </c>
      <c r="S3" s="0" t="s">
        <v>70</v>
      </c>
      <c r="T3" s="0" t="s">
        <v>72</v>
      </c>
      <c r="U3" s="0" t="s">
        <v>62</v>
      </c>
      <c r="V3" s="0" t="s">
        <v>95</v>
      </c>
      <c r="W3" s="0" t="s">
        <v>1471</v>
      </c>
      <c r="X3" s="0" t="s">
        <v>1472</v>
      </c>
      <c r="Y3" s="0" t="s">
        <v>1473</v>
      </c>
      <c r="Z3" s="0" t="s">
        <v>1474</v>
      </c>
      <c r="AA3" s="0" t="s">
        <v>1475</v>
      </c>
      <c r="AB3" s="0" t="s">
        <v>1476</v>
      </c>
      <c r="AC3" s="0" t="s">
        <v>1477</v>
      </c>
      <c r="AD3" s="0" t="s">
        <v>1478</v>
      </c>
      <c r="AE3" s="0" t="s">
        <v>1479</v>
      </c>
      <c r="AF3" s="0" t="s">
        <v>1480</v>
      </c>
      <c r="AG3" s="0" t="s">
        <v>1481</v>
      </c>
    </row>
    <row r="4" customFormat="false" ht="15" hidden="false" customHeight="false" outlineLevel="0" collapsed="false">
      <c r="A4" s="3" t="s">
        <v>1482</v>
      </c>
      <c r="E4" s="101" t="n">
        <v>45291</v>
      </c>
      <c r="F4" s="101" t="n">
        <v>45382</v>
      </c>
      <c r="G4" s="101" t="n">
        <v>45473</v>
      </c>
      <c r="H4" s="101" t="n">
        <v>45565</v>
      </c>
      <c r="I4" s="101" t="n">
        <v>45657</v>
      </c>
      <c r="J4" s="101" t="n">
        <v>45747</v>
      </c>
      <c r="K4" s="101" t="n">
        <v>45838</v>
      </c>
      <c r="L4" s="101" t="n">
        <v>45930</v>
      </c>
      <c r="M4" s="101" t="n">
        <v>46022</v>
      </c>
      <c r="N4" s="101" t="n">
        <v>46112</v>
      </c>
      <c r="O4" s="101" t="n">
        <v>46203</v>
      </c>
      <c r="P4" s="101" t="n">
        <v>46295</v>
      </c>
      <c r="Q4" s="101" t="n">
        <v>46387</v>
      </c>
      <c r="R4" s="101" t="n">
        <v>46477</v>
      </c>
      <c r="S4" s="101" t="n">
        <v>46568</v>
      </c>
      <c r="T4" s="101" t="n">
        <v>46660</v>
      </c>
      <c r="U4" s="101" t="n">
        <v>46752</v>
      </c>
      <c r="V4" s="101" t="n">
        <v>46843</v>
      </c>
      <c r="W4" s="101" t="n">
        <v>46934</v>
      </c>
      <c r="X4" s="101" t="n">
        <v>47026</v>
      </c>
      <c r="Y4" s="101" t="n">
        <v>47118</v>
      </c>
      <c r="Z4" s="101" t="n">
        <v>47208</v>
      </c>
      <c r="AA4" s="101" t="n">
        <v>47299</v>
      </c>
      <c r="AB4" s="101" t="n">
        <v>47391</v>
      </c>
      <c r="AC4" s="101" t="n">
        <v>47483</v>
      </c>
      <c r="AD4" s="101" t="n">
        <v>47573</v>
      </c>
      <c r="AE4" s="101" t="n">
        <v>47664</v>
      </c>
      <c r="AF4" s="101" t="n">
        <v>47756</v>
      </c>
      <c r="AG4" s="101" t="n">
        <v>47848</v>
      </c>
    </row>
    <row r="5" customFormat="false" ht="15" hidden="false" customHeight="false" outlineLevel="0" collapsed="false">
      <c r="A5" s="3" t="s">
        <v>1483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1484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1485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1486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1487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1488</v>
      </c>
    </row>
    <row r="2" customFormat="false" ht="15" hidden="false" customHeight="false" outlineLevel="0" collapsed="false">
      <c r="A2" s="24" t="s">
        <v>1489</v>
      </c>
    </row>
    <row r="3" customFormat="false" ht="15" hidden="false" customHeight="false" outlineLevel="0" collapsed="false">
      <c r="A3" s="49" t="s">
        <v>431</v>
      </c>
      <c r="B3" s="49" t="s">
        <v>663</v>
      </c>
      <c r="C3" s="49" t="s">
        <v>666</v>
      </c>
      <c r="D3" s="49" t="s">
        <v>1490</v>
      </c>
      <c r="E3" s="49"/>
      <c r="F3" s="49" t="s">
        <v>1462</v>
      </c>
      <c r="G3" s="49" t="s">
        <v>1463</v>
      </c>
      <c r="H3" s="49" t="s">
        <v>1464</v>
      </c>
      <c r="I3" s="49" t="s">
        <v>1465</v>
      </c>
      <c r="J3" s="49" t="s">
        <v>1466</v>
      </c>
      <c r="K3" s="49" t="s">
        <v>1467</v>
      </c>
      <c r="L3" s="49" t="s">
        <v>1468</v>
      </c>
      <c r="M3" s="49" t="s">
        <v>1469</v>
      </c>
      <c r="N3" s="49" t="s">
        <v>1287</v>
      </c>
      <c r="O3" s="49" t="s">
        <v>1470</v>
      </c>
    </row>
    <row r="4" customFormat="false" ht="15" hidden="false" customHeight="false" outlineLevel="0" collapsed="false">
      <c r="F4" s="102" t="n">
        <v>45382</v>
      </c>
      <c r="G4" s="102" t="n">
        <v>45473</v>
      </c>
      <c r="H4" s="102" t="n">
        <v>45565</v>
      </c>
      <c r="I4" s="102" t="n">
        <v>45657</v>
      </c>
      <c r="J4" s="102" t="n">
        <v>45747</v>
      </c>
      <c r="K4" s="102" t="n">
        <v>45838</v>
      </c>
      <c r="L4" s="102" t="n">
        <v>45930</v>
      </c>
      <c r="M4" s="102" t="n">
        <v>46022</v>
      </c>
      <c r="N4" s="102" t="n">
        <v>46112</v>
      </c>
      <c r="O4" s="102" t="n">
        <v>46203</v>
      </c>
    </row>
    <row r="6" customFormat="false" ht="22.35" hidden="false" customHeight="false" outlineLevel="0" collapsed="false">
      <c r="A6" s="3" t="s">
        <v>1491</v>
      </c>
      <c r="B6" s="0" t="s">
        <v>745</v>
      </c>
      <c r="C6" s="0" t="s">
        <v>736</v>
      </c>
      <c r="D6" s="34" t="s">
        <v>1492</v>
      </c>
      <c r="F6" s="103" t="n">
        <v>11.4</v>
      </c>
      <c r="G6" s="103" t="n">
        <v>14.5</v>
      </c>
      <c r="H6" s="103" t="n">
        <v>32.1</v>
      </c>
      <c r="I6" s="103" t="n">
        <v>35.2</v>
      </c>
      <c r="J6" s="103" t="n">
        <v>50.9</v>
      </c>
      <c r="K6" s="103" t="n">
        <v>105.1</v>
      </c>
      <c r="L6" s="103" t="n">
        <v>146.1</v>
      </c>
      <c r="M6" s="103" t="n">
        <v>227.7</v>
      </c>
      <c r="N6" s="103" t="n">
        <v>399</v>
      </c>
      <c r="O6" s="103" t="n">
        <v>582.3</v>
      </c>
    </row>
    <row r="7" customFormat="false" ht="15" hidden="false" customHeight="false" outlineLevel="0" collapsed="false">
      <c r="A7" s="24" t="s">
        <v>1493</v>
      </c>
      <c r="F7" s="63" t="s">
        <v>684</v>
      </c>
      <c r="G7" s="63" t="s">
        <v>684</v>
      </c>
      <c r="H7" s="63" t="s">
        <v>684</v>
      </c>
      <c r="I7" s="63" t="s">
        <v>684</v>
      </c>
      <c r="J7" s="63" t="s">
        <v>684</v>
      </c>
      <c r="K7" s="63" t="s">
        <v>684</v>
      </c>
      <c r="L7" s="63" t="s">
        <v>684</v>
      </c>
      <c r="M7" s="63" t="s">
        <v>684</v>
      </c>
      <c r="N7" s="63" t="s">
        <v>684</v>
      </c>
      <c r="O7" s="63" t="s">
        <v>684</v>
      </c>
    </row>
    <row r="8" customFormat="false" ht="15" hidden="false" customHeight="false" outlineLevel="0" collapsed="false">
      <c r="A8" s="24" t="s">
        <v>1494</v>
      </c>
    </row>
    <row r="9" customFormat="false" ht="15" hidden="false" customHeight="false" outlineLevel="0" collapsed="false">
      <c r="A9" s="24" t="s">
        <v>1495</v>
      </c>
      <c r="F9" s="24" t="s">
        <v>1496</v>
      </c>
      <c r="G9" s="24" t="s">
        <v>1497</v>
      </c>
      <c r="H9" s="24" t="s">
        <v>1498</v>
      </c>
      <c r="I9" s="24" t="s">
        <v>1499</v>
      </c>
      <c r="J9" s="24" t="s">
        <v>1500</v>
      </c>
      <c r="K9" s="24" t="s">
        <v>1501</v>
      </c>
      <c r="L9" s="24" t="s">
        <v>1502</v>
      </c>
      <c r="M9" s="24" t="s">
        <v>1503</v>
      </c>
      <c r="N9" s="24" t="s">
        <v>1504</v>
      </c>
      <c r="O9" s="24" t="s">
        <v>1505</v>
      </c>
    </row>
    <row r="10" customFormat="false" ht="15" hidden="false" customHeight="false" outlineLevel="0" collapsed="false">
      <c r="A10" s="3" t="s">
        <v>1506</v>
      </c>
      <c r="F10" s="104" t="n">
        <f aca="false">IF(F7="Not disclosed",F8,F6)</f>
        <v>11.4</v>
      </c>
      <c r="G10" s="104" t="n">
        <f aca="false">IF(G7="Not disclosed",G8,G6)</f>
        <v>14.5</v>
      </c>
      <c r="H10" s="104" t="n">
        <f aca="false">IF(H7="Not disclosed",H8,H6)</f>
        <v>32.1</v>
      </c>
      <c r="I10" s="104" t="n">
        <f aca="false">IF(I7="Not disclosed",I8,I6)</f>
        <v>35.2</v>
      </c>
      <c r="J10" s="104" t="n">
        <f aca="false">IF(J7="Not disclosed",J8,J6)</f>
        <v>50.9</v>
      </c>
      <c r="K10" s="104" t="n">
        <f aca="false">IF(K7="Not disclosed",K8,K6)</f>
        <v>105.1</v>
      </c>
      <c r="L10" s="104" t="n">
        <f aca="false">IF(L7="Not disclosed",L8,L6)</f>
        <v>146.1</v>
      </c>
      <c r="M10" s="104" t="n">
        <f aca="false">IF(M7="Not disclosed",M8,M6)</f>
        <v>227.7</v>
      </c>
      <c r="N10" s="104" t="n">
        <f aca="false">IF(N7="Not disclosed",N8,N6)</f>
        <v>399</v>
      </c>
      <c r="O10" s="104" t="n">
        <f aca="false">IF(O7="Not disclosed",O8,O6)</f>
        <v>582.3</v>
      </c>
    </row>
    <row r="12" customFormat="false" ht="22.35" hidden="false" customHeight="false" outlineLevel="0" collapsed="false">
      <c r="A12" s="3" t="s">
        <v>1507</v>
      </c>
      <c r="B12" s="0" t="s">
        <v>745</v>
      </c>
      <c r="C12" s="0" t="s">
        <v>736</v>
      </c>
      <c r="D12" s="34" t="s">
        <v>1508</v>
      </c>
      <c r="F12" s="24" t="s">
        <v>1509</v>
      </c>
      <c r="G12" s="24" t="s">
        <v>1509</v>
      </c>
      <c r="H12" s="24" t="s">
        <v>1509</v>
      </c>
      <c r="I12" s="24" t="s">
        <v>1509</v>
      </c>
      <c r="J12" s="103" t="n">
        <v>41.4</v>
      </c>
      <c r="K12" s="103" t="n">
        <v>93.6</v>
      </c>
      <c r="L12" s="24" t="s">
        <v>1509</v>
      </c>
      <c r="M12" s="103" t="n">
        <v>214.2</v>
      </c>
      <c r="N12" s="103" t="n">
        <v>389.7</v>
      </c>
      <c r="O12" s="103" t="n">
        <v>574.9</v>
      </c>
    </row>
    <row r="13" customFormat="false" ht="15" hidden="false" customHeight="false" outlineLevel="0" collapsed="false">
      <c r="A13" s="24" t="s">
        <v>1493</v>
      </c>
      <c r="F13" s="105" t="s">
        <v>1280</v>
      </c>
      <c r="G13" s="105" t="s">
        <v>1280</v>
      </c>
      <c r="H13" s="105" t="s">
        <v>1280</v>
      </c>
      <c r="I13" s="105" t="s">
        <v>1280</v>
      </c>
      <c r="J13" s="63" t="s">
        <v>706</v>
      </c>
      <c r="K13" s="63" t="s">
        <v>706</v>
      </c>
      <c r="L13" s="105" t="s">
        <v>1280</v>
      </c>
      <c r="M13" s="63" t="s">
        <v>684</v>
      </c>
      <c r="N13" s="63" t="s">
        <v>684</v>
      </c>
      <c r="O13" s="63" t="s">
        <v>684</v>
      </c>
    </row>
    <row r="14" customFormat="false" ht="15" hidden="false" customHeight="false" outlineLevel="0" collapsed="false">
      <c r="A14" s="24" t="s">
        <v>1494</v>
      </c>
      <c r="F14" s="106" t="n">
        <v>10.3</v>
      </c>
      <c r="G14" s="106" t="n">
        <v>13.1</v>
      </c>
      <c r="H14" s="106" t="n">
        <v>28.9</v>
      </c>
      <c r="I14" s="106" t="n">
        <v>31.7</v>
      </c>
      <c r="L14" s="106" t="n">
        <v>138.8</v>
      </c>
    </row>
    <row r="15" customFormat="false" ht="15" hidden="false" customHeight="false" outlineLevel="0" collapsed="false">
      <c r="A15" s="24" t="s">
        <v>1495</v>
      </c>
      <c r="F15" s="24" t="s">
        <v>1510</v>
      </c>
      <c r="G15" s="24" t="s">
        <v>1510</v>
      </c>
      <c r="H15" s="24" t="s">
        <v>1510</v>
      </c>
      <c r="I15" s="24" t="s">
        <v>1510</v>
      </c>
      <c r="J15" s="24" t="s">
        <v>1511</v>
      </c>
      <c r="K15" s="24" t="s">
        <v>1512</v>
      </c>
      <c r="L15" s="24" t="s">
        <v>1513</v>
      </c>
      <c r="M15" s="24" t="s">
        <v>1514</v>
      </c>
      <c r="N15" s="24" t="s">
        <v>1515</v>
      </c>
      <c r="O15" s="24" t="s">
        <v>1516</v>
      </c>
    </row>
    <row r="16" customFormat="false" ht="15" hidden="false" customHeight="false" outlineLevel="0" collapsed="false">
      <c r="A16" s="3" t="s">
        <v>1506</v>
      </c>
      <c r="F16" s="104" t="n">
        <f aca="false">IF(F13="Not disclosed",F14,F12)</f>
        <v>10.3</v>
      </c>
      <c r="G16" s="104" t="n">
        <f aca="false">IF(G13="Not disclosed",G14,G12)</f>
        <v>13.1</v>
      </c>
      <c r="H16" s="104" t="n">
        <f aca="false">IF(H13="Not disclosed",H14,H12)</f>
        <v>28.9</v>
      </c>
      <c r="I16" s="104" t="n">
        <f aca="false">IF(I13="Not disclosed",I14,I12)</f>
        <v>31.7</v>
      </c>
      <c r="J16" s="104" t="n">
        <f aca="false">IF(J13="Not disclosed",J14,J12)</f>
        <v>41.4</v>
      </c>
      <c r="K16" s="104" t="n">
        <f aca="false">IF(K13="Not disclosed",K14,K12)</f>
        <v>93.6</v>
      </c>
      <c r="L16" s="104" t="n">
        <f aca="false">IF(L13="Not disclosed",L14,L12)</f>
        <v>138.8</v>
      </c>
      <c r="M16" s="104" t="n">
        <f aca="false">IF(M13="Not disclosed",M14,M12)</f>
        <v>214.2</v>
      </c>
      <c r="N16" s="104" t="n">
        <f aca="false">IF(N13="Not disclosed",N14,N12)</f>
        <v>389.7</v>
      </c>
      <c r="O16" s="104" t="n">
        <f aca="false">IF(O13="Not disclosed",O14,O12)</f>
        <v>574.9</v>
      </c>
    </row>
    <row r="18" customFormat="false" ht="15" hidden="false" customHeight="false" outlineLevel="0" collapsed="false">
      <c r="A18" s="3" t="s">
        <v>1517</v>
      </c>
      <c r="B18" s="0" t="s">
        <v>745</v>
      </c>
      <c r="C18" s="0" t="s">
        <v>736</v>
      </c>
      <c r="D18" s="34" t="s">
        <v>1518</v>
      </c>
      <c r="F18" s="24" t="s">
        <v>1509</v>
      </c>
      <c r="G18" s="24" t="s">
        <v>1509</v>
      </c>
      <c r="H18" s="24" t="s">
        <v>1509</v>
      </c>
      <c r="I18" s="103" t="n">
        <v>90</v>
      </c>
      <c r="J18" s="103" t="n">
        <v>248</v>
      </c>
      <c r="K18" s="103" t="n">
        <v>430</v>
      </c>
      <c r="L18" s="103" t="n">
        <v>551</v>
      </c>
      <c r="M18" s="103" t="n">
        <v>1250</v>
      </c>
      <c r="N18" s="103" t="n">
        <v>1920</v>
      </c>
      <c r="O18" s="103" t="n">
        <v>3000</v>
      </c>
    </row>
    <row r="19" customFormat="false" ht="15" hidden="false" customHeight="false" outlineLevel="0" collapsed="false">
      <c r="A19" s="24" t="s">
        <v>1493</v>
      </c>
      <c r="F19" s="105" t="s">
        <v>1280</v>
      </c>
      <c r="G19" s="105" t="s">
        <v>1280</v>
      </c>
      <c r="H19" s="105" t="s">
        <v>1280</v>
      </c>
      <c r="I19" s="63" t="s">
        <v>684</v>
      </c>
      <c r="J19" s="63" t="s">
        <v>706</v>
      </c>
      <c r="K19" s="63" t="s">
        <v>706</v>
      </c>
      <c r="L19" s="63" t="s">
        <v>684</v>
      </c>
      <c r="M19" s="63" t="s">
        <v>684</v>
      </c>
      <c r="N19" s="63" t="s">
        <v>684</v>
      </c>
      <c r="O19" s="63" t="s">
        <v>684</v>
      </c>
    </row>
    <row r="20" customFormat="false" ht="15" hidden="false" customHeight="false" outlineLevel="0" collapsed="false">
      <c r="A20" s="24" t="s">
        <v>1494</v>
      </c>
      <c r="F20" s="80" t="n">
        <v>41.04</v>
      </c>
      <c r="G20" s="80" t="n">
        <v>52.2</v>
      </c>
      <c r="H20" s="80" t="n">
        <v>115.56</v>
      </c>
    </row>
    <row r="21" customFormat="false" ht="15" hidden="false" customHeight="false" outlineLevel="0" collapsed="false">
      <c r="A21" s="24" t="s">
        <v>1495</v>
      </c>
      <c r="F21" s="24" t="s">
        <v>1519</v>
      </c>
      <c r="G21" s="24" t="s">
        <v>1519</v>
      </c>
      <c r="H21" s="24" t="s">
        <v>1519</v>
      </c>
      <c r="I21" s="24" t="s">
        <v>1520</v>
      </c>
      <c r="J21" s="24" t="s">
        <v>1521</v>
      </c>
      <c r="K21" s="24" t="s">
        <v>1522</v>
      </c>
      <c r="L21" s="24" t="s">
        <v>1523</v>
      </c>
      <c r="M21" s="24" t="s">
        <v>1514</v>
      </c>
      <c r="N21" s="24" t="s">
        <v>1524</v>
      </c>
      <c r="O21" s="24" t="s">
        <v>1516</v>
      </c>
    </row>
    <row r="22" customFormat="false" ht="15" hidden="false" customHeight="false" outlineLevel="0" collapsed="false">
      <c r="A22" s="3" t="s">
        <v>1506</v>
      </c>
      <c r="F22" s="104" t="n">
        <f aca="false">IF(F19="Not disclosed",F20,F18)</f>
        <v>41.04</v>
      </c>
      <c r="G22" s="104" t="n">
        <f aca="false">IF(G19="Not disclosed",G20,G18)</f>
        <v>52.2</v>
      </c>
      <c r="H22" s="104" t="n">
        <f aca="false">IF(H19="Not disclosed",H20,H18)</f>
        <v>115.56</v>
      </c>
      <c r="I22" s="104" t="n">
        <f aca="false">IF(I19="Not disclosed",I20,I18)</f>
        <v>90</v>
      </c>
      <c r="J22" s="104" t="n">
        <f aca="false">IF(J19="Not disclosed",J20,J18)</f>
        <v>248</v>
      </c>
      <c r="K22" s="104" t="n">
        <f aca="false">IF(K19="Not disclosed",K20,K18)</f>
        <v>430</v>
      </c>
      <c r="L22" s="104" t="n">
        <f aca="false">IF(L19="Not disclosed",L20,L18)</f>
        <v>551</v>
      </c>
      <c r="M22" s="104" t="n">
        <f aca="false">IF(M19="Not disclosed",M20,M18)</f>
        <v>1250</v>
      </c>
      <c r="N22" s="104" t="n">
        <f aca="false">IF(N19="Not disclosed",N20,N18)</f>
        <v>1920</v>
      </c>
      <c r="O22" s="104" t="n">
        <f aca="false">IF(O19="Not disclosed",O20,O18)</f>
        <v>3000</v>
      </c>
    </row>
    <row r="24" customFormat="false" ht="22.35" hidden="false" customHeight="false" outlineLevel="0" collapsed="false">
      <c r="A24" s="3" t="s">
        <v>1525</v>
      </c>
      <c r="B24" s="0" t="s">
        <v>745</v>
      </c>
      <c r="C24" s="0" t="s">
        <v>736</v>
      </c>
      <c r="D24" s="34" t="s">
        <v>1526</v>
      </c>
      <c r="F24" s="24" t="s">
        <v>1509</v>
      </c>
      <c r="G24" s="24" t="s">
        <v>1509</v>
      </c>
      <c r="H24" s="103" t="n">
        <v>9.9</v>
      </c>
      <c r="I24" s="103" t="n">
        <v>21.1</v>
      </c>
      <c r="J24" s="103" t="n">
        <v>24.7</v>
      </c>
      <c r="K24" s="103" t="n">
        <v>30.1</v>
      </c>
      <c r="L24" s="103" t="n">
        <v>42.9</v>
      </c>
      <c r="M24" s="103" t="n">
        <v>68.5</v>
      </c>
      <c r="N24" s="103" t="n">
        <v>103.8</v>
      </c>
      <c r="O24" s="103" t="n">
        <v>133.6</v>
      </c>
    </row>
    <row r="25" customFormat="false" ht="15" hidden="false" customHeight="false" outlineLevel="0" collapsed="false">
      <c r="A25" s="24" t="s">
        <v>1493</v>
      </c>
      <c r="F25" s="105" t="s">
        <v>1280</v>
      </c>
      <c r="G25" s="105" t="s">
        <v>1280</v>
      </c>
      <c r="H25" s="63" t="s">
        <v>684</v>
      </c>
      <c r="I25" s="63" t="s">
        <v>684</v>
      </c>
      <c r="J25" s="63" t="s">
        <v>684</v>
      </c>
      <c r="K25" s="63" t="s">
        <v>684</v>
      </c>
      <c r="L25" s="63" t="s">
        <v>684</v>
      </c>
      <c r="M25" s="63" t="s">
        <v>684</v>
      </c>
      <c r="N25" s="63" t="s">
        <v>684</v>
      </c>
      <c r="O25" s="63" t="s">
        <v>684</v>
      </c>
    </row>
    <row r="26" customFormat="false" ht="15" hidden="false" customHeight="false" outlineLevel="0" collapsed="false">
      <c r="A26" s="24" t="s">
        <v>1494</v>
      </c>
      <c r="F26" s="106" t="n">
        <v>9.1</v>
      </c>
      <c r="G26" s="106" t="n">
        <v>8.1</v>
      </c>
    </row>
    <row r="27" customFormat="false" ht="15" hidden="false" customHeight="false" outlineLevel="0" collapsed="false">
      <c r="A27" s="24" t="s">
        <v>1495</v>
      </c>
      <c r="F27" s="24" t="s">
        <v>1527</v>
      </c>
      <c r="G27" s="24" t="s">
        <v>1527</v>
      </c>
      <c r="H27" s="24" t="s">
        <v>1498</v>
      </c>
      <c r="I27" s="24" t="s">
        <v>1499</v>
      </c>
      <c r="J27" s="24" t="s">
        <v>1500</v>
      </c>
      <c r="K27" s="24" t="s">
        <v>1501</v>
      </c>
      <c r="L27" s="24" t="s">
        <v>1502</v>
      </c>
      <c r="M27" s="24" t="s">
        <v>1503</v>
      </c>
      <c r="N27" s="24" t="s">
        <v>1504</v>
      </c>
      <c r="O27" s="24" t="s">
        <v>1505</v>
      </c>
    </row>
    <row r="28" customFormat="false" ht="15" hidden="false" customHeight="false" outlineLevel="0" collapsed="false">
      <c r="A28" s="3" t="s">
        <v>1506</v>
      </c>
      <c r="F28" s="104" t="n">
        <f aca="false">IF(F25="Not disclosed",F26,F24)</f>
        <v>9.1</v>
      </c>
      <c r="G28" s="104" t="n">
        <f aca="false">IF(G25="Not disclosed",G26,G24)</f>
        <v>8.1</v>
      </c>
      <c r="H28" s="104" t="n">
        <f aca="false">IF(H25="Not disclosed",H26,H24)</f>
        <v>9.9</v>
      </c>
      <c r="I28" s="104" t="n">
        <f aca="false">IF(I25="Not disclosed",I26,I24)</f>
        <v>21.1</v>
      </c>
      <c r="J28" s="104" t="n">
        <f aca="false">IF(J25="Not disclosed",J26,J24)</f>
        <v>24.7</v>
      </c>
      <c r="K28" s="104" t="n">
        <f aca="false">IF(K25="Not disclosed",K26,K24)</f>
        <v>30.1</v>
      </c>
      <c r="L28" s="104" t="n">
        <f aca="false">IF(L25="Not disclosed",L26,L24)</f>
        <v>42.9</v>
      </c>
      <c r="M28" s="104" t="n">
        <f aca="false">IF(M25="Not disclosed",M26,M24)</f>
        <v>68.5</v>
      </c>
      <c r="N28" s="104" t="n">
        <f aca="false">IF(N25="Not disclosed",N26,N24)</f>
        <v>103.8</v>
      </c>
      <c r="O28" s="104" t="n">
        <f aca="false">IF(O25="Not disclosed",O26,O24)</f>
        <v>133.6</v>
      </c>
    </row>
    <row r="30" customFormat="false" ht="22.35" hidden="false" customHeight="false" outlineLevel="0" collapsed="false">
      <c r="A30" s="3" t="s">
        <v>1528</v>
      </c>
      <c r="B30" s="0" t="s">
        <v>745</v>
      </c>
      <c r="C30" s="0" t="s">
        <v>736</v>
      </c>
      <c r="D30" s="34" t="s">
        <v>1529</v>
      </c>
      <c r="F30" s="24" t="s">
        <v>1509</v>
      </c>
      <c r="G30" s="24" t="s">
        <v>1509</v>
      </c>
      <c r="H30" s="103" t="n">
        <v>31.4</v>
      </c>
      <c r="I30" s="103" t="n">
        <v>31.9</v>
      </c>
      <c r="J30" s="103" t="n">
        <v>36.5</v>
      </c>
      <c r="K30" s="103" t="n">
        <v>42.8</v>
      </c>
      <c r="L30" s="103" t="n">
        <v>44.9</v>
      </c>
      <c r="M30" s="103" t="n">
        <v>53.1</v>
      </c>
      <c r="N30" s="103" t="n">
        <v>67.4</v>
      </c>
      <c r="O30" s="103" t="n">
        <v>191</v>
      </c>
    </row>
    <row r="31" customFormat="false" ht="15" hidden="false" customHeight="false" outlineLevel="0" collapsed="false">
      <c r="A31" s="24" t="s">
        <v>1493</v>
      </c>
      <c r="F31" s="105" t="s">
        <v>1280</v>
      </c>
      <c r="G31" s="105" t="s">
        <v>1280</v>
      </c>
      <c r="H31" s="63" t="s">
        <v>684</v>
      </c>
      <c r="I31" s="63" t="s">
        <v>684</v>
      </c>
      <c r="J31" s="63" t="s">
        <v>684</v>
      </c>
      <c r="K31" s="63" t="s">
        <v>684</v>
      </c>
      <c r="L31" s="63" t="s">
        <v>684</v>
      </c>
      <c r="M31" s="63" t="s">
        <v>684</v>
      </c>
      <c r="N31" s="63" t="s">
        <v>684</v>
      </c>
      <c r="O31" s="63" t="s">
        <v>684</v>
      </c>
    </row>
    <row r="32" customFormat="false" ht="15" hidden="false" customHeight="false" outlineLevel="0" collapsed="false">
      <c r="A32" s="24" t="s">
        <v>1494</v>
      </c>
      <c r="F32" s="106" t="n">
        <v>29</v>
      </c>
      <c r="G32" s="106" t="n">
        <v>25.6</v>
      </c>
    </row>
    <row r="33" customFormat="false" ht="15" hidden="false" customHeight="false" outlineLevel="0" collapsed="false">
      <c r="A33" s="24" t="s">
        <v>1495</v>
      </c>
      <c r="F33" s="24" t="s">
        <v>1530</v>
      </c>
      <c r="G33" s="24" t="s">
        <v>1530</v>
      </c>
      <c r="H33" s="24" t="s">
        <v>1498</v>
      </c>
      <c r="I33" s="24" t="s">
        <v>1499</v>
      </c>
      <c r="J33" s="24" t="s">
        <v>1500</v>
      </c>
      <c r="K33" s="24" t="s">
        <v>1501</v>
      </c>
      <c r="L33" s="24" t="s">
        <v>1502</v>
      </c>
      <c r="M33" s="24" t="s">
        <v>1503</v>
      </c>
      <c r="N33" s="24" t="s">
        <v>1504</v>
      </c>
      <c r="O33" s="24" t="s">
        <v>1505</v>
      </c>
    </row>
    <row r="34" customFormat="false" ht="15" hidden="false" customHeight="false" outlineLevel="0" collapsed="false">
      <c r="A34" s="3" t="s">
        <v>1506</v>
      </c>
      <c r="F34" s="104" t="n">
        <f aca="false">IF(F31="Not disclosed",F32,F30)</f>
        <v>29</v>
      </c>
      <c r="G34" s="104" t="n">
        <f aca="false">IF(G31="Not disclosed",G32,G30)</f>
        <v>25.6</v>
      </c>
      <c r="H34" s="104" t="n">
        <f aca="false">IF(H31="Not disclosed",H32,H30)</f>
        <v>31.4</v>
      </c>
      <c r="I34" s="104" t="n">
        <f aca="false">IF(I31="Not disclosed",I32,I30)</f>
        <v>31.9</v>
      </c>
      <c r="J34" s="104" t="n">
        <f aca="false">IF(J31="Not disclosed",J32,J30)</f>
        <v>36.5</v>
      </c>
      <c r="K34" s="104" t="n">
        <f aca="false">IF(K31="Not disclosed",K32,K30)</f>
        <v>42.8</v>
      </c>
      <c r="L34" s="104" t="n">
        <f aca="false">IF(L31="Not disclosed",L32,L30)</f>
        <v>44.9</v>
      </c>
      <c r="M34" s="104" t="n">
        <f aca="false">IF(M31="Not disclosed",M32,M30)</f>
        <v>53.1</v>
      </c>
      <c r="N34" s="104" t="n">
        <f aca="false">IF(N31="Not disclosed",N32,N30)</f>
        <v>67.4</v>
      </c>
      <c r="O34" s="104" t="n">
        <f aca="false">IF(O31="Not disclosed",O32,O30)</f>
        <v>191</v>
      </c>
    </row>
    <row r="36" customFormat="false" ht="22.35" hidden="false" customHeight="false" outlineLevel="0" collapsed="false">
      <c r="A36" s="3" t="s">
        <v>1531</v>
      </c>
      <c r="B36" s="0" t="s">
        <v>745</v>
      </c>
      <c r="C36" s="0" t="s">
        <v>736</v>
      </c>
      <c r="D36" s="34" t="s">
        <v>1526</v>
      </c>
      <c r="F36" s="24" t="s">
        <v>1509</v>
      </c>
      <c r="G36" s="24" t="s">
        <v>1509</v>
      </c>
      <c r="H36" s="103" t="n">
        <v>47.9</v>
      </c>
      <c r="I36" s="103" t="n">
        <v>85.4</v>
      </c>
      <c r="J36" s="103" t="n">
        <v>60.9</v>
      </c>
      <c r="K36" s="103" t="n">
        <v>68.2</v>
      </c>
      <c r="L36" s="103" t="n">
        <v>89.5</v>
      </c>
      <c r="M36" s="103" t="n">
        <v>159.9</v>
      </c>
      <c r="N36" s="103" t="n">
        <v>143.8</v>
      </c>
      <c r="O36" s="103" t="n">
        <v>173.9</v>
      </c>
    </row>
    <row r="37" customFormat="false" ht="15" hidden="false" customHeight="false" outlineLevel="0" collapsed="false">
      <c r="A37" s="24" t="s">
        <v>1493</v>
      </c>
      <c r="F37" s="105" t="s">
        <v>1280</v>
      </c>
      <c r="G37" s="105" t="s">
        <v>1280</v>
      </c>
      <c r="H37" s="63" t="s">
        <v>684</v>
      </c>
      <c r="I37" s="63" t="s">
        <v>684</v>
      </c>
      <c r="J37" s="63" t="s">
        <v>684</v>
      </c>
      <c r="K37" s="63" t="s">
        <v>684</v>
      </c>
      <c r="L37" s="63" t="s">
        <v>684</v>
      </c>
      <c r="M37" s="63" t="s">
        <v>684</v>
      </c>
      <c r="N37" s="63" t="s">
        <v>684</v>
      </c>
      <c r="O37" s="63" t="s">
        <v>684</v>
      </c>
    </row>
    <row r="38" customFormat="false" ht="15" hidden="false" customHeight="false" outlineLevel="0" collapsed="false">
      <c r="A38" s="24" t="s">
        <v>1494</v>
      </c>
      <c r="F38" s="106" t="n">
        <v>44.2</v>
      </c>
      <c r="G38" s="106" t="n">
        <v>39</v>
      </c>
    </row>
    <row r="39" customFormat="false" ht="15" hidden="false" customHeight="false" outlineLevel="0" collapsed="false">
      <c r="A39" s="24" t="s">
        <v>1495</v>
      </c>
      <c r="F39" s="24" t="s">
        <v>1532</v>
      </c>
      <c r="G39" s="24" t="s">
        <v>1532</v>
      </c>
      <c r="H39" s="24" t="s">
        <v>1498</v>
      </c>
      <c r="I39" s="24" t="s">
        <v>1499</v>
      </c>
      <c r="J39" s="24" t="s">
        <v>1500</v>
      </c>
      <c r="K39" s="24" t="s">
        <v>1501</v>
      </c>
      <c r="L39" s="24" t="s">
        <v>1502</v>
      </c>
      <c r="M39" s="24" t="s">
        <v>1503</v>
      </c>
      <c r="N39" s="24" t="s">
        <v>1504</v>
      </c>
      <c r="O39" s="24" t="s">
        <v>1505</v>
      </c>
    </row>
    <row r="40" customFormat="false" ht="15" hidden="false" customHeight="false" outlineLevel="0" collapsed="false">
      <c r="A40" s="3" t="s">
        <v>1506</v>
      </c>
      <c r="F40" s="104" t="n">
        <f aca="false">IF(F37="Not disclosed",F38,F36)</f>
        <v>44.2</v>
      </c>
      <c r="G40" s="104" t="n">
        <f aca="false">IF(G37="Not disclosed",G38,G36)</f>
        <v>39</v>
      </c>
      <c r="H40" s="104" t="n">
        <f aca="false">IF(H37="Not disclosed",H38,H36)</f>
        <v>47.9</v>
      </c>
      <c r="I40" s="104" t="n">
        <f aca="false">IF(I37="Not disclosed",I38,I36)</f>
        <v>85.4</v>
      </c>
      <c r="J40" s="104" t="n">
        <f aca="false">IF(J37="Not disclosed",J38,J36)</f>
        <v>60.9</v>
      </c>
      <c r="K40" s="104" t="n">
        <f aca="false">IF(K37="Not disclosed",K38,K36)</f>
        <v>68.2</v>
      </c>
      <c r="L40" s="104" t="n">
        <f aca="false">IF(L37="Not disclosed",L38,L36)</f>
        <v>89.5</v>
      </c>
      <c r="M40" s="104" t="n">
        <f aca="false">IF(M37="Not disclosed",M38,M36)</f>
        <v>159.9</v>
      </c>
      <c r="N40" s="104" t="n">
        <f aca="false">IF(N37="Not disclosed",N38,N36)</f>
        <v>143.8</v>
      </c>
      <c r="O40" s="104" t="n">
        <f aca="false">IF(O37="Not disclosed",O38,O36)</f>
        <v>173.9</v>
      </c>
    </row>
    <row r="42" customFormat="false" ht="15" hidden="false" customHeight="false" outlineLevel="0" collapsed="false">
      <c r="A42" s="3" t="s">
        <v>1533</v>
      </c>
      <c r="B42" s="0" t="s">
        <v>745</v>
      </c>
      <c r="C42" s="0" t="s">
        <v>736</v>
      </c>
      <c r="D42" s="34"/>
      <c r="F42" s="103" t="n">
        <v>8.9</v>
      </c>
      <c r="G42" s="103" t="n">
        <v>11.4</v>
      </c>
      <c r="H42" s="103" t="n">
        <v>23.5</v>
      </c>
      <c r="I42" s="103" t="n">
        <v>33.3</v>
      </c>
      <c r="J42" s="103" t="n">
        <v>49.1</v>
      </c>
      <c r="K42" s="103" t="n">
        <v>75.2</v>
      </c>
      <c r="L42" s="103" t="n">
        <v>99</v>
      </c>
      <c r="M42" s="103" t="n">
        <v>180.7</v>
      </c>
      <c r="N42" s="103" t="n">
        <v>212</v>
      </c>
      <c r="O42" s="103" t="n">
        <v>259.7</v>
      </c>
    </row>
    <row r="43" customFormat="false" ht="15" hidden="false" customHeight="false" outlineLevel="0" collapsed="false">
      <c r="A43" s="24" t="s">
        <v>1493</v>
      </c>
      <c r="F43" s="63" t="s">
        <v>684</v>
      </c>
      <c r="G43" s="63" t="s">
        <v>684</v>
      </c>
      <c r="H43" s="63" t="s">
        <v>684</v>
      </c>
      <c r="I43" s="63" t="s">
        <v>684</v>
      </c>
      <c r="J43" s="63" t="s">
        <v>684</v>
      </c>
      <c r="K43" s="63" t="s">
        <v>684</v>
      </c>
      <c r="L43" s="63" t="s">
        <v>684</v>
      </c>
      <c r="M43" s="63" t="s">
        <v>684</v>
      </c>
      <c r="N43" s="63" t="s">
        <v>684</v>
      </c>
      <c r="O43" s="63" t="s">
        <v>684</v>
      </c>
    </row>
    <row r="44" customFormat="false" ht="15" hidden="false" customHeight="false" outlineLevel="0" collapsed="false">
      <c r="A44" s="24" t="s">
        <v>1494</v>
      </c>
    </row>
    <row r="45" customFormat="false" ht="15" hidden="false" customHeight="false" outlineLevel="0" collapsed="false">
      <c r="A45" s="24" t="s">
        <v>1495</v>
      </c>
      <c r="F45" s="24" t="s">
        <v>1496</v>
      </c>
      <c r="G45" s="24" t="s">
        <v>1497</v>
      </c>
      <c r="H45" s="24" t="s">
        <v>1498</v>
      </c>
      <c r="I45" s="24" t="s">
        <v>1499</v>
      </c>
      <c r="J45" s="24" t="s">
        <v>1500</v>
      </c>
      <c r="K45" s="24" t="s">
        <v>1501</v>
      </c>
      <c r="L45" s="24" t="s">
        <v>1502</v>
      </c>
      <c r="M45" s="24" t="s">
        <v>1503</v>
      </c>
      <c r="N45" s="24" t="s">
        <v>1504</v>
      </c>
      <c r="O45" s="24" t="s">
        <v>1505</v>
      </c>
    </row>
    <row r="46" customFormat="false" ht="15" hidden="false" customHeight="false" outlineLevel="0" collapsed="false">
      <c r="A46" s="3" t="s">
        <v>1506</v>
      </c>
      <c r="F46" s="104" t="n">
        <f aca="false">IF(F43="Not disclosed",F44,F42)</f>
        <v>8.9</v>
      </c>
      <c r="G46" s="104" t="n">
        <f aca="false">IF(G43="Not disclosed",G44,G42)</f>
        <v>11.4</v>
      </c>
      <c r="H46" s="104" t="n">
        <f aca="false">IF(H43="Not disclosed",H44,H42)</f>
        <v>23.5</v>
      </c>
      <c r="I46" s="104" t="n">
        <f aca="false">IF(I43="Not disclosed",I44,I42)</f>
        <v>33.3</v>
      </c>
      <c r="J46" s="104" t="n">
        <f aca="false">IF(J43="Not disclosed",J44,J42)</f>
        <v>49.1</v>
      </c>
      <c r="K46" s="104" t="n">
        <f aca="false">IF(K43="Not disclosed",K44,K42)</f>
        <v>75.2</v>
      </c>
      <c r="L46" s="104" t="n">
        <f aca="false">IF(L43="Not disclosed",L44,L42)</f>
        <v>99</v>
      </c>
      <c r="M46" s="104" t="n">
        <f aca="false">IF(M43="Not disclosed",M44,M42)</f>
        <v>180.7</v>
      </c>
      <c r="N46" s="104" t="n">
        <f aca="false">IF(N43="Not disclosed",N44,N42)</f>
        <v>212</v>
      </c>
      <c r="O46" s="104" t="n">
        <f aca="false">IF(O43="Not disclosed",O44,O42)</f>
        <v>259.7</v>
      </c>
    </row>
    <row r="48" customFormat="false" ht="22.35" hidden="false" customHeight="false" outlineLevel="0" collapsed="false">
      <c r="A48" s="3" t="s">
        <v>1534</v>
      </c>
      <c r="B48" s="0" t="s">
        <v>745</v>
      </c>
      <c r="C48" s="0" t="s">
        <v>736</v>
      </c>
      <c r="D48" s="34" t="s">
        <v>1535</v>
      </c>
      <c r="F48" s="103" t="n">
        <v>8.9</v>
      </c>
      <c r="G48" s="103" t="n">
        <v>11.4</v>
      </c>
      <c r="H48" s="103" t="n">
        <v>23.5</v>
      </c>
      <c r="I48" s="103" t="n">
        <v>33.3</v>
      </c>
      <c r="J48" s="103" t="n">
        <v>49.1</v>
      </c>
      <c r="K48" s="103" t="n">
        <v>75.2</v>
      </c>
      <c r="L48" s="103" t="n">
        <v>99</v>
      </c>
      <c r="M48" s="103" t="n">
        <v>180.7</v>
      </c>
      <c r="N48" s="103" t="n">
        <v>255.1</v>
      </c>
      <c r="O48" s="103" t="n">
        <v>302.7</v>
      </c>
    </row>
    <row r="49" customFormat="false" ht="15" hidden="false" customHeight="false" outlineLevel="0" collapsed="false">
      <c r="A49" s="24" t="s">
        <v>1493</v>
      </c>
      <c r="F49" s="63" t="s">
        <v>684</v>
      </c>
      <c r="G49" s="63" t="s">
        <v>684</v>
      </c>
      <c r="H49" s="63" t="s">
        <v>684</v>
      </c>
      <c r="I49" s="63" t="s">
        <v>684</v>
      </c>
      <c r="J49" s="63" t="s">
        <v>684</v>
      </c>
      <c r="K49" s="63" t="s">
        <v>684</v>
      </c>
      <c r="L49" s="63" t="s">
        <v>684</v>
      </c>
      <c r="M49" s="63" t="s">
        <v>684</v>
      </c>
      <c r="N49" s="63" t="s">
        <v>706</v>
      </c>
      <c r="O49" s="63" t="s">
        <v>706</v>
      </c>
    </row>
    <row r="50" customFormat="false" ht="15" hidden="false" customHeight="false" outlineLevel="0" collapsed="false">
      <c r="A50" s="24" t="s">
        <v>1494</v>
      </c>
    </row>
    <row r="51" customFormat="false" ht="15" hidden="false" customHeight="false" outlineLevel="0" collapsed="false">
      <c r="A51" s="24" t="s">
        <v>1495</v>
      </c>
      <c r="F51" s="24" t="s">
        <v>1496</v>
      </c>
      <c r="G51" s="24" t="s">
        <v>1497</v>
      </c>
      <c r="H51" s="24" t="s">
        <v>1498</v>
      </c>
      <c r="I51" s="24" t="s">
        <v>1499</v>
      </c>
      <c r="J51" s="24" t="s">
        <v>1500</v>
      </c>
      <c r="K51" s="24" t="s">
        <v>1501</v>
      </c>
      <c r="L51" s="24" t="s">
        <v>1502</v>
      </c>
      <c r="M51" s="24" t="s">
        <v>1503</v>
      </c>
      <c r="N51" s="24" t="s">
        <v>1536</v>
      </c>
      <c r="O51" s="24" t="s">
        <v>1537</v>
      </c>
    </row>
    <row r="52" customFormat="false" ht="15" hidden="false" customHeight="false" outlineLevel="0" collapsed="false">
      <c r="A52" s="3" t="s">
        <v>1506</v>
      </c>
      <c r="F52" s="104" t="n">
        <f aca="false">IF(F49="Not disclosed",F50,F48)</f>
        <v>8.9</v>
      </c>
      <c r="G52" s="104" t="n">
        <f aca="false">IF(G49="Not disclosed",G50,G48)</f>
        <v>11.4</v>
      </c>
      <c r="H52" s="104" t="n">
        <f aca="false">IF(H49="Not disclosed",H50,H48)</f>
        <v>23.5</v>
      </c>
      <c r="I52" s="104" t="n">
        <f aca="false">IF(I49="Not disclosed",I50,I48)</f>
        <v>33.3</v>
      </c>
      <c r="J52" s="104" t="n">
        <f aca="false">IF(J49="Not disclosed",J50,J48)</f>
        <v>49.1</v>
      </c>
      <c r="K52" s="104" t="n">
        <f aca="false">IF(K49="Not disclosed",K50,K48)</f>
        <v>75.2</v>
      </c>
      <c r="L52" s="104" t="n">
        <f aca="false">IF(L49="Not disclosed",L50,L48)</f>
        <v>99</v>
      </c>
      <c r="M52" s="104" t="n">
        <f aca="false">IF(M49="Not disclosed",M50,M48)</f>
        <v>180.7</v>
      </c>
      <c r="N52" s="104" t="n">
        <f aca="false">IF(N49="Not disclosed",N50,N48)</f>
        <v>255.1</v>
      </c>
      <c r="O52" s="104" t="n">
        <f aca="false">IF(O49="Not disclosed",O50,O48)</f>
        <v>302.7</v>
      </c>
    </row>
    <row r="54" customFormat="false" ht="22.35" hidden="false" customHeight="false" outlineLevel="0" collapsed="false">
      <c r="A54" s="3" t="s">
        <v>1538</v>
      </c>
      <c r="B54" s="0" t="s">
        <v>745</v>
      </c>
      <c r="C54" s="0" t="s">
        <v>736</v>
      </c>
      <c r="D54" s="34" t="s">
        <v>1539</v>
      </c>
      <c r="F54" s="24" t="s">
        <v>1509</v>
      </c>
      <c r="G54" s="103" t="n">
        <v>328.3</v>
      </c>
      <c r="H54" s="103" t="n">
        <v>475.3</v>
      </c>
      <c r="I54" s="103" t="n">
        <v>846.7</v>
      </c>
      <c r="J54" s="103" t="n">
        <v>1334.1</v>
      </c>
      <c r="K54" s="103" t="n">
        <v>1789.4</v>
      </c>
      <c r="L54" s="103" t="n">
        <v>3314.4</v>
      </c>
      <c r="M54" s="103" t="n">
        <v>5553.3</v>
      </c>
      <c r="N54" s="103" t="n">
        <v>7131.7</v>
      </c>
      <c r="O54" s="103" t="n">
        <v>13045.2</v>
      </c>
    </row>
    <row r="55" customFormat="false" ht="15" hidden="false" customHeight="false" outlineLevel="0" collapsed="false">
      <c r="A55" s="24" t="s">
        <v>1493</v>
      </c>
      <c r="F55" s="105" t="s">
        <v>1280</v>
      </c>
      <c r="G55" s="63" t="s">
        <v>684</v>
      </c>
      <c r="H55" s="63" t="s">
        <v>684</v>
      </c>
      <c r="I55" s="63" t="s">
        <v>684</v>
      </c>
      <c r="J55" s="63" t="s">
        <v>684</v>
      </c>
      <c r="K55" s="63" t="s">
        <v>684</v>
      </c>
      <c r="L55" s="63" t="s">
        <v>684</v>
      </c>
      <c r="M55" s="63" t="s">
        <v>684</v>
      </c>
      <c r="N55" s="63" t="s">
        <v>684</v>
      </c>
      <c r="O55" s="63" t="s">
        <v>684</v>
      </c>
    </row>
    <row r="56" customFormat="false" ht="15" hidden="false" customHeight="false" outlineLevel="0" collapsed="false">
      <c r="A56" s="24" t="s">
        <v>1494</v>
      </c>
      <c r="F56" s="106" t="n">
        <v>250</v>
      </c>
    </row>
    <row r="57" customFormat="false" ht="15" hidden="false" customHeight="false" outlineLevel="0" collapsed="false">
      <c r="A57" s="24" t="s">
        <v>1495</v>
      </c>
      <c r="F57" s="24" t="s">
        <v>1540</v>
      </c>
      <c r="G57" s="24" t="s">
        <v>1497</v>
      </c>
      <c r="H57" s="24" t="s">
        <v>1498</v>
      </c>
      <c r="I57" s="24" t="s">
        <v>1499</v>
      </c>
      <c r="J57" s="24" t="s">
        <v>1500</v>
      </c>
      <c r="K57" s="24" t="s">
        <v>1501</v>
      </c>
      <c r="L57" s="24" t="s">
        <v>1502</v>
      </c>
      <c r="M57" s="24" t="s">
        <v>1503</v>
      </c>
      <c r="N57" s="24" t="s">
        <v>1504</v>
      </c>
      <c r="O57" s="24" t="s">
        <v>1505</v>
      </c>
    </row>
    <row r="58" customFormat="false" ht="15" hidden="false" customHeight="false" outlineLevel="0" collapsed="false">
      <c r="A58" s="3" t="s">
        <v>1506</v>
      </c>
      <c r="F58" s="104" t="n">
        <f aca="false">IF(F55="Not disclosed",F56,F54)</f>
        <v>250</v>
      </c>
      <c r="G58" s="104" t="n">
        <f aca="false">IF(G55="Not disclosed",G56,G54)</f>
        <v>328.3</v>
      </c>
      <c r="H58" s="104" t="n">
        <f aca="false">IF(H55="Not disclosed",H56,H54)</f>
        <v>475.3</v>
      </c>
      <c r="I58" s="104" t="n">
        <f aca="false">IF(I55="Not disclosed",I56,I54)</f>
        <v>846.7</v>
      </c>
      <c r="J58" s="104" t="n">
        <f aca="false">IF(J55="Not disclosed",J56,J54)</f>
        <v>1334.1</v>
      </c>
      <c r="K58" s="104" t="n">
        <f aca="false">IF(K55="Not disclosed",K56,K54)</f>
        <v>1789.4</v>
      </c>
      <c r="L58" s="104" t="n">
        <f aca="false">IF(L55="Not disclosed",L56,L54)</f>
        <v>3314.4</v>
      </c>
      <c r="M58" s="104" t="n">
        <f aca="false">IF(M55="Not disclosed",M56,M54)</f>
        <v>5553.3</v>
      </c>
      <c r="N58" s="104" t="n">
        <f aca="false">IF(N55="Not disclosed",N56,N54)</f>
        <v>7131.7</v>
      </c>
      <c r="O58" s="104" t="n">
        <f aca="false">IF(O55="Not disclosed",O56,O54)</f>
        <v>13045.2</v>
      </c>
    </row>
    <row r="60" customFormat="false" ht="22.35" hidden="false" customHeight="false" outlineLevel="0" collapsed="false">
      <c r="A60" s="3" t="s">
        <v>1541</v>
      </c>
      <c r="B60" s="0" t="s">
        <v>745</v>
      </c>
      <c r="C60" s="0" t="s">
        <v>736</v>
      </c>
      <c r="D60" s="34" t="s">
        <v>1542</v>
      </c>
      <c r="F60" s="24" t="s">
        <v>1509</v>
      </c>
      <c r="G60" s="24" t="s">
        <v>1509</v>
      </c>
      <c r="H60" s="24" t="s">
        <v>1509</v>
      </c>
      <c r="I60" s="24" t="s">
        <v>1509</v>
      </c>
      <c r="J60" s="24" t="s">
        <v>1509</v>
      </c>
      <c r="K60" s="24" t="s">
        <v>1509</v>
      </c>
      <c r="L60" s="24" t="s">
        <v>1509</v>
      </c>
      <c r="M60" s="103" t="n">
        <v>2417.4</v>
      </c>
      <c r="N60" s="103" t="n">
        <v>2427.9</v>
      </c>
      <c r="O60" s="103" t="n">
        <v>7836.4</v>
      </c>
    </row>
    <row r="61" customFormat="false" ht="15" hidden="false" customHeight="false" outlineLevel="0" collapsed="false">
      <c r="A61" s="24" t="s">
        <v>1493</v>
      </c>
      <c r="F61" s="105" t="s">
        <v>1280</v>
      </c>
      <c r="G61" s="105" t="s">
        <v>1280</v>
      </c>
      <c r="H61" s="105" t="s">
        <v>1280</v>
      </c>
      <c r="I61" s="105" t="s">
        <v>1280</v>
      </c>
      <c r="J61" s="105" t="s">
        <v>1280</v>
      </c>
      <c r="K61" s="105" t="s">
        <v>1280</v>
      </c>
      <c r="L61" s="105" t="s">
        <v>1280</v>
      </c>
      <c r="M61" s="63" t="s">
        <v>684</v>
      </c>
      <c r="N61" s="63" t="s">
        <v>684</v>
      </c>
      <c r="O61" s="63" t="s">
        <v>684</v>
      </c>
    </row>
    <row r="62" customFormat="false" ht="15" hidden="false" customHeight="false" outlineLevel="0" collapsed="false">
      <c r="A62" s="24" t="s">
        <v>1494</v>
      </c>
    </row>
    <row r="63" customFormat="false" ht="15" hidden="false" customHeight="false" outlineLevel="0" collapsed="false">
      <c r="A63" s="24" t="s">
        <v>1495</v>
      </c>
      <c r="F63" s="24" t="s">
        <v>1543</v>
      </c>
      <c r="G63" s="24" t="s">
        <v>1543</v>
      </c>
      <c r="H63" s="24" t="s">
        <v>1543</v>
      </c>
      <c r="I63" s="24" t="s">
        <v>1543</v>
      </c>
      <c r="J63" s="24" t="s">
        <v>1543</v>
      </c>
      <c r="K63" s="24" t="s">
        <v>1543</v>
      </c>
      <c r="L63" s="24" t="s">
        <v>1543</v>
      </c>
      <c r="M63" s="24" t="s">
        <v>1544</v>
      </c>
      <c r="N63" s="24" t="s">
        <v>1544</v>
      </c>
      <c r="O63" s="24" t="s">
        <v>1544</v>
      </c>
    </row>
    <row r="64" customFormat="false" ht="15" hidden="false" customHeight="false" outlineLevel="0" collapsed="false">
      <c r="A64" s="3" t="s">
        <v>1506</v>
      </c>
      <c r="F64" s="104" t="n">
        <f aca="false">IF(F61="Not disclosed",F62,F60)</f>
        <v>0</v>
      </c>
      <c r="G64" s="104" t="n">
        <f aca="false">IF(G61="Not disclosed",G62,G60)</f>
        <v>0</v>
      </c>
      <c r="H64" s="104" t="n">
        <f aca="false">IF(H61="Not disclosed",H62,H60)</f>
        <v>0</v>
      </c>
      <c r="I64" s="104" t="n">
        <f aca="false">IF(I61="Not disclosed",I62,I60)</f>
        <v>0</v>
      </c>
      <c r="J64" s="104" t="n">
        <f aca="false">IF(J61="Not disclosed",J62,J60)</f>
        <v>0</v>
      </c>
      <c r="K64" s="104" t="n">
        <f aca="false">IF(K61="Not disclosed",K62,K60)</f>
        <v>0</v>
      </c>
      <c r="L64" s="104" t="n">
        <f aca="false">IF(L61="Not disclosed",L62,L60)</f>
        <v>0</v>
      </c>
      <c r="M64" s="104" t="n">
        <f aca="false">IF(M61="Not disclosed",M62,M60)</f>
        <v>2417.4</v>
      </c>
      <c r="N64" s="104" t="n">
        <f aca="false">IF(N61="Not disclosed",N62,N60)</f>
        <v>2427.9</v>
      </c>
      <c r="O64" s="104" t="n">
        <f aca="false">IF(O61="Not disclosed",O62,O60)</f>
        <v>7836.4</v>
      </c>
    </row>
    <row r="66" customFormat="false" ht="15" hidden="false" customHeight="false" outlineLevel="0" collapsed="false">
      <c r="A66" s="3" t="s">
        <v>1545</v>
      </c>
      <c r="B66" s="0" t="s">
        <v>745</v>
      </c>
      <c r="C66" s="0" t="s">
        <v>736</v>
      </c>
      <c r="D66" s="34" t="s">
        <v>1546</v>
      </c>
      <c r="F66" s="24" t="s">
        <v>1509</v>
      </c>
      <c r="G66" s="24" t="s">
        <v>1509</v>
      </c>
      <c r="H66" s="24" t="s">
        <v>1509</v>
      </c>
      <c r="I66" s="24" t="s">
        <v>1509</v>
      </c>
      <c r="J66" s="24" t="s">
        <v>1509</v>
      </c>
      <c r="K66" s="24" t="s">
        <v>1509</v>
      </c>
      <c r="L66" s="24" t="s">
        <v>1509</v>
      </c>
      <c r="M66" s="103" t="n">
        <v>3772.9</v>
      </c>
      <c r="N66" s="103" t="n">
        <v>5548.7</v>
      </c>
      <c r="O66" s="103" t="n">
        <v>6313.1</v>
      </c>
    </row>
    <row r="67" customFormat="false" ht="15" hidden="false" customHeight="false" outlineLevel="0" collapsed="false">
      <c r="A67" s="24" t="s">
        <v>1493</v>
      </c>
      <c r="F67" s="105" t="s">
        <v>1280</v>
      </c>
      <c r="G67" s="105" t="s">
        <v>1280</v>
      </c>
      <c r="H67" s="105" t="s">
        <v>1280</v>
      </c>
      <c r="I67" s="105" t="s">
        <v>1280</v>
      </c>
      <c r="J67" s="105" t="s">
        <v>1280</v>
      </c>
      <c r="K67" s="105" t="s">
        <v>1280</v>
      </c>
      <c r="L67" s="105" t="s">
        <v>1280</v>
      </c>
      <c r="M67" s="63" t="s">
        <v>706</v>
      </c>
      <c r="N67" s="63" t="s">
        <v>706</v>
      </c>
      <c r="O67" s="63" t="s">
        <v>706</v>
      </c>
    </row>
    <row r="68" customFormat="false" ht="15" hidden="false" customHeight="false" outlineLevel="0" collapsed="false">
      <c r="A68" s="24" t="s">
        <v>1494</v>
      </c>
    </row>
    <row r="69" customFormat="false" ht="15" hidden="false" customHeight="false" outlineLevel="0" collapsed="false">
      <c r="A69" s="24" t="s">
        <v>1495</v>
      </c>
      <c r="F69" s="24" t="s">
        <v>1280</v>
      </c>
      <c r="G69" s="24" t="s">
        <v>1280</v>
      </c>
      <c r="H69" s="24" t="s">
        <v>1280</v>
      </c>
      <c r="I69" s="24" t="s">
        <v>1280</v>
      </c>
      <c r="J69" s="24" t="s">
        <v>1280</v>
      </c>
      <c r="K69" s="24" t="s">
        <v>1280</v>
      </c>
      <c r="L69" s="24" t="s">
        <v>1280</v>
      </c>
      <c r="M69" s="24" t="s">
        <v>1547</v>
      </c>
      <c r="N69" s="24" t="s">
        <v>1547</v>
      </c>
      <c r="O69" s="24" t="s">
        <v>1547</v>
      </c>
    </row>
    <row r="70" customFormat="false" ht="15" hidden="false" customHeight="false" outlineLevel="0" collapsed="false">
      <c r="A70" s="3" t="s">
        <v>1506</v>
      </c>
      <c r="F70" s="104" t="n">
        <f aca="false">IF(F67="Not disclosed",F68,F66)</f>
        <v>0</v>
      </c>
      <c r="G70" s="104" t="n">
        <f aca="false">IF(G67="Not disclosed",G68,G66)</f>
        <v>0</v>
      </c>
      <c r="H70" s="104" t="n">
        <f aca="false">IF(H67="Not disclosed",H68,H66)</f>
        <v>0</v>
      </c>
      <c r="I70" s="104" t="n">
        <f aca="false">IF(I67="Not disclosed",I68,I66)</f>
        <v>0</v>
      </c>
      <c r="J70" s="104" t="n">
        <f aca="false">IF(J67="Not disclosed",J68,J66)</f>
        <v>0</v>
      </c>
      <c r="K70" s="104" t="n">
        <f aca="false">IF(K67="Not disclosed",K68,K66)</f>
        <v>0</v>
      </c>
      <c r="L70" s="104" t="n">
        <f aca="false">IF(L67="Not disclosed",L68,L66)</f>
        <v>0</v>
      </c>
      <c r="M70" s="104" t="n">
        <f aca="false">IF(M67="Not disclosed",M68,M66)</f>
        <v>3772.9</v>
      </c>
      <c r="N70" s="104" t="n">
        <f aca="false">IF(N67="Not disclosed",N68,N66)</f>
        <v>5548.7</v>
      </c>
      <c r="O70" s="104" t="n">
        <f aca="false">IF(O67="Not disclosed",O68,O66)</f>
        <v>6313.1</v>
      </c>
    </row>
    <row r="72" customFormat="false" ht="15" hidden="false" customHeight="false" outlineLevel="0" collapsed="false">
      <c r="A72" s="3" t="s">
        <v>1548</v>
      </c>
      <c r="B72" s="0" t="s">
        <v>745</v>
      </c>
      <c r="C72" s="0" t="s">
        <v>736</v>
      </c>
      <c r="D72" s="34" t="s">
        <v>1255</v>
      </c>
      <c r="F72" s="24" t="s">
        <v>1509</v>
      </c>
      <c r="G72" s="24" t="s">
        <v>1509</v>
      </c>
      <c r="H72" s="24" t="s">
        <v>1509</v>
      </c>
      <c r="I72" s="24" t="s">
        <v>1509</v>
      </c>
      <c r="J72" s="24" t="s">
        <v>1509</v>
      </c>
      <c r="K72" s="24" t="s">
        <v>1509</v>
      </c>
      <c r="L72" s="24" t="s">
        <v>1509</v>
      </c>
      <c r="M72" s="103" t="n">
        <v>3123.6</v>
      </c>
      <c r="N72" s="103" t="n">
        <v>4692.7</v>
      </c>
      <c r="O72" s="103" t="n">
        <v>5197.7</v>
      </c>
    </row>
    <row r="73" customFormat="false" ht="15" hidden="false" customHeight="false" outlineLevel="0" collapsed="false">
      <c r="A73" s="24" t="s">
        <v>1493</v>
      </c>
      <c r="F73" s="105" t="s">
        <v>1280</v>
      </c>
      <c r="G73" s="105" t="s">
        <v>1280</v>
      </c>
      <c r="H73" s="105" t="s">
        <v>1280</v>
      </c>
      <c r="I73" s="105" t="s">
        <v>1280</v>
      </c>
      <c r="J73" s="105" t="s">
        <v>1280</v>
      </c>
      <c r="K73" s="105" t="s">
        <v>1280</v>
      </c>
      <c r="L73" s="105" t="s">
        <v>1280</v>
      </c>
      <c r="M73" s="63" t="s">
        <v>684</v>
      </c>
      <c r="N73" s="63" t="s">
        <v>684</v>
      </c>
      <c r="O73" s="63" t="s">
        <v>684</v>
      </c>
    </row>
    <row r="74" customFormat="false" ht="15" hidden="false" customHeight="false" outlineLevel="0" collapsed="false">
      <c r="A74" s="24" t="s">
        <v>1494</v>
      </c>
    </row>
    <row r="75" customFormat="false" ht="15" hidden="false" customHeight="false" outlineLevel="0" collapsed="false">
      <c r="A75" s="24" t="s">
        <v>1495</v>
      </c>
      <c r="F75" s="24" t="s">
        <v>1280</v>
      </c>
      <c r="G75" s="24" t="s">
        <v>1280</v>
      </c>
      <c r="H75" s="24" t="s">
        <v>1280</v>
      </c>
      <c r="I75" s="24" t="s">
        <v>1280</v>
      </c>
      <c r="J75" s="24" t="s">
        <v>1280</v>
      </c>
      <c r="K75" s="24" t="s">
        <v>1280</v>
      </c>
      <c r="L75" s="24" t="s">
        <v>1280</v>
      </c>
      <c r="M75" s="24" t="s">
        <v>1255</v>
      </c>
      <c r="N75" s="24" t="s">
        <v>1255</v>
      </c>
      <c r="O75" s="24" t="s">
        <v>1255</v>
      </c>
    </row>
    <row r="76" customFormat="false" ht="15" hidden="false" customHeight="false" outlineLevel="0" collapsed="false">
      <c r="A76" s="3" t="s">
        <v>1506</v>
      </c>
      <c r="F76" s="104" t="n">
        <f aca="false">IF(F73="Not disclosed",F74,F72)</f>
        <v>0</v>
      </c>
      <c r="G76" s="104" t="n">
        <f aca="false">IF(G73="Not disclosed",G74,G72)</f>
        <v>0</v>
      </c>
      <c r="H76" s="104" t="n">
        <f aca="false">IF(H73="Not disclosed",H74,H72)</f>
        <v>0</v>
      </c>
      <c r="I76" s="104" t="n">
        <f aca="false">IF(I73="Not disclosed",I74,I72)</f>
        <v>0</v>
      </c>
      <c r="J76" s="104" t="n">
        <f aca="false">IF(J73="Not disclosed",J74,J72)</f>
        <v>0</v>
      </c>
      <c r="K76" s="104" t="n">
        <f aca="false">IF(K73="Not disclosed",K74,K72)</f>
        <v>0</v>
      </c>
      <c r="L76" s="104" t="n">
        <f aca="false">IF(L73="Not disclosed",L74,L72)</f>
        <v>0</v>
      </c>
      <c r="M76" s="104" t="n">
        <f aca="false">IF(M73="Not disclosed",M74,M72)</f>
        <v>3123.6</v>
      </c>
      <c r="N76" s="104" t="n">
        <f aca="false">IF(N73="Not disclosed",N74,N72)</f>
        <v>4692.7</v>
      </c>
      <c r="O76" s="104" t="n">
        <f aca="false">IF(O73="Not disclosed",O74,O72)</f>
        <v>5197.7</v>
      </c>
    </row>
    <row r="78" customFormat="false" ht="15" hidden="false" customHeight="false" outlineLevel="0" collapsed="false">
      <c r="A78" s="3" t="s">
        <v>1549</v>
      </c>
      <c r="B78" s="0" t="s">
        <v>745</v>
      </c>
      <c r="C78" s="0" t="s">
        <v>736</v>
      </c>
      <c r="D78" s="34" t="s">
        <v>1550</v>
      </c>
      <c r="F78" s="24" t="s">
        <v>1509</v>
      </c>
      <c r="G78" s="24" t="s">
        <v>1509</v>
      </c>
      <c r="H78" s="24" t="s">
        <v>1509</v>
      </c>
      <c r="I78" s="24" t="s">
        <v>1509</v>
      </c>
      <c r="J78" s="24" t="s">
        <v>1509</v>
      </c>
      <c r="K78" s="24" t="s">
        <v>1509</v>
      </c>
      <c r="L78" s="24" t="s">
        <v>1509</v>
      </c>
      <c r="M78" s="24" t="s">
        <v>1509</v>
      </c>
      <c r="N78" s="103" t="n">
        <v>208.8</v>
      </c>
      <c r="O78" s="103" t="n">
        <v>253.8</v>
      </c>
    </row>
    <row r="79" customFormat="false" ht="15" hidden="false" customHeight="false" outlineLevel="0" collapsed="false">
      <c r="A79" s="24" t="s">
        <v>1493</v>
      </c>
      <c r="F79" s="105" t="s">
        <v>1280</v>
      </c>
      <c r="G79" s="105" t="s">
        <v>1280</v>
      </c>
      <c r="H79" s="105" t="s">
        <v>1280</v>
      </c>
      <c r="I79" s="105" t="s">
        <v>1280</v>
      </c>
      <c r="J79" s="105" t="s">
        <v>1280</v>
      </c>
      <c r="K79" s="105" t="s">
        <v>1280</v>
      </c>
      <c r="L79" s="105" t="s">
        <v>1280</v>
      </c>
      <c r="M79" s="105" t="s">
        <v>1280</v>
      </c>
      <c r="N79" s="63" t="s">
        <v>684</v>
      </c>
      <c r="O79" s="63" t="s">
        <v>684</v>
      </c>
    </row>
    <row r="80" customFormat="false" ht="15" hidden="false" customHeight="false" outlineLevel="0" collapsed="false">
      <c r="A80" s="24" t="s">
        <v>1494</v>
      </c>
      <c r="F80" s="106" t="n">
        <v>8.9</v>
      </c>
      <c r="G80" s="106" t="n">
        <v>11.4</v>
      </c>
      <c r="H80" s="106" t="n">
        <v>23.5</v>
      </c>
      <c r="I80" s="106" t="n">
        <v>33.3</v>
      </c>
      <c r="J80" s="106" t="n">
        <v>49.1</v>
      </c>
      <c r="K80" s="106" t="n">
        <v>75.2</v>
      </c>
      <c r="L80" s="106" t="n">
        <v>99</v>
      </c>
      <c r="M80" s="106" t="n">
        <v>180.7</v>
      </c>
    </row>
    <row r="81" customFormat="false" ht="15" hidden="false" customHeight="false" outlineLevel="0" collapsed="false">
      <c r="A81" s="24" t="s">
        <v>1495</v>
      </c>
      <c r="F81" s="24" t="s">
        <v>1551</v>
      </c>
      <c r="G81" s="24" t="s">
        <v>1551</v>
      </c>
      <c r="H81" s="24" t="s">
        <v>1551</v>
      </c>
      <c r="I81" s="24" t="s">
        <v>1551</v>
      </c>
      <c r="J81" s="24" t="s">
        <v>1551</v>
      </c>
      <c r="K81" s="24" t="s">
        <v>1551</v>
      </c>
      <c r="L81" s="24" t="s">
        <v>1551</v>
      </c>
      <c r="M81" s="24" t="s">
        <v>1551</v>
      </c>
      <c r="N81" s="24" t="s">
        <v>1255</v>
      </c>
      <c r="O81" s="24" t="s">
        <v>1255</v>
      </c>
    </row>
    <row r="82" customFormat="false" ht="15" hidden="false" customHeight="false" outlineLevel="0" collapsed="false">
      <c r="A82" s="3" t="s">
        <v>1506</v>
      </c>
      <c r="F82" s="104" t="n">
        <f aca="false">IF(F79="Not disclosed",F80,F78)</f>
        <v>8.9</v>
      </c>
      <c r="G82" s="104" t="n">
        <f aca="false">IF(G79="Not disclosed",G80,G78)</f>
        <v>11.4</v>
      </c>
      <c r="H82" s="104" t="n">
        <f aca="false">IF(H79="Not disclosed",H80,H78)</f>
        <v>23.5</v>
      </c>
      <c r="I82" s="104" t="n">
        <f aca="false">IF(I79="Not disclosed",I80,I78)</f>
        <v>33.3</v>
      </c>
      <c r="J82" s="104" t="n">
        <f aca="false">IF(J79="Not disclosed",J80,J78)</f>
        <v>49.1</v>
      </c>
      <c r="K82" s="104" t="n">
        <f aca="false">IF(K79="Not disclosed",K80,K78)</f>
        <v>75.2</v>
      </c>
      <c r="L82" s="104" t="n">
        <f aca="false">IF(L79="Not disclosed",L80,L78)</f>
        <v>99</v>
      </c>
      <c r="M82" s="104" t="n">
        <f aca="false">IF(M79="Not disclosed",M80,M78)</f>
        <v>180.7</v>
      </c>
      <c r="N82" s="104" t="n">
        <f aca="false">IF(N79="Not disclosed",N80,N78)</f>
        <v>208.8</v>
      </c>
      <c r="O82" s="104" t="n">
        <f aca="false">IF(O79="Not disclosed",O80,O78)</f>
        <v>253.8</v>
      </c>
    </row>
    <row r="84" customFormat="false" ht="15" hidden="false" customHeight="false" outlineLevel="0" collapsed="false">
      <c r="A84" s="3" t="s">
        <v>1552</v>
      </c>
      <c r="B84" s="0" t="s">
        <v>745</v>
      </c>
      <c r="C84" s="0" t="s">
        <v>736</v>
      </c>
      <c r="D84" s="34" t="s">
        <v>1553</v>
      </c>
      <c r="F84" s="24" t="s">
        <v>1509</v>
      </c>
      <c r="G84" s="24" t="s">
        <v>1509</v>
      </c>
      <c r="H84" s="24" t="s">
        <v>1509</v>
      </c>
      <c r="I84" s="24" t="s">
        <v>1509</v>
      </c>
      <c r="J84" s="24" t="s">
        <v>1509</v>
      </c>
      <c r="K84" s="24" t="s">
        <v>1509</v>
      </c>
      <c r="L84" s="24" t="s">
        <v>1509</v>
      </c>
      <c r="M84" s="24" t="s">
        <v>1509</v>
      </c>
      <c r="N84" s="103" t="n">
        <v>15.7</v>
      </c>
      <c r="O84" s="103" t="n">
        <v>40.2</v>
      </c>
    </row>
    <row r="85" customFormat="false" ht="15" hidden="false" customHeight="false" outlineLevel="0" collapsed="false">
      <c r="A85" s="24" t="s">
        <v>1493</v>
      </c>
      <c r="F85" s="105" t="s">
        <v>1280</v>
      </c>
      <c r="G85" s="105" t="s">
        <v>1280</v>
      </c>
      <c r="H85" s="105" t="s">
        <v>1280</v>
      </c>
      <c r="I85" s="105" t="s">
        <v>1280</v>
      </c>
      <c r="J85" s="105" t="s">
        <v>1280</v>
      </c>
      <c r="K85" s="105" t="s">
        <v>1280</v>
      </c>
      <c r="L85" s="105" t="s">
        <v>1280</v>
      </c>
      <c r="M85" s="105" t="s">
        <v>1280</v>
      </c>
      <c r="N85" s="63" t="s">
        <v>684</v>
      </c>
      <c r="O85" s="63" t="s">
        <v>684</v>
      </c>
    </row>
    <row r="86" customFormat="false" ht="15" hidden="false" customHeight="false" outlineLevel="0" collapsed="false">
      <c r="A86" s="24" t="s">
        <v>1494</v>
      </c>
      <c r="F86" s="106" t="n">
        <v>0</v>
      </c>
      <c r="G86" s="106" t="n">
        <v>0</v>
      </c>
      <c r="H86" s="106" t="n">
        <v>0</v>
      </c>
      <c r="I86" s="106" t="n">
        <v>0</v>
      </c>
      <c r="J86" s="106" t="n">
        <v>0</v>
      </c>
      <c r="K86" s="106" t="n">
        <v>0</v>
      </c>
      <c r="L86" s="106" t="n">
        <v>0</v>
      </c>
      <c r="M86" s="106" t="n">
        <v>0</v>
      </c>
    </row>
    <row r="87" customFormat="false" ht="15" hidden="false" customHeight="false" outlineLevel="0" collapsed="false">
      <c r="A87" s="24" t="s">
        <v>1495</v>
      </c>
      <c r="F87" s="24" t="s">
        <v>1554</v>
      </c>
      <c r="G87" s="24" t="s">
        <v>1554</v>
      </c>
      <c r="H87" s="24" t="s">
        <v>1554</v>
      </c>
      <c r="I87" s="24" t="s">
        <v>1554</v>
      </c>
      <c r="J87" s="24" t="s">
        <v>1554</v>
      </c>
      <c r="K87" s="24" t="s">
        <v>1554</v>
      </c>
      <c r="L87" s="24" t="s">
        <v>1554</v>
      </c>
      <c r="M87" s="24" t="s">
        <v>1554</v>
      </c>
      <c r="N87" s="24" t="s">
        <v>1555</v>
      </c>
      <c r="O87" s="24" t="s">
        <v>1555</v>
      </c>
    </row>
    <row r="88" customFormat="false" ht="15" hidden="false" customHeight="false" outlineLevel="0" collapsed="false">
      <c r="A88" s="3" t="s">
        <v>1506</v>
      </c>
      <c r="F88" s="104" t="n">
        <f aca="false">IF(F85="Not disclosed",F86,F84)</f>
        <v>0</v>
      </c>
      <c r="G88" s="104" t="n">
        <f aca="false">IF(G85="Not disclosed",G86,G84)</f>
        <v>0</v>
      </c>
      <c r="H88" s="104" t="n">
        <f aca="false">IF(H85="Not disclosed",H86,H84)</f>
        <v>0</v>
      </c>
      <c r="I88" s="104" t="n">
        <f aca="false">IF(I85="Not disclosed",I86,I84)</f>
        <v>0</v>
      </c>
      <c r="J88" s="104" t="n">
        <f aca="false">IF(J85="Not disclosed",J86,J84)</f>
        <v>0</v>
      </c>
      <c r="K88" s="104" t="n">
        <f aca="false">IF(K85="Not disclosed",K86,K84)</f>
        <v>0</v>
      </c>
      <c r="L88" s="104" t="n">
        <f aca="false">IF(L85="Not disclosed",L86,L84)</f>
        <v>0</v>
      </c>
      <c r="M88" s="104" t="n">
        <f aca="false">IF(M85="Not disclosed",M86,M84)</f>
        <v>0</v>
      </c>
      <c r="N88" s="104" t="n">
        <f aca="false">IF(N85="Not disclosed",N86,N84)</f>
        <v>15.7</v>
      </c>
      <c r="O88" s="104" t="n">
        <f aca="false">IF(O85="Not disclosed",O86,O84)</f>
        <v>40.2</v>
      </c>
    </row>
    <row r="90" customFormat="false" ht="15" hidden="false" customHeight="false" outlineLevel="0" collapsed="false">
      <c r="A90" s="3" t="s">
        <v>1556</v>
      </c>
      <c r="B90" s="0" t="s">
        <v>745</v>
      </c>
      <c r="C90" s="0" t="s">
        <v>736</v>
      </c>
      <c r="D90" s="34" t="s">
        <v>1557</v>
      </c>
      <c r="F90" s="103" t="n">
        <v>-70.9</v>
      </c>
      <c r="G90" s="103" t="n">
        <v>-58.1</v>
      </c>
      <c r="H90" s="103" t="n">
        <v>-45.9</v>
      </c>
      <c r="I90" s="103" t="n">
        <v>-63.9</v>
      </c>
      <c r="J90" s="103" t="n">
        <v>-53.7</v>
      </c>
      <c r="K90" s="103" t="n">
        <v>-21</v>
      </c>
      <c r="L90" s="103" t="n">
        <v>-5.2</v>
      </c>
      <c r="M90" s="103" t="n">
        <v>15</v>
      </c>
      <c r="N90" s="103" t="n">
        <v>129.5</v>
      </c>
      <c r="O90" s="103" t="n">
        <v>236.2</v>
      </c>
    </row>
    <row r="91" customFormat="false" ht="15" hidden="false" customHeight="false" outlineLevel="0" collapsed="false">
      <c r="A91" s="24" t="s">
        <v>1493</v>
      </c>
      <c r="F91" s="63" t="s">
        <v>684</v>
      </c>
      <c r="G91" s="63" t="s">
        <v>684</v>
      </c>
      <c r="H91" s="63" t="s">
        <v>684</v>
      </c>
      <c r="I91" s="63" t="s">
        <v>684</v>
      </c>
      <c r="J91" s="63" t="s">
        <v>684</v>
      </c>
      <c r="K91" s="63" t="s">
        <v>684</v>
      </c>
      <c r="L91" s="63" t="s">
        <v>684</v>
      </c>
      <c r="M91" s="63" t="s">
        <v>684</v>
      </c>
      <c r="N91" s="63" t="s">
        <v>684</v>
      </c>
      <c r="O91" s="63" t="s">
        <v>684</v>
      </c>
    </row>
    <row r="92" customFormat="false" ht="15" hidden="false" customHeight="false" outlineLevel="0" collapsed="false">
      <c r="A92" s="24" t="s">
        <v>1494</v>
      </c>
    </row>
    <row r="93" customFormat="false" ht="15" hidden="false" customHeight="false" outlineLevel="0" collapsed="false">
      <c r="A93" s="24" t="s">
        <v>1495</v>
      </c>
      <c r="F93" s="24" t="s">
        <v>1496</v>
      </c>
      <c r="G93" s="24" t="s">
        <v>1497</v>
      </c>
      <c r="H93" s="24" t="s">
        <v>1498</v>
      </c>
      <c r="I93" s="24" t="s">
        <v>1499</v>
      </c>
      <c r="J93" s="24" t="s">
        <v>1500</v>
      </c>
      <c r="K93" s="24" t="s">
        <v>1501</v>
      </c>
      <c r="L93" s="24" t="s">
        <v>1502</v>
      </c>
      <c r="M93" s="24" t="s">
        <v>1503</v>
      </c>
      <c r="N93" s="24" t="s">
        <v>1504</v>
      </c>
      <c r="O93" s="24" t="s">
        <v>1505</v>
      </c>
    </row>
    <row r="94" customFormat="false" ht="15" hidden="false" customHeight="false" outlineLevel="0" collapsed="false">
      <c r="A94" s="3" t="s">
        <v>1506</v>
      </c>
      <c r="F94" s="104" t="n">
        <f aca="false">IF(F91="Not disclosed",F92,F90)</f>
        <v>-70.9</v>
      </c>
      <c r="G94" s="104" t="n">
        <f aca="false">IF(G91="Not disclosed",G92,G90)</f>
        <v>-58.1</v>
      </c>
      <c r="H94" s="104" t="n">
        <f aca="false">IF(H91="Not disclosed",H92,H90)</f>
        <v>-45.9</v>
      </c>
      <c r="I94" s="104" t="n">
        <f aca="false">IF(I91="Not disclosed",I92,I90)</f>
        <v>-63.9</v>
      </c>
      <c r="J94" s="104" t="n">
        <f aca="false">IF(J91="Not disclosed",J92,J90)</f>
        <v>-53.7</v>
      </c>
      <c r="K94" s="104" t="n">
        <f aca="false">IF(K91="Not disclosed",K92,K90)</f>
        <v>-21</v>
      </c>
      <c r="L94" s="104" t="n">
        <f aca="false">IF(L91="Not disclosed",L92,L90)</f>
        <v>-5.2</v>
      </c>
      <c r="M94" s="104" t="n">
        <f aca="false">IF(M91="Not disclosed",M92,M90)</f>
        <v>15</v>
      </c>
      <c r="N94" s="104" t="n">
        <f aca="false">IF(N91="Not disclosed",N92,N90)</f>
        <v>129.5</v>
      </c>
      <c r="O94" s="104" t="n">
        <f aca="false">IF(O91="Not disclosed",O92,O90)</f>
        <v>236.2</v>
      </c>
    </row>
    <row r="96" customFormat="false" ht="15" hidden="false" customHeight="false" outlineLevel="0" collapsed="false">
      <c r="A96" s="3" t="s">
        <v>1558</v>
      </c>
      <c r="B96" s="0" t="s">
        <v>745</v>
      </c>
      <c r="C96" s="0" t="s">
        <v>736</v>
      </c>
      <c r="D96" s="34" t="s">
        <v>1559</v>
      </c>
      <c r="F96" s="24" t="s">
        <v>1509</v>
      </c>
      <c r="G96" s="24" t="s">
        <v>1509</v>
      </c>
      <c r="H96" s="24" t="s">
        <v>1509</v>
      </c>
      <c r="I96" s="103" t="n">
        <v>417.6</v>
      </c>
      <c r="J96" s="103" t="n">
        <v>544</v>
      </c>
      <c r="K96" s="103" t="n">
        <v>510.6</v>
      </c>
      <c r="L96" s="103" t="n">
        <v>955.5</v>
      </c>
      <c r="M96" s="103" t="n">
        <v>2056</v>
      </c>
      <c r="N96" s="103" t="n">
        <v>2472.9</v>
      </c>
      <c r="O96" s="103" t="n">
        <v>5657.4</v>
      </c>
    </row>
    <row r="97" customFormat="false" ht="15" hidden="false" customHeight="false" outlineLevel="0" collapsed="false">
      <c r="A97" s="24" t="s">
        <v>1493</v>
      </c>
      <c r="F97" s="105" t="s">
        <v>1280</v>
      </c>
      <c r="G97" s="105" t="s">
        <v>1280</v>
      </c>
      <c r="H97" s="105" t="s">
        <v>1280</v>
      </c>
      <c r="I97" s="63" t="s">
        <v>684</v>
      </c>
      <c r="J97" s="63" t="s">
        <v>684</v>
      </c>
      <c r="K97" s="63" t="s">
        <v>684</v>
      </c>
      <c r="L97" s="63" t="s">
        <v>684</v>
      </c>
      <c r="M97" s="63" t="s">
        <v>684</v>
      </c>
      <c r="N97" s="63" t="s">
        <v>706</v>
      </c>
      <c r="O97" s="63" t="s">
        <v>684</v>
      </c>
    </row>
    <row r="98" customFormat="false" ht="15" hidden="false" customHeight="false" outlineLevel="0" collapsed="false">
      <c r="A98" s="24" t="s">
        <v>1494</v>
      </c>
      <c r="F98" s="106" t="n">
        <v>130</v>
      </c>
      <c r="G98" s="106" t="n">
        <v>130</v>
      </c>
      <c r="H98" s="106" t="n">
        <v>129.9</v>
      </c>
    </row>
    <row r="99" customFormat="false" ht="15" hidden="false" customHeight="false" outlineLevel="0" collapsed="false">
      <c r="A99" s="24" t="s">
        <v>1495</v>
      </c>
      <c r="F99" s="24" t="s">
        <v>1560</v>
      </c>
      <c r="G99" s="24" t="s">
        <v>1560</v>
      </c>
      <c r="H99" s="24" t="s">
        <v>1560</v>
      </c>
      <c r="I99" s="24" t="s">
        <v>1561</v>
      </c>
      <c r="J99" s="24" t="s">
        <v>1562</v>
      </c>
      <c r="K99" s="24" t="s">
        <v>1563</v>
      </c>
      <c r="L99" s="24" t="s">
        <v>1564</v>
      </c>
      <c r="M99" s="24" t="s">
        <v>1565</v>
      </c>
      <c r="N99" s="24" t="s">
        <v>1566</v>
      </c>
      <c r="O99" s="24" t="s">
        <v>1567</v>
      </c>
    </row>
    <row r="100" customFormat="false" ht="15" hidden="false" customHeight="false" outlineLevel="0" collapsed="false">
      <c r="A100" s="3" t="s">
        <v>1506</v>
      </c>
      <c r="F100" s="104" t="n">
        <f aca="false">IF(F97="Not disclosed",F98,F96)</f>
        <v>130</v>
      </c>
      <c r="G100" s="104" t="n">
        <f aca="false">IF(G97="Not disclosed",G98,G96)</f>
        <v>130</v>
      </c>
      <c r="H100" s="104" t="n">
        <f aca="false">IF(H97="Not disclosed",H98,H96)</f>
        <v>129.9</v>
      </c>
      <c r="I100" s="104" t="n">
        <f aca="false">IF(I97="Not disclosed",I98,I96)</f>
        <v>417.6</v>
      </c>
      <c r="J100" s="104" t="n">
        <f aca="false">IF(J97="Not disclosed",J98,J96)</f>
        <v>544</v>
      </c>
      <c r="K100" s="104" t="n">
        <f aca="false">IF(K97="Not disclosed",K98,K96)</f>
        <v>510.6</v>
      </c>
      <c r="L100" s="104" t="n">
        <f aca="false">IF(L97="Not disclosed",L98,L96)</f>
        <v>955.5</v>
      </c>
      <c r="M100" s="104" t="n">
        <f aca="false">IF(M97="Not disclosed",M98,M96)</f>
        <v>2056</v>
      </c>
      <c r="N100" s="104" t="n">
        <f aca="false">IF(N97="Not disclosed",N98,N96)</f>
        <v>2472.9</v>
      </c>
      <c r="O100" s="104" t="n">
        <f aca="false">IF(O97="Not disclosed",O98,O96)</f>
        <v>5657.4</v>
      </c>
    </row>
    <row r="102" customFormat="false" ht="15" hidden="false" customHeight="false" outlineLevel="0" collapsed="false">
      <c r="A102" s="3" t="s">
        <v>1568</v>
      </c>
      <c r="B102" s="0" t="s">
        <v>745</v>
      </c>
      <c r="C102" s="0" t="s">
        <v>736</v>
      </c>
      <c r="D102" s="34"/>
      <c r="F102" s="24" t="s">
        <v>1509</v>
      </c>
      <c r="G102" s="24" t="s">
        <v>1509</v>
      </c>
      <c r="H102" s="24" t="s">
        <v>1509</v>
      </c>
      <c r="I102" s="103" t="n">
        <v>2434.7</v>
      </c>
      <c r="J102" s="103" t="n">
        <v>1447</v>
      </c>
      <c r="K102" s="103" t="n">
        <v>1679.3</v>
      </c>
      <c r="L102" s="103" t="n">
        <v>4794.8</v>
      </c>
      <c r="M102" s="103" t="n">
        <v>3678.1</v>
      </c>
      <c r="N102" s="103" t="n">
        <v>9298.2</v>
      </c>
      <c r="O102" s="103" t="n">
        <v>8042.1</v>
      </c>
    </row>
    <row r="103" customFormat="false" ht="15" hidden="false" customHeight="false" outlineLevel="0" collapsed="false">
      <c r="A103" s="24" t="s">
        <v>1493</v>
      </c>
      <c r="F103" s="105" t="s">
        <v>1280</v>
      </c>
      <c r="G103" s="105" t="s">
        <v>1280</v>
      </c>
      <c r="H103" s="105" t="s">
        <v>1280</v>
      </c>
      <c r="I103" s="63" t="s">
        <v>684</v>
      </c>
      <c r="J103" s="63" t="s">
        <v>684</v>
      </c>
      <c r="K103" s="63" t="s">
        <v>684</v>
      </c>
      <c r="L103" s="63" t="s">
        <v>684</v>
      </c>
      <c r="M103" s="63" t="s">
        <v>684</v>
      </c>
      <c r="N103" s="63" t="s">
        <v>684</v>
      </c>
      <c r="O103" s="63" t="s">
        <v>684</v>
      </c>
    </row>
    <row r="104" customFormat="false" ht="15" hidden="false" customHeight="false" outlineLevel="0" collapsed="false">
      <c r="A104" s="24" t="s">
        <v>1494</v>
      </c>
      <c r="F104" s="80" t="n">
        <v>2288.2</v>
      </c>
      <c r="G104" s="80" t="n">
        <v>2288.2</v>
      </c>
      <c r="H104" s="106" t="n">
        <v>2288.2</v>
      </c>
    </row>
    <row r="105" customFormat="false" ht="15" hidden="false" customHeight="false" outlineLevel="0" collapsed="false">
      <c r="A105" s="24" t="s">
        <v>1495</v>
      </c>
      <c r="F105" s="24" t="s">
        <v>1569</v>
      </c>
      <c r="G105" s="24" t="s">
        <v>1569</v>
      </c>
      <c r="H105" s="24" t="s">
        <v>1570</v>
      </c>
      <c r="I105" s="24" t="s">
        <v>1499</v>
      </c>
      <c r="J105" s="24" t="s">
        <v>1500</v>
      </c>
      <c r="K105" s="24" t="s">
        <v>1501</v>
      </c>
      <c r="L105" s="24" t="s">
        <v>1502</v>
      </c>
      <c r="M105" s="24" t="s">
        <v>1503</v>
      </c>
      <c r="N105" s="24" t="s">
        <v>1504</v>
      </c>
      <c r="O105" s="24" t="s">
        <v>1505</v>
      </c>
    </row>
    <row r="106" customFormat="false" ht="15" hidden="false" customHeight="false" outlineLevel="0" collapsed="false">
      <c r="A106" s="3" t="s">
        <v>1506</v>
      </c>
      <c r="F106" s="104" t="n">
        <f aca="false">IF(F103="Not disclosed",F104,F102)</f>
        <v>2288.2</v>
      </c>
      <c r="G106" s="104" t="n">
        <f aca="false">IF(G103="Not disclosed",G104,G102)</f>
        <v>2288.2</v>
      </c>
      <c r="H106" s="104" t="n">
        <f aca="false">IF(H103="Not disclosed",H104,H102)</f>
        <v>2288.2</v>
      </c>
      <c r="I106" s="104" t="n">
        <f aca="false">IF(I103="Not disclosed",I104,I102)</f>
        <v>2434.7</v>
      </c>
      <c r="J106" s="104" t="n">
        <f aca="false">IF(J103="Not disclosed",J104,J102)</f>
        <v>1447</v>
      </c>
      <c r="K106" s="104" t="n">
        <f aca="false">IF(K103="Not disclosed",K104,K102)</f>
        <v>1679.3</v>
      </c>
      <c r="L106" s="104" t="n">
        <f aca="false">IF(L103="Not disclosed",L104,L102)</f>
        <v>4794.8</v>
      </c>
      <c r="M106" s="104" t="n">
        <f aca="false">IF(M103="Not disclosed",M104,M102)</f>
        <v>3678.1</v>
      </c>
      <c r="N106" s="104" t="n">
        <f aca="false">IF(N103="Not disclosed",N104,N102)</f>
        <v>9298.2</v>
      </c>
      <c r="O106" s="104" t="n">
        <f aca="false">IF(O103="Not disclosed",O104,O102)</f>
        <v>8042.1</v>
      </c>
    </row>
    <row r="108" customFormat="false" ht="15" hidden="false" customHeight="false" outlineLevel="0" collapsed="false">
      <c r="A108" s="3" t="s">
        <v>1571</v>
      </c>
      <c r="B108" s="0" t="s">
        <v>809</v>
      </c>
      <c r="C108" s="0" t="s">
        <v>736</v>
      </c>
      <c r="D108" s="34"/>
      <c r="F108" s="24" t="s">
        <v>1509</v>
      </c>
      <c r="G108" s="24" t="s">
        <v>1509</v>
      </c>
      <c r="H108" s="107" t="n">
        <v>199.340118</v>
      </c>
      <c r="I108" s="107" t="n">
        <v>235.7536</v>
      </c>
      <c r="J108" s="107" t="n">
        <v>238.108831</v>
      </c>
      <c r="K108" s="107" t="n">
        <v>238.705092</v>
      </c>
      <c r="L108" s="107" t="n">
        <v>251.807222</v>
      </c>
      <c r="M108" s="107" t="n">
        <v>253.016971</v>
      </c>
      <c r="N108" s="107" t="n">
        <v>253.898194</v>
      </c>
      <c r="O108" s="107" t="n">
        <v>271.855218</v>
      </c>
    </row>
    <row r="109" customFormat="false" ht="15" hidden="false" customHeight="false" outlineLevel="0" collapsed="false">
      <c r="A109" s="24" t="s">
        <v>1493</v>
      </c>
      <c r="F109" s="105" t="s">
        <v>1280</v>
      </c>
      <c r="G109" s="105" t="s">
        <v>1280</v>
      </c>
      <c r="H109" s="63" t="s">
        <v>684</v>
      </c>
      <c r="I109" s="63" t="s">
        <v>684</v>
      </c>
      <c r="J109" s="63" t="s">
        <v>684</v>
      </c>
      <c r="K109" s="63" t="s">
        <v>684</v>
      </c>
      <c r="L109" s="63" t="s">
        <v>684</v>
      </c>
      <c r="M109" s="63" t="s">
        <v>684</v>
      </c>
      <c r="N109" s="63" t="s">
        <v>684</v>
      </c>
      <c r="O109" s="63" t="s">
        <v>684</v>
      </c>
    </row>
    <row r="110" customFormat="false" ht="15" hidden="false" customHeight="false" outlineLevel="0" collapsed="false">
      <c r="A110" s="24" t="s">
        <v>1494</v>
      </c>
      <c r="F110" s="108" t="n">
        <v>199.34</v>
      </c>
      <c r="G110" s="108" t="n">
        <v>199.34</v>
      </c>
    </row>
    <row r="111" customFormat="false" ht="15" hidden="false" customHeight="false" outlineLevel="0" collapsed="false">
      <c r="A111" s="24" t="s">
        <v>1495</v>
      </c>
      <c r="F111" s="24" t="s">
        <v>1572</v>
      </c>
      <c r="G111" s="24" t="s">
        <v>1572</v>
      </c>
      <c r="H111" s="24" t="s">
        <v>1498</v>
      </c>
      <c r="I111" s="24" t="s">
        <v>1499</v>
      </c>
      <c r="J111" s="24" t="s">
        <v>1500</v>
      </c>
      <c r="K111" s="24" t="s">
        <v>1501</v>
      </c>
      <c r="L111" s="24" t="s">
        <v>1502</v>
      </c>
      <c r="M111" s="24" t="s">
        <v>1503</v>
      </c>
      <c r="N111" s="24" t="s">
        <v>1504</v>
      </c>
      <c r="O111" s="24" t="s">
        <v>1505</v>
      </c>
    </row>
    <row r="112" customFormat="false" ht="15" hidden="false" customHeight="false" outlineLevel="0" collapsed="false">
      <c r="A112" s="3" t="s">
        <v>1506</v>
      </c>
      <c r="F112" s="109" t="n">
        <f aca="false">IF(F109="Not disclosed",F110,F108)</f>
        <v>199.34</v>
      </c>
      <c r="G112" s="109" t="n">
        <f aca="false">IF(G109="Not disclosed",G110,G108)</f>
        <v>199.34</v>
      </c>
      <c r="H112" s="109" t="n">
        <f aca="false">IF(H109="Not disclosed",H110,H108)</f>
        <v>199.340118</v>
      </c>
      <c r="I112" s="109" t="n">
        <f aca="false">IF(I109="Not disclosed",I110,I108)</f>
        <v>235.7536</v>
      </c>
      <c r="J112" s="109" t="n">
        <f aca="false">IF(J109="Not disclosed",J110,J108)</f>
        <v>238.108831</v>
      </c>
      <c r="K112" s="109" t="n">
        <f aca="false">IF(K109="Not disclosed",K110,K108)</f>
        <v>238.705092</v>
      </c>
      <c r="L112" s="109" t="n">
        <f aca="false">IF(L109="Not disclosed",L110,L108)</f>
        <v>251.807222</v>
      </c>
      <c r="M112" s="109" t="n">
        <f aca="false">IF(M109="Not disclosed",M110,M108)</f>
        <v>253.016971</v>
      </c>
      <c r="N112" s="109" t="n">
        <f aca="false">IF(N109="Not disclosed",N110,N108)</f>
        <v>253.898194</v>
      </c>
      <c r="O112" s="109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1573</v>
      </c>
      <c r="B114" s="0" t="s">
        <v>857</v>
      </c>
      <c r="C114" s="0" t="s">
        <v>690</v>
      </c>
      <c r="D114" s="34" t="s">
        <v>1574</v>
      </c>
      <c r="F114" s="24" t="s">
        <v>1509</v>
      </c>
      <c r="G114" s="24" t="s">
        <v>1509</v>
      </c>
      <c r="H114" s="24" t="s">
        <v>1509</v>
      </c>
      <c r="I114" s="24" t="s">
        <v>1509</v>
      </c>
      <c r="J114" s="24" t="s">
        <v>1509</v>
      </c>
      <c r="K114" s="24" t="s">
        <v>1509</v>
      </c>
      <c r="L114" s="24" t="s">
        <v>1509</v>
      </c>
      <c r="M114" s="103" t="n">
        <v>170</v>
      </c>
      <c r="N114" s="24" t="s">
        <v>1509</v>
      </c>
      <c r="O114" s="24" t="s">
        <v>1509</v>
      </c>
    </row>
    <row r="115" customFormat="false" ht="15" hidden="false" customHeight="false" outlineLevel="0" collapsed="false">
      <c r="A115" s="24" t="s">
        <v>1493</v>
      </c>
      <c r="F115" s="105" t="s">
        <v>1280</v>
      </c>
      <c r="G115" s="105" t="s">
        <v>1280</v>
      </c>
      <c r="H115" s="105" t="s">
        <v>1280</v>
      </c>
      <c r="I115" s="105" t="s">
        <v>1280</v>
      </c>
      <c r="J115" s="105" t="s">
        <v>1280</v>
      </c>
      <c r="K115" s="105" t="s">
        <v>1280</v>
      </c>
      <c r="L115" s="105" t="s">
        <v>1280</v>
      </c>
      <c r="M115" s="63" t="s">
        <v>684</v>
      </c>
      <c r="N115" s="105" t="s">
        <v>1280</v>
      </c>
      <c r="O115" s="105" t="s">
        <v>1280</v>
      </c>
    </row>
    <row r="116" customFormat="false" ht="15" hidden="false" customHeight="false" outlineLevel="0" collapsed="false">
      <c r="A116" s="24" t="s">
        <v>1494</v>
      </c>
      <c r="F116" s="106" t="n">
        <v>8.5</v>
      </c>
      <c r="G116" s="106" t="n">
        <v>10.8</v>
      </c>
      <c r="H116" s="106" t="n">
        <v>24</v>
      </c>
      <c r="I116" s="106" t="n">
        <v>26.3</v>
      </c>
      <c r="J116" s="106" t="n">
        <v>38</v>
      </c>
      <c r="K116" s="106" t="n">
        <v>78.5</v>
      </c>
      <c r="L116" s="106" t="n">
        <v>109.1</v>
      </c>
      <c r="N116" s="106" t="n">
        <v>291.7</v>
      </c>
      <c r="O116" s="106" t="n">
        <v>413.3</v>
      </c>
    </row>
    <row r="117" customFormat="false" ht="15" hidden="false" customHeight="false" outlineLevel="0" collapsed="false">
      <c r="A117" s="24" t="s">
        <v>1495</v>
      </c>
      <c r="F117" s="24" t="s">
        <v>1575</v>
      </c>
      <c r="G117" s="24" t="s">
        <v>1575</v>
      </c>
      <c r="H117" s="24" t="s">
        <v>1575</v>
      </c>
      <c r="I117" s="24" t="s">
        <v>1575</v>
      </c>
      <c r="J117" s="24" t="s">
        <v>1575</v>
      </c>
      <c r="K117" s="24" t="s">
        <v>1575</v>
      </c>
      <c r="L117" s="24" t="s">
        <v>1575</v>
      </c>
      <c r="M117" s="24" t="s">
        <v>1576</v>
      </c>
      <c r="N117" s="24" t="s">
        <v>1577</v>
      </c>
      <c r="O117" s="24" t="s">
        <v>1577</v>
      </c>
    </row>
    <row r="118" customFormat="false" ht="15" hidden="false" customHeight="false" outlineLevel="0" collapsed="false">
      <c r="A118" s="3" t="s">
        <v>1506</v>
      </c>
      <c r="F118" s="104" t="n">
        <f aca="false">IF(F115="Not disclosed",F116,F114)</f>
        <v>8.5</v>
      </c>
      <c r="G118" s="104" t="n">
        <f aca="false">IF(G115="Not disclosed",G116,G114)</f>
        <v>10.8</v>
      </c>
      <c r="H118" s="104" t="n">
        <f aca="false">IF(H115="Not disclosed",H116,H114)</f>
        <v>24</v>
      </c>
      <c r="I118" s="104" t="n">
        <f aca="false">IF(I115="Not disclosed",I116,I114)</f>
        <v>26.3</v>
      </c>
      <c r="J118" s="104" t="n">
        <f aca="false">IF(J115="Not disclosed",J116,J114)</f>
        <v>38</v>
      </c>
      <c r="K118" s="104" t="n">
        <f aca="false">IF(K115="Not disclosed",K116,K114)</f>
        <v>78.5</v>
      </c>
      <c r="L118" s="104" t="n">
        <f aca="false">IF(L115="Not disclosed",L116,L114)</f>
        <v>109.1</v>
      </c>
      <c r="M118" s="104" t="n">
        <f aca="false">IF(M115="Not disclosed",M116,M114)</f>
        <v>170</v>
      </c>
      <c r="N118" s="104" t="n">
        <f aca="false">IF(N115="Not disclosed",N116,N114)</f>
        <v>291.7</v>
      </c>
      <c r="O118" s="104" t="n">
        <f aca="false">IF(O115="Not disclosed",O116,O114)</f>
        <v>413.3</v>
      </c>
    </row>
    <row r="120" customFormat="false" ht="15" hidden="false" customHeight="false" outlineLevel="0" collapsed="false">
      <c r="A120" s="3" t="s">
        <v>1578</v>
      </c>
      <c r="B120" s="0" t="s">
        <v>857</v>
      </c>
      <c r="C120" s="0" t="s">
        <v>1176</v>
      </c>
      <c r="D120" s="34" t="s">
        <v>1579</v>
      </c>
      <c r="F120" s="24" t="s">
        <v>1509</v>
      </c>
      <c r="G120" s="24" t="s">
        <v>1509</v>
      </c>
      <c r="H120" s="24" t="s">
        <v>1509</v>
      </c>
      <c r="I120" s="24" t="s">
        <v>1509</v>
      </c>
      <c r="J120" s="24" t="s">
        <v>1509</v>
      </c>
      <c r="K120" s="24" t="s">
        <v>1509</v>
      </c>
      <c r="L120" s="24" t="s">
        <v>1509</v>
      </c>
      <c r="M120" s="103" t="n">
        <v>2000</v>
      </c>
      <c r="N120" s="24" t="s">
        <v>1509</v>
      </c>
      <c r="O120" s="103" t="n">
        <v>3500</v>
      </c>
    </row>
    <row r="121" customFormat="false" ht="15" hidden="false" customHeight="false" outlineLevel="0" collapsed="false">
      <c r="A121" s="24" t="s">
        <v>1493</v>
      </c>
      <c r="F121" s="105" t="s">
        <v>1280</v>
      </c>
      <c r="G121" s="105" t="s">
        <v>1280</v>
      </c>
      <c r="H121" s="105" t="s">
        <v>1280</v>
      </c>
      <c r="I121" s="105" t="s">
        <v>1280</v>
      </c>
      <c r="J121" s="105" t="s">
        <v>1280</v>
      </c>
      <c r="K121" s="105" t="s">
        <v>1280</v>
      </c>
      <c r="L121" s="105" t="s">
        <v>1280</v>
      </c>
      <c r="M121" s="63" t="s">
        <v>684</v>
      </c>
      <c r="N121" s="105" t="s">
        <v>1280</v>
      </c>
      <c r="O121" s="63" t="s">
        <v>684</v>
      </c>
    </row>
    <row r="122" customFormat="false" ht="15" hidden="false" customHeight="false" outlineLevel="0" collapsed="false">
      <c r="A122" s="24" t="s">
        <v>1494</v>
      </c>
      <c r="F122" s="83" t="n">
        <v>0</v>
      </c>
      <c r="G122" s="83" t="n">
        <v>0</v>
      </c>
      <c r="H122" s="83" t="n">
        <v>0</v>
      </c>
      <c r="I122" s="83" t="n">
        <v>0</v>
      </c>
      <c r="J122" s="83" t="n">
        <v>0</v>
      </c>
      <c r="K122" s="83" t="n">
        <v>0</v>
      </c>
      <c r="L122" s="83" t="n">
        <v>0</v>
      </c>
      <c r="N122" s="106" t="n">
        <v>2750</v>
      </c>
    </row>
    <row r="123" customFormat="false" ht="15" hidden="false" customHeight="false" outlineLevel="0" collapsed="false">
      <c r="A123" s="24" t="s">
        <v>1495</v>
      </c>
      <c r="F123" s="24" t="s">
        <v>1580</v>
      </c>
      <c r="G123" s="24" t="s">
        <v>1580</v>
      </c>
      <c r="H123" s="24" t="s">
        <v>1580</v>
      </c>
      <c r="I123" s="24" t="s">
        <v>1580</v>
      </c>
      <c r="J123" s="24" t="s">
        <v>1580</v>
      </c>
      <c r="K123" s="24" t="s">
        <v>1580</v>
      </c>
      <c r="L123" s="24" t="s">
        <v>1580</v>
      </c>
      <c r="M123" s="24" t="s">
        <v>1581</v>
      </c>
      <c r="N123" s="24" t="s">
        <v>1582</v>
      </c>
      <c r="O123" s="24" t="s">
        <v>1583</v>
      </c>
    </row>
    <row r="124" customFormat="false" ht="15" hidden="false" customHeight="false" outlineLevel="0" collapsed="false">
      <c r="A124" s="3" t="s">
        <v>1506</v>
      </c>
      <c r="F124" s="104" t="n">
        <f aca="false">IF(F121="Not disclosed",F122,F120)</f>
        <v>0</v>
      </c>
      <c r="G124" s="104" t="n">
        <f aca="false">IF(G121="Not disclosed",G122,G120)</f>
        <v>0</v>
      </c>
      <c r="H124" s="104" t="n">
        <f aca="false">IF(H121="Not disclosed",H122,H120)</f>
        <v>0</v>
      </c>
      <c r="I124" s="104" t="n">
        <f aca="false">IF(I121="Not disclosed",I122,I120)</f>
        <v>0</v>
      </c>
      <c r="J124" s="104" t="n">
        <f aca="false">IF(J121="Not disclosed",J122,J120)</f>
        <v>0</v>
      </c>
      <c r="K124" s="104" t="n">
        <f aca="false">IF(K121="Not disclosed",K122,K120)</f>
        <v>0</v>
      </c>
      <c r="L124" s="104" t="n">
        <f aca="false">IF(L121="Not disclosed",L122,L120)</f>
        <v>0</v>
      </c>
      <c r="M124" s="104" t="n">
        <f aca="false">IF(M121="Not disclosed",M122,M120)</f>
        <v>2000</v>
      </c>
      <c r="N124" s="104" t="n">
        <f aca="false">IF(N121="Not disclosed",N122,N120)</f>
        <v>2750</v>
      </c>
      <c r="O124" s="104" t="n">
        <f aca="false">IF(O121="Not disclosed",O122,O120)</f>
        <v>3500</v>
      </c>
    </row>
    <row r="126" customFormat="false" ht="15" hidden="false" customHeight="false" outlineLevel="0" collapsed="false">
      <c r="A126" s="3" t="s">
        <v>1584</v>
      </c>
      <c r="B126" s="0" t="s">
        <v>745</v>
      </c>
      <c r="C126" s="0" t="s">
        <v>736</v>
      </c>
      <c r="D126" s="34" t="s">
        <v>1585</v>
      </c>
      <c r="F126" s="24" t="s">
        <v>1509</v>
      </c>
      <c r="G126" s="24" t="s">
        <v>1509</v>
      </c>
      <c r="H126" s="24" t="s">
        <v>1509</v>
      </c>
      <c r="I126" s="24" t="s">
        <v>1509</v>
      </c>
      <c r="J126" s="24" t="s">
        <v>1509</v>
      </c>
      <c r="K126" s="24" t="s">
        <v>1509</v>
      </c>
      <c r="L126" s="24" t="s">
        <v>1509</v>
      </c>
      <c r="M126" s="74" t="n">
        <v>1578</v>
      </c>
      <c r="N126" s="74" t="n">
        <v>4778</v>
      </c>
      <c r="O126" s="74" t="n">
        <v>5975</v>
      </c>
    </row>
    <row r="127" customFormat="false" ht="15" hidden="false" customHeight="false" outlineLevel="0" collapsed="false">
      <c r="A127" s="24" t="s">
        <v>1493</v>
      </c>
      <c r="F127" s="105" t="s">
        <v>1280</v>
      </c>
      <c r="G127" s="105" t="s">
        <v>1280</v>
      </c>
      <c r="H127" s="105" t="s">
        <v>1280</v>
      </c>
      <c r="I127" s="105" t="s">
        <v>1280</v>
      </c>
      <c r="J127" s="105" t="s">
        <v>1280</v>
      </c>
      <c r="K127" s="105" t="s">
        <v>1280</v>
      </c>
      <c r="L127" s="105" t="s">
        <v>1280</v>
      </c>
      <c r="M127" s="63" t="s">
        <v>684</v>
      </c>
      <c r="N127" s="63" t="s">
        <v>684</v>
      </c>
      <c r="O127" s="63" t="s">
        <v>684</v>
      </c>
    </row>
    <row r="128" customFormat="false" ht="15" hidden="false" customHeight="false" outlineLevel="0" collapsed="false">
      <c r="A128" s="24" t="s">
        <v>1494</v>
      </c>
      <c r="F128" s="83" t="n">
        <v>0</v>
      </c>
      <c r="G128" s="83" t="n">
        <v>0</v>
      </c>
      <c r="H128" s="83" t="n">
        <v>0</v>
      </c>
      <c r="I128" s="83" t="n">
        <v>0</v>
      </c>
      <c r="J128" s="83" t="n">
        <v>0</v>
      </c>
      <c r="K128" s="83" t="n">
        <v>0</v>
      </c>
      <c r="L128" s="83" t="n">
        <v>0</v>
      </c>
    </row>
    <row r="129" customFormat="false" ht="15" hidden="false" customHeight="false" outlineLevel="0" collapsed="false">
      <c r="A129" s="24" t="s">
        <v>1495</v>
      </c>
      <c r="F129" s="24" t="s">
        <v>1586</v>
      </c>
      <c r="G129" s="24" t="s">
        <v>1586</v>
      </c>
      <c r="H129" s="24" t="s">
        <v>1586</v>
      </c>
      <c r="I129" s="24" t="s">
        <v>1586</v>
      </c>
      <c r="J129" s="24" t="s">
        <v>1586</v>
      </c>
      <c r="K129" s="24" t="s">
        <v>1586</v>
      </c>
      <c r="L129" s="24" t="s">
        <v>1586</v>
      </c>
      <c r="M129" s="24" t="s">
        <v>1587</v>
      </c>
      <c r="N129" s="24" t="s">
        <v>1588</v>
      </c>
      <c r="O129" s="24" t="s">
        <v>1589</v>
      </c>
    </row>
    <row r="130" customFormat="false" ht="15" hidden="false" customHeight="false" outlineLevel="0" collapsed="false">
      <c r="A130" s="3" t="s">
        <v>1506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1590</v>
      </c>
      <c r="B132" s="0" t="s">
        <v>745</v>
      </c>
      <c r="C132" s="0" t="s">
        <v>736</v>
      </c>
      <c r="D132" s="34" t="s">
        <v>1591</v>
      </c>
      <c r="F132" s="24" t="s">
        <v>1509</v>
      </c>
      <c r="G132" s="24" t="s">
        <v>1509</v>
      </c>
      <c r="H132" s="24" t="s">
        <v>1509</v>
      </c>
      <c r="I132" s="24" t="s">
        <v>1509</v>
      </c>
      <c r="J132" s="24" t="s">
        <v>1509</v>
      </c>
      <c r="K132" s="24" t="s">
        <v>1509</v>
      </c>
      <c r="L132" s="24" t="s">
        <v>1509</v>
      </c>
      <c r="M132" s="74" t="n">
        <v>21300</v>
      </c>
      <c r="N132" s="74" t="n">
        <v>33600</v>
      </c>
      <c r="O132" s="74" t="n">
        <v>37490.6</v>
      </c>
    </row>
    <row r="133" customFormat="false" ht="15" hidden="false" customHeight="false" outlineLevel="0" collapsed="false">
      <c r="A133" s="24" t="s">
        <v>1493</v>
      </c>
      <c r="F133" s="105" t="s">
        <v>1280</v>
      </c>
      <c r="G133" s="105" t="s">
        <v>1280</v>
      </c>
      <c r="H133" s="105" t="s">
        <v>1280</v>
      </c>
      <c r="I133" s="105" t="s">
        <v>1280</v>
      </c>
      <c r="J133" s="105" t="s">
        <v>1280</v>
      </c>
      <c r="K133" s="105" t="s">
        <v>1280</v>
      </c>
      <c r="L133" s="105" t="s">
        <v>1280</v>
      </c>
      <c r="M133" s="63" t="s">
        <v>684</v>
      </c>
      <c r="N133" s="63" t="s">
        <v>684</v>
      </c>
      <c r="O133" s="63" t="s">
        <v>684</v>
      </c>
    </row>
    <row r="134" customFormat="false" ht="15" hidden="false" customHeight="false" outlineLevel="0" collapsed="false">
      <c r="A134" s="24" t="s">
        <v>1494</v>
      </c>
    </row>
    <row r="135" customFormat="false" ht="15" hidden="false" customHeight="false" outlineLevel="0" collapsed="false">
      <c r="A135" s="24" t="s">
        <v>1495</v>
      </c>
      <c r="F135" s="24" t="s">
        <v>1592</v>
      </c>
      <c r="G135" s="24" t="s">
        <v>1592</v>
      </c>
      <c r="H135" s="24" t="s">
        <v>1592</v>
      </c>
      <c r="I135" s="24" t="s">
        <v>1592</v>
      </c>
      <c r="J135" s="24" t="s">
        <v>1592</v>
      </c>
      <c r="K135" s="24" t="s">
        <v>1592</v>
      </c>
      <c r="L135" s="24" t="s">
        <v>1592</v>
      </c>
      <c r="M135" s="24" t="s">
        <v>1593</v>
      </c>
      <c r="N135" s="24" t="s">
        <v>1588</v>
      </c>
      <c r="O135" s="24" t="s">
        <v>1594</v>
      </c>
    </row>
    <row r="136" customFormat="false" ht="15" hidden="false" customHeight="false" outlineLevel="0" collapsed="false">
      <c r="A136" s="3" t="s">
        <v>1506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1595</v>
      </c>
    </row>
    <row r="2" customFormat="false" ht="15" hidden="false" customHeight="false" outlineLevel="0" collapsed="false">
      <c r="A2" s="24" t="s">
        <v>1596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1605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1606</v>
      </c>
      <c r="B11" s="3" t="s">
        <v>1607</v>
      </c>
      <c r="C11" s="3" t="s">
        <v>1608</v>
      </c>
      <c r="D11" s="3" t="s">
        <v>1609</v>
      </c>
      <c r="E11" s="3" t="s">
        <v>1610</v>
      </c>
      <c r="F11" s="3" t="s">
        <v>1611</v>
      </c>
      <c r="G11" s="3" t="s">
        <v>1612</v>
      </c>
      <c r="H11" s="3" t="s">
        <v>1613</v>
      </c>
      <c r="I11" s="3" t="s">
        <v>1614</v>
      </c>
      <c r="J11" s="3" t="s">
        <v>1615</v>
      </c>
      <c r="K11" s="3" t="s">
        <v>1616</v>
      </c>
      <c r="L11" s="3" t="s">
        <v>1617</v>
      </c>
      <c r="M11" s="3" t="s">
        <v>1618</v>
      </c>
      <c r="N11" s="3" t="s">
        <v>1619</v>
      </c>
      <c r="O11" s="3" t="s">
        <v>1620</v>
      </c>
      <c r="P11" s="3" t="s">
        <v>1621</v>
      </c>
      <c r="Q11" s="3" t="s">
        <v>1622</v>
      </c>
    </row>
    <row r="12" customFormat="false" ht="15" hidden="false" customHeight="false" outlineLevel="0" collapsed="false">
      <c r="A12" s="0" t="s">
        <v>1623</v>
      </c>
      <c r="B12" s="111" t="s">
        <v>1624</v>
      </c>
      <c r="C12" s="111" t="s">
        <v>1625</v>
      </c>
      <c r="D12" s="24" t="s">
        <v>1626</v>
      </c>
      <c r="E12" s="111" t="s">
        <v>1627</v>
      </c>
      <c r="F12" s="25" t="n">
        <f aca="false">IF(CapV=2,Q12,IF(C12="Facility",1/PUE,1))</f>
        <v>1</v>
      </c>
      <c r="G12" s="26" t="n">
        <f aca="false">IF(B12="Owned",1,0)</f>
        <v>0</v>
      </c>
      <c r="H12" s="87" t="n">
        <v>8</v>
      </c>
      <c r="I12" s="87" t="n">
        <v>8</v>
      </c>
      <c r="J12" s="87" t="n">
        <v>8</v>
      </c>
      <c r="K12" s="33" t="str">
        <f aca="false">IF(N(CHOOSE(Scen,H12,I12,J12))=0,"n/a",INDEX(Q_Lab,1,CHOOSE(Scen,H12,I12,J12)))</f>
        <v>Q4'25</v>
      </c>
      <c r="L12" s="105"/>
      <c r="M12" s="24" t="s">
        <v>1628</v>
      </c>
      <c r="N12" s="111" t="s">
        <v>1629</v>
      </c>
      <c r="O12" s="32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25" t="n">
        <f aca="false">IF(B12="Owned",CPM_SP,0)</f>
        <v>0</v>
      </c>
      <c r="Q12" s="38" t="n">
        <v>1</v>
      </c>
    </row>
    <row r="13" customFormat="false" ht="15" hidden="false" customHeight="false" outlineLevel="0" collapsed="false">
      <c r="A13" s="0" t="s">
        <v>1630</v>
      </c>
      <c r="B13" s="111" t="s">
        <v>1631</v>
      </c>
      <c r="C13" s="111" t="s">
        <v>1632</v>
      </c>
      <c r="D13" s="24" t="s">
        <v>1633</v>
      </c>
      <c r="E13" s="111" t="s">
        <v>1634</v>
      </c>
      <c r="F13" s="25" t="n">
        <f aca="false">IF(CapV=2,Q13,IF(C13="Facility",1/PUE,1))</f>
        <v>0.7407</v>
      </c>
      <c r="G13" s="26" t="n">
        <f aca="false">IF(B13="Owned",1,0)</f>
        <v>1</v>
      </c>
      <c r="H13" s="87" t="n">
        <v>15</v>
      </c>
      <c r="I13" s="87" t="n">
        <v>15</v>
      </c>
      <c r="J13" s="87" t="n">
        <v>16</v>
      </c>
      <c r="K13" s="33" t="str">
        <f aca="false">IF(N(CHOOSE(Scen,H13,I13,J13))=0,"n/a",INDEX(Q_Lab,1,CHOOSE(Scen,H13,I13,J13)))</f>
        <v>Q3'27</v>
      </c>
      <c r="L13" s="105"/>
      <c r="M13" s="24" t="s">
        <v>1628</v>
      </c>
      <c r="N13" s="111" t="s">
        <v>1635</v>
      </c>
      <c r="O13" s="32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25" t="n">
        <f aca="false">IF(B13="Owned",CPM_SP,0)</f>
        <v>12.5</v>
      </c>
      <c r="Q13" s="38" t="n">
        <v>0.7407</v>
      </c>
    </row>
    <row r="14" customFormat="false" ht="15" hidden="false" customHeight="false" outlineLevel="0" collapsed="false">
      <c r="A14" s="0" t="s">
        <v>1636</v>
      </c>
      <c r="B14" s="111" t="s">
        <v>1631</v>
      </c>
      <c r="C14" s="111" t="s">
        <v>1632</v>
      </c>
      <c r="D14" s="24" t="s">
        <v>1633</v>
      </c>
      <c r="E14" s="111" t="s">
        <v>1627</v>
      </c>
      <c r="F14" s="25" t="n">
        <f aca="false">IF(CapV=2,Q14,IF(C14="Facility",1/PUE,1))</f>
        <v>0.7407</v>
      </c>
      <c r="G14" s="26" t="n">
        <f aca="false">IF(B14="Owned",1,0)</f>
        <v>1</v>
      </c>
      <c r="H14" s="87" t="n">
        <v>16</v>
      </c>
      <c r="I14" s="87" t="n">
        <v>16</v>
      </c>
      <c r="J14" s="87" t="n">
        <v>20</v>
      </c>
      <c r="K14" s="33" t="str">
        <f aca="false">IF(N(CHOOSE(Scen,H14,I14,J14))=0,"n/a",INDEX(Q_Lab,1,CHOOSE(Scen,H14,I14,J14)))</f>
        <v>Q4'27</v>
      </c>
      <c r="L14" s="105"/>
      <c r="M14" s="24" t="s">
        <v>1628</v>
      </c>
      <c r="N14" s="111" t="s">
        <v>1635</v>
      </c>
      <c r="O14" s="32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25" t="n">
        <f aca="false">IF(B14="Owned",CPM_SP,0)</f>
        <v>12.5</v>
      </c>
      <c r="Q14" s="38" t="n">
        <v>0.7407</v>
      </c>
    </row>
    <row r="15" customFormat="false" ht="15" hidden="false" customHeight="false" outlineLevel="0" collapsed="false">
      <c r="A15" s="0" t="s">
        <v>1637</v>
      </c>
      <c r="B15" s="111" t="s">
        <v>1631</v>
      </c>
      <c r="C15" s="111" t="s">
        <v>1632</v>
      </c>
      <c r="D15" s="24" t="s">
        <v>1633</v>
      </c>
      <c r="E15" s="111" t="s">
        <v>1638</v>
      </c>
      <c r="F15" s="25" t="n">
        <f aca="false">IF(CapV=2,Q15,IF(C15="Facility",1/PUE,1))</f>
        <v>0.7407</v>
      </c>
      <c r="G15" s="26" t="n">
        <f aca="false">IF(B15="Owned",1,0)</f>
        <v>1</v>
      </c>
      <c r="H15" s="87" t="n">
        <v>13</v>
      </c>
      <c r="I15" s="87" t="n">
        <v>13</v>
      </c>
      <c r="J15" s="87" t="n">
        <v>15</v>
      </c>
      <c r="K15" s="33" t="str">
        <f aca="false">IF(N(CHOOSE(Scen,H15,I15,J15))=0,"n/a",INDEX(Q_Lab,1,CHOOSE(Scen,H15,I15,J15)))</f>
        <v>Q1'27</v>
      </c>
      <c r="L15" s="105"/>
      <c r="M15" s="24" t="s">
        <v>1628</v>
      </c>
      <c r="N15" s="111" t="s">
        <v>1635</v>
      </c>
      <c r="O15" s="32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25" t="n">
        <f aca="false">IF(B15="Owned",CPM_SP,0)</f>
        <v>12.5</v>
      </c>
      <c r="Q15" s="38" t="n">
        <v>0.7407</v>
      </c>
    </row>
    <row r="16" customFormat="false" ht="15" hidden="false" customHeight="false" outlineLevel="0" collapsed="false">
      <c r="A16" s="0" t="s">
        <v>1639</v>
      </c>
      <c r="B16" s="111" t="s">
        <v>1640</v>
      </c>
      <c r="C16" s="111" t="s">
        <v>1632</v>
      </c>
      <c r="D16" s="24" t="s">
        <v>1641</v>
      </c>
      <c r="E16" s="111" t="s">
        <v>1638</v>
      </c>
      <c r="F16" s="25" t="n">
        <f aca="false">IF(CapV=2,Q16,IF(C16="Facility",1/PUE,1))</f>
        <v>0.7692</v>
      </c>
      <c r="G16" s="26" t="n">
        <f aca="false">IF(B16="Owned",1,0)</f>
        <v>0</v>
      </c>
      <c r="H16" s="87" t="n">
        <v>12</v>
      </c>
      <c r="I16" s="87" t="n">
        <v>12</v>
      </c>
      <c r="J16" s="87" t="n">
        <v>13</v>
      </c>
      <c r="K16" s="33" t="str">
        <f aca="false">IF(N(CHOOSE(Scen,H16,I16,J16))=0,"n/a",INDEX(Q_Lab,1,CHOOSE(Scen,H16,I16,J16)))</f>
        <v>Q4'26</v>
      </c>
      <c r="L16" s="105"/>
      <c r="M16" s="24" t="s">
        <v>1628</v>
      </c>
      <c r="N16" s="111" t="s">
        <v>1629</v>
      </c>
      <c r="O16" s="32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25" t="n">
        <f aca="false">IF(B16="Owned",CPM_SP,0)</f>
        <v>0</v>
      </c>
      <c r="Q16" s="38" t="n">
        <v>0.7692</v>
      </c>
    </row>
    <row r="17" customFormat="false" ht="15" hidden="false" customHeight="false" outlineLevel="0" collapsed="false">
      <c r="A17" s="0" t="s">
        <v>1642</v>
      </c>
      <c r="B17" s="111" t="s">
        <v>1631</v>
      </c>
      <c r="C17" s="111" t="s">
        <v>1632</v>
      </c>
      <c r="D17" s="24" t="s">
        <v>1633</v>
      </c>
      <c r="E17" s="111" t="s">
        <v>1634</v>
      </c>
      <c r="F17" s="25" t="n">
        <f aca="false">IF(CapV=2,Q17,IF(C17="Facility",1/PUE,1))</f>
        <v>0.8696</v>
      </c>
      <c r="G17" s="26" t="n">
        <f aca="false">IF(B17="Owned",1,0)</f>
        <v>1</v>
      </c>
      <c r="H17" s="87" t="n">
        <v>14</v>
      </c>
      <c r="I17" s="87" t="n">
        <v>14</v>
      </c>
      <c r="J17" s="87" t="n">
        <v>16</v>
      </c>
      <c r="K17" s="33" t="str">
        <f aca="false">IF(N(CHOOSE(Scen,H17,I17,J17))=0,"n/a",INDEX(Q_Lab,1,CHOOSE(Scen,H17,I17,J17)))</f>
        <v>Q2'27</v>
      </c>
      <c r="L17" s="105"/>
      <c r="M17" s="24" t="s">
        <v>1628</v>
      </c>
      <c r="N17" s="111" t="s">
        <v>1635</v>
      </c>
      <c r="O17" s="32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25" t="n">
        <f aca="false">IF(B17="Owned",CPM_SP,0)</f>
        <v>12.5</v>
      </c>
      <c r="Q17" s="38" t="n">
        <v>0.8696</v>
      </c>
    </row>
    <row r="18" customFormat="false" ht="15" hidden="false" customHeight="false" outlineLevel="0" collapsed="false">
      <c r="A18" s="0" t="s">
        <v>1643</v>
      </c>
      <c r="B18" s="111" t="s">
        <v>1631</v>
      </c>
      <c r="C18" s="111" t="s">
        <v>1625</v>
      </c>
      <c r="D18" s="24" t="s">
        <v>1633</v>
      </c>
      <c r="E18" s="111" t="s">
        <v>1634</v>
      </c>
      <c r="F18" s="25" t="n">
        <f aca="false">IF(CapV=2,Q18,IF(C18="Facility",1/PUE,1))</f>
        <v>0.9091</v>
      </c>
      <c r="G18" s="26" t="n">
        <f aca="false">IF(B18="Owned",1,0)</f>
        <v>1</v>
      </c>
      <c r="H18" s="87" t="n">
        <v>1</v>
      </c>
      <c r="I18" s="87" t="n">
        <v>1</v>
      </c>
      <c r="J18" s="87" t="n">
        <v>1</v>
      </c>
      <c r="K18" s="33" t="str">
        <f aca="false">IF(N(CHOOSE(Scen,H18,I18,J18))=0,"n/a",INDEX(Q_Lab,1,CHOOSE(Scen,H18,I18,J18)))</f>
        <v>Q1'24</v>
      </c>
      <c r="L18" s="105"/>
      <c r="M18" s="24" t="s">
        <v>1628</v>
      </c>
      <c r="N18" s="111" t="s">
        <v>1629</v>
      </c>
      <c r="O18" s="32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25" t="n">
        <f aca="false">IF(B18="Owned",CPM_SP,0)</f>
        <v>12.5</v>
      </c>
      <c r="Q18" s="38" t="n">
        <v>0.9091</v>
      </c>
    </row>
    <row r="19" customFormat="false" ht="15" hidden="false" customHeight="false" outlineLevel="0" collapsed="false">
      <c r="A19" s="0" t="s">
        <v>1644</v>
      </c>
      <c r="B19" s="111" t="s">
        <v>1631</v>
      </c>
      <c r="C19" s="111" t="s">
        <v>1632</v>
      </c>
      <c r="D19" s="24" t="s">
        <v>1633</v>
      </c>
      <c r="E19" s="111" t="s">
        <v>1638</v>
      </c>
      <c r="F19" s="25" t="n">
        <f aca="false">IF(CapV=2,Q19,IF(C19="Facility",1/PUE,1))</f>
        <v>0.8696</v>
      </c>
      <c r="G19" s="26" t="n">
        <f aca="false">IF(B19="Owned",1,0)</f>
        <v>1</v>
      </c>
      <c r="H19" s="87" t="n">
        <v>16</v>
      </c>
      <c r="I19" s="87" t="n">
        <v>16</v>
      </c>
      <c r="J19" s="87" t="n">
        <v>17</v>
      </c>
      <c r="K19" s="33" t="str">
        <f aca="false">IF(N(CHOOSE(Scen,H19,I19,J19))=0,"n/a",INDEX(Q_Lab,1,CHOOSE(Scen,H19,I19,J19)))</f>
        <v>Q4'27</v>
      </c>
      <c r="L19" s="105"/>
      <c r="M19" s="24" t="s">
        <v>1628</v>
      </c>
      <c r="N19" s="111" t="s">
        <v>1635</v>
      </c>
      <c r="O19" s="32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25" t="n">
        <f aca="false">IF(B19="Owned",CPM_SP,0)</f>
        <v>12.5</v>
      </c>
      <c r="Q19" s="38" t="n">
        <v>0.8696</v>
      </c>
    </row>
    <row r="20" customFormat="false" ht="15" hidden="false" customHeight="false" outlineLevel="0" collapsed="false">
      <c r="A20" s="0" t="s">
        <v>1645</v>
      </c>
      <c r="B20" s="111" t="s">
        <v>1640</v>
      </c>
      <c r="C20" s="111" t="s">
        <v>1625</v>
      </c>
      <c r="D20" s="24" t="s">
        <v>1633</v>
      </c>
      <c r="E20" s="111" t="s">
        <v>1634</v>
      </c>
      <c r="F20" s="25" t="n">
        <f aca="false">IF(CapV=2,Q20,IF(C20="Facility",1/PUE,1))</f>
        <v>1</v>
      </c>
      <c r="G20" s="26" t="n">
        <f aca="false">IF(B20="Owned",1,0)</f>
        <v>0</v>
      </c>
      <c r="H20" s="87" t="n">
        <v>6</v>
      </c>
      <c r="I20" s="87" t="n">
        <v>6</v>
      </c>
      <c r="J20" s="87" t="n">
        <v>6</v>
      </c>
      <c r="K20" s="33" t="str">
        <f aca="false">IF(N(CHOOSE(Scen,H20,I20,J20))=0,"n/a",INDEX(Q_Lab,1,CHOOSE(Scen,H20,I20,J20)))</f>
        <v>Q2'25</v>
      </c>
      <c r="L20" s="105"/>
      <c r="M20" s="24" t="s">
        <v>1628</v>
      </c>
      <c r="N20" s="111" t="s">
        <v>1646</v>
      </c>
      <c r="O20" s="32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5" t="n">
        <f aca="false">IF(B20="Owned",CPM_SP,0)</f>
        <v>0</v>
      </c>
      <c r="Q20" s="38" t="n">
        <v>1</v>
      </c>
    </row>
    <row r="21" customFormat="false" ht="15" hidden="false" customHeight="false" outlineLevel="0" collapsed="false">
      <c r="A21" s="0" t="s">
        <v>1647</v>
      </c>
      <c r="B21" s="111" t="s">
        <v>1640</v>
      </c>
      <c r="C21" s="111" t="s">
        <v>1625</v>
      </c>
      <c r="D21" s="24" t="s">
        <v>1633</v>
      </c>
      <c r="E21" s="111" t="s">
        <v>1634</v>
      </c>
      <c r="F21" s="25" t="n">
        <f aca="false">IF(CapV=2,Q21,IF(C21="Facility",1/PUE,1))</f>
        <v>1</v>
      </c>
      <c r="G21" s="26" t="n">
        <f aca="false">IF(B21="Owned",1,0)</f>
        <v>0</v>
      </c>
      <c r="H21" s="87" t="n">
        <v>4</v>
      </c>
      <c r="I21" s="87" t="n">
        <v>4</v>
      </c>
      <c r="J21" s="87" t="n">
        <v>4</v>
      </c>
      <c r="K21" s="33" t="str">
        <f aca="false">IF(N(CHOOSE(Scen,H21,I21,J21))=0,"n/a",INDEX(Q_Lab,1,CHOOSE(Scen,H21,I21,J21)))</f>
        <v>Q4'24</v>
      </c>
      <c r="L21" s="105"/>
      <c r="M21" s="24" t="s">
        <v>1628</v>
      </c>
      <c r="N21" s="111" t="s">
        <v>1648</v>
      </c>
      <c r="O21" s="32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5" t="n">
        <f aca="false">IF(B21="Owned",CPM_SP,0)</f>
        <v>0</v>
      </c>
      <c r="Q21" s="38" t="n">
        <v>1</v>
      </c>
    </row>
    <row r="22" customFormat="false" ht="15" hidden="false" customHeight="false" outlineLevel="0" collapsed="false">
      <c r="A22" s="0" t="s">
        <v>1649</v>
      </c>
      <c r="B22" s="111" t="s">
        <v>1640</v>
      </c>
      <c r="C22" s="111" t="s">
        <v>1625</v>
      </c>
      <c r="D22" s="24" t="s">
        <v>1633</v>
      </c>
      <c r="E22" s="111" t="s">
        <v>1634</v>
      </c>
      <c r="F22" s="25" t="n">
        <f aca="false">IF(CapV=2,Q22,IF(C22="Facility",1/PUE,1))</f>
        <v>1</v>
      </c>
      <c r="G22" s="26" t="n">
        <f aca="false">IF(B22="Owned",1,0)</f>
        <v>0</v>
      </c>
      <c r="H22" s="87" t="n">
        <v>5</v>
      </c>
      <c r="I22" s="87" t="n">
        <v>5</v>
      </c>
      <c r="J22" s="87" t="n">
        <v>5</v>
      </c>
      <c r="K22" s="33" t="str">
        <f aca="false">IF(N(CHOOSE(Scen,H22,I22,J22))=0,"n/a",INDEX(Q_Lab,1,CHOOSE(Scen,H22,I22,J22)))</f>
        <v>Q1'25</v>
      </c>
      <c r="L22" s="105"/>
      <c r="M22" s="24" t="s">
        <v>1628</v>
      </c>
      <c r="N22" s="111" t="s">
        <v>1648</v>
      </c>
      <c r="O22" s="32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5" t="n">
        <f aca="false">IF(B22="Owned",CPM_SP,0)</f>
        <v>0</v>
      </c>
      <c r="Q22" s="38" t="n">
        <v>1</v>
      </c>
    </row>
    <row r="23" customFormat="false" ht="15" hidden="false" customHeight="false" outlineLevel="0" collapsed="false">
      <c r="A23" s="0" t="s">
        <v>1650</v>
      </c>
      <c r="B23" s="111" t="s">
        <v>1640</v>
      </c>
      <c r="C23" s="111" t="s">
        <v>1625</v>
      </c>
      <c r="D23" s="24" t="s">
        <v>1633</v>
      </c>
      <c r="E23" s="111" t="s">
        <v>1634</v>
      </c>
      <c r="F23" s="25" t="n">
        <f aca="false">IF(CapV=2,Q23,IF(C23="Facility",1/PUE,1))</f>
        <v>0.7692</v>
      </c>
      <c r="G23" s="26" t="n">
        <f aca="false">IF(B23="Owned",1,0)</f>
        <v>0</v>
      </c>
      <c r="H23" s="87" t="n">
        <v>8</v>
      </c>
      <c r="I23" s="87" t="n">
        <v>8</v>
      </c>
      <c r="J23" s="87" t="n">
        <v>8</v>
      </c>
      <c r="K23" s="33" t="str">
        <f aca="false">IF(N(CHOOSE(Scen,H23,I23,J23))=0,"n/a",INDEX(Q_Lab,1,CHOOSE(Scen,H23,I23,J23)))</f>
        <v>Q4'25</v>
      </c>
      <c r="L23" s="105"/>
      <c r="M23" s="24" t="s">
        <v>1628</v>
      </c>
      <c r="N23" s="111" t="s">
        <v>1651</v>
      </c>
      <c r="O23" s="32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5" t="n">
        <f aca="false">IF(B23="Owned",CPM_SP,0)</f>
        <v>0</v>
      </c>
      <c r="Q23" s="38" t="n">
        <v>0.7692</v>
      </c>
    </row>
    <row r="24" customFormat="false" ht="15" hidden="false" customHeight="false" outlineLevel="0" collapsed="false">
      <c r="A24" s="0" t="s">
        <v>1652</v>
      </c>
      <c r="B24" s="111" t="s">
        <v>1640</v>
      </c>
      <c r="C24" s="111" t="s">
        <v>1625</v>
      </c>
      <c r="D24" s="24" t="s">
        <v>1633</v>
      </c>
      <c r="E24" s="111" t="s">
        <v>1638</v>
      </c>
      <c r="F24" s="25" t="n">
        <f aca="false">IF(CapV=2,Q24,IF(C24="Facility",1/PUE,1))</f>
        <v>1</v>
      </c>
      <c r="G24" s="26" t="n">
        <f aca="false">IF(B24="Owned",1,0)</f>
        <v>0</v>
      </c>
      <c r="H24" s="87" t="n">
        <v>12</v>
      </c>
      <c r="I24" s="87" t="n">
        <v>12</v>
      </c>
      <c r="J24" s="87" t="n">
        <v>13</v>
      </c>
      <c r="K24" s="33" t="str">
        <f aca="false">IF(N(CHOOSE(Scen,H24,I24,J24))=0,"n/a",INDEX(Q_Lab,1,CHOOSE(Scen,H24,I24,J24)))</f>
        <v>Q4'26</v>
      </c>
      <c r="L24" s="105"/>
      <c r="M24" s="24" t="s">
        <v>1628</v>
      </c>
      <c r="N24" s="111" t="s">
        <v>1651</v>
      </c>
      <c r="O24" s="32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5" t="n">
        <f aca="false">IF(B24="Owned",CPM_SP,0)</f>
        <v>0</v>
      </c>
      <c r="Q24" s="38" t="n">
        <v>1</v>
      </c>
    </row>
    <row r="25" customFormat="false" ht="15" hidden="false" customHeight="false" outlineLevel="0" collapsed="false">
      <c r="A25" s="0" t="s">
        <v>1653</v>
      </c>
      <c r="B25" s="111" t="s">
        <v>1640</v>
      </c>
      <c r="C25" s="111" t="s">
        <v>1625</v>
      </c>
      <c r="D25" s="24" t="s">
        <v>1633</v>
      </c>
      <c r="E25" s="111" t="s">
        <v>1627</v>
      </c>
      <c r="F25" s="25" t="n">
        <f aca="false">IF(CapV=2,Q25,IF(C25="Facility",1/PUE,1))</f>
        <v>1</v>
      </c>
      <c r="G25" s="26" t="n">
        <f aca="false">IF(B25="Owned",1,0)</f>
        <v>0</v>
      </c>
      <c r="H25" s="87"/>
      <c r="I25" s="87"/>
      <c r="J25" s="87"/>
      <c r="K25" s="33" t="str">
        <f aca="false">IF(N(CHOOSE(Scen,H25,I25,J25))=0,"n/a",INDEX(Q_Lab,1,CHOOSE(Scen,H25,I25,J25)))</f>
        <v>n/a</v>
      </c>
      <c r="L25" s="105"/>
      <c r="M25" s="24" t="s">
        <v>1628</v>
      </c>
      <c r="N25" s="111" t="s">
        <v>1629</v>
      </c>
      <c r="O25" s="32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25" t="n">
        <f aca="false">IF(B25="Owned",CPM_SP,0)</f>
        <v>0</v>
      </c>
      <c r="Q25" s="38" t="n">
        <v>1</v>
      </c>
    </row>
    <row r="26" customFormat="false" ht="15" hidden="false" customHeight="false" outlineLevel="0" collapsed="false">
      <c r="A26" s="0" t="s">
        <v>1654</v>
      </c>
      <c r="B26" s="111" t="s">
        <v>1640</v>
      </c>
      <c r="C26" s="111" t="s">
        <v>1625</v>
      </c>
      <c r="D26" s="24" t="s">
        <v>1655</v>
      </c>
      <c r="E26" s="111" t="s">
        <v>1634</v>
      </c>
      <c r="F26" s="25" t="n">
        <f aca="false">IF(CapV=2,Q26,IF(C26="Facility",1/PUE,1))</f>
        <v>1</v>
      </c>
      <c r="G26" s="26" t="n">
        <f aca="false">IF(B26="Owned",1,0)</f>
        <v>0</v>
      </c>
      <c r="H26" s="87" t="n">
        <v>8</v>
      </c>
      <c r="I26" s="87" t="n">
        <v>8</v>
      </c>
      <c r="J26" s="87" t="n">
        <v>8</v>
      </c>
      <c r="K26" s="33" t="str">
        <f aca="false">IF(N(CHOOSE(Scen,H26,I26,J26))=0,"n/a",INDEX(Q_Lab,1,CHOOSE(Scen,H26,I26,J26)))</f>
        <v>Q4'25</v>
      </c>
      <c r="L26" s="105"/>
      <c r="M26" s="24" t="s">
        <v>1628</v>
      </c>
      <c r="N26" s="111" t="s">
        <v>1646</v>
      </c>
      <c r="O26" s="32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5" t="n">
        <f aca="false">IF(B26="Owned",CPM_SP,0)</f>
        <v>0</v>
      </c>
      <c r="Q26" s="38" t="n">
        <v>1</v>
      </c>
    </row>
    <row r="27" customFormat="false" ht="15" hidden="false" customHeight="false" outlineLevel="0" collapsed="false">
      <c r="A27" s="0" t="s">
        <v>1656</v>
      </c>
      <c r="B27" s="111" t="s">
        <v>1640</v>
      </c>
      <c r="C27" s="111" t="s">
        <v>1632</v>
      </c>
      <c r="D27" s="24" t="s">
        <v>1633</v>
      </c>
      <c r="E27" s="111" t="s">
        <v>1638</v>
      </c>
      <c r="F27" s="25" t="n">
        <f aca="false">IF(CapV=2,Q27,IF(C27="Facility",1/PUE,1))</f>
        <v>1</v>
      </c>
      <c r="G27" s="26" t="n">
        <f aca="false">IF(B27="Owned",1,0)</f>
        <v>0</v>
      </c>
      <c r="H27" s="87" t="n">
        <v>12</v>
      </c>
      <c r="I27" s="87" t="n">
        <v>12</v>
      </c>
      <c r="J27" s="87" t="n">
        <v>13</v>
      </c>
      <c r="K27" s="33" t="str">
        <f aca="false">IF(N(CHOOSE(Scen,H27,I27,J27))=0,"n/a",INDEX(Q_Lab,1,CHOOSE(Scen,H27,I27,J27)))</f>
        <v>Q4'26</v>
      </c>
      <c r="L27" s="105"/>
      <c r="M27" s="24" t="s">
        <v>1628</v>
      </c>
      <c r="N27" s="111" t="s">
        <v>1629</v>
      </c>
      <c r="O27" s="32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25" t="n">
        <f aca="false">IF(B27="Owned",CPM_SP,0)</f>
        <v>0</v>
      </c>
      <c r="Q27" s="38" t="n">
        <v>1</v>
      </c>
    </row>
    <row r="28" customFormat="false" ht="15" hidden="false" customHeight="false" outlineLevel="0" collapsed="false">
      <c r="A28" s="0" t="s">
        <v>1657</v>
      </c>
      <c r="B28" s="111" t="s">
        <v>1640</v>
      </c>
      <c r="C28" s="111" t="s">
        <v>1632</v>
      </c>
      <c r="D28" s="24" t="s">
        <v>1633</v>
      </c>
      <c r="E28" s="111" t="s">
        <v>1638</v>
      </c>
      <c r="F28" s="25" t="n">
        <f aca="false">IF(CapV=2,Q28,IF(C28="Facility",1/PUE,1))</f>
        <v>1</v>
      </c>
      <c r="G28" s="26" t="n">
        <f aca="false">IF(B28="Owned",1,0)</f>
        <v>0</v>
      </c>
      <c r="H28" s="87" t="n">
        <v>12</v>
      </c>
      <c r="I28" s="87" t="n">
        <v>12</v>
      </c>
      <c r="J28" s="87" t="n">
        <v>13</v>
      </c>
      <c r="K28" s="33" t="str">
        <f aca="false">IF(N(CHOOSE(Scen,H28,I28,J28))=0,"n/a",INDEX(Q_Lab,1,CHOOSE(Scen,H28,I28,J28)))</f>
        <v>Q4'26</v>
      </c>
      <c r="L28" s="105"/>
      <c r="M28" s="24" t="s">
        <v>1628</v>
      </c>
      <c r="N28" s="111" t="s">
        <v>1629</v>
      </c>
      <c r="O28" s="32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25" t="n">
        <f aca="false">IF(B28="Owned",CPM_SP,0)</f>
        <v>0</v>
      </c>
      <c r="Q28" s="38" t="n">
        <v>1</v>
      </c>
    </row>
    <row r="29" customFormat="false" ht="15" hidden="false" customHeight="false" outlineLevel="0" collapsed="false">
      <c r="A29" s="0" t="s">
        <v>1658</v>
      </c>
      <c r="B29" s="111" t="s">
        <v>1640</v>
      </c>
      <c r="C29" s="111" t="s">
        <v>1625</v>
      </c>
      <c r="D29" s="24" t="s">
        <v>1633</v>
      </c>
      <c r="E29" s="111" t="s">
        <v>1634</v>
      </c>
      <c r="F29" s="25" t="n">
        <f aca="false">IF(CapV=2,Q29,IF(C29="Facility",1/PUE,1))</f>
        <v>1</v>
      </c>
      <c r="G29" s="26" t="n">
        <f aca="false">IF(B29="Owned",1,0)</f>
        <v>0</v>
      </c>
      <c r="H29" s="87" t="n">
        <v>11</v>
      </c>
      <c r="I29" s="87" t="n">
        <v>11</v>
      </c>
      <c r="J29" s="87" t="n">
        <v>11</v>
      </c>
      <c r="K29" s="33" t="str">
        <f aca="false">IF(N(CHOOSE(Scen,H29,I29,J29))=0,"n/a",INDEX(Q_Lab,1,CHOOSE(Scen,H29,I29,J29)))</f>
        <v>Q3'26</v>
      </c>
      <c r="L29" s="105"/>
      <c r="M29" s="24" t="s">
        <v>1628</v>
      </c>
      <c r="N29" s="111" t="s">
        <v>1651</v>
      </c>
      <c r="O29" s="32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5" t="n">
        <f aca="false">IF(B29="Owned",CPM_SP,0)</f>
        <v>0</v>
      </c>
      <c r="Q29" s="38" t="n">
        <v>1</v>
      </c>
    </row>
    <row r="30" customFormat="false" ht="15" hidden="false" customHeight="false" outlineLevel="0" collapsed="false">
      <c r="A30" s="0" t="s">
        <v>1659</v>
      </c>
      <c r="B30" s="111" t="s">
        <v>1640</v>
      </c>
      <c r="C30" s="111" t="s">
        <v>1625</v>
      </c>
      <c r="D30" s="24" t="s">
        <v>1633</v>
      </c>
      <c r="E30" s="111" t="s">
        <v>1638</v>
      </c>
      <c r="F30" s="25" t="n">
        <f aca="false">IF(CapV=2,Q30,IF(C30="Facility",1/PUE,1))</f>
        <v>1</v>
      </c>
      <c r="G30" s="26" t="n">
        <f aca="false">IF(B30="Owned",1,0)</f>
        <v>0</v>
      </c>
      <c r="H30" s="87" t="n">
        <v>12</v>
      </c>
      <c r="I30" s="87" t="n">
        <v>12</v>
      </c>
      <c r="J30" s="87" t="n">
        <v>13</v>
      </c>
      <c r="K30" s="33" t="str">
        <f aca="false">IF(N(CHOOSE(Scen,H30,I30,J30))=0,"n/a",INDEX(Q_Lab,1,CHOOSE(Scen,H30,I30,J30)))</f>
        <v>Q4'26</v>
      </c>
      <c r="L30" s="105"/>
      <c r="M30" s="24" t="s">
        <v>1628</v>
      </c>
      <c r="N30" s="111" t="s">
        <v>1629</v>
      </c>
      <c r="O30" s="32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25" t="n">
        <f aca="false">IF(B30="Owned",CPM_SP,0)</f>
        <v>0</v>
      </c>
      <c r="Q30" s="38" t="n">
        <v>1</v>
      </c>
    </row>
    <row r="31" customFormat="false" ht="15" hidden="false" customHeight="false" outlineLevel="0" collapsed="false">
      <c r="A31" s="0" t="s">
        <v>1660</v>
      </c>
      <c r="B31" s="111" t="s">
        <v>1640</v>
      </c>
      <c r="C31" s="111" t="s">
        <v>1625</v>
      </c>
      <c r="D31" s="24" t="s">
        <v>1661</v>
      </c>
      <c r="E31" s="111" t="s">
        <v>1638</v>
      </c>
      <c r="F31" s="25" t="n">
        <f aca="false">IF(CapV=2,Q31,IF(C31="Facility",1/PUE,1))</f>
        <v>1</v>
      </c>
      <c r="G31" s="26" t="n">
        <f aca="false">IF(B31="Owned",1,0)</f>
        <v>0</v>
      </c>
      <c r="H31" s="87"/>
      <c r="I31" s="87"/>
      <c r="J31" s="87"/>
      <c r="K31" s="33" t="str">
        <f aca="false">IF(N(CHOOSE(Scen,H31,I31,J31))=0,"n/a",INDEX(Q_Lab,1,CHOOSE(Scen,H31,I31,J31)))</f>
        <v>n/a</v>
      </c>
      <c r="L31" s="105"/>
      <c r="M31" s="24" t="s">
        <v>1628</v>
      </c>
      <c r="N31" s="111" t="s">
        <v>1651</v>
      </c>
      <c r="O31" s="32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5" t="n">
        <f aca="false">IF(B31="Owned",CPM_SP,0)</f>
        <v>0</v>
      </c>
      <c r="Q31" s="38" t="n">
        <v>1</v>
      </c>
    </row>
    <row r="32" customFormat="false" ht="15" hidden="false" customHeight="false" outlineLevel="0" collapsed="false">
      <c r="A32" s="0" t="s">
        <v>1662</v>
      </c>
      <c r="B32" s="111" t="s">
        <v>1640</v>
      </c>
      <c r="C32" s="111" t="s">
        <v>1625</v>
      </c>
      <c r="D32" s="24" t="s">
        <v>1661</v>
      </c>
      <c r="E32" s="111" t="s">
        <v>1638</v>
      </c>
      <c r="F32" s="25" t="n">
        <f aca="false">IF(CapV=2,Q32,IF(C32="Facility",1/PUE,1))</f>
        <v>1</v>
      </c>
      <c r="G32" s="26" t="n">
        <f aca="false">IF(B32="Owned",1,0)</f>
        <v>0</v>
      </c>
      <c r="H32" s="87"/>
      <c r="I32" s="87"/>
      <c r="J32" s="87"/>
      <c r="K32" s="33" t="str">
        <f aca="false">IF(N(CHOOSE(Scen,H32,I32,J32))=0,"n/a",INDEX(Q_Lab,1,CHOOSE(Scen,H32,I32,J32)))</f>
        <v>n/a</v>
      </c>
      <c r="L32" s="105"/>
      <c r="M32" s="24" t="s">
        <v>1628</v>
      </c>
      <c r="N32" s="111" t="s">
        <v>1629</v>
      </c>
      <c r="O32" s="32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25" t="n">
        <f aca="false">IF(B32="Owned",CPM_SP,0)</f>
        <v>0</v>
      </c>
      <c r="Q32" s="38" t="n">
        <v>1</v>
      </c>
    </row>
    <row r="33" customFormat="false" ht="15" hidden="false" customHeight="false" outlineLevel="0" collapsed="false">
      <c r="A33" s="0" t="s">
        <v>1663</v>
      </c>
      <c r="B33" s="111" t="s">
        <v>1640</v>
      </c>
      <c r="C33" s="111" t="s">
        <v>1625</v>
      </c>
      <c r="D33" s="24" t="s">
        <v>1633</v>
      </c>
      <c r="E33" s="111" t="s">
        <v>1638</v>
      </c>
      <c r="F33" s="25" t="n">
        <f aca="false">IF(CapV=2,Q33,IF(C33="Facility",1/PUE,1))</f>
        <v>1</v>
      </c>
      <c r="G33" s="26" t="n">
        <f aca="false">IF(B33="Owned",1,0)</f>
        <v>0</v>
      </c>
      <c r="H33" s="87"/>
      <c r="I33" s="87"/>
      <c r="J33" s="87"/>
      <c r="K33" s="33" t="str">
        <f aca="false">IF(N(CHOOSE(Scen,H33,I33,J33))=0,"n/a",INDEX(Q_Lab,1,CHOOSE(Scen,H33,I33,J33)))</f>
        <v>n/a</v>
      </c>
      <c r="L33" s="105"/>
      <c r="M33" s="24" t="s">
        <v>1628</v>
      </c>
      <c r="N33" s="111" t="s">
        <v>1664</v>
      </c>
      <c r="O33" s="32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5" t="n">
        <f aca="false">IF(B33="Owned",CPM_SP,0)</f>
        <v>0</v>
      </c>
      <c r="Q33" s="38" t="n">
        <v>1</v>
      </c>
    </row>
    <row r="34" customFormat="false" ht="15" hidden="false" customHeight="false" outlineLevel="0" collapsed="false">
      <c r="A34" s="0" t="s">
        <v>1665</v>
      </c>
      <c r="B34" s="111" t="s">
        <v>1640</v>
      </c>
      <c r="C34" s="111" t="s">
        <v>1625</v>
      </c>
      <c r="D34" s="24" t="s">
        <v>1655</v>
      </c>
      <c r="E34" s="111" t="s">
        <v>1627</v>
      </c>
      <c r="F34" s="25" t="n">
        <f aca="false">IF(CapV=2,Q34,IF(C34="Facility",1/PUE,1))</f>
        <v>1</v>
      </c>
      <c r="G34" s="26" t="n">
        <f aca="false">IF(B34="Owned",1,0)</f>
        <v>0</v>
      </c>
      <c r="H34" s="87" t="n">
        <v>15</v>
      </c>
      <c r="I34" s="87" t="n">
        <v>15</v>
      </c>
      <c r="J34" s="87" t="n">
        <v>17</v>
      </c>
      <c r="K34" s="33" t="str">
        <f aca="false">IF(N(CHOOSE(Scen,H34,I34,J34))=0,"n/a",INDEX(Q_Lab,1,CHOOSE(Scen,H34,I34,J34)))</f>
        <v>Q3'27</v>
      </c>
      <c r="L34" s="105"/>
      <c r="M34" s="24" t="s">
        <v>1628</v>
      </c>
      <c r="N34" s="111" t="s">
        <v>1635</v>
      </c>
      <c r="O34" s="32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25" t="n">
        <f aca="false">IF(B34="Owned",CPM_SP,0)</f>
        <v>0</v>
      </c>
      <c r="Q34" s="38" t="n">
        <v>1</v>
      </c>
    </row>
    <row r="35" customFormat="false" ht="15" hidden="false" customHeight="false" outlineLevel="0" collapsed="false">
      <c r="A35" s="0" t="s">
        <v>1666</v>
      </c>
      <c r="B35" s="111" t="s">
        <v>1640</v>
      </c>
      <c r="C35" s="111" t="s">
        <v>1625</v>
      </c>
      <c r="D35" s="24" t="s">
        <v>1667</v>
      </c>
      <c r="E35" s="111" t="s">
        <v>1638</v>
      </c>
      <c r="F35" s="25" t="n">
        <f aca="false">IF(CapV=2,Q35,IF(C35="Facility",1/PUE,1))</f>
        <v>1</v>
      </c>
      <c r="G35" s="26" t="n">
        <f aca="false">IF(B35="Owned",1,0)</f>
        <v>0</v>
      </c>
      <c r="H35" s="87" t="n">
        <v>12</v>
      </c>
      <c r="I35" s="87" t="n">
        <v>12</v>
      </c>
      <c r="J35" s="87" t="n">
        <v>13</v>
      </c>
      <c r="K35" s="33" t="str">
        <f aca="false">IF(N(CHOOSE(Scen,H35,I35,J35))=0,"n/a",INDEX(Q_Lab,1,CHOOSE(Scen,H35,I35,J35)))</f>
        <v>Q4'26</v>
      </c>
      <c r="L35" s="105"/>
      <c r="M35" s="24" t="s">
        <v>1628</v>
      </c>
      <c r="N35" s="111" t="s">
        <v>1629</v>
      </c>
      <c r="O35" s="32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25" t="n">
        <f aca="false">IF(B35="Owned",CPM_SP,0)</f>
        <v>0</v>
      </c>
      <c r="Q35" s="38" t="n">
        <v>1</v>
      </c>
    </row>
    <row r="36" customFormat="false" ht="15" hidden="false" customHeight="false" outlineLevel="0" collapsed="false">
      <c r="A36" s="0" t="s">
        <v>1668</v>
      </c>
      <c r="B36" s="111" t="s">
        <v>1640</v>
      </c>
      <c r="C36" s="111" t="s">
        <v>1625</v>
      </c>
      <c r="D36" s="24" t="s">
        <v>1669</v>
      </c>
      <c r="E36" s="111" t="s">
        <v>1627</v>
      </c>
      <c r="F36" s="25" t="n">
        <f aca="false">IF(CapV=2,Q36,IF(C36="Facility",1/PUE,1))</f>
        <v>1</v>
      </c>
      <c r="G36" s="26" t="n">
        <f aca="false">IF(B36="Owned",1,0)</f>
        <v>0</v>
      </c>
      <c r="H36" s="87"/>
      <c r="I36" s="87"/>
      <c r="J36" s="87"/>
      <c r="K36" s="33" t="str">
        <f aca="false">IF(N(CHOOSE(Scen,H36,I36,J36))=0,"n/a",INDEX(Q_Lab,1,CHOOSE(Scen,H36,I36,J36)))</f>
        <v>n/a</v>
      </c>
      <c r="L36" s="105"/>
      <c r="M36" s="24" t="s">
        <v>1628</v>
      </c>
      <c r="N36" s="111" t="s">
        <v>1664</v>
      </c>
      <c r="O36" s="32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25" t="n">
        <f aca="false">IF(B36="Owned",CPM_SP,0)</f>
        <v>0</v>
      </c>
      <c r="Q36" s="38" t="n">
        <v>1</v>
      </c>
    </row>
    <row r="37" customFormat="false" ht="15" hidden="false" customHeight="false" outlineLevel="0" collapsed="false">
      <c r="A37" s="0" t="s">
        <v>1670</v>
      </c>
      <c r="B37" s="111" t="s">
        <v>1671</v>
      </c>
      <c r="C37" s="111" t="s">
        <v>1625</v>
      </c>
      <c r="D37" s="0" t="s">
        <v>1672</v>
      </c>
      <c r="E37" s="111" t="s">
        <v>1638</v>
      </c>
      <c r="F37" s="25" t="n">
        <f aca="false">IF(C37="Facility",1/PUE,1)</f>
        <v>1</v>
      </c>
    </row>
    <row r="40" customFormat="false" ht="15" hidden="false" customHeight="false" outlineLevel="0" collapsed="false">
      <c r="A40" s="64" t="s">
        <v>1673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customFormat="false" ht="15" hidden="false" customHeight="false" outlineLevel="0" collapsed="false">
      <c r="A41" s="112" t="s">
        <v>1674</v>
      </c>
      <c r="B41" s="24" t="s">
        <v>857</v>
      </c>
      <c r="C41" s="24" t="s">
        <v>690</v>
      </c>
      <c r="D41" s="24" t="s">
        <v>1675</v>
      </c>
      <c r="F41" s="113" t="n">
        <v>0</v>
      </c>
      <c r="G41" s="113" t="n">
        <v>0</v>
      </c>
      <c r="H41" s="113" t="n">
        <v>0</v>
      </c>
      <c r="I41" s="113" t="n">
        <v>0</v>
      </c>
      <c r="J41" s="113" t="n">
        <v>0</v>
      </c>
      <c r="K41" s="113" t="n">
        <v>0</v>
      </c>
      <c r="L41" s="113" t="n">
        <v>0</v>
      </c>
      <c r="M41" s="113" t="n">
        <v>21.8</v>
      </c>
      <c r="N41" s="113" t="n">
        <v>30</v>
      </c>
      <c r="O41" s="113" t="n">
        <v>33</v>
      </c>
      <c r="P41" s="113" t="n">
        <v>57</v>
      </c>
      <c r="Q41" s="113" t="n">
        <v>57</v>
      </c>
      <c r="R41" s="113" t="n">
        <v>57</v>
      </c>
      <c r="S41" s="113" t="n">
        <v>107</v>
      </c>
      <c r="T41" s="113" t="n">
        <v>160</v>
      </c>
      <c r="U41" s="113" t="n">
        <v>230</v>
      </c>
      <c r="V41" s="113" t="n">
        <v>230</v>
      </c>
      <c r="W41" s="113" t="n">
        <v>230</v>
      </c>
      <c r="X41" s="113" t="n">
        <v>230</v>
      </c>
      <c r="Y41" s="113" t="n">
        <v>230</v>
      </c>
      <c r="Z41" s="113" t="n">
        <v>230</v>
      </c>
      <c r="AA41" s="113" t="n">
        <v>230</v>
      </c>
      <c r="AB41" s="113" t="n">
        <v>230</v>
      </c>
      <c r="AC41" s="113" t="n">
        <v>230</v>
      </c>
      <c r="AD41" s="113" t="n">
        <v>230</v>
      </c>
      <c r="AE41" s="113" t="n">
        <v>230</v>
      </c>
      <c r="AF41" s="113" t="n">
        <v>230</v>
      </c>
      <c r="AG41" s="113" t="n">
        <v>230</v>
      </c>
      <c r="AI41" s="114" t="n">
        <f aca="false">INDEX($F41:$AG41,1,MATCH(AI$7,$F$7:$AG$7,1))</f>
        <v>0</v>
      </c>
      <c r="AJ41" s="114" t="n">
        <f aca="false">INDEX($F41:$AG41,1,MATCH(AJ$7,$F$7:$AG$7,1))</f>
        <v>21.8</v>
      </c>
      <c r="AK41" s="114" t="n">
        <f aca="false">INDEX($F41:$AG41,1,MATCH(AK$7,$F$7:$AG$7,1))</f>
        <v>57</v>
      </c>
      <c r="AL41" s="114" t="n">
        <f aca="false">INDEX($F41:$AG41,1,MATCH(AL$7,$F$7:$AG$7,1))</f>
        <v>230</v>
      </c>
      <c r="AM41" s="114" t="n">
        <f aca="false">INDEX($F41:$AG41,1,MATCH(AM$7,$F$7:$AG$7,1))</f>
        <v>230</v>
      </c>
      <c r="AN41" s="114" t="n">
        <f aca="false">INDEX($F41:$AG41,1,MATCH(AN$7,$F$7:$AG$7,1))</f>
        <v>230</v>
      </c>
      <c r="AO41" s="114" t="n">
        <f aca="false">INDEX($F41:$AG41,1,MATCH(AO$7,$F$7:$AG$7,1))</f>
        <v>230</v>
      </c>
    </row>
    <row r="42" customFormat="false" ht="15" hidden="false" customHeight="false" outlineLevel="0" collapsed="false">
      <c r="A42" s="112" t="s">
        <v>1676</v>
      </c>
      <c r="B42" s="24" t="s">
        <v>857</v>
      </c>
      <c r="C42" s="24" t="s">
        <v>690</v>
      </c>
      <c r="D42" s="24" t="s">
        <v>1677</v>
      </c>
      <c r="F42" s="113" t="n">
        <v>0</v>
      </c>
      <c r="G42" s="113" t="n">
        <v>0</v>
      </c>
      <c r="H42" s="113" t="n">
        <v>0</v>
      </c>
      <c r="I42" s="113" t="n">
        <v>0</v>
      </c>
      <c r="J42" s="113" t="n">
        <v>0</v>
      </c>
      <c r="K42" s="113" t="n">
        <v>0</v>
      </c>
      <c r="L42" s="113" t="n">
        <v>0</v>
      </c>
      <c r="M42" s="113" t="n">
        <v>21.8</v>
      </c>
      <c r="N42" s="113" t="n">
        <v>30</v>
      </c>
      <c r="O42" s="113" t="n">
        <v>33</v>
      </c>
      <c r="P42" s="113" t="n">
        <v>57</v>
      </c>
      <c r="Q42" s="113" t="n">
        <v>57</v>
      </c>
      <c r="R42" s="113" t="n">
        <v>57</v>
      </c>
      <c r="S42" s="113" t="n">
        <v>107</v>
      </c>
      <c r="T42" s="113" t="n">
        <v>160</v>
      </c>
      <c r="U42" s="113" t="n">
        <v>230</v>
      </c>
      <c r="V42" s="113" t="n">
        <v>230</v>
      </c>
      <c r="W42" s="113" t="n">
        <v>230</v>
      </c>
      <c r="X42" s="113" t="n">
        <v>230</v>
      </c>
      <c r="Y42" s="113" t="n">
        <v>230</v>
      </c>
      <c r="Z42" s="113" t="n">
        <v>230</v>
      </c>
      <c r="AA42" s="113" t="n">
        <v>230</v>
      </c>
      <c r="AB42" s="113" t="n">
        <v>230</v>
      </c>
      <c r="AC42" s="113" t="n">
        <v>230</v>
      </c>
      <c r="AD42" s="113" t="n">
        <v>230</v>
      </c>
      <c r="AE42" s="113" t="n">
        <v>230</v>
      </c>
      <c r="AF42" s="113" t="n">
        <v>230</v>
      </c>
      <c r="AG42" s="113" t="n">
        <v>230</v>
      </c>
      <c r="AI42" s="114" t="n">
        <f aca="false">INDEX($F42:$AG42,1,MATCH(AI$7,$F$7:$AG$7,1))</f>
        <v>0</v>
      </c>
      <c r="AJ42" s="114" t="n">
        <f aca="false">INDEX($F42:$AG42,1,MATCH(AJ$7,$F$7:$AG$7,1))</f>
        <v>21.8</v>
      </c>
      <c r="AK42" s="114" t="n">
        <f aca="false">INDEX($F42:$AG42,1,MATCH(AK$7,$F$7:$AG$7,1))</f>
        <v>57</v>
      </c>
      <c r="AL42" s="114" t="n">
        <f aca="false">INDEX($F42:$AG42,1,MATCH(AL$7,$F$7:$AG$7,1))</f>
        <v>230</v>
      </c>
      <c r="AM42" s="114" t="n">
        <f aca="false">INDEX($F42:$AG42,1,MATCH(AM$7,$F$7:$AG$7,1))</f>
        <v>230</v>
      </c>
      <c r="AN42" s="114" t="n">
        <f aca="false">INDEX($F42:$AG42,1,MATCH(AN$7,$F$7:$AG$7,1))</f>
        <v>230</v>
      </c>
      <c r="AO42" s="114" t="n">
        <f aca="false">INDEX($F42:$AG42,1,MATCH(AO$7,$F$7:$AG$7,1))</f>
        <v>230</v>
      </c>
    </row>
    <row r="43" customFormat="false" ht="15" hidden="false" customHeight="false" outlineLevel="0" collapsed="false">
      <c r="A43" s="112" t="s">
        <v>1678</v>
      </c>
      <c r="B43" s="24" t="s">
        <v>857</v>
      </c>
      <c r="C43" s="24" t="s">
        <v>672</v>
      </c>
      <c r="D43" s="24" t="s">
        <v>1679</v>
      </c>
      <c r="F43" s="114" t="n">
        <f aca="false">IF(CapV=2,N(F42),N(F41))</f>
        <v>0</v>
      </c>
      <c r="G43" s="114" t="n">
        <f aca="false">IF(CapV=2,N(G42),N(G41))</f>
        <v>0</v>
      </c>
      <c r="H43" s="114" t="n">
        <f aca="false">IF(CapV=2,N(H42),N(H41))</f>
        <v>0</v>
      </c>
      <c r="I43" s="114" t="n">
        <f aca="false">IF(CapV=2,N(I42),N(I41))</f>
        <v>0</v>
      </c>
      <c r="J43" s="114" t="n">
        <f aca="false">IF(CapV=2,N(J42),N(J41))</f>
        <v>0</v>
      </c>
      <c r="K43" s="114" t="n">
        <f aca="false">IF(CapV=2,N(K42),N(K41))</f>
        <v>0</v>
      </c>
      <c r="L43" s="114" t="n">
        <f aca="false">IF(CapV=2,N(L42),N(L41))</f>
        <v>0</v>
      </c>
      <c r="M43" s="114" t="n">
        <f aca="false">IF(CapV=2,N(M42),N(M41))</f>
        <v>21.8</v>
      </c>
      <c r="N43" s="114" t="n">
        <f aca="false">IF(CapV=2,N(N42),N(N41))</f>
        <v>30</v>
      </c>
      <c r="O43" s="114" t="n">
        <f aca="false">IF(CapV=2,N(O42),N(O41))</f>
        <v>33</v>
      </c>
      <c r="P43" s="114" t="n">
        <f aca="false">IF(CapV=2,N(P42),N(P41))</f>
        <v>57</v>
      </c>
      <c r="Q43" s="114" t="n">
        <f aca="false">IF(CapV=2,N(Q42),N(Q41))</f>
        <v>57</v>
      </c>
      <c r="R43" s="114" t="n">
        <f aca="false">IF(CapV=2,N(R42),N(R41))</f>
        <v>57</v>
      </c>
      <c r="S43" s="114" t="n">
        <f aca="false">IF(CapV=2,N(S42),N(S41))</f>
        <v>107</v>
      </c>
      <c r="T43" s="114" t="n">
        <f aca="false">IF(CapV=2,N(T42),N(T41))</f>
        <v>160</v>
      </c>
      <c r="U43" s="114" t="n">
        <f aca="false">IF(CapV=2,N(U42),N(U41))</f>
        <v>230</v>
      </c>
      <c r="V43" s="114" t="n">
        <f aca="false">IF(CapV=2,N(V42),N(V41))</f>
        <v>230</v>
      </c>
      <c r="W43" s="114" t="n">
        <f aca="false">IF(CapV=2,N(W42),N(W41))</f>
        <v>230</v>
      </c>
      <c r="X43" s="114" t="n">
        <f aca="false">IF(CapV=2,N(X42),N(X41))</f>
        <v>230</v>
      </c>
      <c r="Y43" s="114" t="n">
        <f aca="false">IF(CapV=2,N(Y42),N(Y41))</f>
        <v>230</v>
      </c>
      <c r="Z43" s="114" t="n">
        <f aca="false">IF(CapV=2,N(Z42),N(Z41))</f>
        <v>230</v>
      </c>
      <c r="AA43" s="114" t="n">
        <f aca="false">IF(CapV=2,N(AA42),N(AA41))</f>
        <v>230</v>
      </c>
      <c r="AB43" s="114" t="n">
        <f aca="false">IF(CapV=2,N(AB42),N(AB41))</f>
        <v>230</v>
      </c>
      <c r="AC43" s="114" t="n">
        <f aca="false">IF(CapV=2,N(AC42),N(AC41))</f>
        <v>230</v>
      </c>
      <c r="AD43" s="114" t="n">
        <f aca="false">IF(CapV=2,N(AD42),N(AD41))</f>
        <v>230</v>
      </c>
      <c r="AE43" s="114" t="n">
        <f aca="false">IF(CapV=2,N(AE42),N(AE41))</f>
        <v>230</v>
      </c>
      <c r="AF43" s="114" t="n">
        <f aca="false">IF(CapV=2,N(AF42),N(AF41))</f>
        <v>230</v>
      </c>
      <c r="AG43" s="114" t="n">
        <f aca="false">IF(CapV=2,N(AG42),N(AG41))</f>
        <v>230</v>
      </c>
      <c r="AI43" s="114" t="n">
        <f aca="false">INDEX($F43:$AG43,1,MATCH(AI$7,$F$7:$AG$7,1))</f>
        <v>0</v>
      </c>
      <c r="AJ43" s="114" t="n">
        <f aca="false">INDEX($F43:$AG43,1,MATCH(AJ$7,$F$7:$AG$7,1))</f>
        <v>21.8</v>
      </c>
      <c r="AK43" s="114" t="n">
        <f aca="false">INDEX($F43:$AG43,1,MATCH(AK$7,$F$7:$AG$7,1))</f>
        <v>57</v>
      </c>
      <c r="AL43" s="114" t="n">
        <f aca="false">INDEX($F43:$AG43,1,MATCH(AL$7,$F$7:$AG$7,1))</f>
        <v>230</v>
      </c>
      <c r="AM43" s="114" t="n">
        <f aca="false">INDEX($F43:$AG43,1,MATCH(AM$7,$F$7:$AG$7,1))</f>
        <v>230</v>
      </c>
      <c r="AN43" s="114" t="n">
        <f aca="false">INDEX($F43:$AG43,1,MATCH(AN$7,$F$7:$AG$7,1))</f>
        <v>230</v>
      </c>
      <c r="AO43" s="114" t="n">
        <f aca="false">INDEX($F43:$AG43,1,MATCH(AO$7,$F$7:$AG$7,1))</f>
        <v>230</v>
      </c>
    </row>
    <row r="44" customFormat="false" ht="15" hidden="false" customHeight="false" outlineLevel="0" collapsed="false">
      <c r="A44" s="112" t="s">
        <v>1680</v>
      </c>
      <c r="B44" s="24" t="s">
        <v>857</v>
      </c>
      <c r="C44" s="24" t="s">
        <v>690</v>
      </c>
      <c r="D44" s="24" t="s">
        <v>1675</v>
      </c>
      <c r="F44" s="113" t="n">
        <v>0</v>
      </c>
      <c r="G44" s="113" t="n">
        <v>0</v>
      </c>
      <c r="H44" s="113" t="n">
        <v>0</v>
      </c>
      <c r="I44" s="113" t="n">
        <v>0</v>
      </c>
      <c r="J44" s="113" t="n">
        <v>0</v>
      </c>
      <c r="K44" s="113" t="n">
        <v>0</v>
      </c>
      <c r="L44" s="113" t="n">
        <v>0</v>
      </c>
      <c r="M44" s="113" t="n">
        <v>26.2</v>
      </c>
      <c r="N44" s="113" t="n">
        <v>37.5</v>
      </c>
      <c r="O44" s="113" t="n">
        <v>39</v>
      </c>
      <c r="P44" s="113" t="n">
        <v>66</v>
      </c>
      <c r="Q44" s="113" t="n">
        <v>81.8</v>
      </c>
      <c r="R44" s="113" t="n">
        <v>118.5</v>
      </c>
      <c r="S44" s="113" t="n">
        <v>168.5</v>
      </c>
      <c r="T44" s="113" t="n">
        <v>205</v>
      </c>
      <c r="U44" s="113" t="n">
        <v>240</v>
      </c>
      <c r="V44" s="113" t="n">
        <v>240</v>
      </c>
      <c r="W44" s="113" t="n">
        <v>240</v>
      </c>
      <c r="X44" s="113" t="n">
        <v>240</v>
      </c>
      <c r="Y44" s="113" t="n">
        <v>240</v>
      </c>
      <c r="Z44" s="113" t="n">
        <v>240</v>
      </c>
      <c r="AA44" s="113" t="n">
        <v>240</v>
      </c>
      <c r="AB44" s="113" t="n">
        <v>240</v>
      </c>
      <c r="AC44" s="113" t="n">
        <v>240</v>
      </c>
      <c r="AD44" s="113" t="n">
        <v>240</v>
      </c>
      <c r="AE44" s="113" t="n">
        <v>240</v>
      </c>
      <c r="AF44" s="113" t="n">
        <v>240</v>
      </c>
      <c r="AG44" s="113" t="n">
        <v>240</v>
      </c>
      <c r="AI44" s="114" t="n">
        <f aca="false">INDEX($F44:$AG44,1,MATCH(AI$7,$F$7:$AG$7,1))</f>
        <v>0</v>
      </c>
      <c r="AJ44" s="114" t="n">
        <f aca="false">INDEX($F44:$AG44,1,MATCH(AJ$7,$F$7:$AG$7,1))</f>
        <v>26.2</v>
      </c>
      <c r="AK44" s="114" t="n">
        <f aca="false">INDEX($F44:$AG44,1,MATCH(AK$7,$F$7:$AG$7,1))</f>
        <v>81.8</v>
      </c>
      <c r="AL44" s="114" t="n">
        <f aca="false">INDEX($F44:$AG44,1,MATCH(AL$7,$F$7:$AG$7,1))</f>
        <v>240</v>
      </c>
      <c r="AM44" s="114" t="n">
        <f aca="false">INDEX($F44:$AG44,1,MATCH(AM$7,$F$7:$AG$7,1))</f>
        <v>240</v>
      </c>
      <c r="AN44" s="114" t="n">
        <f aca="false">INDEX($F44:$AG44,1,MATCH(AN$7,$F$7:$AG$7,1))</f>
        <v>240</v>
      </c>
      <c r="AO44" s="114" t="n">
        <f aca="false">INDEX($F44:$AG44,1,MATCH(AO$7,$F$7:$AG$7,1))</f>
        <v>240</v>
      </c>
    </row>
    <row r="45" customFormat="false" ht="15" hidden="false" customHeight="false" outlineLevel="0" collapsed="false">
      <c r="A45" s="112" t="s">
        <v>1681</v>
      </c>
      <c r="B45" s="24" t="s">
        <v>857</v>
      </c>
      <c r="C45" s="24" t="s">
        <v>690</v>
      </c>
      <c r="D45" s="24" t="s">
        <v>1677</v>
      </c>
      <c r="F45" s="113" t="n">
        <v>0</v>
      </c>
      <c r="G45" s="113" t="n">
        <v>0</v>
      </c>
      <c r="H45" s="113" t="n">
        <v>0</v>
      </c>
      <c r="I45" s="113" t="n">
        <v>0</v>
      </c>
      <c r="J45" s="113" t="n">
        <v>0</v>
      </c>
      <c r="K45" s="113" t="n">
        <v>0</v>
      </c>
      <c r="L45" s="113" t="n">
        <v>0</v>
      </c>
      <c r="M45" s="113" t="n">
        <v>26.2</v>
      </c>
      <c r="N45" s="113" t="n">
        <v>37.5</v>
      </c>
      <c r="O45" s="113" t="n">
        <v>39</v>
      </c>
      <c r="P45" s="113" t="n">
        <v>66</v>
      </c>
      <c r="Q45" s="113" t="n">
        <v>81.8</v>
      </c>
      <c r="R45" s="113" t="n">
        <v>118.5</v>
      </c>
      <c r="S45" s="113" t="n">
        <v>168.5</v>
      </c>
      <c r="T45" s="113" t="n">
        <v>200</v>
      </c>
      <c r="U45" s="113" t="n">
        <v>235</v>
      </c>
      <c r="V45" s="113" t="n">
        <v>235</v>
      </c>
      <c r="W45" s="113" t="n">
        <v>235</v>
      </c>
      <c r="X45" s="113" t="n">
        <v>235</v>
      </c>
      <c r="Y45" s="113" t="n">
        <v>235</v>
      </c>
      <c r="Z45" s="113" t="n">
        <v>235</v>
      </c>
      <c r="AA45" s="113" t="n">
        <v>235</v>
      </c>
      <c r="AB45" s="113" t="n">
        <v>235</v>
      </c>
      <c r="AC45" s="113" t="n">
        <v>235</v>
      </c>
      <c r="AD45" s="113" t="n">
        <v>235</v>
      </c>
      <c r="AE45" s="113" t="n">
        <v>235</v>
      </c>
      <c r="AF45" s="113" t="n">
        <v>235</v>
      </c>
      <c r="AG45" s="113" t="n">
        <v>235</v>
      </c>
      <c r="AI45" s="114" t="n">
        <f aca="false">INDEX($F45:$AG45,1,MATCH(AI$7,$F$7:$AG$7,1))</f>
        <v>0</v>
      </c>
      <c r="AJ45" s="114" t="n">
        <f aca="false">INDEX($F45:$AG45,1,MATCH(AJ$7,$F$7:$AG$7,1))</f>
        <v>26.2</v>
      </c>
      <c r="AK45" s="114" t="n">
        <f aca="false">INDEX($F45:$AG45,1,MATCH(AK$7,$F$7:$AG$7,1))</f>
        <v>81.8</v>
      </c>
      <c r="AL45" s="114" t="n">
        <f aca="false">INDEX($F45:$AG45,1,MATCH(AL$7,$F$7:$AG$7,1))</f>
        <v>235</v>
      </c>
      <c r="AM45" s="114" t="n">
        <f aca="false">INDEX($F45:$AG45,1,MATCH(AM$7,$F$7:$AG$7,1))</f>
        <v>235</v>
      </c>
      <c r="AN45" s="114" t="n">
        <f aca="false">INDEX($F45:$AG45,1,MATCH(AN$7,$F$7:$AG$7,1))</f>
        <v>235</v>
      </c>
      <c r="AO45" s="114" t="n">
        <f aca="false">INDEX($F45:$AG45,1,MATCH(AO$7,$F$7:$AG$7,1))</f>
        <v>235</v>
      </c>
    </row>
    <row r="46" customFormat="false" ht="15" hidden="false" customHeight="false" outlineLevel="0" collapsed="false">
      <c r="A46" s="112" t="s">
        <v>1682</v>
      </c>
      <c r="B46" s="24" t="s">
        <v>857</v>
      </c>
      <c r="C46" s="24" t="s">
        <v>672</v>
      </c>
      <c r="D46" s="24" t="s">
        <v>1679</v>
      </c>
      <c r="F46" s="114" t="n">
        <f aca="false">IF(CapV=2,N(F45),N(F44))</f>
        <v>0</v>
      </c>
      <c r="G46" s="114" t="n">
        <f aca="false">IF(CapV=2,N(G45),N(G44))</f>
        <v>0</v>
      </c>
      <c r="H46" s="114" t="n">
        <f aca="false">IF(CapV=2,N(H45),N(H44))</f>
        <v>0</v>
      </c>
      <c r="I46" s="114" t="n">
        <f aca="false">IF(CapV=2,N(I45),N(I44))</f>
        <v>0</v>
      </c>
      <c r="J46" s="114" t="n">
        <f aca="false">IF(CapV=2,N(J45),N(J44))</f>
        <v>0</v>
      </c>
      <c r="K46" s="114" t="n">
        <f aca="false">IF(CapV=2,N(K45),N(K44))</f>
        <v>0</v>
      </c>
      <c r="L46" s="114" t="n">
        <f aca="false">IF(CapV=2,N(L45),N(L44))</f>
        <v>0</v>
      </c>
      <c r="M46" s="114" t="n">
        <f aca="false">IF(CapV=2,N(M45),N(M44))</f>
        <v>26.2</v>
      </c>
      <c r="N46" s="114" t="n">
        <f aca="false">IF(CapV=2,N(N45),N(N44))</f>
        <v>37.5</v>
      </c>
      <c r="O46" s="114" t="n">
        <f aca="false">IF(CapV=2,N(O45),N(O44))</f>
        <v>39</v>
      </c>
      <c r="P46" s="114" t="n">
        <f aca="false">IF(CapV=2,N(P45),N(P44))</f>
        <v>66</v>
      </c>
      <c r="Q46" s="114" t="n">
        <f aca="false">IF(CapV=2,N(Q45),N(Q44))</f>
        <v>81.8</v>
      </c>
      <c r="R46" s="114" t="n">
        <f aca="false">IF(CapV=2,N(R45),N(R44))</f>
        <v>118.5</v>
      </c>
      <c r="S46" s="114" t="n">
        <f aca="false">IF(CapV=2,N(S45),N(S44))</f>
        <v>168.5</v>
      </c>
      <c r="T46" s="114" t="n">
        <f aca="false">IF(CapV=2,N(T45),N(T44))</f>
        <v>200</v>
      </c>
      <c r="U46" s="114" t="n">
        <f aca="false">IF(CapV=2,N(U45),N(U44))</f>
        <v>235</v>
      </c>
      <c r="V46" s="114" t="n">
        <f aca="false">IF(CapV=2,N(V45),N(V44))</f>
        <v>235</v>
      </c>
      <c r="W46" s="114" t="n">
        <f aca="false">IF(CapV=2,N(W45),N(W44))</f>
        <v>235</v>
      </c>
      <c r="X46" s="114" t="n">
        <f aca="false">IF(CapV=2,N(X45),N(X44))</f>
        <v>235</v>
      </c>
      <c r="Y46" s="114" t="n">
        <f aca="false">IF(CapV=2,N(Y45),N(Y44))</f>
        <v>235</v>
      </c>
      <c r="Z46" s="114" t="n">
        <f aca="false">IF(CapV=2,N(Z45),N(Z44))</f>
        <v>235</v>
      </c>
      <c r="AA46" s="114" t="n">
        <f aca="false">IF(CapV=2,N(AA45),N(AA44))</f>
        <v>235</v>
      </c>
      <c r="AB46" s="114" t="n">
        <f aca="false">IF(CapV=2,N(AB45),N(AB44))</f>
        <v>235</v>
      </c>
      <c r="AC46" s="114" t="n">
        <f aca="false">IF(CapV=2,N(AC45),N(AC44))</f>
        <v>235</v>
      </c>
      <c r="AD46" s="114" t="n">
        <f aca="false">IF(CapV=2,N(AD45),N(AD44))</f>
        <v>235</v>
      </c>
      <c r="AE46" s="114" t="n">
        <f aca="false">IF(CapV=2,N(AE45),N(AE44))</f>
        <v>235</v>
      </c>
      <c r="AF46" s="114" t="n">
        <f aca="false">IF(CapV=2,N(AF45),N(AF44))</f>
        <v>235</v>
      </c>
      <c r="AG46" s="114" t="n">
        <f aca="false">IF(CapV=2,N(AG45),N(AG44))</f>
        <v>235</v>
      </c>
      <c r="AI46" s="114" t="n">
        <f aca="false">INDEX($F46:$AG46,1,MATCH(AI$7,$F$7:$AG$7,1))</f>
        <v>0</v>
      </c>
      <c r="AJ46" s="114" t="n">
        <f aca="false">INDEX($F46:$AG46,1,MATCH(AJ$7,$F$7:$AG$7,1))</f>
        <v>26.2</v>
      </c>
      <c r="AK46" s="114" t="n">
        <f aca="false">INDEX($F46:$AG46,1,MATCH(AK$7,$F$7:$AG$7,1))</f>
        <v>81.8</v>
      </c>
      <c r="AL46" s="114" t="n">
        <f aca="false">INDEX($F46:$AG46,1,MATCH(AL$7,$F$7:$AG$7,1))</f>
        <v>235</v>
      </c>
      <c r="AM46" s="114" t="n">
        <f aca="false">INDEX($F46:$AG46,1,MATCH(AM$7,$F$7:$AG$7,1))</f>
        <v>235</v>
      </c>
      <c r="AN46" s="114" t="n">
        <f aca="false">INDEX($F46:$AG46,1,MATCH(AN$7,$F$7:$AG$7,1))</f>
        <v>235</v>
      </c>
      <c r="AO46" s="114" t="n">
        <f aca="false">INDEX($F46:$AG46,1,MATCH(AO$7,$F$7:$AG$7,1))</f>
        <v>235</v>
      </c>
    </row>
    <row r="47" customFormat="false" ht="15" hidden="false" customHeight="false" outlineLevel="0" collapsed="false">
      <c r="A47" s="112" t="s">
        <v>1683</v>
      </c>
      <c r="B47" s="24" t="s">
        <v>857</v>
      </c>
      <c r="C47" s="24" t="s">
        <v>690</v>
      </c>
      <c r="D47" s="24" t="s">
        <v>1675</v>
      </c>
      <c r="F47" s="113" t="n">
        <v>0</v>
      </c>
      <c r="G47" s="113" t="n">
        <v>0</v>
      </c>
      <c r="H47" s="113" t="n">
        <v>0</v>
      </c>
      <c r="I47" s="113" t="n">
        <v>0</v>
      </c>
      <c r="J47" s="113" t="n">
        <v>0</v>
      </c>
      <c r="K47" s="113" t="n">
        <v>0</v>
      </c>
      <c r="L47" s="113" t="n">
        <v>0</v>
      </c>
      <c r="M47" s="113" t="n">
        <v>30.6</v>
      </c>
      <c r="N47" s="113" t="n">
        <v>45</v>
      </c>
      <c r="O47" s="113" t="n">
        <v>45</v>
      </c>
      <c r="P47" s="113" t="n">
        <v>75</v>
      </c>
      <c r="Q47" s="113" t="n">
        <v>106.6</v>
      </c>
      <c r="R47" s="113" t="n">
        <v>180</v>
      </c>
      <c r="S47" s="113" t="n">
        <v>230</v>
      </c>
      <c r="T47" s="113" t="n">
        <v>250</v>
      </c>
      <c r="U47" s="113" t="n">
        <v>250</v>
      </c>
      <c r="V47" s="113" t="n">
        <v>250</v>
      </c>
      <c r="W47" s="113" t="n">
        <v>250</v>
      </c>
      <c r="X47" s="113" t="n">
        <v>250</v>
      </c>
      <c r="Y47" s="113" t="n">
        <v>250</v>
      </c>
      <c r="Z47" s="113" t="n">
        <v>250</v>
      </c>
      <c r="AA47" s="113" t="n">
        <v>250</v>
      </c>
      <c r="AB47" s="113" t="n">
        <v>250</v>
      </c>
      <c r="AC47" s="113" t="n">
        <v>250</v>
      </c>
      <c r="AD47" s="113" t="n">
        <v>250</v>
      </c>
      <c r="AE47" s="113" t="n">
        <v>250</v>
      </c>
      <c r="AF47" s="113" t="n">
        <v>250</v>
      </c>
      <c r="AG47" s="113" t="n">
        <v>250</v>
      </c>
      <c r="AI47" s="114" t="n">
        <f aca="false">INDEX($F47:$AG47,1,MATCH(AI$7,$F$7:$AG$7,1))</f>
        <v>0</v>
      </c>
      <c r="AJ47" s="114" t="n">
        <f aca="false">INDEX($F47:$AG47,1,MATCH(AJ$7,$F$7:$AG$7,1))</f>
        <v>30.6</v>
      </c>
      <c r="AK47" s="114" t="n">
        <f aca="false">INDEX($F47:$AG47,1,MATCH(AK$7,$F$7:$AG$7,1))</f>
        <v>106.6</v>
      </c>
      <c r="AL47" s="114" t="n">
        <f aca="false">INDEX($F47:$AG47,1,MATCH(AL$7,$F$7:$AG$7,1))</f>
        <v>250</v>
      </c>
      <c r="AM47" s="114" t="n">
        <f aca="false">INDEX($F47:$AG47,1,MATCH(AM$7,$F$7:$AG$7,1))</f>
        <v>250</v>
      </c>
      <c r="AN47" s="114" t="n">
        <f aca="false">INDEX($F47:$AG47,1,MATCH(AN$7,$F$7:$AG$7,1))</f>
        <v>250</v>
      </c>
      <c r="AO47" s="114" t="n">
        <f aca="false">INDEX($F47:$AG47,1,MATCH(AO$7,$F$7:$AG$7,1))</f>
        <v>250</v>
      </c>
    </row>
    <row r="48" customFormat="false" ht="15" hidden="false" customHeight="false" outlineLevel="0" collapsed="false">
      <c r="A48" s="112" t="s">
        <v>1684</v>
      </c>
      <c r="B48" s="24" t="s">
        <v>857</v>
      </c>
      <c r="C48" s="24" t="s">
        <v>690</v>
      </c>
      <c r="D48" s="24" t="s">
        <v>1677</v>
      </c>
      <c r="F48" s="113" t="n">
        <v>0</v>
      </c>
      <c r="G48" s="113" t="n">
        <v>0</v>
      </c>
      <c r="H48" s="113" t="n">
        <v>0</v>
      </c>
      <c r="I48" s="113" t="n">
        <v>0</v>
      </c>
      <c r="J48" s="113" t="n">
        <v>0</v>
      </c>
      <c r="K48" s="113" t="n">
        <v>0</v>
      </c>
      <c r="L48" s="113" t="n">
        <v>0</v>
      </c>
      <c r="M48" s="113" t="n">
        <v>30.6</v>
      </c>
      <c r="N48" s="113" t="n">
        <v>45</v>
      </c>
      <c r="O48" s="113" t="n">
        <v>45</v>
      </c>
      <c r="P48" s="113" t="n">
        <v>75</v>
      </c>
      <c r="Q48" s="113" t="n">
        <v>106.6</v>
      </c>
      <c r="R48" s="113" t="n">
        <v>180</v>
      </c>
      <c r="S48" s="113" t="n">
        <v>230</v>
      </c>
      <c r="T48" s="113" t="n">
        <v>240</v>
      </c>
      <c r="U48" s="113" t="n">
        <v>240</v>
      </c>
      <c r="V48" s="113" t="n">
        <v>240</v>
      </c>
      <c r="W48" s="113" t="n">
        <v>240</v>
      </c>
      <c r="X48" s="113" t="n">
        <v>240</v>
      </c>
      <c r="Y48" s="113" t="n">
        <v>240</v>
      </c>
      <c r="Z48" s="113" t="n">
        <v>240</v>
      </c>
      <c r="AA48" s="113" t="n">
        <v>240</v>
      </c>
      <c r="AB48" s="113" t="n">
        <v>240</v>
      </c>
      <c r="AC48" s="113" t="n">
        <v>240</v>
      </c>
      <c r="AD48" s="113" t="n">
        <v>240</v>
      </c>
      <c r="AE48" s="113" t="n">
        <v>240</v>
      </c>
      <c r="AF48" s="113" t="n">
        <v>240</v>
      </c>
      <c r="AG48" s="113" t="n">
        <v>240</v>
      </c>
      <c r="AI48" s="114" t="n">
        <f aca="false">INDEX($F48:$AG48,1,MATCH(AI$7,$F$7:$AG$7,1))</f>
        <v>0</v>
      </c>
      <c r="AJ48" s="114" t="n">
        <f aca="false">INDEX($F48:$AG48,1,MATCH(AJ$7,$F$7:$AG$7,1))</f>
        <v>30.6</v>
      </c>
      <c r="AK48" s="114" t="n">
        <f aca="false">INDEX($F48:$AG48,1,MATCH(AK$7,$F$7:$AG$7,1))</f>
        <v>106.6</v>
      </c>
      <c r="AL48" s="114" t="n">
        <f aca="false">INDEX($F48:$AG48,1,MATCH(AL$7,$F$7:$AG$7,1))</f>
        <v>240</v>
      </c>
      <c r="AM48" s="114" t="n">
        <f aca="false">INDEX($F48:$AG48,1,MATCH(AM$7,$F$7:$AG$7,1))</f>
        <v>240</v>
      </c>
      <c r="AN48" s="114" t="n">
        <f aca="false">INDEX($F48:$AG48,1,MATCH(AN$7,$F$7:$AG$7,1))</f>
        <v>240</v>
      </c>
      <c r="AO48" s="114" t="n">
        <f aca="false">INDEX($F48:$AG48,1,MATCH(AO$7,$F$7:$AG$7,1))</f>
        <v>240</v>
      </c>
    </row>
    <row r="49" customFormat="false" ht="15" hidden="false" customHeight="false" outlineLevel="0" collapsed="false">
      <c r="A49" s="112" t="s">
        <v>1685</v>
      </c>
      <c r="B49" s="24" t="s">
        <v>857</v>
      </c>
      <c r="C49" s="24" t="s">
        <v>672</v>
      </c>
      <c r="D49" s="24" t="s">
        <v>1679</v>
      </c>
      <c r="F49" s="114" t="n">
        <f aca="false">IF(CapV=2,N(F48),N(F47))</f>
        <v>0</v>
      </c>
      <c r="G49" s="114" t="n">
        <f aca="false">IF(CapV=2,N(G48),N(G47))</f>
        <v>0</v>
      </c>
      <c r="H49" s="114" t="n">
        <f aca="false">IF(CapV=2,N(H48),N(H47))</f>
        <v>0</v>
      </c>
      <c r="I49" s="114" t="n">
        <f aca="false">IF(CapV=2,N(I48),N(I47))</f>
        <v>0</v>
      </c>
      <c r="J49" s="114" t="n">
        <f aca="false">IF(CapV=2,N(J48),N(J47))</f>
        <v>0</v>
      </c>
      <c r="K49" s="114" t="n">
        <f aca="false">IF(CapV=2,N(K48),N(K47))</f>
        <v>0</v>
      </c>
      <c r="L49" s="114" t="n">
        <f aca="false">IF(CapV=2,N(L48),N(L47))</f>
        <v>0</v>
      </c>
      <c r="M49" s="114" t="n">
        <f aca="false">IF(CapV=2,N(M48),N(M47))</f>
        <v>30.6</v>
      </c>
      <c r="N49" s="114" t="n">
        <f aca="false">IF(CapV=2,N(N48),N(N47))</f>
        <v>45</v>
      </c>
      <c r="O49" s="114" t="n">
        <f aca="false">IF(CapV=2,N(O48),N(O47))</f>
        <v>45</v>
      </c>
      <c r="P49" s="114" t="n">
        <f aca="false">IF(CapV=2,N(P48),N(P47))</f>
        <v>75</v>
      </c>
      <c r="Q49" s="114" t="n">
        <f aca="false">IF(CapV=2,N(Q48),N(Q47))</f>
        <v>106.6</v>
      </c>
      <c r="R49" s="114" t="n">
        <f aca="false">IF(CapV=2,N(R48),N(R47))</f>
        <v>180</v>
      </c>
      <c r="S49" s="114" t="n">
        <f aca="false">IF(CapV=2,N(S48),N(S47))</f>
        <v>230</v>
      </c>
      <c r="T49" s="114" t="n">
        <f aca="false">IF(CapV=2,N(T48),N(T47))</f>
        <v>240</v>
      </c>
      <c r="U49" s="114" t="n">
        <f aca="false">IF(CapV=2,N(U48),N(U47))</f>
        <v>240</v>
      </c>
      <c r="V49" s="114" t="n">
        <f aca="false">IF(CapV=2,N(V48),N(V47))</f>
        <v>240</v>
      </c>
      <c r="W49" s="114" t="n">
        <f aca="false">IF(CapV=2,N(W48),N(W47))</f>
        <v>240</v>
      </c>
      <c r="X49" s="114" t="n">
        <f aca="false">IF(CapV=2,N(X48),N(X47))</f>
        <v>240</v>
      </c>
      <c r="Y49" s="114" t="n">
        <f aca="false">IF(CapV=2,N(Y48),N(Y47))</f>
        <v>240</v>
      </c>
      <c r="Z49" s="114" t="n">
        <f aca="false">IF(CapV=2,N(Z48),N(Z47))</f>
        <v>240</v>
      </c>
      <c r="AA49" s="114" t="n">
        <f aca="false">IF(CapV=2,N(AA48),N(AA47))</f>
        <v>240</v>
      </c>
      <c r="AB49" s="114" t="n">
        <f aca="false">IF(CapV=2,N(AB48),N(AB47))</f>
        <v>240</v>
      </c>
      <c r="AC49" s="114" t="n">
        <f aca="false">IF(CapV=2,N(AC48),N(AC47))</f>
        <v>240</v>
      </c>
      <c r="AD49" s="114" t="n">
        <f aca="false">IF(CapV=2,N(AD48),N(AD47))</f>
        <v>240</v>
      </c>
      <c r="AE49" s="114" t="n">
        <f aca="false">IF(CapV=2,N(AE48),N(AE47))</f>
        <v>240</v>
      </c>
      <c r="AF49" s="114" t="n">
        <f aca="false">IF(CapV=2,N(AF48),N(AF47))</f>
        <v>240</v>
      </c>
      <c r="AG49" s="114" t="n">
        <f aca="false">IF(CapV=2,N(AG48),N(AG47))</f>
        <v>240</v>
      </c>
      <c r="AI49" s="114" t="n">
        <f aca="false">INDEX($F49:$AG49,1,MATCH(AI$7,$F$7:$AG$7,1))</f>
        <v>0</v>
      </c>
      <c r="AJ49" s="114" t="n">
        <f aca="false">INDEX($F49:$AG49,1,MATCH(AJ$7,$F$7:$AG$7,1))</f>
        <v>30.6</v>
      </c>
      <c r="AK49" s="114" t="n">
        <f aca="false">INDEX($F49:$AG49,1,MATCH(AK$7,$F$7:$AG$7,1))</f>
        <v>106.6</v>
      </c>
      <c r="AL49" s="114" t="n">
        <f aca="false">INDEX($F49:$AG49,1,MATCH(AL$7,$F$7:$AG$7,1))</f>
        <v>240</v>
      </c>
      <c r="AM49" s="114" t="n">
        <f aca="false">INDEX($F49:$AG49,1,MATCH(AM$7,$F$7:$AG$7,1))</f>
        <v>240</v>
      </c>
      <c r="AN49" s="114" t="n">
        <f aca="false">INDEX($F49:$AG49,1,MATCH(AN$7,$F$7:$AG$7,1))</f>
        <v>240</v>
      </c>
      <c r="AO49" s="114" t="n">
        <f aca="false">INDEX($F49:$AG49,1,MATCH(AO$7,$F$7:$AG$7,1))</f>
        <v>240</v>
      </c>
    </row>
    <row r="50" customFormat="false" ht="15" hidden="false" customHeight="false" outlineLevel="0" collapsed="false">
      <c r="A50" s="112" t="s">
        <v>1686</v>
      </c>
      <c r="B50" s="24" t="s">
        <v>857</v>
      </c>
      <c r="C50" s="24" t="s">
        <v>690</v>
      </c>
      <c r="D50" s="24" t="s">
        <v>1675</v>
      </c>
      <c r="F50" s="113" t="n">
        <v>0</v>
      </c>
      <c r="G50" s="113" t="n">
        <v>0</v>
      </c>
      <c r="H50" s="113" t="n">
        <v>0</v>
      </c>
      <c r="I50" s="113" t="n">
        <v>0</v>
      </c>
      <c r="J50" s="113" t="n">
        <v>0</v>
      </c>
      <c r="K50" s="113" t="n">
        <v>0</v>
      </c>
      <c r="L50" s="113" t="n">
        <v>0</v>
      </c>
      <c r="M50" s="113" t="n">
        <v>0</v>
      </c>
      <c r="N50" s="113" t="n">
        <v>0</v>
      </c>
      <c r="O50" s="113" t="n">
        <v>0</v>
      </c>
      <c r="P50" s="113" t="n">
        <v>0</v>
      </c>
      <c r="Q50" s="113" t="n">
        <v>0</v>
      </c>
      <c r="R50" s="113" t="n">
        <v>0</v>
      </c>
      <c r="S50" s="113" t="n">
        <v>0</v>
      </c>
      <c r="T50" s="113" t="n">
        <v>0</v>
      </c>
      <c r="U50" s="113" t="n">
        <v>50</v>
      </c>
      <c r="V50" s="113" t="n">
        <v>50</v>
      </c>
      <c r="W50" s="113" t="n">
        <v>100</v>
      </c>
      <c r="X50" s="113" t="n">
        <v>100</v>
      </c>
      <c r="Y50" s="113" t="n">
        <v>200</v>
      </c>
      <c r="Z50" s="113" t="n">
        <v>200</v>
      </c>
      <c r="AA50" s="113" t="n">
        <v>300</v>
      </c>
      <c r="AB50" s="113" t="n">
        <v>300</v>
      </c>
      <c r="AC50" s="113" t="n">
        <v>500</v>
      </c>
      <c r="AD50" s="113" t="n">
        <v>500</v>
      </c>
      <c r="AE50" s="113" t="n">
        <v>500</v>
      </c>
      <c r="AF50" s="113" t="n">
        <v>500</v>
      </c>
      <c r="AG50" s="113" t="n">
        <v>700</v>
      </c>
      <c r="AI50" s="114" t="n">
        <f aca="false">INDEX($F50:$AG50,1,MATCH(AI$7,$F$7:$AG$7,1))</f>
        <v>0</v>
      </c>
      <c r="AJ50" s="114" t="n">
        <f aca="false">INDEX($F50:$AG50,1,MATCH(AJ$7,$F$7:$AG$7,1))</f>
        <v>0</v>
      </c>
      <c r="AK50" s="114" t="n">
        <f aca="false">INDEX($F50:$AG50,1,MATCH(AK$7,$F$7:$AG$7,1))</f>
        <v>0</v>
      </c>
      <c r="AL50" s="114" t="n">
        <f aca="false">INDEX($F50:$AG50,1,MATCH(AL$7,$F$7:$AG$7,1))</f>
        <v>50</v>
      </c>
      <c r="AM50" s="114" t="n">
        <f aca="false">INDEX($F50:$AG50,1,MATCH(AM$7,$F$7:$AG$7,1))</f>
        <v>200</v>
      </c>
      <c r="AN50" s="114" t="n">
        <f aca="false">INDEX($F50:$AG50,1,MATCH(AN$7,$F$7:$AG$7,1))</f>
        <v>500</v>
      </c>
      <c r="AO50" s="114" t="n">
        <f aca="false">INDEX($F50:$AG50,1,MATCH(AO$7,$F$7:$AG$7,1))</f>
        <v>700</v>
      </c>
    </row>
    <row r="51" customFormat="false" ht="15" hidden="false" customHeight="false" outlineLevel="0" collapsed="false">
      <c r="A51" s="112" t="s">
        <v>1687</v>
      </c>
      <c r="B51" s="24" t="s">
        <v>857</v>
      </c>
      <c r="C51" s="24" t="s">
        <v>690</v>
      </c>
      <c r="D51" s="24" t="s">
        <v>1677</v>
      </c>
      <c r="F51" s="113" t="n">
        <v>0</v>
      </c>
      <c r="G51" s="113" t="n">
        <v>0</v>
      </c>
      <c r="H51" s="113" t="n">
        <v>0</v>
      </c>
      <c r="I51" s="113" t="n">
        <v>0</v>
      </c>
      <c r="J51" s="113" t="n">
        <v>0</v>
      </c>
      <c r="K51" s="113" t="n">
        <v>0</v>
      </c>
      <c r="L51" s="113" t="n">
        <v>0</v>
      </c>
      <c r="M51" s="113" t="n">
        <v>0</v>
      </c>
      <c r="N51" s="113" t="n">
        <v>0</v>
      </c>
      <c r="O51" s="113" t="n">
        <v>0</v>
      </c>
      <c r="P51" s="113" t="n">
        <v>0</v>
      </c>
      <c r="Q51" s="113" t="n">
        <v>0</v>
      </c>
      <c r="R51" s="113" t="n">
        <v>0</v>
      </c>
      <c r="S51" s="113" t="n">
        <v>0</v>
      </c>
      <c r="T51" s="113" t="n">
        <v>0</v>
      </c>
      <c r="U51" s="113" t="n">
        <v>50</v>
      </c>
      <c r="V51" s="113" t="n">
        <v>50</v>
      </c>
      <c r="W51" s="113" t="n">
        <v>100</v>
      </c>
      <c r="X51" s="113" t="n">
        <v>100</v>
      </c>
      <c r="Y51" s="113" t="n">
        <v>200</v>
      </c>
      <c r="Z51" s="113" t="n">
        <v>200</v>
      </c>
      <c r="AA51" s="113" t="n">
        <v>300</v>
      </c>
      <c r="AB51" s="113" t="n">
        <v>300</v>
      </c>
      <c r="AC51" s="113" t="n">
        <v>500</v>
      </c>
      <c r="AD51" s="113" t="n">
        <v>500</v>
      </c>
      <c r="AE51" s="113" t="n">
        <v>500</v>
      </c>
      <c r="AF51" s="113" t="n">
        <v>500</v>
      </c>
      <c r="AG51" s="113" t="n">
        <v>700</v>
      </c>
      <c r="AI51" s="114" t="n">
        <f aca="false">INDEX($F51:$AG51,1,MATCH(AI$7,$F$7:$AG$7,1))</f>
        <v>0</v>
      </c>
      <c r="AJ51" s="114" t="n">
        <f aca="false">INDEX($F51:$AG51,1,MATCH(AJ$7,$F$7:$AG$7,1))</f>
        <v>0</v>
      </c>
      <c r="AK51" s="114" t="n">
        <f aca="false">INDEX($F51:$AG51,1,MATCH(AK$7,$F$7:$AG$7,1))</f>
        <v>0</v>
      </c>
      <c r="AL51" s="114" t="n">
        <f aca="false">INDEX($F51:$AG51,1,MATCH(AL$7,$F$7:$AG$7,1))</f>
        <v>50</v>
      </c>
      <c r="AM51" s="114" t="n">
        <f aca="false">INDEX($F51:$AG51,1,MATCH(AM$7,$F$7:$AG$7,1))</f>
        <v>200</v>
      </c>
      <c r="AN51" s="114" t="n">
        <f aca="false">INDEX($F51:$AG51,1,MATCH(AN$7,$F$7:$AG$7,1))</f>
        <v>500</v>
      </c>
      <c r="AO51" s="114" t="n">
        <f aca="false">INDEX($F51:$AG51,1,MATCH(AO$7,$F$7:$AG$7,1))</f>
        <v>700</v>
      </c>
    </row>
    <row r="52" customFormat="false" ht="15" hidden="false" customHeight="false" outlineLevel="0" collapsed="false">
      <c r="A52" s="112" t="s">
        <v>1688</v>
      </c>
      <c r="B52" s="24" t="s">
        <v>857</v>
      </c>
      <c r="C52" s="24" t="s">
        <v>672</v>
      </c>
      <c r="D52" s="24" t="s">
        <v>1679</v>
      </c>
      <c r="F52" s="114" t="n">
        <f aca="false">IF(CapV=2,N(F51),N(F50))</f>
        <v>0</v>
      </c>
      <c r="G52" s="114" t="n">
        <f aca="false">IF(CapV=2,N(G51),N(G50))</f>
        <v>0</v>
      </c>
      <c r="H52" s="114" t="n">
        <f aca="false">IF(CapV=2,N(H51),N(H50))</f>
        <v>0</v>
      </c>
      <c r="I52" s="114" t="n">
        <f aca="false">IF(CapV=2,N(I51),N(I50))</f>
        <v>0</v>
      </c>
      <c r="J52" s="114" t="n">
        <f aca="false">IF(CapV=2,N(J51),N(J50))</f>
        <v>0</v>
      </c>
      <c r="K52" s="114" t="n">
        <f aca="false">IF(CapV=2,N(K51),N(K50))</f>
        <v>0</v>
      </c>
      <c r="L52" s="114" t="n">
        <f aca="false">IF(CapV=2,N(L51),N(L50))</f>
        <v>0</v>
      </c>
      <c r="M52" s="114" t="n">
        <f aca="false">IF(CapV=2,N(M51),N(M50))</f>
        <v>0</v>
      </c>
      <c r="N52" s="114" t="n">
        <f aca="false">IF(CapV=2,N(N51),N(N50))</f>
        <v>0</v>
      </c>
      <c r="O52" s="114" t="n">
        <f aca="false">IF(CapV=2,N(O51),N(O50))</f>
        <v>0</v>
      </c>
      <c r="P52" s="114" t="n">
        <f aca="false">IF(CapV=2,N(P51),N(P50))</f>
        <v>0</v>
      </c>
      <c r="Q52" s="114" t="n">
        <f aca="false">IF(CapV=2,N(Q51),N(Q50))</f>
        <v>0</v>
      </c>
      <c r="R52" s="114" t="n">
        <f aca="false">IF(CapV=2,N(R51),N(R50))</f>
        <v>0</v>
      </c>
      <c r="S52" s="114" t="n">
        <f aca="false">IF(CapV=2,N(S51),N(S50))</f>
        <v>0</v>
      </c>
      <c r="T52" s="114" t="n">
        <f aca="false">IF(CapV=2,N(T51),N(T50))</f>
        <v>0</v>
      </c>
      <c r="U52" s="114" t="n">
        <f aca="false">IF(CapV=2,N(U51),N(U50))</f>
        <v>50</v>
      </c>
      <c r="V52" s="114" t="n">
        <f aca="false">IF(CapV=2,N(V51),N(V50))</f>
        <v>50</v>
      </c>
      <c r="W52" s="114" t="n">
        <f aca="false">IF(CapV=2,N(W51),N(W50))</f>
        <v>100</v>
      </c>
      <c r="X52" s="114" t="n">
        <f aca="false">IF(CapV=2,N(X51),N(X50))</f>
        <v>100</v>
      </c>
      <c r="Y52" s="114" t="n">
        <f aca="false">IF(CapV=2,N(Y51),N(Y50))</f>
        <v>200</v>
      </c>
      <c r="Z52" s="114" t="n">
        <f aca="false">IF(CapV=2,N(Z51),N(Z50))</f>
        <v>200</v>
      </c>
      <c r="AA52" s="114" t="n">
        <f aca="false">IF(CapV=2,N(AA51),N(AA50))</f>
        <v>300</v>
      </c>
      <c r="AB52" s="114" t="n">
        <f aca="false">IF(CapV=2,N(AB51),N(AB50))</f>
        <v>300</v>
      </c>
      <c r="AC52" s="114" t="n">
        <f aca="false">IF(CapV=2,N(AC51),N(AC50))</f>
        <v>500</v>
      </c>
      <c r="AD52" s="114" t="n">
        <f aca="false">IF(CapV=2,N(AD51),N(AD50))</f>
        <v>500</v>
      </c>
      <c r="AE52" s="114" t="n">
        <f aca="false">IF(CapV=2,N(AE51),N(AE50))</f>
        <v>500</v>
      </c>
      <c r="AF52" s="114" t="n">
        <f aca="false">IF(CapV=2,N(AF51),N(AF50))</f>
        <v>500</v>
      </c>
      <c r="AG52" s="114" t="n">
        <f aca="false">IF(CapV=2,N(AG51),N(AG50))</f>
        <v>700</v>
      </c>
      <c r="AI52" s="114" t="n">
        <f aca="false">INDEX($F52:$AG52,1,MATCH(AI$7,$F$7:$AG$7,1))</f>
        <v>0</v>
      </c>
      <c r="AJ52" s="114" t="n">
        <f aca="false">INDEX($F52:$AG52,1,MATCH(AJ$7,$F$7:$AG$7,1))</f>
        <v>0</v>
      </c>
      <c r="AK52" s="114" t="n">
        <f aca="false">INDEX($F52:$AG52,1,MATCH(AK$7,$F$7:$AG$7,1))</f>
        <v>0</v>
      </c>
      <c r="AL52" s="114" t="n">
        <f aca="false">INDEX($F52:$AG52,1,MATCH(AL$7,$F$7:$AG$7,1))</f>
        <v>50</v>
      </c>
      <c r="AM52" s="114" t="n">
        <f aca="false">INDEX($F52:$AG52,1,MATCH(AM$7,$F$7:$AG$7,1))</f>
        <v>200</v>
      </c>
      <c r="AN52" s="114" t="n">
        <f aca="false">INDEX($F52:$AG52,1,MATCH(AN$7,$F$7:$AG$7,1))</f>
        <v>500</v>
      </c>
      <c r="AO52" s="114" t="n">
        <f aca="false">INDEX($F52:$AG52,1,MATCH(AO$7,$F$7:$AG$7,1))</f>
        <v>700</v>
      </c>
    </row>
    <row r="53" customFormat="false" ht="15" hidden="false" customHeight="false" outlineLevel="0" collapsed="false">
      <c r="A53" s="112" t="s">
        <v>1689</v>
      </c>
      <c r="B53" s="24" t="s">
        <v>857</v>
      </c>
      <c r="C53" s="24" t="s">
        <v>690</v>
      </c>
      <c r="D53" s="24" t="s">
        <v>1675</v>
      </c>
      <c r="F53" s="113" t="n">
        <v>0</v>
      </c>
      <c r="G53" s="113" t="n">
        <v>0</v>
      </c>
      <c r="H53" s="113" t="n">
        <v>0</v>
      </c>
      <c r="I53" s="113" t="n">
        <v>0</v>
      </c>
      <c r="J53" s="113" t="n">
        <v>0</v>
      </c>
      <c r="K53" s="113" t="n">
        <v>0</v>
      </c>
      <c r="L53" s="113" t="n">
        <v>0</v>
      </c>
      <c r="M53" s="113" t="n">
        <v>0</v>
      </c>
      <c r="N53" s="113" t="n">
        <v>0</v>
      </c>
      <c r="O53" s="113" t="n">
        <v>0</v>
      </c>
      <c r="P53" s="113" t="n">
        <v>0</v>
      </c>
      <c r="Q53" s="113" t="n">
        <v>0</v>
      </c>
      <c r="R53" s="113" t="n">
        <v>0</v>
      </c>
      <c r="S53" s="113" t="n">
        <v>0</v>
      </c>
      <c r="T53" s="113" t="n">
        <v>50</v>
      </c>
      <c r="U53" s="113" t="n">
        <v>125</v>
      </c>
      <c r="V53" s="113" t="n">
        <v>125</v>
      </c>
      <c r="W53" s="113" t="n">
        <v>175</v>
      </c>
      <c r="X53" s="113" t="n">
        <v>175</v>
      </c>
      <c r="Y53" s="113" t="n">
        <v>225</v>
      </c>
      <c r="Z53" s="113" t="n">
        <v>225</v>
      </c>
      <c r="AA53" s="113" t="n">
        <v>450</v>
      </c>
      <c r="AB53" s="113" t="n">
        <v>450</v>
      </c>
      <c r="AC53" s="113" t="n">
        <v>650</v>
      </c>
      <c r="AD53" s="113" t="n">
        <v>650</v>
      </c>
      <c r="AE53" s="113" t="n">
        <v>650</v>
      </c>
      <c r="AF53" s="113" t="n">
        <v>650</v>
      </c>
      <c r="AG53" s="113" t="n">
        <v>950</v>
      </c>
      <c r="AI53" s="114" t="n">
        <f aca="false">INDEX($F53:$AG53,1,MATCH(AI$7,$F$7:$AG$7,1))</f>
        <v>0</v>
      </c>
      <c r="AJ53" s="114" t="n">
        <f aca="false">INDEX($F53:$AG53,1,MATCH(AJ$7,$F$7:$AG$7,1))</f>
        <v>0</v>
      </c>
      <c r="AK53" s="114" t="n">
        <f aca="false">INDEX($F53:$AG53,1,MATCH(AK$7,$F$7:$AG$7,1))</f>
        <v>0</v>
      </c>
      <c r="AL53" s="114" t="n">
        <f aca="false">INDEX($F53:$AG53,1,MATCH(AL$7,$F$7:$AG$7,1))</f>
        <v>125</v>
      </c>
      <c r="AM53" s="114" t="n">
        <f aca="false">INDEX($F53:$AG53,1,MATCH(AM$7,$F$7:$AG$7,1))</f>
        <v>225</v>
      </c>
      <c r="AN53" s="114" t="n">
        <f aca="false">INDEX($F53:$AG53,1,MATCH(AN$7,$F$7:$AG$7,1))</f>
        <v>650</v>
      </c>
      <c r="AO53" s="114" t="n">
        <f aca="false">INDEX($F53:$AG53,1,MATCH(AO$7,$F$7:$AG$7,1))</f>
        <v>950</v>
      </c>
    </row>
    <row r="54" customFormat="false" ht="15" hidden="false" customHeight="false" outlineLevel="0" collapsed="false">
      <c r="A54" s="112" t="s">
        <v>1690</v>
      </c>
      <c r="B54" s="24" t="s">
        <v>857</v>
      </c>
      <c r="C54" s="24" t="s">
        <v>690</v>
      </c>
      <c r="D54" s="24" t="s">
        <v>1677</v>
      </c>
      <c r="F54" s="113" t="n">
        <v>0</v>
      </c>
      <c r="G54" s="113" t="n">
        <v>0</v>
      </c>
      <c r="H54" s="113" t="n">
        <v>0</v>
      </c>
      <c r="I54" s="113" t="n">
        <v>0</v>
      </c>
      <c r="J54" s="113" t="n">
        <v>0</v>
      </c>
      <c r="K54" s="113" t="n">
        <v>0</v>
      </c>
      <c r="L54" s="113" t="n">
        <v>0</v>
      </c>
      <c r="M54" s="113" t="n">
        <v>0</v>
      </c>
      <c r="N54" s="113" t="n">
        <v>0</v>
      </c>
      <c r="O54" s="113" t="n">
        <v>0</v>
      </c>
      <c r="P54" s="113" t="n">
        <v>0</v>
      </c>
      <c r="Q54" s="113" t="n">
        <v>0</v>
      </c>
      <c r="R54" s="113" t="n">
        <v>0</v>
      </c>
      <c r="S54" s="113" t="n">
        <v>0</v>
      </c>
      <c r="T54" s="113" t="n">
        <v>50</v>
      </c>
      <c r="U54" s="113" t="n">
        <v>125</v>
      </c>
      <c r="V54" s="113" t="n">
        <v>125</v>
      </c>
      <c r="W54" s="113" t="n">
        <v>175</v>
      </c>
      <c r="X54" s="113" t="n">
        <v>175</v>
      </c>
      <c r="Y54" s="113" t="n">
        <v>225</v>
      </c>
      <c r="Z54" s="113" t="n">
        <v>225</v>
      </c>
      <c r="AA54" s="113" t="n">
        <v>450</v>
      </c>
      <c r="AB54" s="113" t="n">
        <v>450</v>
      </c>
      <c r="AC54" s="113" t="n">
        <v>650</v>
      </c>
      <c r="AD54" s="113" t="n">
        <v>650</v>
      </c>
      <c r="AE54" s="113" t="n">
        <v>650</v>
      </c>
      <c r="AF54" s="113" t="n">
        <v>650</v>
      </c>
      <c r="AG54" s="113" t="n">
        <v>950</v>
      </c>
      <c r="AI54" s="114" t="n">
        <f aca="false">INDEX($F54:$AG54,1,MATCH(AI$7,$F$7:$AG$7,1))</f>
        <v>0</v>
      </c>
      <c r="AJ54" s="114" t="n">
        <f aca="false">INDEX($F54:$AG54,1,MATCH(AJ$7,$F$7:$AG$7,1))</f>
        <v>0</v>
      </c>
      <c r="AK54" s="114" t="n">
        <f aca="false">INDEX($F54:$AG54,1,MATCH(AK$7,$F$7:$AG$7,1))</f>
        <v>0</v>
      </c>
      <c r="AL54" s="114" t="n">
        <f aca="false">INDEX($F54:$AG54,1,MATCH(AL$7,$F$7:$AG$7,1))</f>
        <v>125</v>
      </c>
      <c r="AM54" s="114" t="n">
        <f aca="false">INDEX($F54:$AG54,1,MATCH(AM$7,$F$7:$AG$7,1))</f>
        <v>225</v>
      </c>
      <c r="AN54" s="114" t="n">
        <f aca="false">INDEX($F54:$AG54,1,MATCH(AN$7,$F$7:$AG$7,1))</f>
        <v>650</v>
      </c>
      <c r="AO54" s="114" t="n">
        <f aca="false">INDEX($F54:$AG54,1,MATCH(AO$7,$F$7:$AG$7,1))</f>
        <v>950</v>
      </c>
    </row>
    <row r="55" customFormat="false" ht="15" hidden="false" customHeight="false" outlineLevel="0" collapsed="false">
      <c r="A55" s="112" t="s">
        <v>1691</v>
      </c>
      <c r="B55" s="24" t="s">
        <v>857</v>
      </c>
      <c r="C55" s="24" t="s">
        <v>672</v>
      </c>
      <c r="D55" s="24" t="s">
        <v>1679</v>
      </c>
      <c r="F55" s="114" t="n">
        <f aca="false">IF(CapV=2,N(F54),N(F53))</f>
        <v>0</v>
      </c>
      <c r="G55" s="114" t="n">
        <f aca="false">IF(CapV=2,N(G54),N(G53))</f>
        <v>0</v>
      </c>
      <c r="H55" s="114" t="n">
        <f aca="false">IF(CapV=2,N(H54),N(H53))</f>
        <v>0</v>
      </c>
      <c r="I55" s="114" t="n">
        <f aca="false">IF(CapV=2,N(I54),N(I53))</f>
        <v>0</v>
      </c>
      <c r="J55" s="114" t="n">
        <f aca="false">IF(CapV=2,N(J54),N(J53))</f>
        <v>0</v>
      </c>
      <c r="K55" s="114" t="n">
        <f aca="false">IF(CapV=2,N(K54),N(K53))</f>
        <v>0</v>
      </c>
      <c r="L55" s="114" t="n">
        <f aca="false">IF(CapV=2,N(L54),N(L53))</f>
        <v>0</v>
      </c>
      <c r="M55" s="114" t="n">
        <f aca="false">IF(CapV=2,N(M54),N(M53))</f>
        <v>0</v>
      </c>
      <c r="N55" s="114" t="n">
        <f aca="false">IF(CapV=2,N(N54),N(N53))</f>
        <v>0</v>
      </c>
      <c r="O55" s="114" t="n">
        <f aca="false">IF(CapV=2,N(O54),N(O53))</f>
        <v>0</v>
      </c>
      <c r="P55" s="114" t="n">
        <f aca="false">IF(CapV=2,N(P54),N(P53))</f>
        <v>0</v>
      </c>
      <c r="Q55" s="114" t="n">
        <f aca="false">IF(CapV=2,N(Q54),N(Q53))</f>
        <v>0</v>
      </c>
      <c r="R55" s="114" t="n">
        <f aca="false">IF(CapV=2,N(R54),N(R53))</f>
        <v>0</v>
      </c>
      <c r="S55" s="114" t="n">
        <f aca="false">IF(CapV=2,N(S54),N(S53))</f>
        <v>0</v>
      </c>
      <c r="T55" s="114" t="n">
        <f aca="false">IF(CapV=2,N(T54),N(T53))</f>
        <v>50</v>
      </c>
      <c r="U55" s="114" t="n">
        <f aca="false">IF(CapV=2,N(U54),N(U53))</f>
        <v>125</v>
      </c>
      <c r="V55" s="114" t="n">
        <f aca="false">IF(CapV=2,N(V54),N(V53))</f>
        <v>125</v>
      </c>
      <c r="W55" s="114" t="n">
        <f aca="false">IF(CapV=2,N(W54),N(W53))</f>
        <v>175</v>
      </c>
      <c r="X55" s="114" t="n">
        <f aca="false">IF(CapV=2,N(X54),N(X53))</f>
        <v>175</v>
      </c>
      <c r="Y55" s="114" t="n">
        <f aca="false">IF(CapV=2,N(Y54),N(Y53))</f>
        <v>225</v>
      </c>
      <c r="Z55" s="114" t="n">
        <f aca="false">IF(CapV=2,N(Z54),N(Z53))</f>
        <v>225</v>
      </c>
      <c r="AA55" s="114" t="n">
        <f aca="false">IF(CapV=2,N(AA54),N(AA53))</f>
        <v>450</v>
      </c>
      <c r="AB55" s="114" t="n">
        <f aca="false">IF(CapV=2,N(AB54),N(AB53))</f>
        <v>450</v>
      </c>
      <c r="AC55" s="114" t="n">
        <f aca="false">IF(CapV=2,N(AC54),N(AC53))</f>
        <v>650</v>
      </c>
      <c r="AD55" s="114" t="n">
        <f aca="false">IF(CapV=2,N(AD54),N(AD53))</f>
        <v>650</v>
      </c>
      <c r="AE55" s="114" t="n">
        <f aca="false">IF(CapV=2,N(AE54),N(AE53))</f>
        <v>650</v>
      </c>
      <c r="AF55" s="114" t="n">
        <f aca="false">IF(CapV=2,N(AF54),N(AF53))</f>
        <v>650</v>
      </c>
      <c r="AG55" s="114" t="n">
        <f aca="false">IF(CapV=2,N(AG54),N(AG53))</f>
        <v>950</v>
      </c>
      <c r="AI55" s="114" t="n">
        <f aca="false">INDEX($F55:$AG55,1,MATCH(AI$7,$F$7:$AG$7,1))</f>
        <v>0</v>
      </c>
      <c r="AJ55" s="114" t="n">
        <f aca="false">INDEX($F55:$AG55,1,MATCH(AJ$7,$F$7:$AG$7,1))</f>
        <v>0</v>
      </c>
      <c r="AK55" s="114" t="n">
        <f aca="false">INDEX($F55:$AG55,1,MATCH(AK$7,$F$7:$AG$7,1))</f>
        <v>0</v>
      </c>
      <c r="AL55" s="114" t="n">
        <f aca="false">INDEX($F55:$AG55,1,MATCH(AL$7,$F$7:$AG$7,1))</f>
        <v>125</v>
      </c>
      <c r="AM55" s="114" t="n">
        <f aca="false">INDEX($F55:$AG55,1,MATCH(AM$7,$F$7:$AG$7,1))</f>
        <v>225</v>
      </c>
      <c r="AN55" s="114" t="n">
        <f aca="false">INDEX($F55:$AG55,1,MATCH(AN$7,$F$7:$AG$7,1))</f>
        <v>650</v>
      </c>
      <c r="AO55" s="114" t="n">
        <f aca="false">INDEX($F55:$AG55,1,MATCH(AO$7,$F$7:$AG$7,1))</f>
        <v>950</v>
      </c>
    </row>
    <row r="56" customFormat="false" ht="15" hidden="false" customHeight="false" outlineLevel="0" collapsed="false">
      <c r="A56" s="112" t="s">
        <v>1692</v>
      </c>
      <c r="B56" s="24" t="s">
        <v>857</v>
      </c>
      <c r="C56" s="24" t="s">
        <v>690</v>
      </c>
      <c r="D56" s="24" t="s">
        <v>1675</v>
      </c>
      <c r="F56" s="113" t="n">
        <v>0</v>
      </c>
      <c r="G56" s="113" t="n">
        <v>0</v>
      </c>
      <c r="H56" s="113" t="n">
        <v>0</v>
      </c>
      <c r="I56" s="113" t="n">
        <v>0</v>
      </c>
      <c r="J56" s="113" t="n">
        <v>0</v>
      </c>
      <c r="K56" s="113" t="n">
        <v>0</v>
      </c>
      <c r="L56" s="113" t="n">
        <v>0</v>
      </c>
      <c r="M56" s="113" t="n">
        <v>0</v>
      </c>
      <c r="N56" s="113" t="n">
        <v>0</v>
      </c>
      <c r="O56" s="113" t="n">
        <v>0</v>
      </c>
      <c r="P56" s="113" t="n">
        <v>0</v>
      </c>
      <c r="Q56" s="113" t="n">
        <v>0</v>
      </c>
      <c r="R56" s="113" t="n">
        <v>0</v>
      </c>
      <c r="S56" s="113" t="n">
        <v>0</v>
      </c>
      <c r="T56" s="113" t="n">
        <v>100</v>
      </c>
      <c r="U56" s="113" t="n">
        <v>200</v>
      </c>
      <c r="V56" s="113" t="n">
        <v>200</v>
      </c>
      <c r="W56" s="113" t="n">
        <v>250</v>
      </c>
      <c r="X56" s="113" t="n">
        <v>250</v>
      </c>
      <c r="Y56" s="113" t="n">
        <v>250</v>
      </c>
      <c r="Z56" s="113" t="n">
        <v>250</v>
      </c>
      <c r="AA56" s="113" t="n">
        <v>600</v>
      </c>
      <c r="AB56" s="113" t="n">
        <v>600</v>
      </c>
      <c r="AC56" s="113" t="n">
        <v>800</v>
      </c>
      <c r="AD56" s="113" t="n">
        <v>800</v>
      </c>
      <c r="AE56" s="113" t="n">
        <v>800</v>
      </c>
      <c r="AF56" s="113" t="n">
        <v>800</v>
      </c>
      <c r="AG56" s="113" t="n">
        <v>1200</v>
      </c>
      <c r="AI56" s="114" t="n">
        <f aca="false">INDEX($F56:$AG56,1,MATCH(AI$7,$F$7:$AG$7,1))</f>
        <v>0</v>
      </c>
      <c r="AJ56" s="114" t="n">
        <f aca="false">INDEX($F56:$AG56,1,MATCH(AJ$7,$F$7:$AG$7,1))</f>
        <v>0</v>
      </c>
      <c r="AK56" s="114" t="n">
        <f aca="false">INDEX($F56:$AG56,1,MATCH(AK$7,$F$7:$AG$7,1))</f>
        <v>0</v>
      </c>
      <c r="AL56" s="114" t="n">
        <f aca="false">INDEX($F56:$AG56,1,MATCH(AL$7,$F$7:$AG$7,1))</f>
        <v>200</v>
      </c>
      <c r="AM56" s="114" t="n">
        <f aca="false">INDEX($F56:$AG56,1,MATCH(AM$7,$F$7:$AG$7,1))</f>
        <v>250</v>
      </c>
      <c r="AN56" s="114" t="n">
        <f aca="false">INDEX($F56:$AG56,1,MATCH(AN$7,$F$7:$AG$7,1))</f>
        <v>800</v>
      </c>
      <c r="AO56" s="114" t="n">
        <f aca="false">INDEX($F56:$AG56,1,MATCH(AO$7,$F$7:$AG$7,1))</f>
        <v>1200</v>
      </c>
    </row>
    <row r="57" customFormat="false" ht="15" hidden="false" customHeight="false" outlineLevel="0" collapsed="false">
      <c r="A57" s="112" t="s">
        <v>1693</v>
      </c>
      <c r="B57" s="24" t="s">
        <v>857</v>
      </c>
      <c r="C57" s="24" t="s">
        <v>690</v>
      </c>
      <c r="D57" s="24" t="s">
        <v>1677</v>
      </c>
      <c r="F57" s="113" t="n">
        <v>0</v>
      </c>
      <c r="G57" s="113" t="n">
        <v>0</v>
      </c>
      <c r="H57" s="113" t="n">
        <v>0</v>
      </c>
      <c r="I57" s="113" t="n">
        <v>0</v>
      </c>
      <c r="J57" s="113" t="n">
        <v>0</v>
      </c>
      <c r="K57" s="113" t="n">
        <v>0</v>
      </c>
      <c r="L57" s="113" t="n">
        <v>0</v>
      </c>
      <c r="M57" s="113" t="n">
        <v>0</v>
      </c>
      <c r="N57" s="113" t="n">
        <v>0</v>
      </c>
      <c r="O57" s="113" t="n">
        <v>0</v>
      </c>
      <c r="P57" s="113" t="n">
        <v>0</v>
      </c>
      <c r="Q57" s="113" t="n">
        <v>0</v>
      </c>
      <c r="R57" s="113" t="n">
        <v>0</v>
      </c>
      <c r="S57" s="113" t="n">
        <v>0</v>
      </c>
      <c r="T57" s="113" t="n">
        <v>100</v>
      </c>
      <c r="U57" s="113" t="n">
        <v>200</v>
      </c>
      <c r="V57" s="113" t="n">
        <v>200</v>
      </c>
      <c r="W57" s="113" t="n">
        <v>250</v>
      </c>
      <c r="X57" s="113" t="n">
        <v>250</v>
      </c>
      <c r="Y57" s="113" t="n">
        <v>250</v>
      </c>
      <c r="Z57" s="113" t="n">
        <v>250</v>
      </c>
      <c r="AA57" s="113" t="n">
        <v>600</v>
      </c>
      <c r="AB57" s="113" t="n">
        <v>600</v>
      </c>
      <c r="AC57" s="113" t="n">
        <v>800</v>
      </c>
      <c r="AD57" s="113" t="n">
        <v>800</v>
      </c>
      <c r="AE57" s="113" t="n">
        <v>800</v>
      </c>
      <c r="AF57" s="113" t="n">
        <v>800</v>
      </c>
      <c r="AG57" s="113" t="n">
        <v>1200</v>
      </c>
      <c r="AI57" s="114" t="n">
        <f aca="false">INDEX($F57:$AG57,1,MATCH(AI$7,$F$7:$AG$7,1))</f>
        <v>0</v>
      </c>
      <c r="AJ57" s="114" t="n">
        <f aca="false">INDEX($F57:$AG57,1,MATCH(AJ$7,$F$7:$AG$7,1))</f>
        <v>0</v>
      </c>
      <c r="AK57" s="114" t="n">
        <f aca="false">INDEX($F57:$AG57,1,MATCH(AK$7,$F$7:$AG$7,1))</f>
        <v>0</v>
      </c>
      <c r="AL57" s="114" t="n">
        <f aca="false">INDEX($F57:$AG57,1,MATCH(AL$7,$F$7:$AG$7,1))</f>
        <v>200</v>
      </c>
      <c r="AM57" s="114" t="n">
        <f aca="false">INDEX($F57:$AG57,1,MATCH(AM$7,$F$7:$AG$7,1))</f>
        <v>250</v>
      </c>
      <c r="AN57" s="114" t="n">
        <f aca="false">INDEX($F57:$AG57,1,MATCH(AN$7,$F$7:$AG$7,1))</f>
        <v>800</v>
      </c>
      <c r="AO57" s="114" t="n">
        <f aca="false">INDEX($F57:$AG57,1,MATCH(AO$7,$F$7:$AG$7,1))</f>
        <v>1200</v>
      </c>
    </row>
    <row r="58" customFormat="false" ht="15" hidden="false" customHeight="false" outlineLevel="0" collapsed="false">
      <c r="A58" s="112" t="s">
        <v>1694</v>
      </c>
      <c r="B58" s="24" t="s">
        <v>857</v>
      </c>
      <c r="C58" s="24" t="s">
        <v>672</v>
      </c>
      <c r="D58" s="24" t="s">
        <v>1679</v>
      </c>
      <c r="F58" s="114" t="n">
        <f aca="false">IF(CapV=2,N(F57),N(F56))</f>
        <v>0</v>
      </c>
      <c r="G58" s="114" t="n">
        <f aca="false">IF(CapV=2,N(G57),N(G56))</f>
        <v>0</v>
      </c>
      <c r="H58" s="114" t="n">
        <f aca="false">IF(CapV=2,N(H57),N(H56))</f>
        <v>0</v>
      </c>
      <c r="I58" s="114" t="n">
        <f aca="false">IF(CapV=2,N(I57),N(I56))</f>
        <v>0</v>
      </c>
      <c r="J58" s="114" t="n">
        <f aca="false">IF(CapV=2,N(J57),N(J56))</f>
        <v>0</v>
      </c>
      <c r="K58" s="114" t="n">
        <f aca="false">IF(CapV=2,N(K57),N(K56))</f>
        <v>0</v>
      </c>
      <c r="L58" s="114" t="n">
        <f aca="false">IF(CapV=2,N(L57),N(L56))</f>
        <v>0</v>
      </c>
      <c r="M58" s="114" t="n">
        <f aca="false">IF(CapV=2,N(M57),N(M56))</f>
        <v>0</v>
      </c>
      <c r="N58" s="114" t="n">
        <f aca="false">IF(CapV=2,N(N57),N(N56))</f>
        <v>0</v>
      </c>
      <c r="O58" s="114" t="n">
        <f aca="false">IF(CapV=2,N(O57),N(O56))</f>
        <v>0</v>
      </c>
      <c r="P58" s="114" t="n">
        <f aca="false">IF(CapV=2,N(P57),N(P56))</f>
        <v>0</v>
      </c>
      <c r="Q58" s="114" t="n">
        <f aca="false">IF(CapV=2,N(Q57),N(Q56))</f>
        <v>0</v>
      </c>
      <c r="R58" s="114" t="n">
        <f aca="false">IF(CapV=2,N(R57),N(R56))</f>
        <v>0</v>
      </c>
      <c r="S58" s="114" t="n">
        <f aca="false">IF(CapV=2,N(S57),N(S56))</f>
        <v>0</v>
      </c>
      <c r="T58" s="114" t="n">
        <f aca="false">IF(CapV=2,N(T57),N(T56))</f>
        <v>100</v>
      </c>
      <c r="U58" s="114" t="n">
        <f aca="false">IF(CapV=2,N(U57),N(U56))</f>
        <v>200</v>
      </c>
      <c r="V58" s="114" t="n">
        <f aca="false">IF(CapV=2,N(V57),N(V56))</f>
        <v>200</v>
      </c>
      <c r="W58" s="114" t="n">
        <f aca="false">IF(CapV=2,N(W57),N(W56))</f>
        <v>250</v>
      </c>
      <c r="X58" s="114" t="n">
        <f aca="false">IF(CapV=2,N(X57),N(X56))</f>
        <v>250</v>
      </c>
      <c r="Y58" s="114" t="n">
        <f aca="false">IF(CapV=2,N(Y57),N(Y56))</f>
        <v>250</v>
      </c>
      <c r="Z58" s="114" t="n">
        <f aca="false">IF(CapV=2,N(Z57),N(Z56))</f>
        <v>250</v>
      </c>
      <c r="AA58" s="114" t="n">
        <f aca="false">IF(CapV=2,N(AA57),N(AA56))</f>
        <v>600</v>
      </c>
      <c r="AB58" s="114" t="n">
        <f aca="false">IF(CapV=2,N(AB57),N(AB56))</f>
        <v>600</v>
      </c>
      <c r="AC58" s="114" t="n">
        <f aca="false">IF(CapV=2,N(AC57),N(AC56))</f>
        <v>800</v>
      </c>
      <c r="AD58" s="114" t="n">
        <f aca="false">IF(CapV=2,N(AD57),N(AD56))</f>
        <v>800</v>
      </c>
      <c r="AE58" s="114" t="n">
        <f aca="false">IF(CapV=2,N(AE57),N(AE56))</f>
        <v>800</v>
      </c>
      <c r="AF58" s="114" t="n">
        <f aca="false">IF(CapV=2,N(AF57),N(AF56))</f>
        <v>800</v>
      </c>
      <c r="AG58" s="114" t="n">
        <f aca="false">IF(CapV=2,N(AG57),N(AG56))</f>
        <v>1200</v>
      </c>
      <c r="AI58" s="114" t="n">
        <f aca="false">INDEX($F58:$AG58,1,MATCH(AI$7,$F$7:$AG$7,1))</f>
        <v>0</v>
      </c>
      <c r="AJ58" s="114" t="n">
        <f aca="false">INDEX($F58:$AG58,1,MATCH(AJ$7,$F$7:$AG$7,1))</f>
        <v>0</v>
      </c>
      <c r="AK58" s="114" t="n">
        <f aca="false">INDEX($F58:$AG58,1,MATCH(AK$7,$F$7:$AG$7,1))</f>
        <v>0</v>
      </c>
      <c r="AL58" s="114" t="n">
        <f aca="false">INDEX($F58:$AG58,1,MATCH(AL$7,$F$7:$AG$7,1))</f>
        <v>200</v>
      </c>
      <c r="AM58" s="114" t="n">
        <f aca="false">INDEX($F58:$AG58,1,MATCH(AM$7,$F$7:$AG$7,1))</f>
        <v>250</v>
      </c>
      <c r="AN58" s="114" t="n">
        <f aca="false">INDEX($F58:$AG58,1,MATCH(AN$7,$F$7:$AG$7,1))</f>
        <v>800</v>
      </c>
      <c r="AO58" s="114" t="n">
        <f aca="false">INDEX($F58:$AG58,1,MATCH(AO$7,$F$7:$AG$7,1))</f>
        <v>1200</v>
      </c>
    </row>
    <row r="59" customFormat="false" ht="15" hidden="false" customHeight="false" outlineLevel="0" collapsed="false">
      <c r="A59" s="112" t="s">
        <v>1695</v>
      </c>
      <c r="B59" s="24" t="s">
        <v>857</v>
      </c>
      <c r="C59" s="24" t="s">
        <v>690</v>
      </c>
      <c r="D59" s="24" t="s">
        <v>1675</v>
      </c>
      <c r="F59" s="113" t="n">
        <v>0</v>
      </c>
      <c r="G59" s="113" t="n">
        <v>0</v>
      </c>
      <c r="H59" s="113" t="n">
        <v>0</v>
      </c>
      <c r="I59" s="113" t="n">
        <v>0</v>
      </c>
      <c r="J59" s="113" t="n">
        <v>0</v>
      </c>
      <c r="K59" s="113" t="n">
        <v>0</v>
      </c>
      <c r="L59" s="113" t="n">
        <v>0</v>
      </c>
      <c r="M59" s="113" t="n">
        <v>0</v>
      </c>
      <c r="N59" s="113" t="n">
        <v>0</v>
      </c>
      <c r="O59" s="113" t="n">
        <v>0</v>
      </c>
      <c r="P59" s="113" t="n">
        <v>0</v>
      </c>
      <c r="Q59" s="113" t="n">
        <v>0</v>
      </c>
      <c r="R59" s="113" t="n">
        <v>0</v>
      </c>
      <c r="S59" s="113" t="n">
        <v>0</v>
      </c>
      <c r="T59" s="113" t="n">
        <v>0</v>
      </c>
      <c r="U59" s="113" t="n">
        <v>0</v>
      </c>
      <c r="V59" s="113" t="n">
        <v>0</v>
      </c>
      <c r="W59" s="113" t="n">
        <v>0</v>
      </c>
      <c r="X59" s="113" t="n">
        <v>0</v>
      </c>
      <c r="Y59" s="113" t="n">
        <v>130</v>
      </c>
      <c r="Z59" s="113" t="n">
        <v>130</v>
      </c>
      <c r="AA59" s="113" t="n">
        <v>260</v>
      </c>
      <c r="AB59" s="113" t="n">
        <v>260</v>
      </c>
      <c r="AC59" s="113" t="n">
        <v>400</v>
      </c>
      <c r="AD59" s="113" t="n">
        <v>400</v>
      </c>
      <c r="AE59" s="113" t="n">
        <v>400</v>
      </c>
      <c r="AF59" s="113" t="n">
        <v>400</v>
      </c>
      <c r="AG59" s="113" t="n">
        <v>660</v>
      </c>
      <c r="AI59" s="114" t="n">
        <f aca="false">INDEX($F59:$AG59,1,MATCH(AI$7,$F$7:$AG$7,1))</f>
        <v>0</v>
      </c>
      <c r="AJ59" s="114" t="n">
        <f aca="false">INDEX($F59:$AG59,1,MATCH(AJ$7,$F$7:$AG$7,1))</f>
        <v>0</v>
      </c>
      <c r="AK59" s="114" t="n">
        <f aca="false">INDEX($F59:$AG59,1,MATCH(AK$7,$F$7:$AG$7,1))</f>
        <v>0</v>
      </c>
      <c r="AL59" s="114" t="n">
        <f aca="false">INDEX($F59:$AG59,1,MATCH(AL$7,$F$7:$AG$7,1))</f>
        <v>0</v>
      </c>
      <c r="AM59" s="114" t="n">
        <f aca="false">INDEX($F59:$AG59,1,MATCH(AM$7,$F$7:$AG$7,1))</f>
        <v>130</v>
      </c>
      <c r="AN59" s="114" t="n">
        <f aca="false">INDEX($F59:$AG59,1,MATCH(AN$7,$F$7:$AG$7,1))</f>
        <v>400</v>
      </c>
      <c r="AO59" s="114" t="n">
        <f aca="false">INDEX($F59:$AG59,1,MATCH(AO$7,$F$7:$AG$7,1))</f>
        <v>660</v>
      </c>
    </row>
    <row r="60" customFormat="false" ht="15" hidden="false" customHeight="false" outlineLevel="0" collapsed="false">
      <c r="A60" s="112" t="s">
        <v>1696</v>
      </c>
      <c r="B60" s="24" t="s">
        <v>857</v>
      </c>
      <c r="C60" s="24" t="s">
        <v>690</v>
      </c>
      <c r="D60" s="24" t="s">
        <v>1677</v>
      </c>
      <c r="F60" s="113" t="n">
        <v>0</v>
      </c>
      <c r="G60" s="113" t="n">
        <v>0</v>
      </c>
      <c r="H60" s="113" t="n">
        <v>0</v>
      </c>
      <c r="I60" s="113" t="n">
        <v>0</v>
      </c>
      <c r="J60" s="113" t="n">
        <v>0</v>
      </c>
      <c r="K60" s="113" t="n">
        <v>0</v>
      </c>
      <c r="L60" s="113" t="n">
        <v>0</v>
      </c>
      <c r="M60" s="113" t="n">
        <v>0</v>
      </c>
      <c r="N60" s="113" t="n">
        <v>0</v>
      </c>
      <c r="O60" s="113" t="n">
        <v>0</v>
      </c>
      <c r="P60" s="113" t="n">
        <v>0</v>
      </c>
      <c r="Q60" s="113" t="n">
        <v>0</v>
      </c>
      <c r="R60" s="113" t="n">
        <v>0</v>
      </c>
      <c r="S60" s="113" t="n">
        <v>0</v>
      </c>
      <c r="T60" s="113" t="n">
        <v>0</v>
      </c>
      <c r="U60" s="113" t="n">
        <v>0</v>
      </c>
      <c r="V60" s="113" t="n">
        <v>0</v>
      </c>
      <c r="W60" s="113" t="n">
        <v>0</v>
      </c>
      <c r="X60" s="113" t="n">
        <v>0</v>
      </c>
      <c r="Y60" s="113" t="n">
        <v>130</v>
      </c>
      <c r="Z60" s="113" t="n">
        <v>130</v>
      </c>
      <c r="AA60" s="113" t="n">
        <v>260</v>
      </c>
      <c r="AB60" s="113" t="n">
        <v>260</v>
      </c>
      <c r="AC60" s="113" t="n">
        <v>400</v>
      </c>
      <c r="AD60" s="113" t="n">
        <v>400</v>
      </c>
      <c r="AE60" s="113" t="n">
        <v>400</v>
      </c>
      <c r="AF60" s="113" t="n">
        <v>400</v>
      </c>
      <c r="AG60" s="113" t="n">
        <v>660</v>
      </c>
      <c r="AI60" s="114" t="n">
        <f aca="false">INDEX($F60:$AG60,1,MATCH(AI$7,$F$7:$AG$7,1))</f>
        <v>0</v>
      </c>
      <c r="AJ60" s="114" t="n">
        <f aca="false">INDEX($F60:$AG60,1,MATCH(AJ$7,$F$7:$AG$7,1))</f>
        <v>0</v>
      </c>
      <c r="AK60" s="114" t="n">
        <f aca="false">INDEX($F60:$AG60,1,MATCH(AK$7,$F$7:$AG$7,1))</f>
        <v>0</v>
      </c>
      <c r="AL60" s="114" t="n">
        <f aca="false">INDEX($F60:$AG60,1,MATCH(AL$7,$F$7:$AG$7,1))</f>
        <v>0</v>
      </c>
      <c r="AM60" s="114" t="n">
        <f aca="false">INDEX($F60:$AG60,1,MATCH(AM$7,$F$7:$AG$7,1))</f>
        <v>130</v>
      </c>
      <c r="AN60" s="114" t="n">
        <f aca="false">INDEX($F60:$AG60,1,MATCH(AN$7,$F$7:$AG$7,1))</f>
        <v>400</v>
      </c>
      <c r="AO60" s="114" t="n">
        <f aca="false">INDEX($F60:$AG60,1,MATCH(AO$7,$F$7:$AG$7,1))</f>
        <v>660</v>
      </c>
    </row>
    <row r="61" customFormat="false" ht="15" hidden="false" customHeight="false" outlineLevel="0" collapsed="false">
      <c r="A61" s="112" t="s">
        <v>1697</v>
      </c>
      <c r="B61" s="24" t="s">
        <v>857</v>
      </c>
      <c r="C61" s="24" t="s">
        <v>672</v>
      </c>
      <c r="D61" s="24" t="s">
        <v>1679</v>
      </c>
      <c r="F61" s="114" t="n">
        <f aca="false">IF(CapV=2,N(F60),N(F59))</f>
        <v>0</v>
      </c>
      <c r="G61" s="114" t="n">
        <f aca="false">IF(CapV=2,N(G60),N(G59))</f>
        <v>0</v>
      </c>
      <c r="H61" s="114" t="n">
        <f aca="false">IF(CapV=2,N(H60),N(H59))</f>
        <v>0</v>
      </c>
      <c r="I61" s="114" t="n">
        <f aca="false">IF(CapV=2,N(I60),N(I59))</f>
        <v>0</v>
      </c>
      <c r="J61" s="114" t="n">
        <f aca="false">IF(CapV=2,N(J60),N(J59))</f>
        <v>0</v>
      </c>
      <c r="K61" s="114" t="n">
        <f aca="false">IF(CapV=2,N(K60),N(K59))</f>
        <v>0</v>
      </c>
      <c r="L61" s="114" t="n">
        <f aca="false">IF(CapV=2,N(L60),N(L59))</f>
        <v>0</v>
      </c>
      <c r="M61" s="114" t="n">
        <f aca="false">IF(CapV=2,N(M60),N(M59))</f>
        <v>0</v>
      </c>
      <c r="N61" s="114" t="n">
        <f aca="false">IF(CapV=2,N(N60),N(N59))</f>
        <v>0</v>
      </c>
      <c r="O61" s="114" t="n">
        <f aca="false">IF(CapV=2,N(O60),N(O59))</f>
        <v>0</v>
      </c>
      <c r="P61" s="114" t="n">
        <f aca="false">IF(CapV=2,N(P60),N(P59))</f>
        <v>0</v>
      </c>
      <c r="Q61" s="114" t="n">
        <f aca="false">IF(CapV=2,N(Q60),N(Q59))</f>
        <v>0</v>
      </c>
      <c r="R61" s="114" t="n">
        <f aca="false">IF(CapV=2,N(R60),N(R59))</f>
        <v>0</v>
      </c>
      <c r="S61" s="114" t="n">
        <f aca="false">IF(CapV=2,N(S60),N(S59))</f>
        <v>0</v>
      </c>
      <c r="T61" s="114" t="n">
        <f aca="false">IF(CapV=2,N(T60),N(T59))</f>
        <v>0</v>
      </c>
      <c r="U61" s="114" t="n">
        <f aca="false">IF(CapV=2,N(U60),N(U59))</f>
        <v>0</v>
      </c>
      <c r="V61" s="114" t="n">
        <f aca="false">IF(CapV=2,N(V60),N(V59))</f>
        <v>0</v>
      </c>
      <c r="W61" s="114" t="n">
        <f aca="false">IF(CapV=2,N(W60),N(W59))</f>
        <v>0</v>
      </c>
      <c r="X61" s="114" t="n">
        <f aca="false">IF(CapV=2,N(X60),N(X59))</f>
        <v>0</v>
      </c>
      <c r="Y61" s="114" t="n">
        <f aca="false">IF(CapV=2,N(Y60),N(Y59))</f>
        <v>130</v>
      </c>
      <c r="Z61" s="114" t="n">
        <f aca="false">IF(CapV=2,N(Z60),N(Z59))</f>
        <v>130</v>
      </c>
      <c r="AA61" s="114" t="n">
        <f aca="false">IF(CapV=2,N(AA60),N(AA59))</f>
        <v>260</v>
      </c>
      <c r="AB61" s="114" t="n">
        <f aca="false">IF(CapV=2,N(AB60),N(AB59))</f>
        <v>260</v>
      </c>
      <c r="AC61" s="114" t="n">
        <f aca="false">IF(CapV=2,N(AC60),N(AC59))</f>
        <v>400</v>
      </c>
      <c r="AD61" s="114" t="n">
        <f aca="false">IF(CapV=2,N(AD60),N(AD59))</f>
        <v>400</v>
      </c>
      <c r="AE61" s="114" t="n">
        <f aca="false">IF(CapV=2,N(AE60),N(AE59))</f>
        <v>400</v>
      </c>
      <c r="AF61" s="114" t="n">
        <f aca="false">IF(CapV=2,N(AF60),N(AF59))</f>
        <v>400</v>
      </c>
      <c r="AG61" s="114" t="n">
        <f aca="false">IF(CapV=2,N(AG60),N(AG59))</f>
        <v>660</v>
      </c>
      <c r="AI61" s="114" t="n">
        <f aca="false">INDEX($F61:$AG61,1,MATCH(AI$7,$F$7:$AG$7,1))</f>
        <v>0</v>
      </c>
      <c r="AJ61" s="114" t="n">
        <f aca="false">INDEX($F61:$AG61,1,MATCH(AJ$7,$F$7:$AG$7,1))</f>
        <v>0</v>
      </c>
      <c r="AK61" s="114" t="n">
        <f aca="false">INDEX($F61:$AG61,1,MATCH(AK$7,$F$7:$AG$7,1))</f>
        <v>0</v>
      </c>
      <c r="AL61" s="114" t="n">
        <f aca="false">INDEX($F61:$AG61,1,MATCH(AL$7,$F$7:$AG$7,1))</f>
        <v>0</v>
      </c>
      <c r="AM61" s="114" t="n">
        <f aca="false">INDEX($F61:$AG61,1,MATCH(AM$7,$F$7:$AG$7,1))</f>
        <v>130</v>
      </c>
      <c r="AN61" s="114" t="n">
        <f aca="false">INDEX($F61:$AG61,1,MATCH(AN$7,$F$7:$AG$7,1))</f>
        <v>400</v>
      </c>
      <c r="AO61" s="114" t="n">
        <f aca="false">INDEX($F61:$AG61,1,MATCH(AO$7,$F$7:$AG$7,1))</f>
        <v>660</v>
      </c>
    </row>
    <row r="62" customFormat="false" ht="15" hidden="false" customHeight="false" outlineLevel="0" collapsed="false">
      <c r="A62" s="112" t="s">
        <v>1698</v>
      </c>
      <c r="B62" s="24" t="s">
        <v>857</v>
      </c>
      <c r="C62" s="24" t="s">
        <v>690</v>
      </c>
      <c r="D62" s="24" t="s">
        <v>1675</v>
      </c>
      <c r="F62" s="113" t="n">
        <v>0</v>
      </c>
      <c r="G62" s="113" t="n">
        <v>0</v>
      </c>
      <c r="H62" s="113" t="n">
        <v>0</v>
      </c>
      <c r="I62" s="113" t="n">
        <v>0</v>
      </c>
      <c r="J62" s="113" t="n">
        <v>0</v>
      </c>
      <c r="K62" s="113" t="n">
        <v>0</v>
      </c>
      <c r="L62" s="113" t="n">
        <v>0</v>
      </c>
      <c r="M62" s="113" t="n">
        <v>0</v>
      </c>
      <c r="N62" s="113" t="n">
        <v>0</v>
      </c>
      <c r="O62" s="113" t="n">
        <v>0</v>
      </c>
      <c r="P62" s="113" t="n">
        <v>0</v>
      </c>
      <c r="Q62" s="113" t="n">
        <v>0</v>
      </c>
      <c r="R62" s="113" t="n">
        <v>0</v>
      </c>
      <c r="S62" s="113" t="n">
        <v>0</v>
      </c>
      <c r="T62" s="113" t="n">
        <v>0</v>
      </c>
      <c r="U62" s="113" t="n">
        <v>65</v>
      </c>
      <c r="V62" s="113" t="n">
        <v>130</v>
      </c>
      <c r="W62" s="113" t="n">
        <v>130</v>
      </c>
      <c r="X62" s="113" t="n">
        <v>130</v>
      </c>
      <c r="Y62" s="113" t="n">
        <v>265</v>
      </c>
      <c r="Z62" s="113" t="n">
        <v>265</v>
      </c>
      <c r="AA62" s="113" t="n">
        <v>460</v>
      </c>
      <c r="AB62" s="113" t="n">
        <v>460</v>
      </c>
      <c r="AC62" s="113" t="n">
        <v>700</v>
      </c>
      <c r="AD62" s="113" t="n">
        <v>700</v>
      </c>
      <c r="AE62" s="113" t="n">
        <v>700</v>
      </c>
      <c r="AF62" s="113" t="n">
        <v>700</v>
      </c>
      <c r="AG62" s="113" t="n">
        <v>930</v>
      </c>
      <c r="AI62" s="114" t="n">
        <f aca="false">INDEX($F62:$AG62,1,MATCH(AI$7,$F$7:$AG$7,1))</f>
        <v>0</v>
      </c>
      <c r="AJ62" s="114" t="n">
        <f aca="false">INDEX($F62:$AG62,1,MATCH(AJ$7,$F$7:$AG$7,1))</f>
        <v>0</v>
      </c>
      <c r="AK62" s="114" t="n">
        <f aca="false">INDEX($F62:$AG62,1,MATCH(AK$7,$F$7:$AG$7,1))</f>
        <v>0</v>
      </c>
      <c r="AL62" s="114" t="n">
        <f aca="false">INDEX($F62:$AG62,1,MATCH(AL$7,$F$7:$AG$7,1))</f>
        <v>65</v>
      </c>
      <c r="AM62" s="114" t="n">
        <f aca="false">INDEX($F62:$AG62,1,MATCH(AM$7,$F$7:$AG$7,1))</f>
        <v>265</v>
      </c>
      <c r="AN62" s="114" t="n">
        <f aca="false">INDEX($F62:$AG62,1,MATCH(AN$7,$F$7:$AG$7,1))</f>
        <v>700</v>
      </c>
      <c r="AO62" s="114" t="n">
        <f aca="false">INDEX($F62:$AG62,1,MATCH(AO$7,$F$7:$AG$7,1))</f>
        <v>930</v>
      </c>
    </row>
    <row r="63" customFormat="false" ht="15" hidden="false" customHeight="false" outlineLevel="0" collapsed="false">
      <c r="A63" s="112" t="s">
        <v>1699</v>
      </c>
      <c r="B63" s="24" t="s">
        <v>857</v>
      </c>
      <c r="C63" s="24" t="s">
        <v>690</v>
      </c>
      <c r="D63" s="24" t="s">
        <v>1677</v>
      </c>
      <c r="F63" s="113" t="n">
        <v>0</v>
      </c>
      <c r="G63" s="113" t="n">
        <v>0</v>
      </c>
      <c r="H63" s="113" t="n">
        <v>0</v>
      </c>
      <c r="I63" s="113" t="n">
        <v>0</v>
      </c>
      <c r="J63" s="113" t="n">
        <v>0</v>
      </c>
      <c r="K63" s="113" t="n">
        <v>0</v>
      </c>
      <c r="L63" s="113" t="n">
        <v>0</v>
      </c>
      <c r="M63" s="113" t="n">
        <v>0</v>
      </c>
      <c r="N63" s="113" t="n">
        <v>0</v>
      </c>
      <c r="O63" s="113" t="n">
        <v>0</v>
      </c>
      <c r="P63" s="113" t="n">
        <v>0</v>
      </c>
      <c r="Q63" s="113" t="n">
        <v>0</v>
      </c>
      <c r="R63" s="113" t="n">
        <v>0</v>
      </c>
      <c r="S63" s="113" t="n">
        <v>0</v>
      </c>
      <c r="T63" s="113" t="n">
        <v>0</v>
      </c>
      <c r="U63" s="113" t="n">
        <v>65</v>
      </c>
      <c r="V63" s="113" t="n">
        <v>130</v>
      </c>
      <c r="W63" s="113" t="n">
        <v>130</v>
      </c>
      <c r="X63" s="113" t="n">
        <v>130</v>
      </c>
      <c r="Y63" s="113" t="n">
        <v>265</v>
      </c>
      <c r="Z63" s="113" t="n">
        <v>265</v>
      </c>
      <c r="AA63" s="113" t="n">
        <v>460</v>
      </c>
      <c r="AB63" s="113" t="n">
        <v>460</v>
      </c>
      <c r="AC63" s="113" t="n">
        <v>700</v>
      </c>
      <c r="AD63" s="113" t="n">
        <v>700</v>
      </c>
      <c r="AE63" s="113" t="n">
        <v>700</v>
      </c>
      <c r="AF63" s="113" t="n">
        <v>700</v>
      </c>
      <c r="AG63" s="113" t="n">
        <v>930</v>
      </c>
      <c r="AI63" s="114" t="n">
        <f aca="false">INDEX($F63:$AG63,1,MATCH(AI$7,$F$7:$AG$7,1))</f>
        <v>0</v>
      </c>
      <c r="AJ63" s="114" t="n">
        <f aca="false">INDEX($F63:$AG63,1,MATCH(AJ$7,$F$7:$AG$7,1))</f>
        <v>0</v>
      </c>
      <c r="AK63" s="114" t="n">
        <f aca="false">INDEX($F63:$AG63,1,MATCH(AK$7,$F$7:$AG$7,1))</f>
        <v>0</v>
      </c>
      <c r="AL63" s="114" t="n">
        <f aca="false">INDEX($F63:$AG63,1,MATCH(AL$7,$F$7:$AG$7,1))</f>
        <v>65</v>
      </c>
      <c r="AM63" s="114" t="n">
        <f aca="false">INDEX($F63:$AG63,1,MATCH(AM$7,$F$7:$AG$7,1))</f>
        <v>265</v>
      </c>
      <c r="AN63" s="114" t="n">
        <f aca="false">INDEX($F63:$AG63,1,MATCH(AN$7,$F$7:$AG$7,1))</f>
        <v>700</v>
      </c>
      <c r="AO63" s="114" t="n">
        <f aca="false">INDEX($F63:$AG63,1,MATCH(AO$7,$F$7:$AG$7,1))</f>
        <v>930</v>
      </c>
    </row>
    <row r="64" customFormat="false" ht="15" hidden="false" customHeight="false" outlineLevel="0" collapsed="false">
      <c r="A64" s="112" t="s">
        <v>1700</v>
      </c>
      <c r="B64" s="24" t="s">
        <v>857</v>
      </c>
      <c r="C64" s="24" t="s">
        <v>672</v>
      </c>
      <c r="D64" s="24" t="s">
        <v>1679</v>
      </c>
      <c r="F64" s="114" t="n">
        <f aca="false">IF(CapV=2,N(F63),N(F62))</f>
        <v>0</v>
      </c>
      <c r="G64" s="114" t="n">
        <f aca="false">IF(CapV=2,N(G63),N(G62))</f>
        <v>0</v>
      </c>
      <c r="H64" s="114" t="n">
        <f aca="false">IF(CapV=2,N(H63),N(H62))</f>
        <v>0</v>
      </c>
      <c r="I64" s="114" t="n">
        <f aca="false">IF(CapV=2,N(I63),N(I62))</f>
        <v>0</v>
      </c>
      <c r="J64" s="114" t="n">
        <f aca="false">IF(CapV=2,N(J63),N(J62))</f>
        <v>0</v>
      </c>
      <c r="K64" s="114" t="n">
        <f aca="false">IF(CapV=2,N(K63),N(K62))</f>
        <v>0</v>
      </c>
      <c r="L64" s="114" t="n">
        <f aca="false">IF(CapV=2,N(L63),N(L62))</f>
        <v>0</v>
      </c>
      <c r="M64" s="114" t="n">
        <f aca="false">IF(CapV=2,N(M63),N(M62))</f>
        <v>0</v>
      </c>
      <c r="N64" s="114" t="n">
        <f aca="false">IF(CapV=2,N(N63),N(N62))</f>
        <v>0</v>
      </c>
      <c r="O64" s="114" t="n">
        <f aca="false">IF(CapV=2,N(O63),N(O62))</f>
        <v>0</v>
      </c>
      <c r="P64" s="114" t="n">
        <f aca="false">IF(CapV=2,N(P63),N(P62))</f>
        <v>0</v>
      </c>
      <c r="Q64" s="114" t="n">
        <f aca="false">IF(CapV=2,N(Q63),N(Q62))</f>
        <v>0</v>
      </c>
      <c r="R64" s="114" t="n">
        <f aca="false">IF(CapV=2,N(R63),N(R62))</f>
        <v>0</v>
      </c>
      <c r="S64" s="114" t="n">
        <f aca="false">IF(CapV=2,N(S63),N(S62))</f>
        <v>0</v>
      </c>
      <c r="T64" s="114" t="n">
        <f aca="false">IF(CapV=2,N(T63),N(T62))</f>
        <v>0</v>
      </c>
      <c r="U64" s="114" t="n">
        <f aca="false">IF(CapV=2,N(U63),N(U62))</f>
        <v>65</v>
      </c>
      <c r="V64" s="114" t="n">
        <f aca="false">IF(CapV=2,N(V63),N(V62))</f>
        <v>130</v>
      </c>
      <c r="W64" s="114" t="n">
        <f aca="false">IF(CapV=2,N(W63),N(W62))</f>
        <v>130</v>
      </c>
      <c r="X64" s="114" t="n">
        <f aca="false">IF(CapV=2,N(X63),N(X62))</f>
        <v>130</v>
      </c>
      <c r="Y64" s="114" t="n">
        <f aca="false">IF(CapV=2,N(Y63),N(Y62))</f>
        <v>265</v>
      </c>
      <c r="Z64" s="114" t="n">
        <f aca="false">IF(CapV=2,N(Z63),N(Z62))</f>
        <v>265</v>
      </c>
      <c r="AA64" s="114" t="n">
        <f aca="false">IF(CapV=2,N(AA63),N(AA62))</f>
        <v>460</v>
      </c>
      <c r="AB64" s="114" t="n">
        <f aca="false">IF(CapV=2,N(AB63),N(AB62))</f>
        <v>460</v>
      </c>
      <c r="AC64" s="114" t="n">
        <f aca="false">IF(CapV=2,N(AC63),N(AC62))</f>
        <v>700</v>
      </c>
      <c r="AD64" s="114" t="n">
        <f aca="false">IF(CapV=2,N(AD63),N(AD62))</f>
        <v>700</v>
      </c>
      <c r="AE64" s="114" t="n">
        <f aca="false">IF(CapV=2,N(AE63),N(AE62))</f>
        <v>700</v>
      </c>
      <c r="AF64" s="114" t="n">
        <f aca="false">IF(CapV=2,N(AF63),N(AF62))</f>
        <v>700</v>
      </c>
      <c r="AG64" s="114" t="n">
        <f aca="false">IF(CapV=2,N(AG63),N(AG62))</f>
        <v>930</v>
      </c>
      <c r="AI64" s="114" t="n">
        <f aca="false">INDEX($F64:$AG64,1,MATCH(AI$7,$F$7:$AG$7,1))</f>
        <v>0</v>
      </c>
      <c r="AJ64" s="114" t="n">
        <f aca="false">INDEX($F64:$AG64,1,MATCH(AJ$7,$F$7:$AG$7,1))</f>
        <v>0</v>
      </c>
      <c r="AK64" s="114" t="n">
        <f aca="false">INDEX($F64:$AG64,1,MATCH(AK$7,$F$7:$AG$7,1))</f>
        <v>0</v>
      </c>
      <c r="AL64" s="114" t="n">
        <f aca="false">INDEX($F64:$AG64,1,MATCH(AL$7,$F$7:$AG$7,1))</f>
        <v>65</v>
      </c>
      <c r="AM64" s="114" t="n">
        <f aca="false">INDEX($F64:$AG64,1,MATCH(AM$7,$F$7:$AG$7,1))</f>
        <v>265</v>
      </c>
      <c r="AN64" s="114" t="n">
        <f aca="false">INDEX($F64:$AG64,1,MATCH(AN$7,$F$7:$AG$7,1))</f>
        <v>700</v>
      </c>
      <c r="AO64" s="114" t="n">
        <f aca="false">INDEX($F64:$AG64,1,MATCH(AO$7,$F$7:$AG$7,1))</f>
        <v>930</v>
      </c>
    </row>
    <row r="65" customFormat="false" ht="15" hidden="false" customHeight="false" outlineLevel="0" collapsed="false">
      <c r="A65" s="112" t="s">
        <v>1701</v>
      </c>
      <c r="B65" s="24" t="s">
        <v>857</v>
      </c>
      <c r="C65" s="24" t="s">
        <v>690</v>
      </c>
      <c r="D65" s="24" t="s">
        <v>1675</v>
      </c>
      <c r="F65" s="113" t="n">
        <v>0</v>
      </c>
      <c r="G65" s="113" t="n">
        <v>0</v>
      </c>
      <c r="H65" s="113" t="n">
        <v>0</v>
      </c>
      <c r="I65" s="113" t="n">
        <v>0</v>
      </c>
      <c r="J65" s="113" t="n">
        <v>0</v>
      </c>
      <c r="K65" s="113" t="n">
        <v>0</v>
      </c>
      <c r="L65" s="113" t="n">
        <v>0</v>
      </c>
      <c r="M65" s="113" t="n">
        <v>0</v>
      </c>
      <c r="N65" s="113" t="n">
        <v>0</v>
      </c>
      <c r="O65" s="113" t="n">
        <v>0</v>
      </c>
      <c r="P65" s="113" t="n">
        <v>0</v>
      </c>
      <c r="Q65" s="113" t="n">
        <v>0</v>
      </c>
      <c r="R65" s="113" t="n">
        <v>0</v>
      </c>
      <c r="S65" s="113" t="n">
        <v>0</v>
      </c>
      <c r="T65" s="113" t="n">
        <v>0</v>
      </c>
      <c r="U65" s="113" t="n">
        <v>130</v>
      </c>
      <c r="V65" s="113" t="n">
        <v>260</v>
      </c>
      <c r="W65" s="113" t="n">
        <v>260</v>
      </c>
      <c r="X65" s="113" t="n">
        <v>260</v>
      </c>
      <c r="Y65" s="113" t="n">
        <v>400</v>
      </c>
      <c r="Z65" s="113" t="n">
        <v>400</v>
      </c>
      <c r="AA65" s="113" t="n">
        <v>660</v>
      </c>
      <c r="AB65" s="113" t="n">
        <v>660</v>
      </c>
      <c r="AC65" s="113" t="n">
        <v>1000</v>
      </c>
      <c r="AD65" s="113" t="n">
        <v>1000</v>
      </c>
      <c r="AE65" s="113" t="n">
        <v>1000</v>
      </c>
      <c r="AF65" s="113" t="n">
        <v>1000</v>
      </c>
      <c r="AG65" s="113" t="n">
        <v>1200</v>
      </c>
      <c r="AI65" s="114" t="n">
        <f aca="false">INDEX($F65:$AG65,1,MATCH(AI$7,$F$7:$AG$7,1))</f>
        <v>0</v>
      </c>
      <c r="AJ65" s="114" t="n">
        <f aca="false">INDEX($F65:$AG65,1,MATCH(AJ$7,$F$7:$AG$7,1))</f>
        <v>0</v>
      </c>
      <c r="AK65" s="114" t="n">
        <f aca="false">INDEX($F65:$AG65,1,MATCH(AK$7,$F$7:$AG$7,1))</f>
        <v>0</v>
      </c>
      <c r="AL65" s="114" t="n">
        <f aca="false">INDEX($F65:$AG65,1,MATCH(AL$7,$F$7:$AG$7,1))</f>
        <v>130</v>
      </c>
      <c r="AM65" s="114" t="n">
        <f aca="false">INDEX($F65:$AG65,1,MATCH(AM$7,$F$7:$AG$7,1))</f>
        <v>400</v>
      </c>
      <c r="AN65" s="114" t="n">
        <f aca="false">INDEX($F65:$AG65,1,MATCH(AN$7,$F$7:$AG$7,1))</f>
        <v>1000</v>
      </c>
      <c r="AO65" s="114" t="n">
        <f aca="false">INDEX($F65:$AG65,1,MATCH(AO$7,$F$7:$AG$7,1))</f>
        <v>1200</v>
      </c>
    </row>
    <row r="66" customFormat="false" ht="15" hidden="false" customHeight="false" outlineLevel="0" collapsed="false">
      <c r="A66" s="112" t="s">
        <v>1702</v>
      </c>
      <c r="B66" s="24" t="s">
        <v>857</v>
      </c>
      <c r="C66" s="24" t="s">
        <v>690</v>
      </c>
      <c r="D66" s="24" t="s">
        <v>1677</v>
      </c>
      <c r="F66" s="113" t="n">
        <v>0</v>
      </c>
      <c r="G66" s="113" t="n">
        <v>0</v>
      </c>
      <c r="H66" s="113" t="n">
        <v>0</v>
      </c>
      <c r="I66" s="113" t="n">
        <v>0</v>
      </c>
      <c r="J66" s="113" t="n">
        <v>0</v>
      </c>
      <c r="K66" s="113" t="n">
        <v>0</v>
      </c>
      <c r="L66" s="113" t="n">
        <v>0</v>
      </c>
      <c r="M66" s="113" t="n">
        <v>0</v>
      </c>
      <c r="N66" s="113" t="n">
        <v>0</v>
      </c>
      <c r="O66" s="113" t="n">
        <v>0</v>
      </c>
      <c r="P66" s="113" t="n">
        <v>0</v>
      </c>
      <c r="Q66" s="113" t="n">
        <v>0</v>
      </c>
      <c r="R66" s="113" t="n">
        <v>0</v>
      </c>
      <c r="S66" s="113" t="n">
        <v>0</v>
      </c>
      <c r="T66" s="113" t="n">
        <v>0</v>
      </c>
      <c r="U66" s="113" t="n">
        <v>130</v>
      </c>
      <c r="V66" s="113" t="n">
        <v>260</v>
      </c>
      <c r="W66" s="113" t="n">
        <v>260</v>
      </c>
      <c r="X66" s="113" t="n">
        <v>260</v>
      </c>
      <c r="Y66" s="113" t="n">
        <v>400</v>
      </c>
      <c r="Z66" s="113" t="n">
        <v>400</v>
      </c>
      <c r="AA66" s="113" t="n">
        <v>660</v>
      </c>
      <c r="AB66" s="113" t="n">
        <v>660</v>
      </c>
      <c r="AC66" s="113" t="n">
        <v>1000</v>
      </c>
      <c r="AD66" s="113" t="n">
        <v>1000</v>
      </c>
      <c r="AE66" s="113" t="n">
        <v>1000</v>
      </c>
      <c r="AF66" s="113" t="n">
        <v>1000</v>
      </c>
      <c r="AG66" s="113" t="n">
        <v>1200</v>
      </c>
      <c r="AI66" s="114" t="n">
        <f aca="false">INDEX($F66:$AG66,1,MATCH(AI$7,$F$7:$AG$7,1))</f>
        <v>0</v>
      </c>
      <c r="AJ66" s="114" t="n">
        <f aca="false">INDEX($F66:$AG66,1,MATCH(AJ$7,$F$7:$AG$7,1))</f>
        <v>0</v>
      </c>
      <c r="AK66" s="114" t="n">
        <f aca="false">INDEX($F66:$AG66,1,MATCH(AK$7,$F$7:$AG$7,1))</f>
        <v>0</v>
      </c>
      <c r="AL66" s="114" t="n">
        <f aca="false">INDEX($F66:$AG66,1,MATCH(AL$7,$F$7:$AG$7,1))</f>
        <v>130</v>
      </c>
      <c r="AM66" s="114" t="n">
        <f aca="false">INDEX($F66:$AG66,1,MATCH(AM$7,$F$7:$AG$7,1))</f>
        <v>400</v>
      </c>
      <c r="AN66" s="114" t="n">
        <f aca="false">INDEX($F66:$AG66,1,MATCH(AN$7,$F$7:$AG$7,1))</f>
        <v>1000</v>
      </c>
      <c r="AO66" s="114" t="n">
        <f aca="false">INDEX($F66:$AG66,1,MATCH(AO$7,$F$7:$AG$7,1))</f>
        <v>1200</v>
      </c>
    </row>
    <row r="67" customFormat="false" ht="15" hidden="false" customHeight="false" outlineLevel="0" collapsed="false">
      <c r="A67" s="112" t="s">
        <v>1703</v>
      </c>
      <c r="B67" s="24" t="s">
        <v>857</v>
      </c>
      <c r="C67" s="24" t="s">
        <v>672</v>
      </c>
      <c r="D67" s="24" t="s">
        <v>1679</v>
      </c>
      <c r="F67" s="114" t="n">
        <f aca="false">IF(CapV=2,N(F66),N(F65))</f>
        <v>0</v>
      </c>
      <c r="G67" s="114" t="n">
        <f aca="false">IF(CapV=2,N(G66),N(G65))</f>
        <v>0</v>
      </c>
      <c r="H67" s="114" t="n">
        <f aca="false">IF(CapV=2,N(H66),N(H65))</f>
        <v>0</v>
      </c>
      <c r="I67" s="114" t="n">
        <f aca="false">IF(CapV=2,N(I66),N(I65))</f>
        <v>0</v>
      </c>
      <c r="J67" s="114" t="n">
        <f aca="false">IF(CapV=2,N(J66),N(J65))</f>
        <v>0</v>
      </c>
      <c r="K67" s="114" t="n">
        <f aca="false">IF(CapV=2,N(K66),N(K65))</f>
        <v>0</v>
      </c>
      <c r="L67" s="114" t="n">
        <f aca="false">IF(CapV=2,N(L66),N(L65))</f>
        <v>0</v>
      </c>
      <c r="M67" s="114" t="n">
        <f aca="false">IF(CapV=2,N(M66),N(M65))</f>
        <v>0</v>
      </c>
      <c r="N67" s="114" t="n">
        <f aca="false">IF(CapV=2,N(N66),N(N65))</f>
        <v>0</v>
      </c>
      <c r="O67" s="114" t="n">
        <f aca="false">IF(CapV=2,N(O66),N(O65))</f>
        <v>0</v>
      </c>
      <c r="P67" s="114" t="n">
        <f aca="false">IF(CapV=2,N(P66),N(P65))</f>
        <v>0</v>
      </c>
      <c r="Q67" s="114" t="n">
        <f aca="false">IF(CapV=2,N(Q66),N(Q65))</f>
        <v>0</v>
      </c>
      <c r="R67" s="114" t="n">
        <f aca="false">IF(CapV=2,N(R66),N(R65))</f>
        <v>0</v>
      </c>
      <c r="S67" s="114" t="n">
        <f aca="false">IF(CapV=2,N(S66),N(S65))</f>
        <v>0</v>
      </c>
      <c r="T67" s="114" t="n">
        <f aca="false">IF(CapV=2,N(T66),N(T65))</f>
        <v>0</v>
      </c>
      <c r="U67" s="114" t="n">
        <f aca="false">IF(CapV=2,N(U66),N(U65))</f>
        <v>130</v>
      </c>
      <c r="V67" s="114" t="n">
        <f aca="false">IF(CapV=2,N(V66),N(V65))</f>
        <v>260</v>
      </c>
      <c r="W67" s="114" t="n">
        <f aca="false">IF(CapV=2,N(W66),N(W65))</f>
        <v>260</v>
      </c>
      <c r="X67" s="114" t="n">
        <f aca="false">IF(CapV=2,N(X66),N(X65))</f>
        <v>260</v>
      </c>
      <c r="Y67" s="114" t="n">
        <f aca="false">IF(CapV=2,N(Y66),N(Y65))</f>
        <v>400</v>
      </c>
      <c r="Z67" s="114" t="n">
        <f aca="false">IF(CapV=2,N(Z66),N(Z65))</f>
        <v>400</v>
      </c>
      <c r="AA67" s="114" t="n">
        <f aca="false">IF(CapV=2,N(AA66),N(AA65))</f>
        <v>660</v>
      </c>
      <c r="AB67" s="114" t="n">
        <f aca="false">IF(CapV=2,N(AB66),N(AB65))</f>
        <v>660</v>
      </c>
      <c r="AC67" s="114" t="n">
        <f aca="false">IF(CapV=2,N(AC66),N(AC65))</f>
        <v>1000</v>
      </c>
      <c r="AD67" s="114" t="n">
        <f aca="false">IF(CapV=2,N(AD66),N(AD65))</f>
        <v>1000</v>
      </c>
      <c r="AE67" s="114" t="n">
        <f aca="false">IF(CapV=2,N(AE66),N(AE65))</f>
        <v>1000</v>
      </c>
      <c r="AF67" s="114" t="n">
        <f aca="false">IF(CapV=2,N(AF66),N(AF65))</f>
        <v>1000</v>
      </c>
      <c r="AG67" s="114" t="n">
        <f aca="false">IF(CapV=2,N(AG66),N(AG65))</f>
        <v>1200</v>
      </c>
      <c r="AI67" s="114" t="n">
        <f aca="false">INDEX($F67:$AG67,1,MATCH(AI$7,$F$7:$AG$7,1))</f>
        <v>0</v>
      </c>
      <c r="AJ67" s="114" t="n">
        <f aca="false">INDEX($F67:$AG67,1,MATCH(AJ$7,$F$7:$AG$7,1))</f>
        <v>0</v>
      </c>
      <c r="AK67" s="114" t="n">
        <f aca="false">INDEX($F67:$AG67,1,MATCH(AK$7,$F$7:$AG$7,1))</f>
        <v>0</v>
      </c>
      <c r="AL67" s="114" t="n">
        <f aca="false">INDEX($F67:$AG67,1,MATCH(AL$7,$F$7:$AG$7,1))</f>
        <v>130</v>
      </c>
      <c r="AM67" s="114" t="n">
        <f aca="false">INDEX($F67:$AG67,1,MATCH(AM$7,$F$7:$AG$7,1))</f>
        <v>400</v>
      </c>
      <c r="AN67" s="114" t="n">
        <f aca="false">INDEX($F67:$AG67,1,MATCH(AN$7,$F$7:$AG$7,1))</f>
        <v>1000</v>
      </c>
      <c r="AO67" s="114" t="n">
        <f aca="false">INDEX($F67:$AG67,1,MATCH(AO$7,$F$7:$AG$7,1))</f>
        <v>1200</v>
      </c>
    </row>
    <row r="68" customFormat="false" ht="15" hidden="false" customHeight="false" outlineLevel="0" collapsed="false">
      <c r="A68" s="112" t="s">
        <v>1704</v>
      </c>
      <c r="B68" s="24" t="s">
        <v>857</v>
      </c>
      <c r="C68" s="24" t="s">
        <v>690</v>
      </c>
      <c r="D68" s="24" t="s">
        <v>1675</v>
      </c>
      <c r="F68" s="113" t="n">
        <v>0</v>
      </c>
      <c r="G68" s="113" t="n">
        <v>0</v>
      </c>
      <c r="H68" s="113" t="n">
        <v>0</v>
      </c>
      <c r="I68" s="113" t="n">
        <v>0</v>
      </c>
      <c r="J68" s="113" t="n">
        <v>0</v>
      </c>
      <c r="K68" s="113" t="n">
        <v>0</v>
      </c>
      <c r="L68" s="113" t="n">
        <v>0</v>
      </c>
      <c r="M68" s="113" t="n">
        <v>0</v>
      </c>
      <c r="N68" s="113" t="n">
        <v>0</v>
      </c>
      <c r="O68" s="113" t="n">
        <v>0</v>
      </c>
      <c r="P68" s="113" t="n">
        <v>0</v>
      </c>
      <c r="Q68" s="113" t="n">
        <v>0</v>
      </c>
      <c r="R68" s="113" t="n">
        <v>0</v>
      </c>
      <c r="S68" s="113" t="n">
        <v>0</v>
      </c>
      <c r="T68" s="113" t="n">
        <v>25</v>
      </c>
      <c r="U68" s="113" t="n">
        <v>50</v>
      </c>
      <c r="V68" s="113" t="n">
        <v>50</v>
      </c>
      <c r="W68" s="113" t="n">
        <v>100</v>
      </c>
      <c r="X68" s="113" t="n">
        <v>100</v>
      </c>
      <c r="Y68" s="113" t="n">
        <v>200</v>
      </c>
      <c r="Z68" s="113" t="n">
        <v>200</v>
      </c>
      <c r="AA68" s="113" t="n">
        <v>200</v>
      </c>
      <c r="AB68" s="113" t="n">
        <v>200</v>
      </c>
      <c r="AC68" s="113" t="n">
        <v>300</v>
      </c>
      <c r="AD68" s="113" t="n">
        <v>300</v>
      </c>
      <c r="AE68" s="113" t="n">
        <v>300</v>
      </c>
      <c r="AF68" s="113" t="n">
        <v>300</v>
      </c>
      <c r="AG68" s="113" t="n">
        <v>300</v>
      </c>
      <c r="AI68" s="114" t="n">
        <f aca="false">INDEX($F68:$AG68,1,MATCH(AI$7,$F$7:$AG$7,1))</f>
        <v>0</v>
      </c>
      <c r="AJ68" s="114" t="n">
        <f aca="false">INDEX($F68:$AG68,1,MATCH(AJ$7,$F$7:$AG$7,1))</f>
        <v>0</v>
      </c>
      <c r="AK68" s="114" t="n">
        <f aca="false">INDEX($F68:$AG68,1,MATCH(AK$7,$F$7:$AG$7,1))</f>
        <v>0</v>
      </c>
      <c r="AL68" s="114" t="n">
        <f aca="false">INDEX($F68:$AG68,1,MATCH(AL$7,$F$7:$AG$7,1))</f>
        <v>50</v>
      </c>
      <c r="AM68" s="114" t="n">
        <f aca="false">INDEX($F68:$AG68,1,MATCH(AM$7,$F$7:$AG$7,1))</f>
        <v>200</v>
      </c>
      <c r="AN68" s="114" t="n">
        <f aca="false">INDEX($F68:$AG68,1,MATCH(AN$7,$F$7:$AG$7,1))</f>
        <v>300</v>
      </c>
      <c r="AO68" s="114" t="n">
        <f aca="false">INDEX($F68:$AG68,1,MATCH(AO$7,$F$7:$AG$7,1))</f>
        <v>300</v>
      </c>
    </row>
    <row r="69" customFormat="false" ht="15" hidden="false" customHeight="false" outlineLevel="0" collapsed="false">
      <c r="A69" s="112" t="s">
        <v>1705</v>
      </c>
      <c r="B69" s="24" t="s">
        <v>857</v>
      </c>
      <c r="C69" s="24" t="s">
        <v>690</v>
      </c>
      <c r="D69" s="24" t="s">
        <v>1677</v>
      </c>
      <c r="F69" s="113" t="n">
        <v>0</v>
      </c>
      <c r="G69" s="113" t="n">
        <v>0</v>
      </c>
      <c r="H69" s="113" t="n">
        <v>0</v>
      </c>
      <c r="I69" s="113" t="n">
        <v>0</v>
      </c>
      <c r="J69" s="113" t="n">
        <v>0</v>
      </c>
      <c r="K69" s="113" t="n">
        <v>0</v>
      </c>
      <c r="L69" s="113" t="n">
        <v>0</v>
      </c>
      <c r="M69" s="113" t="n">
        <v>0</v>
      </c>
      <c r="N69" s="113" t="n">
        <v>0</v>
      </c>
      <c r="O69" s="113" t="n">
        <v>0</v>
      </c>
      <c r="P69" s="113" t="n">
        <v>0</v>
      </c>
      <c r="Q69" s="113" t="n">
        <v>0</v>
      </c>
      <c r="R69" s="113" t="n">
        <v>0</v>
      </c>
      <c r="S69" s="113" t="n">
        <v>0</v>
      </c>
      <c r="T69" s="113" t="n">
        <v>25</v>
      </c>
      <c r="U69" s="113" t="n">
        <v>50</v>
      </c>
      <c r="V69" s="113" t="n">
        <v>50</v>
      </c>
      <c r="W69" s="113" t="n">
        <v>100</v>
      </c>
      <c r="X69" s="113" t="n">
        <v>100</v>
      </c>
      <c r="Y69" s="113" t="n">
        <v>200</v>
      </c>
      <c r="Z69" s="113" t="n">
        <v>200</v>
      </c>
      <c r="AA69" s="113" t="n">
        <v>200</v>
      </c>
      <c r="AB69" s="113" t="n">
        <v>200</v>
      </c>
      <c r="AC69" s="113" t="n">
        <v>300</v>
      </c>
      <c r="AD69" s="113" t="n">
        <v>300</v>
      </c>
      <c r="AE69" s="113" t="n">
        <v>300</v>
      </c>
      <c r="AF69" s="113" t="n">
        <v>300</v>
      </c>
      <c r="AG69" s="113" t="n">
        <v>300</v>
      </c>
      <c r="AI69" s="114" t="n">
        <f aca="false">INDEX($F69:$AG69,1,MATCH(AI$7,$F$7:$AG$7,1))</f>
        <v>0</v>
      </c>
      <c r="AJ69" s="114" t="n">
        <f aca="false">INDEX($F69:$AG69,1,MATCH(AJ$7,$F$7:$AG$7,1))</f>
        <v>0</v>
      </c>
      <c r="AK69" s="114" t="n">
        <f aca="false">INDEX($F69:$AG69,1,MATCH(AK$7,$F$7:$AG$7,1))</f>
        <v>0</v>
      </c>
      <c r="AL69" s="114" t="n">
        <f aca="false">INDEX($F69:$AG69,1,MATCH(AL$7,$F$7:$AG$7,1))</f>
        <v>50</v>
      </c>
      <c r="AM69" s="114" t="n">
        <f aca="false">INDEX($F69:$AG69,1,MATCH(AM$7,$F$7:$AG$7,1))</f>
        <v>200</v>
      </c>
      <c r="AN69" s="114" t="n">
        <f aca="false">INDEX($F69:$AG69,1,MATCH(AN$7,$F$7:$AG$7,1))</f>
        <v>300</v>
      </c>
      <c r="AO69" s="114" t="n">
        <f aca="false">INDEX($F69:$AG69,1,MATCH(AO$7,$F$7:$AG$7,1))</f>
        <v>300</v>
      </c>
    </row>
    <row r="70" customFormat="false" ht="15" hidden="false" customHeight="false" outlineLevel="0" collapsed="false">
      <c r="A70" s="112" t="s">
        <v>1706</v>
      </c>
      <c r="B70" s="24" t="s">
        <v>857</v>
      </c>
      <c r="C70" s="24" t="s">
        <v>672</v>
      </c>
      <c r="D70" s="24" t="s">
        <v>1679</v>
      </c>
      <c r="F70" s="114" t="n">
        <f aca="false">IF(CapV=2,N(F69),N(F68))</f>
        <v>0</v>
      </c>
      <c r="G70" s="114" t="n">
        <f aca="false">IF(CapV=2,N(G69),N(G68))</f>
        <v>0</v>
      </c>
      <c r="H70" s="114" t="n">
        <f aca="false">IF(CapV=2,N(H69),N(H68))</f>
        <v>0</v>
      </c>
      <c r="I70" s="114" t="n">
        <f aca="false">IF(CapV=2,N(I69),N(I68))</f>
        <v>0</v>
      </c>
      <c r="J70" s="114" t="n">
        <f aca="false">IF(CapV=2,N(J69),N(J68))</f>
        <v>0</v>
      </c>
      <c r="K70" s="114" t="n">
        <f aca="false">IF(CapV=2,N(K69),N(K68))</f>
        <v>0</v>
      </c>
      <c r="L70" s="114" t="n">
        <f aca="false">IF(CapV=2,N(L69),N(L68))</f>
        <v>0</v>
      </c>
      <c r="M70" s="114" t="n">
        <f aca="false">IF(CapV=2,N(M69),N(M68))</f>
        <v>0</v>
      </c>
      <c r="N70" s="114" t="n">
        <f aca="false">IF(CapV=2,N(N69),N(N68))</f>
        <v>0</v>
      </c>
      <c r="O70" s="114" t="n">
        <f aca="false">IF(CapV=2,N(O69),N(O68))</f>
        <v>0</v>
      </c>
      <c r="P70" s="114" t="n">
        <f aca="false">IF(CapV=2,N(P69),N(P68))</f>
        <v>0</v>
      </c>
      <c r="Q70" s="114" t="n">
        <f aca="false">IF(CapV=2,N(Q69),N(Q68))</f>
        <v>0</v>
      </c>
      <c r="R70" s="114" t="n">
        <f aca="false">IF(CapV=2,N(R69),N(R68))</f>
        <v>0</v>
      </c>
      <c r="S70" s="114" t="n">
        <f aca="false">IF(CapV=2,N(S69),N(S68))</f>
        <v>0</v>
      </c>
      <c r="T70" s="114" t="n">
        <f aca="false">IF(CapV=2,N(T69),N(T68))</f>
        <v>25</v>
      </c>
      <c r="U70" s="114" t="n">
        <f aca="false">IF(CapV=2,N(U69),N(U68))</f>
        <v>50</v>
      </c>
      <c r="V70" s="114" t="n">
        <f aca="false">IF(CapV=2,N(V69),N(V68))</f>
        <v>50</v>
      </c>
      <c r="W70" s="114" t="n">
        <f aca="false">IF(CapV=2,N(W69),N(W68))</f>
        <v>100</v>
      </c>
      <c r="X70" s="114" t="n">
        <f aca="false">IF(CapV=2,N(X69),N(X68))</f>
        <v>100</v>
      </c>
      <c r="Y70" s="114" t="n">
        <f aca="false">IF(CapV=2,N(Y69),N(Y68))</f>
        <v>200</v>
      </c>
      <c r="Z70" s="114" t="n">
        <f aca="false">IF(CapV=2,N(Z69),N(Z68))</f>
        <v>200</v>
      </c>
      <c r="AA70" s="114" t="n">
        <f aca="false">IF(CapV=2,N(AA69),N(AA68))</f>
        <v>200</v>
      </c>
      <c r="AB70" s="114" t="n">
        <f aca="false">IF(CapV=2,N(AB69),N(AB68))</f>
        <v>200</v>
      </c>
      <c r="AC70" s="114" t="n">
        <f aca="false">IF(CapV=2,N(AC69),N(AC68))</f>
        <v>300</v>
      </c>
      <c r="AD70" s="114" t="n">
        <f aca="false">IF(CapV=2,N(AD69),N(AD68))</f>
        <v>300</v>
      </c>
      <c r="AE70" s="114" t="n">
        <f aca="false">IF(CapV=2,N(AE69),N(AE68))</f>
        <v>300</v>
      </c>
      <c r="AF70" s="114" t="n">
        <f aca="false">IF(CapV=2,N(AF69),N(AF68))</f>
        <v>300</v>
      </c>
      <c r="AG70" s="114" t="n">
        <f aca="false">IF(CapV=2,N(AG69),N(AG68))</f>
        <v>300</v>
      </c>
      <c r="AI70" s="114" t="n">
        <f aca="false">INDEX($F70:$AG70,1,MATCH(AI$7,$F$7:$AG$7,1))</f>
        <v>0</v>
      </c>
      <c r="AJ70" s="114" t="n">
        <f aca="false">INDEX($F70:$AG70,1,MATCH(AJ$7,$F$7:$AG$7,1))</f>
        <v>0</v>
      </c>
      <c r="AK70" s="114" t="n">
        <f aca="false">INDEX($F70:$AG70,1,MATCH(AK$7,$F$7:$AG$7,1))</f>
        <v>0</v>
      </c>
      <c r="AL70" s="114" t="n">
        <f aca="false">INDEX($F70:$AG70,1,MATCH(AL$7,$F$7:$AG$7,1))</f>
        <v>50</v>
      </c>
      <c r="AM70" s="114" t="n">
        <f aca="false">INDEX($F70:$AG70,1,MATCH(AM$7,$F$7:$AG$7,1))</f>
        <v>200</v>
      </c>
      <c r="AN70" s="114" t="n">
        <f aca="false">INDEX($F70:$AG70,1,MATCH(AN$7,$F$7:$AG$7,1))</f>
        <v>300</v>
      </c>
      <c r="AO70" s="114" t="n">
        <f aca="false">INDEX($F70:$AG70,1,MATCH(AO$7,$F$7:$AG$7,1))</f>
        <v>300</v>
      </c>
    </row>
    <row r="71" customFormat="false" ht="15" hidden="false" customHeight="false" outlineLevel="0" collapsed="false">
      <c r="A71" s="112" t="s">
        <v>1707</v>
      </c>
      <c r="B71" s="24" t="s">
        <v>857</v>
      </c>
      <c r="C71" s="24" t="s">
        <v>690</v>
      </c>
      <c r="D71" s="24" t="s">
        <v>1675</v>
      </c>
      <c r="F71" s="113" t="n">
        <v>0</v>
      </c>
      <c r="G71" s="113" t="n">
        <v>0</v>
      </c>
      <c r="H71" s="113" t="n">
        <v>0</v>
      </c>
      <c r="I71" s="113" t="n">
        <v>0</v>
      </c>
      <c r="J71" s="113" t="n">
        <v>0</v>
      </c>
      <c r="K71" s="113" t="n">
        <v>0</v>
      </c>
      <c r="L71" s="113" t="n">
        <v>0</v>
      </c>
      <c r="M71" s="113" t="n">
        <v>0</v>
      </c>
      <c r="N71" s="113" t="n">
        <v>0</v>
      </c>
      <c r="O71" s="113" t="n">
        <v>0</v>
      </c>
      <c r="P71" s="113" t="n">
        <v>0</v>
      </c>
      <c r="Q71" s="113" t="n">
        <v>0</v>
      </c>
      <c r="R71" s="113" t="n">
        <v>12.5</v>
      </c>
      <c r="S71" s="113" t="n">
        <v>25</v>
      </c>
      <c r="T71" s="113" t="n">
        <v>50</v>
      </c>
      <c r="U71" s="113" t="n">
        <v>75</v>
      </c>
      <c r="V71" s="113" t="n">
        <v>75</v>
      </c>
      <c r="W71" s="113" t="n">
        <v>150</v>
      </c>
      <c r="X71" s="113" t="n">
        <v>150</v>
      </c>
      <c r="Y71" s="113" t="n">
        <v>250</v>
      </c>
      <c r="Z71" s="113" t="n">
        <v>250</v>
      </c>
      <c r="AA71" s="113" t="n">
        <v>250</v>
      </c>
      <c r="AB71" s="113" t="n">
        <v>250</v>
      </c>
      <c r="AC71" s="113" t="n">
        <v>300</v>
      </c>
      <c r="AD71" s="113" t="n">
        <v>300</v>
      </c>
      <c r="AE71" s="113" t="n">
        <v>300</v>
      </c>
      <c r="AF71" s="113" t="n">
        <v>300</v>
      </c>
      <c r="AG71" s="113" t="n">
        <v>300</v>
      </c>
      <c r="AI71" s="114" t="n">
        <f aca="false">INDEX($F71:$AG71,1,MATCH(AI$7,$F$7:$AG$7,1))</f>
        <v>0</v>
      </c>
      <c r="AJ71" s="114" t="n">
        <f aca="false">INDEX($F71:$AG71,1,MATCH(AJ$7,$F$7:$AG$7,1))</f>
        <v>0</v>
      </c>
      <c r="AK71" s="114" t="n">
        <f aca="false">INDEX($F71:$AG71,1,MATCH(AK$7,$F$7:$AG$7,1))</f>
        <v>0</v>
      </c>
      <c r="AL71" s="114" t="n">
        <f aca="false">INDEX($F71:$AG71,1,MATCH(AL$7,$F$7:$AG$7,1))</f>
        <v>75</v>
      </c>
      <c r="AM71" s="114" t="n">
        <f aca="false">INDEX($F71:$AG71,1,MATCH(AM$7,$F$7:$AG$7,1))</f>
        <v>250</v>
      </c>
      <c r="AN71" s="114" t="n">
        <f aca="false">INDEX($F71:$AG71,1,MATCH(AN$7,$F$7:$AG$7,1))</f>
        <v>300</v>
      </c>
      <c r="AO71" s="114" t="n">
        <f aca="false">INDEX($F71:$AG71,1,MATCH(AO$7,$F$7:$AG$7,1))</f>
        <v>300</v>
      </c>
    </row>
    <row r="72" customFormat="false" ht="15" hidden="false" customHeight="false" outlineLevel="0" collapsed="false">
      <c r="A72" s="112" t="s">
        <v>1708</v>
      </c>
      <c r="B72" s="24" t="s">
        <v>857</v>
      </c>
      <c r="C72" s="24" t="s">
        <v>690</v>
      </c>
      <c r="D72" s="24" t="s">
        <v>1677</v>
      </c>
      <c r="F72" s="113" t="n">
        <v>0</v>
      </c>
      <c r="G72" s="113" t="n">
        <v>0</v>
      </c>
      <c r="H72" s="113" t="n">
        <v>0</v>
      </c>
      <c r="I72" s="113" t="n">
        <v>0</v>
      </c>
      <c r="J72" s="113" t="n">
        <v>0</v>
      </c>
      <c r="K72" s="113" t="n">
        <v>0</v>
      </c>
      <c r="L72" s="113" t="n">
        <v>0</v>
      </c>
      <c r="M72" s="113" t="n">
        <v>0</v>
      </c>
      <c r="N72" s="113" t="n">
        <v>0</v>
      </c>
      <c r="O72" s="113" t="n">
        <v>0</v>
      </c>
      <c r="P72" s="113" t="n">
        <v>0</v>
      </c>
      <c r="Q72" s="113" t="n">
        <v>0</v>
      </c>
      <c r="R72" s="113" t="n">
        <v>12.5</v>
      </c>
      <c r="S72" s="113" t="n">
        <v>25</v>
      </c>
      <c r="T72" s="113" t="n">
        <v>50</v>
      </c>
      <c r="U72" s="113" t="n">
        <v>75</v>
      </c>
      <c r="V72" s="113" t="n">
        <v>75</v>
      </c>
      <c r="W72" s="113" t="n">
        <v>150</v>
      </c>
      <c r="X72" s="113" t="n">
        <v>150</v>
      </c>
      <c r="Y72" s="113" t="n">
        <v>250</v>
      </c>
      <c r="Z72" s="113" t="n">
        <v>250</v>
      </c>
      <c r="AA72" s="113" t="n">
        <v>250</v>
      </c>
      <c r="AB72" s="113" t="n">
        <v>250</v>
      </c>
      <c r="AC72" s="113" t="n">
        <v>300</v>
      </c>
      <c r="AD72" s="113" t="n">
        <v>300</v>
      </c>
      <c r="AE72" s="113" t="n">
        <v>300</v>
      </c>
      <c r="AF72" s="113" t="n">
        <v>300</v>
      </c>
      <c r="AG72" s="113" t="n">
        <v>300</v>
      </c>
      <c r="AI72" s="114" t="n">
        <f aca="false">INDEX($F72:$AG72,1,MATCH(AI$7,$F$7:$AG$7,1))</f>
        <v>0</v>
      </c>
      <c r="AJ72" s="114" t="n">
        <f aca="false">INDEX($F72:$AG72,1,MATCH(AJ$7,$F$7:$AG$7,1))</f>
        <v>0</v>
      </c>
      <c r="AK72" s="114" t="n">
        <f aca="false">INDEX($F72:$AG72,1,MATCH(AK$7,$F$7:$AG$7,1))</f>
        <v>0</v>
      </c>
      <c r="AL72" s="114" t="n">
        <f aca="false">INDEX($F72:$AG72,1,MATCH(AL$7,$F$7:$AG$7,1))</f>
        <v>75</v>
      </c>
      <c r="AM72" s="114" t="n">
        <f aca="false">INDEX($F72:$AG72,1,MATCH(AM$7,$F$7:$AG$7,1))</f>
        <v>250</v>
      </c>
      <c r="AN72" s="114" t="n">
        <f aca="false">INDEX($F72:$AG72,1,MATCH(AN$7,$F$7:$AG$7,1))</f>
        <v>300</v>
      </c>
      <c r="AO72" s="114" t="n">
        <f aca="false">INDEX($F72:$AG72,1,MATCH(AO$7,$F$7:$AG$7,1))</f>
        <v>300</v>
      </c>
    </row>
    <row r="73" customFormat="false" ht="15" hidden="false" customHeight="false" outlineLevel="0" collapsed="false">
      <c r="A73" s="112" t="s">
        <v>1709</v>
      </c>
      <c r="B73" s="24" t="s">
        <v>857</v>
      </c>
      <c r="C73" s="24" t="s">
        <v>672</v>
      </c>
      <c r="D73" s="24" t="s">
        <v>1679</v>
      </c>
      <c r="F73" s="114" t="n">
        <f aca="false">IF(CapV=2,N(F72),N(F71))</f>
        <v>0</v>
      </c>
      <c r="G73" s="114" t="n">
        <f aca="false">IF(CapV=2,N(G72),N(G71))</f>
        <v>0</v>
      </c>
      <c r="H73" s="114" t="n">
        <f aca="false">IF(CapV=2,N(H72),N(H71))</f>
        <v>0</v>
      </c>
      <c r="I73" s="114" t="n">
        <f aca="false">IF(CapV=2,N(I72),N(I71))</f>
        <v>0</v>
      </c>
      <c r="J73" s="114" t="n">
        <f aca="false">IF(CapV=2,N(J72),N(J71))</f>
        <v>0</v>
      </c>
      <c r="K73" s="114" t="n">
        <f aca="false">IF(CapV=2,N(K72),N(K71))</f>
        <v>0</v>
      </c>
      <c r="L73" s="114" t="n">
        <f aca="false">IF(CapV=2,N(L72),N(L71))</f>
        <v>0</v>
      </c>
      <c r="M73" s="114" t="n">
        <f aca="false">IF(CapV=2,N(M72),N(M71))</f>
        <v>0</v>
      </c>
      <c r="N73" s="114" t="n">
        <f aca="false">IF(CapV=2,N(N72),N(N71))</f>
        <v>0</v>
      </c>
      <c r="O73" s="114" t="n">
        <f aca="false">IF(CapV=2,N(O72),N(O71))</f>
        <v>0</v>
      </c>
      <c r="P73" s="114" t="n">
        <f aca="false">IF(CapV=2,N(P72),N(P71))</f>
        <v>0</v>
      </c>
      <c r="Q73" s="114" t="n">
        <f aca="false">IF(CapV=2,N(Q72),N(Q71))</f>
        <v>0</v>
      </c>
      <c r="R73" s="114" t="n">
        <f aca="false">IF(CapV=2,N(R72),N(R71))</f>
        <v>12.5</v>
      </c>
      <c r="S73" s="114" t="n">
        <f aca="false">IF(CapV=2,N(S72),N(S71))</f>
        <v>25</v>
      </c>
      <c r="T73" s="114" t="n">
        <f aca="false">IF(CapV=2,N(T72),N(T71))</f>
        <v>50</v>
      </c>
      <c r="U73" s="114" t="n">
        <f aca="false">IF(CapV=2,N(U72),N(U71))</f>
        <v>75</v>
      </c>
      <c r="V73" s="114" t="n">
        <f aca="false">IF(CapV=2,N(V72),N(V71))</f>
        <v>75</v>
      </c>
      <c r="W73" s="114" t="n">
        <f aca="false">IF(CapV=2,N(W72),N(W71))</f>
        <v>150</v>
      </c>
      <c r="X73" s="114" t="n">
        <f aca="false">IF(CapV=2,N(X72),N(X71))</f>
        <v>150</v>
      </c>
      <c r="Y73" s="114" t="n">
        <f aca="false">IF(CapV=2,N(Y72),N(Y71))</f>
        <v>250</v>
      </c>
      <c r="Z73" s="114" t="n">
        <f aca="false">IF(CapV=2,N(Z72),N(Z71))</f>
        <v>250</v>
      </c>
      <c r="AA73" s="114" t="n">
        <f aca="false">IF(CapV=2,N(AA72),N(AA71))</f>
        <v>250</v>
      </c>
      <c r="AB73" s="114" t="n">
        <f aca="false">IF(CapV=2,N(AB72),N(AB71))</f>
        <v>250</v>
      </c>
      <c r="AC73" s="114" t="n">
        <f aca="false">IF(CapV=2,N(AC72),N(AC71))</f>
        <v>300</v>
      </c>
      <c r="AD73" s="114" t="n">
        <f aca="false">IF(CapV=2,N(AD72),N(AD71))</f>
        <v>300</v>
      </c>
      <c r="AE73" s="114" t="n">
        <f aca="false">IF(CapV=2,N(AE72),N(AE71))</f>
        <v>300</v>
      </c>
      <c r="AF73" s="114" t="n">
        <f aca="false">IF(CapV=2,N(AF72),N(AF71))</f>
        <v>300</v>
      </c>
      <c r="AG73" s="114" t="n">
        <f aca="false">IF(CapV=2,N(AG72),N(AG71))</f>
        <v>300</v>
      </c>
      <c r="AI73" s="114" t="n">
        <f aca="false">INDEX($F73:$AG73,1,MATCH(AI$7,$F$7:$AG$7,1))</f>
        <v>0</v>
      </c>
      <c r="AJ73" s="114" t="n">
        <f aca="false">INDEX($F73:$AG73,1,MATCH(AJ$7,$F$7:$AG$7,1))</f>
        <v>0</v>
      </c>
      <c r="AK73" s="114" t="n">
        <f aca="false">INDEX($F73:$AG73,1,MATCH(AK$7,$F$7:$AG$7,1))</f>
        <v>0</v>
      </c>
      <c r="AL73" s="114" t="n">
        <f aca="false">INDEX($F73:$AG73,1,MATCH(AL$7,$F$7:$AG$7,1))</f>
        <v>75</v>
      </c>
      <c r="AM73" s="114" t="n">
        <f aca="false">INDEX($F73:$AG73,1,MATCH(AM$7,$F$7:$AG$7,1))</f>
        <v>250</v>
      </c>
      <c r="AN73" s="114" t="n">
        <f aca="false">INDEX($F73:$AG73,1,MATCH(AN$7,$F$7:$AG$7,1))</f>
        <v>300</v>
      </c>
      <c r="AO73" s="114" t="n">
        <f aca="false">INDEX($F73:$AG73,1,MATCH(AO$7,$F$7:$AG$7,1))</f>
        <v>300</v>
      </c>
    </row>
    <row r="74" customFormat="false" ht="15" hidden="false" customHeight="false" outlineLevel="0" collapsed="false">
      <c r="A74" s="112" t="s">
        <v>1710</v>
      </c>
      <c r="B74" s="24" t="s">
        <v>857</v>
      </c>
      <c r="C74" s="24" t="s">
        <v>690</v>
      </c>
      <c r="D74" s="24" t="s">
        <v>1675</v>
      </c>
      <c r="F74" s="113" t="n">
        <v>0</v>
      </c>
      <c r="G74" s="113" t="n">
        <v>0</v>
      </c>
      <c r="H74" s="113" t="n">
        <v>0</v>
      </c>
      <c r="I74" s="113" t="n">
        <v>0</v>
      </c>
      <c r="J74" s="113" t="n">
        <v>0</v>
      </c>
      <c r="K74" s="113" t="n">
        <v>0</v>
      </c>
      <c r="L74" s="113" t="n">
        <v>0</v>
      </c>
      <c r="M74" s="113" t="n">
        <v>0</v>
      </c>
      <c r="N74" s="113" t="n">
        <v>0</v>
      </c>
      <c r="O74" s="113" t="n">
        <v>0</v>
      </c>
      <c r="P74" s="113" t="n">
        <v>0</v>
      </c>
      <c r="Q74" s="113" t="n">
        <v>0</v>
      </c>
      <c r="R74" s="113" t="n">
        <v>25</v>
      </c>
      <c r="S74" s="113" t="n">
        <v>50</v>
      </c>
      <c r="T74" s="113" t="n">
        <v>75</v>
      </c>
      <c r="U74" s="113" t="n">
        <v>100</v>
      </c>
      <c r="V74" s="113" t="n">
        <v>100</v>
      </c>
      <c r="W74" s="113" t="n">
        <v>200</v>
      </c>
      <c r="X74" s="113" t="n">
        <v>200</v>
      </c>
      <c r="Y74" s="113" t="n">
        <v>300</v>
      </c>
      <c r="Z74" s="113" t="n">
        <v>300</v>
      </c>
      <c r="AA74" s="113" t="n">
        <v>300</v>
      </c>
      <c r="AB74" s="113" t="n">
        <v>300</v>
      </c>
      <c r="AC74" s="113" t="n">
        <v>300</v>
      </c>
      <c r="AD74" s="113" t="n">
        <v>300</v>
      </c>
      <c r="AE74" s="113" t="n">
        <v>300</v>
      </c>
      <c r="AF74" s="113" t="n">
        <v>300</v>
      </c>
      <c r="AG74" s="113" t="n">
        <v>300</v>
      </c>
      <c r="AI74" s="114" t="n">
        <f aca="false">INDEX($F74:$AG74,1,MATCH(AI$7,$F$7:$AG$7,1))</f>
        <v>0</v>
      </c>
      <c r="AJ74" s="114" t="n">
        <f aca="false">INDEX($F74:$AG74,1,MATCH(AJ$7,$F$7:$AG$7,1))</f>
        <v>0</v>
      </c>
      <c r="AK74" s="114" t="n">
        <f aca="false">INDEX($F74:$AG74,1,MATCH(AK$7,$F$7:$AG$7,1))</f>
        <v>0</v>
      </c>
      <c r="AL74" s="114" t="n">
        <f aca="false">INDEX($F74:$AG74,1,MATCH(AL$7,$F$7:$AG$7,1))</f>
        <v>100</v>
      </c>
      <c r="AM74" s="114" t="n">
        <f aca="false">INDEX($F74:$AG74,1,MATCH(AM$7,$F$7:$AG$7,1))</f>
        <v>300</v>
      </c>
      <c r="AN74" s="114" t="n">
        <f aca="false">INDEX($F74:$AG74,1,MATCH(AN$7,$F$7:$AG$7,1))</f>
        <v>300</v>
      </c>
      <c r="AO74" s="114" t="n">
        <f aca="false">INDEX($F74:$AG74,1,MATCH(AO$7,$F$7:$AG$7,1))</f>
        <v>300</v>
      </c>
    </row>
    <row r="75" customFormat="false" ht="15" hidden="false" customHeight="false" outlineLevel="0" collapsed="false">
      <c r="A75" s="112" t="s">
        <v>1711</v>
      </c>
      <c r="B75" s="24" t="s">
        <v>857</v>
      </c>
      <c r="C75" s="24" t="s">
        <v>690</v>
      </c>
      <c r="D75" s="24" t="s">
        <v>1677</v>
      </c>
      <c r="F75" s="113" t="n">
        <v>0</v>
      </c>
      <c r="G75" s="113" t="n">
        <v>0</v>
      </c>
      <c r="H75" s="113" t="n">
        <v>0</v>
      </c>
      <c r="I75" s="113" t="n">
        <v>0</v>
      </c>
      <c r="J75" s="113" t="n">
        <v>0</v>
      </c>
      <c r="K75" s="113" t="n">
        <v>0</v>
      </c>
      <c r="L75" s="113" t="n">
        <v>0</v>
      </c>
      <c r="M75" s="113" t="n">
        <v>0</v>
      </c>
      <c r="N75" s="113" t="n">
        <v>0</v>
      </c>
      <c r="O75" s="113" t="n">
        <v>0</v>
      </c>
      <c r="P75" s="113" t="n">
        <v>0</v>
      </c>
      <c r="Q75" s="113" t="n">
        <v>0</v>
      </c>
      <c r="R75" s="113" t="n">
        <v>25</v>
      </c>
      <c r="S75" s="113" t="n">
        <v>50</v>
      </c>
      <c r="T75" s="113" t="n">
        <v>75</v>
      </c>
      <c r="U75" s="113" t="n">
        <v>100</v>
      </c>
      <c r="V75" s="113" t="n">
        <v>100</v>
      </c>
      <c r="W75" s="113" t="n">
        <v>200</v>
      </c>
      <c r="X75" s="113" t="n">
        <v>200</v>
      </c>
      <c r="Y75" s="113" t="n">
        <v>300</v>
      </c>
      <c r="Z75" s="113" t="n">
        <v>300</v>
      </c>
      <c r="AA75" s="113" t="n">
        <v>300</v>
      </c>
      <c r="AB75" s="113" t="n">
        <v>300</v>
      </c>
      <c r="AC75" s="113" t="n">
        <v>300</v>
      </c>
      <c r="AD75" s="113" t="n">
        <v>300</v>
      </c>
      <c r="AE75" s="113" t="n">
        <v>300</v>
      </c>
      <c r="AF75" s="113" t="n">
        <v>300</v>
      </c>
      <c r="AG75" s="113" t="n">
        <v>300</v>
      </c>
      <c r="AI75" s="114" t="n">
        <f aca="false">INDEX($F75:$AG75,1,MATCH(AI$7,$F$7:$AG$7,1))</f>
        <v>0</v>
      </c>
      <c r="AJ75" s="114" t="n">
        <f aca="false">INDEX($F75:$AG75,1,MATCH(AJ$7,$F$7:$AG$7,1))</f>
        <v>0</v>
      </c>
      <c r="AK75" s="114" t="n">
        <f aca="false">INDEX($F75:$AG75,1,MATCH(AK$7,$F$7:$AG$7,1))</f>
        <v>0</v>
      </c>
      <c r="AL75" s="114" t="n">
        <f aca="false">INDEX($F75:$AG75,1,MATCH(AL$7,$F$7:$AG$7,1))</f>
        <v>100</v>
      </c>
      <c r="AM75" s="114" t="n">
        <f aca="false">INDEX($F75:$AG75,1,MATCH(AM$7,$F$7:$AG$7,1))</f>
        <v>300</v>
      </c>
      <c r="AN75" s="114" t="n">
        <f aca="false">INDEX($F75:$AG75,1,MATCH(AN$7,$F$7:$AG$7,1))</f>
        <v>300</v>
      </c>
      <c r="AO75" s="114" t="n">
        <f aca="false">INDEX($F75:$AG75,1,MATCH(AO$7,$F$7:$AG$7,1))</f>
        <v>300</v>
      </c>
    </row>
    <row r="76" customFormat="false" ht="15" hidden="false" customHeight="false" outlineLevel="0" collapsed="false">
      <c r="A76" s="112" t="s">
        <v>1712</v>
      </c>
      <c r="B76" s="24" t="s">
        <v>857</v>
      </c>
      <c r="C76" s="24" t="s">
        <v>672</v>
      </c>
      <c r="D76" s="24" t="s">
        <v>1679</v>
      </c>
      <c r="F76" s="114" t="n">
        <f aca="false">IF(CapV=2,N(F75),N(F74))</f>
        <v>0</v>
      </c>
      <c r="G76" s="114" t="n">
        <f aca="false">IF(CapV=2,N(G75),N(G74))</f>
        <v>0</v>
      </c>
      <c r="H76" s="114" t="n">
        <f aca="false">IF(CapV=2,N(H75),N(H74))</f>
        <v>0</v>
      </c>
      <c r="I76" s="114" t="n">
        <f aca="false">IF(CapV=2,N(I75),N(I74))</f>
        <v>0</v>
      </c>
      <c r="J76" s="114" t="n">
        <f aca="false">IF(CapV=2,N(J75),N(J74))</f>
        <v>0</v>
      </c>
      <c r="K76" s="114" t="n">
        <f aca="false">IF(CapV=2,N(K75),N(K74))</f>
        <v>0</v>
      </c>
      <c r="L76" s="114" t="n">
        <f aca="false">IF(CapV=2,N(L75),N(L74))</f>
        <v>0</v>
      </c>
      <c r="M76" s="114" t="n">
        <f aca="false">IF(CapV=2,N(M75),N(M74))</f>
        <v>0</v>
      </c>
      <c r="N76" s="114" t="n">
        <f aca="false">IF(CapV=2,N(N75),N(N74))</f>
        <v>0</v>
      </c>
      <c r="O76" s="114" t="n">
        <f aca="false">IF(CapV=2,N(O75),N(O74))</f>
        <v>0</v>
      </c>
      <c r="P76" s="114" t="n">
        <f aca="false">IF(CapV=2,N(P75),N(P74))</f>
        <v>0</v>
      </c>
      <c r="Q76" s="114" t="n">
        <f aca="false">IF(CapV=2,N(Q75),N(Q74))</f>
        <v>0</v>
      </c>
      <c r="R76" s="114" t="n">
        <f aca="false">IF(CapV=2,N(R75),N(R74))</f>
        <v>25</v>
      </c>
      <c r="S76" s="114" t="n">
        <f aca="false">IF(CapV=2,N(S75),N(S74))</f>
        <v>50</v>
      </c>
      <c r="T76" s="114" t="n">
        <f aca="false">IF(CapV=2,N(T75),N(T74))</f>
        <v>75</v>
      </c>
      <c r="U76" s="114" t="n">
        <f aca="false">IF(CapV=2,N(U75),N(U74))</f>
        <v>100</v>
      </c>
      <c r="V76" s="114" t="n">
        <f aca="false">IF(CapV=2,N(V75),N(V74))</f>
        <v>100</v>
      </c>
      <c r="W76" s="114" t="n">
        <f aca="false">IF(CapV=2,N(W75),N(W74))</f>
        <v>200</v>
      </c>
      <c r="X76" s="114" t="n">
        <f aca="false">IF(CapV=2,N(X75),N(X74))</f>
        <v>200</v>
      </c>
      <c r="Y76" s="114" t="n">
        <f aca="false">IF(CapV=2,N(Y75),N(Y74))</f>
        <v>300</v>
      </c>
      <c r="Z76" s="114" t="n">
        <f aca="false">IF(CapV=2,N(Z75),N(Z74))</f>
        <v>300</v>
      </c>
      <c r="AA76" s="114" t="n">
        <f aca="false">IF(CapV=2,N(AA75),N(AA74))</f>
        <v>300</v>
      </c>
      <c r="AB76" s="114" t="n">
        <f aca="false">IF(CapV=2,N(AB75),N(AB74))</f>
        <v>300</v>
      </c>
      <c r="AC76" s="114" t="n">
        <f aca="false">IF(CapV=2,N(AC75),N(AC74))</f>
        <v>300</v>
      </c>
      <c r="AD76" s="114" t="n">
        <f aca="false">IF(CapV=2,N(AD75),N(AD74))</f>
        <v>300</v>
      </c>
      <c r="AE76" s="114" t="n">
        <f aca="false">IF(CapV=2,N(AE75),N(AE74))</f>
        <v>300</v>
      </c>
      <c r="AF76" s="114" t="n">
        <f aca="false">IF(CapV=2,N(AF75),N(AF74))</f>
        <v>300</v>
      </c>
      <c r="AG76" s="114" t="n">
        <f aca="false">IF(CapV=2,N(AG75),N(AG74))</f>
        <v>300</v>
      </c>
      <c r="AI76" s="114" t="n">
        <f aca="false">INDEX($F76:$AG76,1,MATCH(AI$7,$F$7:$AG$7,1))</f>
        <v>0</v>
      </c>
      <c r="AJ76" s="114" t="n">
        <f aca="false">INDEX($F76:$AG76,1,MATCH(AJ$7,$F$7:$AG$7,1))</f>
        <v>0</v>
      </c>
      <c r="AK76" s="114" t="n">
        <f aca="false">INDEX($F76:$AG76,1,MATCH(AK$7,$F$7:$AG$7,1))</f>
        <v>0</v>
      </c>
      <c r="AL76" s="114" t="n">
        <f aca="false">INDEX($F76:$AG76,1,MATCH(AL$7,$F$7:$AG$7,1))</f>
        <v>100</v>
      </c>
      <c r="AM76" s="114" t="n">
        <f aca="false">INDEX($F76:$AG76,1,MATCH(AM$7,$F$7:$AG$7,1))</f>
        <v>300</v>
      </c>
      <c r="AN76" s="114" t="n">
        <f aca="false">INDEX($F76:$AG76,1,MATCH(AN$7,$F$7:$AG$7,1))</f>
        <v>300</v>
      </c>
      <c r="AO76" s="114" t="n">
        <f aca="false">INDEX($F76:$AG76,1,MATCH(AO$7,$F$7:$AG$7,1))</f>
        <v>300</v>
      </c>
    </row>
    <row r="77" customFormat="false" ht="15" hidden="false" customHeight="false" outlineLevel="0" collapsed="false">
      <c r="A77" s="112" t="s">
        <v>1713</v>
      </c>
      <c r="B77" s="24" t="s">
        <v>857</v>
      </c>
      <c r="C77" s="24" t="s">
        <v>690</v>
      </c>
      <c r="D77" s="24" t="s">
        <v>1675</v>
      </c>
      <c r="F77" s="113" t="n">
        <v>0</v>
      </c>
      <c r="G77" s="113" t="n">
        <v>0</v>
      </c>
      <c r="H77" s="113" t="n">
        <v>0</v>
      </c>
      <c r="I77" s="113" t="n">
        <v>0</v>
      </c>
      <c r="J77" s="113" t="n">
        <v>0</v>
      </c>
      <c r="K77" s="113" t="n">
        <v>0</v>
      </c>
      <c r="L77" s="113" t="n">
        <v>0</v>
      </c>
      <c r="M77" s="113" t="n">
        <v>0</v>
      </c>
      <c r="N77" s="113" t="n">
        <v>0</v>
      </c>
      <c r="O77" s="113" t="n">
        <v>0</v>
      </c>
      <c r="P77" s="113" t="n">
        <v>0</v>
      </c>
      <c r="Q77" s="113" t="n">
        <v>0</v>
      </c>
      <c r="R77" s="113" t="n">
        <v>27</v>
      </c>
      <c r="S77" s="113" t="n">
        <v>60</v>
      </c>
      <c r="T77" s="113" t="n">
        <v>60</v>
      </c>
      <c r="U77" s="113" t="n">
        <v>120</v>
      </c>
      <c r="V77" s="113" t="n">
        <v>120</v>
      </c>
      <c r="W77" s="113" t="n">
        <v>120</v>
      </c>
      <c r="X77" s="113" t="n">
        <v>120</v>
      </c>
      <c r="Y77" s="113" t="n">
        <v>240</v>
      </c>
      <c r="Z77" s="113" t="n">
        <v>240</v>
      </c>
      <c r="AA77" s="113" t="n">
        <v>240</v>
      </c>
      <c r="AB77" s="113" t="n">
        <v>240</v>
      </c>
      <c r="AC77" s="113" t="n">
        <v>240</v>
      </c>
      <c r="AD77" s="113" t="n">
        <v>240</v>
      </c>
      <c r="AE77" s="113" t="n">
        <v>240</v>
      </c>
      <c r="AF77" s="113" t="n">
        <v>240</v>
      </c>
      <c r="AG77" s="113" t="n">
        <v>240</v>
      </c>
      <c r="AI77" s="114" t="n">
        <f aca="false">INDEX($F77:$AG77,1,MATCH(AI$7,$F$7:$AG$7,1))</f>
        <v>0</v>
      </c>
      <c r="AJ77" s="114" t="n">
        <f aca="false">INDEX($F77:$AG77,1,MATCH(AJ$7,$F$7:$AG$7,1))</f>
        <v>0</v>
      </c>
      <c r="AK77" s="114" t="n">
        <f aca="false">INDEX($F77:$AG77,1,MATCH(AK$7,$F$7:$AG$7,1))</f>
        <v>0</v>
      </c>
      <c r="AL77" s="114" t="n">
        <f aca="false">INDEX($F77:$AG77,1,MATCH(AL$7,$F$7:$AG$7,1))</f>
        <v>120</v>
      </c>
      <c r="AM77" s="114" t="n">
        <f aca="false">INDEX($F77:$AG77,1,MATCH(AM$7,$F$7:$AG$7,1))</f>
        <v>240</v>
      </c>
      <c r="AN77" s="114" t="n">
        <f aca="false">INDEX($F77:$AG77,1,MATCH(AN$7,$F$7:$AG$7,1))</f>
        <v>240</v>
      </c>
      <c r="AO77" s="114" t="n">
        <f aca="false">INDEX($F77:$AG77,1,MATCH(AO$7,$F$7:$AG$7,1))</f>
        <v>240</v>
      </c>
    </row>
    <row r="78" customFormat="false" ht="15" hidden="false" customHeight="false" outlineLevel="0" collapsed="false">
      <c r="A78" s="112" t="s">
        <v>1714</v>
      </c>
      <c r="B78" s="24" t="s">
        <v>857</v>
      </c>
      <c r="C78" s="24" t="s">
        <v>690</v>
      </c>
      <c r="D78" s="24" t="s">
        <v>1677</v>
      </c>
      <c r="F78" s="113" t="n">
        <v>0</v>
      </c>
      <c r="G78" s="113" t="n">
        <v>0</v>
      </c>
      <c r="H78" s="113" t="n">
        <v>0</v>
      </c>
      <c r="I78" s="113" t="n">
        <v>0</v>
      </c>
      <c r="J78" s="113" t="n">
        <v>0</v>
      </c>
      <c r="K78" s="113" t="n">
        <v>0</v>
      </c>
      <c r="L78" s="113" t="n">
        <v>0</v>
      </c>
      <c r="M78" s="113" t="n">
        <v>0</v>
      </c>
      <c r="N78" s="113" t="n">
        <v>0</v>
      </c>
      <c r="O78" s="113" t="n">
        <v>0</v>
      </c>
      <c r="P78" s="113" t="n">
        <v>0</v>
      </c>
      <c r="Q78" s="113" t="n">
        <v>0</v>
      </c>
      <c r="R78" s="113" t="n">
        <v>27</v>
      </c>
      <c r="S78" s="113" t="n">
        <v>60</v>
      </c>
      <c r="T78" s="113" t="n">
        <v>60</v>
      </c>
      <c r="U78" s="113" t="n">
        <v>120</v>
      </c>
      <c r="V78" s="113" t="n">
        <v>120</v>
      </c>
      <c r="W78" s="113" t="n">
        <v>120</v>
      </c>
      <c r="X78" s="113" t="n">
        <v>120</v>
      </c>
      <c r="Y78" s="113" t="n">
        <v>240</v>
      </c>
      <c r="Z78" s="113" t="n">
        <v>240</v>
      </c>
      <c r="AA78" s="113" t="n">
        <v>240</v>
      </c>
      <c r="AB78" s="113" t="n">
        <v>240</v>
      </c>
      <c r="AC78" s="113" t="n">
        <v>240</v>
      </c>
      <c r="AD78" s="113" t="n">
        <v>240</v>
      </c>
      <c r="AE78" s="113" t="n">
        <v>240</v>
      </c>
      <c r="AF78" s="113" t="n">
        <v>240</v>
      </c>
      <c r="AG78" s="113" t="n">
        <v>240</v>
      </c>
      <c r="AI78" s="114" t="n">
        <f aca="false">INDEX($F78:$AG78,1,MATCH(AI$7,$F$7:$AG$7,1))</f>
        <v>0</v>
      </c>
      <c r="AJ78" s="114" t="n">
        <f aca="false">INDEX($F78:$AG78,1,MATCH(AJ$7,$F$7:$AG$7,1))</f>
        <v>0</v>
      </c>
      <c r="AK78" s="114" t="n">
        <f aca="false">INDEX($F78:$AG78,1,MATCH(AK$7,$F$7:$AG$7,1))</f>
        <v>0</v>
      </c>
      <c r="AL78" s="114" t="n">
        <f aca="false">INDEX($F78:$AG78,1,MATCH(AL$7,$F$7:$AG$7,1))</f>
        <v>120</v>
      </c>
      <c r="AM78" s="114" t="n">
        <f aca="false">INDEX($F78:$AG78,1,MATCH(AM$7,$F$7:$AG$7,1))</f>
        <v>240</v>
      </c>
      <c r="AN78" s="114" t="n">
        <f aca="false">INDEX($F78:$AG78,1,MATCH(AN$7,$F$7:$AG$7,1))</f>
        <v>240</v>
      </c>
      <c r="AO78" s="114" t="n">
        <f aca="false">INDEX($F78:$AG78,1,MATCH(AO$7,$F$7:$AG$7,1))</f>
        <v>240</v>
      </c>
    </row>
    <row r="79" customFormat="false" ht="15" hidden="false" customHeight="false" outlineLevel="0" collapsed="false">
      <c r="A79" s="112" t="s">
        <v>1715</v>
      </c>
      <c r="B79" s="24" t="s">
        <v>857</v>
      </c>
      <c r="C79" s="24" t="s">
        <v>672</v>
      </c>
      <c r="D79" s="24" t="s">
        <v>1679</v>
      </c>
      <c r="F79" s="114" t="n">
        <f aca="false">IF(CapV=2,N(F78),N(F77))</f>
        <v>0</v>
      </c>
      <c r="G79" s="114" t="n">
        <f aca="false">IF(CapV=2,N(G78),N(G77))</f>
        <v>0</v>
      </c>
      <c r="H79" s="114" t="n">
        <f aca="false">IF(CapV=2,N(H78),N(H77))</f>
        <v>0</v>
      </c>
      <c r="I79" s="114" t="n">
        <f aca="false">IF(CapV=2,N(I78),N(I77))</f>
        <v>0</v>
      </c>
      <c r="J79" s="114" t="n">
        <f aca="false">IF(CapV=2,N(J78),N(J77))</f>
        <v>0</v>
      </c>
      <c r="K79" s="114" t="n">
        <f aca="false">IF(CapV=2,N(K78),N(K77))</f>
        <v>0</v>
      </c>
      <c r="L79" s="114" t="n">
        <f aca="false">IF(CapV=2,N(L78),N(L77))</f>
        <v>0</v>
      </c>
      <c r="M79" s="114" t="n">
        <f aca="false">IF(CapV=2,N(M78),N(M77))</f>
        <v>0</v>
      </c>
      <c r="N79" s="114" t="n">
        <f aca="false">IF(CapV=2,N(N78),N(N77))</f>
        <v>0</v>
      </c>
      <c r="O79" s="114" t="n">
        <f aca="false">IF(CapV=2,N(O78),N(O77))</f>
        <v>0</v>
      </c>
      <c r="P79" s="114" t="n">
        <f aca="false">IF(CapV=2,N(P78),N(P77))</f>
        <v>0</v>
      </c>
      <c r="Q79" s="114" t="n">
        <f aca="false">IF(CapV=2,N(Q78),N(Q77))</f>
        <v>0</v>
      </c>
      <c r="R79" s="114" t="n">
        <f aca="false">IF(CapV=2,N(R78),N(R77))</f>
        <v>27</v>
      </c>
      <c r="S79" s="114" t="n">
        <f aca="false">IF(CapV=2,N(S78),N(S77))</f>
        <v>60</v>
      </c>
      <c r="T79" s="114" t="n">
        <f aca="false">IF(CapV=2,N(T78),N(T77))</f>
        <v>60</v>
      </c>
      <c r="U79" s="114" t="n">
        <f aca="false">IF(CapV=2,N(U78),N(U77))</f>
        <v>120</v>
      </c>
      <c r="V79" s="114" t="n">
        <f aca="false">IF(CapV=2,N(V78),N(V77))</f>
        <v>120</v>
      </c>
      <c r="W79" s="114" t="n">
        <f aca="false">IF(CapV=2,N(W78),N(W77))</f>
        <v>120</v>
      </c>
      <c r="X79" s="114" t="n">
        <f aca="false">IF(CapV=2,N(X78),N(X77))</f>
        <v>120</v>
      </c>
      <c r="Y79" s="114" t="n">
        <f aca="false">IF(CapV=2,N(Y78),N(Y77))</f>
        <v>240</v>
      </c>
      <c r="Z79" s="114" t="n">
        <f aca="false">IF(CapV=2,N(Z78),N(Z77))</f>
        <v>240</v>
      </c>
      <c r="AA79" s="114" t="n">
        <f aca="false">IF(CapV=2,N(AA78),N(AA77))</f>
        <v>240</v>
      </c>
      <c r="AB79" s="114" t="n">
        <f aca="false">IF(CapV=2,N(AB78),N(AB77))</f>
        <v>240</v>
      </c>
      <c r="AC79" s="114" t="n">
        <f aca="false">IF(CapV=2,N(AC78),N(AC77))</f>
        <v>240</v>
      </c>
      <c r="AD79" s="114" t="n">
        <f aca="false">IF(CapV=2,N(AD78),N(AD77))</f>
        <v>240</v>
      </c>
      <c r="AE79" s="114" t="n">
        <f aca="false">IF(CapV=2,N(AE78),N(AE77))</f>
        <v>240</v>
      </c>
      <c r="AF79" s="114" t="n">
        <f aca="false">IF(CapV=2,N(AF78),N(AF77))</f>
        <v>240</v>
      </c>
      <c r="AG79" s="114" t="n">
        <f aca="false">IF(CapV=2,N(AG78),N(AG77))</f>
        <v>240</v>
      </c>
      <c r="AI79" s="114" t="n">
        <f aca="false">INDEX($F79:$AG79,1,MATCH(AI$7,$F$7:$AG$7,1))</f>
        <v>0</v>
      </c>
      <c r="AJ79" s="114" t="n">
        <f aca="false">INDEX($F79:$AG79,1,MATCH(AJ$7,$F$7:$AG$7,1))</f>
        <v>0</v>
      </c>
      <c r="AK79" s="114" t="n">
        <f aca="false">INDEX($F79:$AG79,1,MATCH(AK$7,$F$7:$AG$7,1))</f>
        <v>0</v>
      </c>
      <c r="AL79" s="114" t="n">
        <f aca="false">INDEX($F79:$AG79,1,MATCH(AL$7,$F$7:$AG$7,1))</f>
        <v>120</v>
      </c>
      <c r="AM79" s="114" t="n">
        <f aca="false">INDEX($F79:$AG79,1,MATCH(AM$7,$F$7:$AG$7,1))</f>
        <v>240</v>
      </c>
      <c r="AN79" s="114" t="n">
        <f aca="false">INDEX($F79:$AG79,1,MATCH(AN$7,$F$7:$AG$7,1))</f>
        <v>240</v>
      </c>
      <c r="AO79" s="114" t="n">
        <f aca="false">INDEX($F79:$AG79,1,MATCH(AO$7,$F$7:$AG$7,1))</f>
        <v>240</v>
      </c>
    </row>
    <row r="80" customFormat="false" ht="15" hidden="false" customHeight="false" outlineLevel="0" collapsed="false">
      <c r="A80" s="112" t="s">
        <v>1716</v>
      </c>
      <c r="B80" s="24" t="s">
        <v>857</v>
      </c>
      <c r="C80" s="24" t="s">
        <v>690</v>
      </c>
      <c r="D80" s="24" t="s">
        <v>1675</v>
      </c>
      <c r="F80" s="113" t="n">
        <v>0</v>
      </c>
      <c r="G80" s="113" t="n">
        <v>0</v>
      </c>
      <c r="H80" s="113" t="n">
        <v>0</v>
      </c>
      <c r="I80" s="113" t="n">
        <v>0</v>
      </c>
      <c r="J80" s="113" t="n">
        <v>0</v>
      </c>
      <c r="K80" s="113" t="n">
        <v>0</v>
      </c>
      <c r="L80" s="113" t="n">
        <v>0</v>
      </c>
      <c r="M80" s="113" t="n">
        <v>0</v>
      </c>
      <c r="N80" s="113" t="n">
        <v>0</v>
      </c>
      <c r="O80" s="113" t="n">
        <v>0</v>
      </c>
      <c r="P80" s="113" t="n">
        <v>0</v>
      </c>
      <c r="Q80" s="113" t="n">
        <v>30</v>
      </c>
      <c r="R80" s="113" t="n">
        <v>73.5</v>
      </c>
      <c r="S80" s="113" t="n">
        <v>120</v>
      </c>
      <c r="T80" s="113" t="n">
        <v>120</v>
      </c>
      <c r="U80" s="113" t="n">
        <v>180</v>
      </c>
      <c r="V80" s="113" t="n">
        <v>180</v>
      </c>
      <c r="W80" s="113" t="n">
        <v>180</v>
      </c>
      <c r="X80" s="113" t="n">
        <v>180</v>
      </c>
      <c r="Y80" s="113" t="n">
        <v>240</v>
      </c>
      <c r="Z80" s="113" t="n">
        <v>240</v>
      </c>
      <c r="AA80" s="113" t="n">
        <v>240</v>
      </c>
      <c r="AB80" s="113" t="n">
        <v>240</v>
      </c>
      <c r="AC80" s="113" t="n">
        <v>240</v>
      </c>
      <c r="AD80" s="113" t="n">
        <v>240</v>
      </c>
      <c r="AE80" s="113" t="n">
        <v>240</v>
      </c>
      <c r="AF80" s="113" t="n">
        <v>240</v>
      </c>
      <c r="AG80" s="113" t="n">
        <v>240</v>
      </c>
      <c r="AI80" s="114" t="n">
        <f aca="false">INDEX($F80:$AG80,1,MATCH(AI$7,$F$7:$AG$7,1))</f>
        <v>0</v>
      </c>
      <c r="AJ80" s="114" t="n">
        <f aca="false">INDEX($F80:$AG80,1,MATCH(AJ$7,$F$7:$AG$7,1))</f>
        <v>0</v>
      </c>
      <c r="AK80" s="114" t="n">
        <f aca="false">INDEX($F80:$AG80,1,MATCH(AK$7,$F$7:$AG$7,1))</f>
        <v>30</v>
      </c>
      <c r="AL80" s="114" t="n">
        <f aca="false">INDEX($F80:$AG80,1,MATCH(AL$7,$F$7:$AG$7,1))</f>
        <v>180</v>
      </c>
      <c r="AM80" s="114" t="n">
        <f aca="false">INDEX($F80:$AG80,1,MATCH(AM$7,$F$7:$AG$7,1))</f>
        <v>240</v>
      </c>
      <c r="AN80" s="114" t="n">
        <f aca="false">INDEX($F80:$AG80,1,MATCH(AN$7,$F$7:$AG$7,1))</f>
        <v>240</v>
      </c>
      <c r="AO80" s="114" t="n">
        <f aca="false">INDEX($F80:$AG80,1,MATCH(AO$7,$F$7:$AG$7,1))</f>
        <v>240</v>
      </c>
    </row>
    <row r="81" customFormat="false" ht="15" hidden="false" customHeight="false" outlineLevel="0" collapsed="false">
      <c r="A81" s="112" t="s">
        <v>1717</v>
      </c>
      <c r="B81" s="24" t="s">
        <v>857</v>
      </c>
      <c r="C81" s="24" t="s">
        <v>690</v>
      </c>
      <c r="D81" s="24" t="s">
        <v>1677</v>
      </c>
      <c r="F81" s="113" t="n">
        <v>0</v>
      </c>
      <c r="G81" s="113" t="n">
        <v>0</v>
      </c>
      <c r="H81" s="113" t="n">
        <v>0</v>
      </c>
      <c r="I81" s="113" t="n">
        <v>0</v>
      </c>
      <c r="J81" s="113" t="n">
        <v>0</v>
      </c>
      <c r="K81" s="113" t="n">
        <v>0</v>
      </c>
      <c r="L81" s="113" t="n">
        <v>0</v>
      </c>
      <c r="M81" s="113" t="n">
        <v>0</v>
      </c>
      <c r="N81" s="113" t="n">
        <v>0</v>
      </c>
      <c r="O81" s="113" t="n">
        <v>0</v>
      </c>
      <c r="P81" s="113" t="n">
        <v>0</v>
      </c>
      <c r="Q81" s="113" t="n">
        <v>30</v>
      </c>
      <c r="R81" s="113" t="n">
        <v>73.5</v>
      </c>
      <c r="S81" s="113" t="n">
        <v>120</v>
      </c>
      <c r="T81" s="113" t="n">
        <v>120</v>
      </c>
      <c r="U81" s="113" t="n">
        <v>180</v>
      </c>
      <c r="V81" s="113" t="n">
        <v>180</v>
      </c>
      <c r="W81" s="113" t="n">
        <v>180</v>
      </c>
      <c r="X81" s="113" t="n">
        <v>180</v>
      </c>
      <c r="Y81" s="113" t="n">
        <v>240</v>
      </c>
      <c r="Z81" s="113" t="n">
        <v>240</v>
      </c>
      <c r="AA81" s="113" t="n">
        <v>240</v>
      </c>
      <c r="AB81" s="113" t="n">
        <v>240</v>
      </c>
      <c r="AC81" s="113" t="n">
        <v>240</v>
      </c>
      <c r="AD81" s="113" t="n">
        <v>240</v>
      </c>
      <c r="AE81" s="113" t="n">
        <v>240</v>
      </c>
      <c r="AF81" s="113" t="n">
        <v>240</v>
      </c>
      <c r="AG81" s="113" t="n">
        <v>240</v>
      </c>
      <c r="AI81" s="114" t="n">
        <f aca="false">INDEX($F81:$AG81,1,MATCH(AI$7,$F$7:$AG$7,1))</f>
        <v>0</v>
      </c>
      <c r="AJ81" s="114" t="n">
        <f aca="false">INDEX($F81:$AG81,1,MATCH(AJ$7,$F$7:$AG$7,1))</f>
        <v>0</v>
      </c>
      <c r="AK81" s="114" t="n">
        <f aca="false">INDEX($F81:$AG81,1,MATCH(AK$7,$F$7:$AG$7,1))</f>
        <v>30</v>
      </c>
      <c r="AL81" s="114" t="n">
        <f aca="false">INDEX($F81:$AG81,1,MATCH(AL$7,$F$7:$AG$7,1))</f>
        <v>180</v>
      </c>
      <c r="AM81" s="114" t="n">
        <f aca="false">INDEX($F81:$AG81,1,MATCH(AM$7,$F$7:$AG$7,1))</f>
        <v>240</v>
      </c>
      <c r="AN81" s="114" t="n">
        <f aca="false">INDEX($F81:$AG81,1,MATCH(AN$7,$F$7:$AG$7,1))</f>
        <v>240</v>
      </c>
      <c r="AO81" s="114" t="n">
        <f aca="false">INDEX($F81:$AG81,1,MATCH(AO$7,$F$7:$AG$7,1))</f>
        <v>240</v>
      </c>
    </row>
    <row r="82" customFormat="false" ht="15" hidden="false" customHeight="false" outlineLevel="0" collapsed="false">
      <c r="A82" s="112" t="s">
        <v>1718</v>
      </c>
      <c r="B82" s="24" t="s">
        <v>857</v>
      </c>
      <c r="C82" s="24" t="s">
        <v>672</v>
      </c>
      <c r="D82" s="24" t="s">
        <v>1679</v>
      </c>
      <c r="F82" s="114" t="n">
        <f aca="false">IF(CapV=2,N(F81),N(F80))</f>
        <v>0</v>
      </c>
      <c r="G82" s="114" t="n">
        <f aca="false">IF(CapV=2,N(G81),N(G80))</f>
        <v>0</v>
      </c>
      <c r="H82" s="114" t="n">
        <f aca="false">IF(CapV=2,N(H81),N(H80))</f>
        <v>0</v>
      </c>
      <c r="I82" s="114" t="n">
        <f aca="false">IF(CapV=2,N(I81),N(I80))</f>
        <v>0</v>
      </c>
      <c r="J82" s="114" t="n">
        <f aca="false">IF(CapV=2,N(J81),N(J80))</f>
        <v>0</v>
      </c>
      <c r="K82" s="114" t="n">
        <f aca="false">IF(CapV=2,N(K81),N(K80))</f>
        <v>0</v>
      </c>
      <c r="L82" s="114" t="n">
        <f aca="false">IF(CapV=2,N(L81),N(L80))</f>
        <v>0</v>
      </c>
      <c r="M82" s="114" t="n">
        <f aca="false">IF(CapV=2,N(M81),N(M80))</f>
        <v>0</v>
      </c>
      <c r="N82" s="114" t="n">
        <f aca="false">IF(CapV=2,N(N81),N(N80))</f>
        <v>0</v>
      </c>
      <c r="O82" s="114" t="n">
        <f aca="false">IF(CapV=2,N(O81),N(O80))</f>
        <v>0</v>
      </c>
      <c r="P82" s="114" t="n">
        <f aca="false">IF(CapV=2,N(P81),N(P80))</f>
        <v>0</v>
      </c>
      <c r="Q82" s="114" t="n">
        <f aca="false">IF(CapV=2,N(Q81),N(Q80))</f>
        <v>30</v>
      </c>
      <c r="R82" s="114" t="n">
        <f aca="false">IF(CapV=2,N(R81),N(R80))</f>
        <v>73.5</v>
      </c>
      <c r="S82" s="114" t="n">
        <f aca="false">IF(CapV=2,N(S81),N(S80))</f>
        <v>120</v>
      </c>
      <c r="T82" s="114" t="n">
        <f aca="false">IF(CapV=2,N(T81),N(T80))</f>
        <v>120</v>
      </c>
      <c r="U82" s="114" t="n">
        <f aca="false">IF(CapV=2,N(U81),N(U80))</f>
        <v>180</v>
      </c>
      <c r="V82" s="114" t="n">
        <f aca="false">IF(CapV=2,N(V81),N(V80))</f>
        <v>180</v>
      </c>
      <c r="W82" s="114" t="n">
        <f aca="false">IF(CapV=2,N(W81),N(W80))</f>
        <v>180</v>
      </c>
      <c r="X82" s="114" t="n">
        <f aca="false">IF(CapV=2,N(X81),N(X80))</f>
        <v>180</v>
      </c>
      <c r="Y82" s="114" t="n">
        <f aca="false">IF(CapV=2,N(Y81),N(Y80))</f>
        <v>240</v>
      </c>
      <c r="Z82" s="114" t="n">
        <f aca="false">IF(CapV=2,N(Z81),N(Z80))</f>
        <v>240</v>
      </c>
      <c r="AA82" s="114" t="n">
        <f aca="false">IF(CapV=2,N(AA81),N(AA80))</f>
        <v>240</v>
      </c>
      <c r="AB82" s="114" t="n">
        <f aca="false">IF(CapV=2,N(AB81),N(AB80))</f>
        <v>240</v>
      </c>
      <c r="AC82" s="114" t="n">
        <f aca="false">IF(CapV=2,N(AC81),N(AC80))</f>
        <v>240</v>
      </c>
      <c r="AD82" s="114" t="n">
        <f aca="false">IF(CapV=2,N(AD81),N(AD80))</f>
        <v>240</v>
      </c>
      <c r="AE82" s="114" t="n">
        <f aca="false">IF(CapV=2,N(AE81),N(AE80))</f>
        <v>240</v>
      </c>
      <c r="AF82" s="114" t="n">
        <f aca="false">IF(CapV=2,N(AF81),N(AF80))</f>
        <v>240</v>
      </c>
      <c r="AG82" s="114" t="n">
        <f aca="false">IF(CapV=2,N(AG81),N(AG80))</f>
        <v>240</v>
      </c>
      <c r="AI82" s="114" t="n">
        <f aca="false">INDEX($F82:$AG82,1,MATCH(AI$7,$F$7:$AG$7,1))</f>
        <v>0</v>
      </c>
      <c r="AJ82" s="114" t="n">
        <f aca="false">INDEX($F82:$AG82,1,MATCH(AJ$7,$F$7:$AG$7,1))</f>
        <v>0</v>
      </c>
      <c r="AK82" s="114" t="n">
        <f aca="false">INDEX($F82:$AG82,1,MATCH(AK$7,$F$7:$AG$7,1))</f>
        <v>30</v>
      </c>
      <c r="AL82" s="114" t="n">
        <f aca="false">INDEX($F82:$AG82,1,MATCH(AL$7,$F$7:$AG$7,1))</f>
        <v>180</v>
      </c>
      <c r="AM82" s="114" t="n">
        <f aca="false">INDEX($F82:$AG82,1,MATCH(AM$7,$F$7:$AG$7,1))</f>
        <v>240</v>
      </c>
      <c r="AN82" s="114" t="n">
        <f aca="false">INDEX($F82:$AG82,1,MATCH(AN$7,$F$7:$AG$7,1))</f>
        <v>240</v>
      </c>
      <c r="AO82" s="114" t="n">
        <f aca="false">INDEX($F82:$AG82,1,MATCH(AO$7,$F$7:$AG$7,1))</f>
        <v>240</v>
      </c>
    </row>
    <row r="83" customFormat="false" ht="15" hidden="false" customHeight="false" outlineLevel="0" collapsed="false">
      <c r="A83" s="112" t="s">
        <v>1719</v>
      </c>
      <c r="B83" s="24" t="s">
        <v>857</v>
      </c>
      <c r="C83" s="24" t="s">
        <v>690</v>
      </c>
      <c r="D83" s="24" t="s">
        <v>1675</v>
      </c>
      <c r="F83" s="113" t="n">
        <v>0</v>
      </c>
      <c r="G83" s="113" t="n">
        <v>0</v>
      </c>
      <c r="H83" s="113" t="n">
        <v>0</v>
      </c>
      <c r="I83" s="113" t="n">
        <v>0</v>
      </c>
      <c r="J83" s="113" t="n">
        <v>0</v>
      </c>
      <c r="K83" s="113" t="n">
        <v>0</v>
      </c>
      <c r="L83" s="113" t="n">
        <v>0</v>
      </c>
      <c r="M83" s="113" t="n">
        <v>0</v>
      </c>
      <c r="N83" s="113" t="n">
        <v>0</v>
      </c>
      <c r="O83" s="113" t="n">
        <v>0</v>
      </c>
      <c r="P83" s="113" t="n">
        <v>0</v>
      </c>
      <c r="Q83" s="113" t="n">
        <v>60</v>
      </c>
      <c r="R83" s="113" t="n">
        <v>120</v>
      </c>
      <c r="S83" s="113" t="n">
        <v>180</v>
      </c>
      <c r="T83" s="113" t="n">
        <v>180</v>
      </c>
      <c r="U83" s="113" t="n">
        <v>240</v>
      </c>
      <c r="V83" s="113" t="n">
        <v>240</v>
      </c>
      <c r="W83" s="113" t="n">
        <v>240</v>
      </c>
      <c r="X83" s="113" t="n">
        <v>240</v>
      </c>
      <c r="Y83" s="113" t="n">
        <v>240</v>
      </c>
      <c r="Z83" s="113" t="n">
        <v>240</v>
      </c>
      <c r="AA83" s="113" t="n">
        <v>240</v>
      </c>
      <c r="AB83" s="113" t="n">
        <v>240</v>
      </c>
      <c r="AC83" s="113" t="n">
        <v>240</v>
      </c>
      <c r="AD83" s="113" t="n">
        <v>240</v>
      </c>
      <c r="AE83" s="113" t="n">
        <v>240</v>
      </c>
      <c r="AF83" s="113" t="n">
        <v>240</v>
      </c>
      <c r="AG83" s="113" t="n">
        <v>240</v>
      </c>
      <c r="AI83" s="114" t="n">
        <f aca="false">INDEX($F83:$AG83,1,MATCH(AI$7,$F$7:$AG$7,1))</f>
        <v>0</v>
      </c>
      <c r="AJ83" s="114" t="n">
        <f aca="false">INDEX($F83:$AG83,1,MATCH(AJ$7,$F$7:$AG$7,1))</f>
        <v>0</v>
      </c>
      <c r="AK83" s="114" t="n">
        <f aca="false">INDEX($F83:$AG83,1,MATCH(AK$7,$F$7:$AG$7,1))</f>
        <v>60</v>
      </c>
      <c r="AL83" s="114" t="n">
        <f aca="false">INDEX($F83:$AG83,1,MATCH(AL$7,$F$7:$AG$7,1))</f>
        <v>240</v>
      </c>
      <c r="AM83" s="114" t="n">
        <f aca="false">INDEX($F83:$AG83,1,MATCH(AM$7,$F$7:$AG$7,1))</f>
        <v>240</v>
      </c>
      <c r="AN83" s="114" t="n">
        <f aca="false">INDEX($F83:$AG83,1,MATCH(AN$7,$F$7:$AG$7,1))</f>
        <v>240</v>
      </c>
      <c r="AO83" s="114" t="n">
        <f aca="false">INDEX($F83:$AG83,1,MATCH(AO$7,$F$7:$AG$7,1))</f>
        <v>240</v>
      </c>
    </row>
    <row r="84" customFormat="false" ht="15" hidden="false" customHeight="false" outlineLevel="0" collapsed="false">
      <c r="A84" s="112" t="s">
        <v>1720</v>
      </c>
      <c r="B84" s="24" t="s">
        <v>857</v>
      </c>
      <c r="C84" s="24" t="s">
        <v>690</v>
      </c>
      <c r="D84" s="24" t="s">
        <v>1677</v>
      </c>
      <c r="F84" s="113" t="n">
        <v>0</v>
      </c>
      <c r="G84" s="113" t="n">
        <v>0</v>
      </c>
      <c r="H84" s="113" t="n">
        <v>0</v>
      </c>
      <c r="I84" s="113" t="n">
        <v>0</v>
      </c>
      <c r="J84" s="113" t="n">
        <v>0</v>
      </c>
      <c r="K84" s="113" t="n">
        <v>0</v>
      </c>
      <c r="L84" s="113" t="n">
        <v>0</v>
      </c>
      <c r="M84" s="113" t="n">
        <v>0</v>
      </c>
      <c r="N84" s="113" t="n">
        <v>0</v>
      </c>
      <c r="O84" s="113" t="n">
        <v>0</v>
      </c>
      <c r="P84" s="113" t="n">
        <v>0</v>
      </c>
      <c r="Q84" s="113" t="n">
        <v>60</v>
      </c>
      <c r="R84" s="113" t="n">
        <v>120</v>
      </c>
      <c r="S84" s="113" t="n">
        <v>180</v>
      </c>
      <c r="T84" s="113" t="n">
        <v>180</v>
      </c>
      <c r="U84" s="113" t="n">
        <v>240</v>
      </c>
      <c r="V84" s="113" t="n">
        <v>240</v>
      </c>
      <c r="W84" s="113" t="n">
        <v>240</v>
      </c>
      <c r="X84" s="113" t="n">
        <v>240</v>
      </c>
      <c r="Y84" s="113" t="n">
        <v>240</v>
      </c>
      <c r="Z84" s="113" t="n">
        <v>240</v>
      </c>
      <c r="AA84" s="113" t="n">
        <v>240</v>
      </c>
      <c r="AB84" s="113" t="n">
        <v>240</v>
      </c>
      <c r="AC84" s="113" t="n">
        <v>240</v>
      </c>
      <c r="AD84" s="113" t="n">
        <v>240</v>
      </c>
      <c r="AE84" s="113" t="n">
        <v>240</v>
      </c>
      <c r="AF84" s="113" t="n">
        <v>240</v>
      </c>
      <c r="AG84" s="113" t="n">
        <v>240</v>
      </c>
      <c r="AI84" s="114" t="n">
        <f aca="false">INDEX($F84:$AG84,1,MATCH(AI$7,$F$7:$AG$7,1))</f>
        <v>0</v>
      </c>
      <c r="AJ84" s="114" t="n">
        <f aca="false">INDEX($F84:$AG84,1,MATCH(AJ$7,$F$7:$AG$7,1))</f>
        <v>0</v>
      </c>
      <c r="AK84" s="114" t="n">
        <f aca="false">INDEX($F84:$AG84,1,MATCH(AK$7,$F$7:$AG$7,1))</f>
        <v>60</v>
      </c>
      <c r="AL84" s="114" t="n">
        <f aca="false">INDEX($F84:$AG84,1,MATCH(AL$7,$F$7:$AG$7,1))</f>
        <v>240</v>
      </c>
      <c r="AM84" s="114" t="n">
        <f aca="false">INDEX($F84:$AG84,1,MATCH(AM$7,$F$7:$AG$7,1))</f>
        <v>240</v>
      </c>
      <c r="AN84" s="114" t="n">
        <f aca="false">INDEX($F84:$AG84,1,MATCH(AN$7,$F$7:$AG$7,1))</f>
        <v>240</v>
      </c>
      <c r="AO84" s="114" t="n">
        <f aca="false">INDEX($F84:$AG84,1,MATCH(AO$7,$F$7:$AG$7,1))</f>
        <v>240</v>
      </c>
    </row>
    <row r="85" customFormat="false" ht="15" hidden="false" customHeight="false" outlineLevel="0" collapsed="false">
      <c r="A85" s="112" t="s">
        <v>1721</v>
      </c>
      <c r="B85" s="24" t="s">
        <v>857</v>
      </c>
      <c r="C85" s="24" t="s">
        <v>672</v>
      </c>
      <c r="D85" s="24" t="s">
        <v>1679</v>
      </c>
      <c r="F85" s="114" t="n">
        <f aca="false">IF(CapV=2,N(F84),N(F83))</f>
        <v>0</v>
      </c>
      <c r="G85" s="114" t="n">
        <f aca="false">IF(CapV=2,N(G84),N(G83))</f>
        <v>0</v>
      </c>
      <c r="H85" s="114" t="n">
        <f aca="false">IF(CapV=2,N(H84),N(H83))</f>
        <v>0</v>
      </c>
      <c r="I85" s="114" t="n">
        <f aca="false">IF(CapV=2,N(I84),N(I83))</f>
        <v>0</v>
      </c>
      <c r="J85" s="114" t="n">
        <f aca="false">IF(CapV=2,N(J84),N(J83))</f>
        <v>0</v>
      </c>
      <c r="K85" s="114" t="n">
        <f aca="false">IF(CapV=2,N(K84),N(K83))</f>
        <v>0</v>
      </c>
      <c r="L85" s="114" t="n">
        <f aca="false">IF(CapV=2,N(L84),N(L83))</f>
        <v>0</v>
      </c>
      <c r="M85" s="114" t="n">
        <f aca="false">IF(CapV=2,N(M84),N(M83))</f>
        <v>0</v>
      </c>
      <c r="N85" s="114" t="n">
        <f aca="false">IF(CapV=2,N(N84),N(N83))</f>
        <v>0</v>
      </c>
      <c r="O85" s="114" t="n">
        <f aca="false">IF(CapV=2,N(O84),N(O83))</f>
        <v>0</v>
      </c>
      <c r="P85" s="114" t="n">
        <f aca="false">IF(CapV=2,N(P84),N(P83))</f>
        <v>0</v>
      </c>
      <c r="Q85" s="114" t="n">
        <f aca="false">IF(CapV=2,N(Q84),N(Q83))</f>
        <v>60</v>
      </c>
      <c r="R85" s="114" t="n">
        <f aca="false">IF(CapV=2,N(R84),N(R83))</f>
        <v>120</v>
      </c>
      <c r="S85" s="114" t="n">
        <f aca="false">IF(CapV=2,N(S84),N(S83))</f>
        <v>180</v>
      </c>
      <c r="T85" s="114" t="n">
        <f aca="false">IF(CapV=2,N(T84),N(T83))</f>
        <v>180</v>
      </c>
      <c r="U85" s="114" t="n">
        <f aca="false">IF(CapV=2,N(U84),N(U83))</f>
        <v>240</v>
      </c>
      <c r="V85" s="114" t="n">
        <f aca="false">IF(CapV=2,N(V84),N(V83))</f>
        <v>240</v>
      </c>
      <c r="W85" s="114" t="n">
        <f aca="false">IF(CapV=2,N(W84),N(W83))</f>
        <v>240</v>
      </c>
      <c r="X85" s="114" t="n">
        <f aca="false">IF(CapV=2,N(X84),N(X83))</f>
        <v>240</v>
      </c>
      <c r="Y85" s="114" t="n">
        <f aca="false">IF(CapV=2,N(Y84),N(Y83))</f>
        <v>240</v>
      </c>
      <c r="Z85" s="114" t="n">
        <f aca="false">IF(CapV=2,N(Z84),N(Z83))</f>
        <v>240</v>
      </c>
      <c r="AA85" s="114" t="n">
        <f aca="false">IF(CapV=2,N(AA84),N(AA83))</f>
        <v>240</v>
      </c>
      <c r="AB85" s="114" t="n">
        <f aca="false">IF(CapV=2,N(AB84),N(AB83))</f>
        <v>240</v>
      </c>
      <c r="AC85" s="114" t="n">
        <f aca="false">IF(CapV=2,N(AC84),N(AC83))</f>
        <v>240</v>
      </c>
      <c r="AD85" s="114" t="n">
        <f aca="false">IF(CapV=2,N(AD84),N(AD83))</f>
        <v>240</v>
      </c>
      <c r="AE85" s="114" t="n">
        <f aca="false">IF(CapV=2,N(AE84),N(AE83))</f>
        <v>240</v>
      </c>
      <c r="AF85" s="114" t="n">
        <f aca="false">IF(CapV=2,N(AF84),N(AF83))</f>
        <v>240</v>
      </c>
      <c r="AG85" s="114" t="n">
        <f aca="false">IF(CapV=2,N(AG84),N(AG83))</f>
        <v>240</v>
      </c>
      <c r="AI85" s="114" t="n">
        <f aca="false">INDEX($F85:$AG85,1,MATCH(AI$7,$F$7:$AG$7,1))</f>
        <v>0</v>
      </c>
      <c r="AJ85" s="114" t="n">
        <f aca="false">INDEX($F85:$AG85,1,MATCH(AJ$7,$F$7:$AG$7,1))</f>
        <v>0</v>
      </c>
      <c r="AK85" s="114" t="n">
        <f aca="false">INDEX($F85:$AG85,1,MATCH(AK$7,$F$7:$AG$7,1))</f>
        <v>60</v>
      </c>
      <c r="AL85" s="114" t="n">
        <f aca="false">INDEX($F85:$AG85,1,MATCH(AL$7,$F$7:$AG$7,1))</f>
        <v>240</v>
      </c>
      <c r="AM85" s="114" t="n">
        <f aca="false">INDEX($F85:$AG85,1,MATCH(AM$7,$F$7:$AG$7,1))</f>
        <v>240</v>
      </c>
      <c r="AN85" s="114" t="n">
        <f aca="false">INDEX($F85:$AG85,1,MATCH(AN$7,$F$7:$AG$7,1))</f>
        <v>240</v>
      </c>
      <c r="AO85" s="114" t="n">
        <f aca="false">INDEX($F85:$AG85,1,MATCH(AO$7,$F$7:$AG$7,1))</f>
        <v>240</v>
      </c>
    </row>
    <row r="86" customFormat="false" ht="15" hidden="false" customHeight="false" outlineLevel="0" collapsed="false">
      <c r="A86" s="112" t="s">
        <v>1722</v>
      </c>
      <c r="B86" s="24" t="s">
        <v>857</v>
      </c>
      <c r="C86" s="24" t="s">
        <v>690</v>
      </c>
      <c r="D86" s="24" t="s">
        <v>1675</v>
      </c>
      <c r="F86" s="113" t="n">
        <v>0</v>
      </c>
      <c r="G86" s="113" t="n">
        <v>0</v>
      </c>
      <c r="H86" s="113" t="n">
        <v>0</v>
      </c>
      <c r="I86" s="113" t="n">
        <v>0</v>
      </c>
      <c r="J86" s="113" t="n">
        <v>0</v>
      </c>
      <c r="K86" s="113" t="n">
        <v>0</v>
      </c>
      <c r="L86" s="113" t="n">
        <v>0</v>
      </c>
      <c r="M86" s="113" t="n">
        <v>0</v>
      </c>
      <c r="N86" s="113" t="n">
        <v>0</v>
      </c>
      <c r="O86" s="113" t="n">
        <v>0</v>
      </c>
      <c r="P86" s="113" t="n">
        <v>0</v>
      </c>
      <c r="Q86" s="113" t="n">
        <v>0</v>
      </c>
      <c r="R86" s="113" t="n">
        <v>0</v>
      </c>
      <c r="S86" s="113" t="n">
        <v>0</v>
      </c>
      <c r="T86" s="113" t="n">
        <v>0</v>
      </c>
      <c r="U86" s="113" t="n">
        <v>35</v>
      </c>
      <c r="V86" s="113" t="n">
        <v>35</v>
      </c>
      <c r="W86" s="113" t="n">
        <v>70</v>
      </c>
      <c r="X86" s="113" t="n">
        <v>70</v>
      </c>
      <c r="Y86" s="113" t="n">
        <v>140</v>
      </c>
      <c r="Z86" s="113" t="n">
        <v>140</v>
      </c>
      <c r="AA86" s="113" t="n">
        <v>140</v>
      </c>
      <c r="AB86" s="113" t="n">
        <v>140</v>
      </c>
      <c r="AC86" s="113" t="n">
        <v>220</v>
      </c>
      <c r="AD86" s="113" t="n">
        <v>220</v>
      </c>
      <c r="AE86" s="113" t="n">
        <v>220</v>
      </c>
      <c r="AF86" s="113" t="n">
        <v>220</v>
      </c>
      <c r="AG86" s="113" t="n">
        <v>310</v>
      </c>
      <c r="AI86" s="114" t="n">
        <f aca="false">INDEX($F86:$AG86,1,MATCH(AI$7,$F$7:$AG$7,1))</f>
        <v>0</v>
      </c>
      <c r="AJ86" s="114" t="n">
        <f aca="false">INDEX($F86:$AG86,1,MATCH(AJ$7,$F$7:$AG$7,1))</f>
        <v>0</v>
      </c>
      <c r="AK86" s="114" t="n">
        <f aca="false">INDEX($F86:$AG86,1,MATCH(AK$7,$F$7:$AG$7,1))</f>
        <v>0</v>
      </c>
      <c r="AL86" s="114" t="n">
        <f aca="false">INDEX($F86:$AG86,1,MATCH(AL$7,$F$7:$AG$7,1))</f>
        <v>35</v>
      </c>
      <c r="AM86" s="114" t="n">
        <f aca="false">INDEX($F86:$AG86,1,MATCH(AM$7,$F$7:$AG$7,1))</f>
        <v>140</v>
      </c>
      <c r="AN86" s="114" t="n">
        <f aca="false">INDEX($F86:$AG86,1,MATCH(AN$7,$F$7:$AG$7,1))</f>
        <v>220</v>
      </c>
      <c r="AO86" s="114" t="n">
        <f aca="false">INDEX($F86:$AG86,1,MATCH(AO$7,$F$7:$AG$7,1))</f>
        <v>310</v>
      </c>
    </row>
    <row r="87" customFormat="false" ht="15" hidden="false" customHeight="false" outlineLevel="0" collapsed="false">
      <c r="A87" s="112" t="s">
        <v>1723</v>
      </c>
      <c r="B87" s="24" t="s">
        <v>857</v>
      </c>
      <c r="C87" s="24" t="s">
        <v>690</v>
      </c>
      <c r="D87" s="24" t="s">
        <v>1677</v>
      </c>
      <c r="F87" s="113" t="n">
        <v>0</v>
      </c>
      <c r="G87" s="113" t="n">
        <v>0</v>
      </c>
      <c r="H87" s="113" t="n">
        <v>0</v>
      </c>
      <c r="I87" s="113" t="n">
        <v>0</v>
      </c>
      <c r="J87" s="113" t="n">
        <v>0</v>
      </c>
      <c r="K87" s="113" t="n">
        <v>0</v>
      </c>
      <c r="L87" s="113" t="n">
        <v>0</v>
      </c>
      <c r="M87" s="113" t="n">
        <v>0</v>
      </c>
      <c r="N87" s="113" t="n">
        <v>0</v>
      </c>
      <c r="O87" s="113" t="n">
        <v>0</v>
      </c>
      <c r="P87" s="113" t="n">
        <v>0</v>
      </c>
      <c r="Q87" s="113" t="n">
        <v>0</v>
      </c>
      <c r="R87" s="113" t="n">
        <v>0</v>
      </c>
      <c r="S87" s="113" t="n">
        <v>0</v>
      </c>
      <c r="T87" s="113" t="n">
        <v>0</v>
      </c>
      <c r="U87" s="113" t="n">
        <v>35</v>
      </c>
      <c r="V87" s="113" t="n">
        <v>35</v>
      </c>
      <c r="W87" s="113" t="n">
        <v>70</v>
      </c>
      <c r="X87" s="113" t="n">
        <v>70</v>
      </c>
      <c r="Y87" s="113" t="n">
        <v>140</v>
      </c>
      <c r="Z87" s="113" t="n">
        <v>140</v>
      </c>
      <c r="AA87" s="113" t="n">
        <v>140</v>
      </c>
      <c r="AB87" s="113" t="n">
        <v>140</v>
      </c>
      <c r="AC87" s="113" t="n">
        <v>220</v>
      </c>
      <c r="AD87" s="113" t="n">
        <v>220</v>
      </c>
      <c r="AE87" s="113" t="n">
        <v>220</v>
      </c>
      <c r="AF87" s="113" t="n">
        <v>220</v>
      </c>
      <c r="AG87" s="113" t="n">
        <v>310</v>
      </c>
      <c r="AI87" s="114" t="n">
        <f aca="false">INDEX($F87:$AG87,1,MATCH(AI$7,$F$7:$AG$7,1))</f>
        <v>0</v>
      </c>
      <c r="AJ87" s="114" t="n">
        <f aca="false">INDEX($F87:$AG87,1,MATCH(AJ$7,$F$7:$AG$7,1))</f>
        <v>0</v>
      </c>
      <c r="AK87" s="114" t="n">
        <f aca="false">INDEX($F87:$AG87,1,MATCH(AK$7,$F$7:$AG$7,1))</f>
        <v>0</v>
      </c>
      <c r="AL87" s="114" t="n">
        <f aca="false">INDEX($F87:$AG87,1,MATCH(AL$7,$F$7:$AG$7,1))</f>
        <v>35</v>
      </c>
      <c r="AM87" s="114" t="n">
        <f aca="false">INDEX($F87:$AG87,1,MATCH(AM$7,$F$7:$AG$7,1))</f>
        <v>140</v>
      </c>
      <c r="AN87" s="114" t="n">
        <f aca="false">INDEX($F87:$AG87,1,MATCH(AN$7,$F$7:$AG$7,1))</f>
        <v>220</v>
      </c>
      <c r="AO87" s="114" t="n">
        <f aca="false">INDEX($F87:$AG87,1,MATCH(AO$7,$F$7:$AG$7,1))</f>
        <v>310</v>
      </c>
    </row>
    <row r="88" customFormat="false" ht="15" hidden="false" customHeight="false" outlineLevel="0" collapsed="false">
      <c r="A88" s="112" t="s">
        <v>1724</v>
      </c>
      <c r="B88" s="24" t="s">
        <v>857</v>
      </c>
      <c r="C88" s="24" t="s">
        <v>672</v>
      </c>
      <c r="D88" s="24" t="s">
        <v>1679</v>
      </c>
      <c r="F88" s="114" t="n">
        <f aca="false">IF(CapV=2,N(F87),N(F86))</f>
        <v>0</v>
      </c>
      <c r="G88" s="114" t="n">
        <f aca="false">IF(CapV=2,N(G87),N(G86))</f>
        <v>0</v>
      </c>
      <c r="H88" s="114" t="n">
        <f aca="false">IF(CapV=2,N(H87),N(H86))</f>
        <v>0</v>
      </c>
      <c r="I88" s="114" t="n">
        <f aca="false">IF(CapV=2,N(I87),N(I86))</f>
        <v>0</v>
      </c>
      <c r="J88" s="114" t="n">
        <f aca="false">IF(CapV=2,N(J87),N(J86))</f>
        <v>0</v>
      </c>
      <c r="K88" s="114" t="n">
        <f aca="false">IF(CapV=2,N(K87),N(K86))</f>
        <v>0</v>
      </c>
      <c r="L88" s="114" t="n">
        <f aca="false">IF(CapV=2,N(L87),N(L86))</f>
        <v>0</v>
      </c>
      <c r="M88" s="114" t="n">
        <f aca="false">IF(CapV=2,N(M87),N(M86))</f>
        <v>0</v>
      </c>
      <c r="N88" s="114" t="n">
        <f aca="false">IF(CapV=2,N(N87),N(N86))</f>
        <v>0</v>
      </c>
      <c r="O88" s="114" t="n">
        <f aca="false">IF(CapV=2,N(O87),N(O86))</f>
        <v>0</v>
      </c>
      <c r="P88" s="114" t="n">
        <f aca="false">IF(CapV=2,N(P87),N(P86))</f>
        <v>0</v>
      </c>
      <c r="Q88" s="114" t="n">
        <f aca="false">IF(CapV=2,N(Q87),N(Q86))</f>
        <v>0</v>
      </c>
      <c r="R88" s="114" t="n">
        <f aca="false">IF(CapV=2,N(R87),N(R86))</f>
        <v>0</v>
      </c>
      <c r="S88" s="114" t="n">
        <f aca="false">IF(CapV=2,N(S87),N(S86))</f>
        <v>0</v>
      </c>
      <c r="T88" s="114" t="n">
        <f aca="false">IF(CapV=2,N(T87),N(T86))</f>
        <v>0</v>
      </c>
      <c r="U88" s="114" t="n">
        <f aca="false">IF(CapV=2,N(U87),N(U86))</f>
        <v>35</v>
      </c>
      <c r="V88" s="114" t="n">
        <f aca="false">IF(CapV=2,N(V87),N(V86))</f>
        <v>35</v>
      </c>
      <c r="W88" s="114" t="n">
        <f aca="false">IF(CapV=2,N(W87),N(W86))</f>
        <v>70</v>
      </c>
      <c r="X88" s="114" t="n">
        <f aca="false">IF(CapV=2,N(X87),N(X86))</f>
        <v>70</v>
      </c>
      <c r="Y88" s="114" t="n">
        <f aca="false">IF(CapV=2,N(Y87),N(Y86))</f>
        <v>140</v>
      </c>
      <c r="Z88" s="114" t="n">
        <f aca="false">IF(CapV=2,N(Z87),N(Z86))</f>
        <v>140</v>
      </c>
      <c r="AA88" s="114" t="n">
        <f aca="false">IF(CapV=2,N(AA87),N(AA86))</f>
        <v>140</v>
      </c>
      <c r="AB88" s="114" t="n">
        <f aca="false">IF(CapV=2,N(AB87),N(AB86))</f>
        <v>140</v>
      </c>
      <c r="AC88" s="114" t="n">
        <f aca="false">IF(CapV=2,N(AC87),N(AC86))</f>
        <v>220</v>
      </c>
      <c r="AD88" s="114" t="n">
        <f aca="false">IF(CapV=2,N(AD87),N(AD86))</f>
        <v>220</v>
      </c>
      <c r="AE88" s="114" t="n">
        <f aca="false">IF(CapV=2,N(AE87),N(AE86))</f>
        <v>220</v>
      </c>
      <c r="AF88" s="114" t="n">
        <f aca="false">IF(CapV=2,N(AF87),N(AF86))</f>
        <v>220</v>
      </c>
      <c r="AG88" s="114" t="n">
        <f aca="false">IF(CapV=2,N(AG87),N(AG86))</f>
        <v>310</v>
      </c>
      <c r="AI88" s="114" t="n">
        <f aca="false">INDEX($F88:$AG88,1,MATCH(AI$7,$F$7:$AG$7,1))</f>
        <v>0</v>
      </c>
      <c r="AJ88" s="114" t="n">
        <f aca="false">INDEX($F88:$AG88,1,MATCH(AJ$7,$F$7:$AG$7,1))</f>
        <v>0</v>
      </c>
      <c r="AK88" s="114" t="n">
        <f aca="false">INDEX($F88:$AG88,1,MATCH(AK$7,$F$7:$AG$7,1))</f>
        <v>0</v>
      </c>
      <c r="AL88" s="114" t="n">
        <f aca="false">INDEX($F88:$AG88,1,MATCH(AL$7,$F$7:$AG$7,1))</f>
        <v>35</v>
      </c>
      <c r="AM88" s="114" t="n">
        <f aca="false">INDEX($F88:$AG88,1,MATCH(AM$7,$F$7:$AG$7,1))</f>
        <v>140</v>
      </c>
      <c r="AN88" s="114" t="n">
        <f aca="false">INDEX($F88:$AG88,1,MATCH(AN$7,$F$7:$AG$7,1))</f>
        <v>220</v>
      </c>
      <c r="AO88" s="114" t="n">
        <f aca="false">INDEX($F88:$AG88,1,MATCH(AO$7,$F$7:$AG$7,1))</f>
        <v>310</v>
      </c>
    </row>
    <row r="89" customFormat="false" ht="15" hidden="false" customHeight="false" outlineLevel="0" collapsed="false">
      <c r="A89" s="112" t="s">
        <v>1725</v>
      </c>
      <c r="B89" s="24" t="s">
        <v>857</v>
      </c>
      <c r="C89" s="24" t="s">
        <v>690</v>
      </c>
      <c r="D89" s="24" t="s">
        <v>1675</v>
      </c>
      <c r="F89" s="113" t="n">
        <v>0</v>
      </c>
      <c r="G89" s="113" t="n">
        <v>0</v>
      </c>
      <c r="H89" s="113" t="n">
        <v>0</v>
      </c>
      <c r="I89" s="113" t="n">
        <v>0</v>
      </c>
      <c r="J89" s="113" t="n">
        <v>0</v>
      </c>
      <c r="K89" s="113" t="n">
        <v>0</v>
      </c>
      <c r="L89" s="113" t="n">
        <v>0</v>
      </c>
      <c r="M89" s="113" t="n">
        <v>0</v>
      </c>
      <c r="N89" s="113" t="n">
        <v>0</v>
      </c>
      <c r="O89" s="113" t="n">
        <v>0</v>
      </c>
      <c r="P89" s="113" t="n">
        <v>0</v>
      </c>
      <c r="Q89" s="113" t="n">
        <v>0</v>
      </c>
      <c r="R89" s="113" t="n">
        <v>0</v>
      </c>
      <c r="S89" s="113" t="n">
        <v>17.5</v>
      </c>
      <c r="T89" s="113" t="n">
        <v>35</v>
      </c>
      <c r="U89" s="113" t="n">
        <v>52.5</v>
      </c>
      <c r="V89" s="113" t="n">
        <v>52.5</v>
      </c>
      <c r="W89" s="113" t="n">
        <v>105</v>
      </c>
      <c r="X89" s="113" t="n">
        <v>105</v>
      </c>
      <c r="Y89" s="113" t="n">
        <v>170</v>
      </c>
      <c r="Z89" s="113" t="n">
        <v>170</v>
      </c>
      <c r="AA89" s="113" t="n">
        <v>170</v>
      </c>
      <c r="AB89" s="113" t="n">
        <v>170</v>
      </c>
      <c r="AC89" s="113" t="n">
        <v>265</v>
      </c>
      <c r="AD89" s="113" t="n">
        <v>265</v>
      </c>
      <c r="AE89" s="113" t="n">
        <v>265</v>
      </c>
      <c r="AF89" s="113" t="n">
        <v>265</v>
      </c>
      <c r="AG89" s="113" t="n">
        <v>310</v>
      </c>
      <c r="AI89" s="114" t="n">
        <f aca="false">INDEX($F89:$AG89,1,MATCH(AI$7,$F$7:$AG$7,1))</f>
        <v>0</v>
      </c>
      <c r="AJ89" s="114" t="n">
        <f aca="false">INDEX($F89:$AG89,1,MATCH(AJ$7,$F$7:$AG$7,1))</f>
        <v>0</v>
      </c>
      <c r="AK89" s="114" t="n">
        <f aca="false">INDEX($F89:$AG89,1,MATCH(AK$7,$F$7:$AG$7,1))</f>
        <v>0</v>
      </c>
      <c r="AL89" s="114" t="n">
        <f aca="false">INDEX($F89:$AG89,1,MATCH(AL$7,$F$7:$AG$7,1))</f>
        <v>52.5</v>
      </c>
      <c r="AM89" s="114" t="n">
        <f aca="false">INDEX($F89:$AG89,1,MATCH(AM$7,$F$7:$AG$7,1))</f>
        <v>170</v>
      </c>
      <c r="AN89" s="114" t="n">
        <f aca="false">INDEX($F89:$AG89,1,MATCH(AN$7,$F$7:$AG$7,1))</f>
        <v>265</v>
      </c>
      <c r="AO89" s="114" t="n">
        <f aca="false">INDEX($F89:$AG89,1,MATCH(AO$7,$F$7:$AG$7,1))</f>
        <v>310</v>
      </c>
    </row>
    <row r="90" customFormat="false" ht="15" hidden="false" customHeight="false" outlineLevel="0" collapsed="false">
      <c r="A90" s="112" t="s">
        <v>1726</v>
      </c>
      <c r="B90" s="24" t="s">
        <v>857</v>
      </c>
      <c r="C90" s="24" t="s">
        <v>690</v>
      </c>
      <c r="D90" s="24" t="s">
        <v>1677</v>
      </c>
      <c r="F90" s="113" t="n">
        <v>0</v>
      </c>
      <c r="G90" s="113" t="n">
        <v>0</v>
      </c>
      <c r="H90" s="113" t="n">
        <v>0</v>
      </c>
      <c r="I90" s="113" t="n">
        <v>0</v>
      </c>
      <c r="J90" s="113" t="n">
        <v>0</v>
      </c>
      <c r="K90" s="113" t="n">
        <v>0</v>
      </c>
      <c r="L90" s="113" t="n">
        <v>0</v>
      </c>
      <c r="M90" s="113" t="n">
        <v>0</v>
      </c>
      <c r="N90" s="113" t="n">
        <v>0</v>
      </c>
      <c r="O90" s="113" t="n">
        <v>0</v>
      </c>
      <c r="P90" s="113" t="n">
        <v>0</v>
      </c>
      <c r="Q90" s="113" t="n">
        <v>0</v>
      </c>
      <c r="R90" s="113" t="n">
        <v>0</v>
      </c>
      <c r="S90" s="113" t="n">
        <v>17.5</v>
      </c>
      <c r="T90" s="113" t="n">
        <v>35</v>
      </c>
      <c r="U90" s="113" t="n">
        <v>52.5</v>
      </c>
      <c r="V90" s="113" t="n">
        <v>52.5</v>
      </c>
      <c r="W90" s="113" t="n">
        <v>105</v>
      </c>
      <c r="X90" s="113" t="n">
        <v>105</v>
      </c>
      <c r="Y90" s="113" t="n">
        <v>170</v>
      </c>
      <c r="Z90" s="113" t="n">
        <v>170</v>
      </c>
      <c r="AA90" s="113" t="n">
        <v>170</v>
      </c>
      <c r="AB90" s="113" t="n">
        <v>170</v>
      </c>
      <c r="AC90" s="113" t="n">
        <v>265</v>
      </c>
      <c r="AD90" s="113" t="n">
        <v>265</v>
      </c>
      <c r="AE90" s="113" t="n">
        <v>265</v>
      </c>
      <c r="AF90" s="113" t="n">
        <v>265</v>
      </c>
      <c r="AG90" s="113" t="n">
        <v>310</v>
      </c>
      <c r="AI90" s="114" t="n">
        <f aca="false">INDEX($F90:$AG90,1,MATCH(AI$7,$F$7:$AG$7,1))</f>
        <v>0</v>
      </c>
      <c r="AJ90" s="114" t="n">
        <f aca="false">INDEX($F90:$AG90,1,MATCH(AJ$7,$F$7:$AG$7,1))</f>
        <v>0</v>
      </c>
      <c r="AK90" s="114" t="n">
        <f aca="false">INDEX($F90:$AG90,1,MATCH(AK$7,$F$7:$AG$7,1))</f>
        <v>0</v>
      </c>
      <c r="AL90" s="114" t="n">
        <f aca="false">INDEX($F90:$AG90,1,MATCH(AL$7,$F$7:$AG$7,1))</f>
        <v>52.5</v>
      </c>
      <c r="AM90" s="114" t="n">
        <f aca="false">INDEX($F90:$AG90,1,MATCH(AM$7,$F$7:$AG$7,1))</f>
        <v>170</v>
      </c>
      <c r="AN90" s="114" t="n">
        <f aca="false">INDEX($F90:$AG90,1,MATCH(AN$7,$F$7:$AG$7,1))</f>
        <v>265</v>
      </c>
      <c r="AO90" s="114" t="n">
        <f aca="false">INDEX($F90:$AG90,1,MATCH(AO$7,$F$7:$AG$7,1))</f>
        <v>310</v>
      </c>
    </row>
    <row r="91" customFormat="false" ht="15" hidden="false" customHeight="false" outlineLevel="0" collapsed="false">
      <c r="A91" s="112" t="s">
        <v>1727</v>
      </c>
      <c r="B91" s="24" t="s">
        <v>857</v>
      </c>
      <c r="C91" s="24" t="s">
        <v>672</v>
      </c>
      <c r="D91" s="24" t="s">
        <v>1679</v>
      </c>
      <c r="F91" s="114" t="n">
        <f aca="false">IF(CapV=2,N(F90),N(F89))</f>
        <v>0</v>
      </c>
      <c r="G91" s="114" t="n">
        <f aca="false">IF(CapV=2,N(G90),N(G89))</f>
        <v>0</v>
      </c>
      <c r="H91" s="114" t="n">
        <f aca="false">IF(CapV=2,N(H90),N(H89))</f>
        <v>0</v>
      </c>
      <c r="I91" s="114" t="n">
        <f aca="false">IF(CapV=2,N(I90),N(I89))</f>
        <v>0</v>
      </c>
      <c r="J91" s="114" t="n">
        <f aca="false">IF(CapV=2,N(J90),N(J89))</f>
        <v>0</v>
      </c>
      <c r="K91" s="114" t="n">
        <f aca="false">IF(CapV=2,N(K90),N(K89))</f>
        <v>0</v>
      </c>
      <c r="L91" s="114" t="n">
        <f aca="false">IF(CapV=2,N(L90),N(L89))</f>
        <v>0</v>
      </c>
      <c r="M91" s="114" t="n">
        <f aca="false">IF(CapV=2,N(M90),N(M89))</f>
        <v>0</v>
      </c>
      <c r="N91" s="114" t="n">
        <f aca="false">IF(CapV=2,N(N90),N(N89))</f>
        <v>0</v>
      </c>
      <c r="O91" s="114" t="n">
        <f aca="false">IF(CapV=2,N(O90),N(O89))</f>
        <v>0</v>
      </c>
      <c r="P91" s="114" t="n">
        <f aca="false">IF(CapV=2,N(P90),N(P89))</f>
        <v>0</v>
      </c>
      <c r="Q91" s="114" t="n">
        <f aca="false">IF(CapV=2,N(Q90),N(Q89))</f>
        <v>0</v>
      </c>
      <c r="R91" s="114" t="n">
        <f aca="false">IF(CapV=2,N(R90),N(R89))</f>
        <v>0</v>
      </c>
      <c r="S91" s="114" t="n">
        <f aca="false">IF(CapV=2,N(S90),N(S89))</f>
        <v>17.5</v>
      </c>
      <c r="T91" s="114" t="n">
        <f aca="false">IF(CapV=2,N(T90),N(T89))</f>
        <v>35</v>
      </c>
      <c r="U91" s="114" t="n">
        <f aca="false">IF(CapV=2,N(U90),N(U89))</f>
        <v>52.5</v>
      </c>
      <c r="V91" s="114" t="n">
        <f aca="false">IF(CapV=2,N(V90),N(V89))</f>
        <v>52.5</v>
      </c>
      <c r="W91" s="114" t="n">
        <f aca="false">IF(CapV=2,N(W90),N(W89))</f>
        <v>105</v>
      </c>
      <c r="X91" s="114" t="n">
        <f aca="false">IF(CapV=2,N(X90),N(X89))</f>
        <v>105</v>
      </c>
      <c r="Y91" s="114" t="n">
        <f aca="false">IF(CapV=2,N(Y90),N(Y89))</f>
        <v>170</v>
      </c>
      <c r="Z91" s="114" t="n">
        <f aca="false">IF(CapV=2,N(Z90),N(Z89))</f>
        <v>170</v>
      </c>
      <c r="AA91" s="114" t="n">
        <f aca="false">IF(CapV=2,N(AA90),N(AA89))</f>
        <v>170</v>
      </c>
      <c r="AB91" s="114" t="n">
        <f aca="false">IF(CapV=2,N(AB90),N(AB89))</f>
        <v>170</v>
      </c>
      <c r="AC91" s="114" t="n">
        <f aca="false">IF(CapV=2,N(AC90),N(AC89))</f>
        <v>265</v>
      </c>
      <c r="AD91" s="114" t="n">
        <f aca="false">IF(CapV=2,N(AD90),N(AD89))</f>
        <v>265</v>
      </c>
      <c r="AE91" s="114" t="n">
        <f aca="false">IF(CapV=2,N(AE90),N(AE89))</f>
        <v>265</v>
      </c>
      <c r="AF91" s="114" t="n">
        <f aca="false">IF(CapV=2,N(AF90),N(AF89))</f>
        <v>265</v>
      </c>
      <c r="AG91" s="114" t="n">
        <f aca="false">IF(CapV=2,N(AG90),N(AG89))</f>
        <v>310</v>
      </c>
      <c r="AI91" s="114" t="n">
        <f aca="false">INDEX($F91:$AG91,1,MATCH(AI$7,$F$7:$AG$7,1))</f>
        <v>0</v>
      </c>
      <c r="AJ91" s="114" t="n">
        <f aca="false">INDEX($F91:$AG91,1,MATCH(AJ$7,$F$7:$AG$7,1))</f>
        <v>0</v>
      </c>
      <c r="AK91" s="114" t="n">
        <f aca="false">INDEX($F91:$AG91,1,MATCH(AK$7,$F$7:$AG$7,1))</f>
        <v>0</v>
      </c>
      <c r="AL91" s="114" t="n">
        <f aca="false">INDEX($F91:$AG91,1,MATCH(AL$7,$F$7:$AG$7,1))</f>
        <v>52.5</v>
      </c>
      <c r="AM91" s="114" t="n">
        <f aca="false">INDEX($F91:$AG91,1,MATCH(AM$7,$F$7:$AG$7,1))</f>
        <v>170</v>
      </c>
      <c r="AN91" s="114" t="n">
        <f aca="false">INDEX($F91:$AG91,1,MATCH(AN$7,$F$7:$AG$7,1))</f>
        <v>265</v>
      </c>
      <c r="AO91" s="114" t="n">
        <f aca="false">INDEX($F91:$AG91,1,MATCH(AO$7,$F$7:$AG$7,1))</f>
        <v>310</v>
      </c>
    </row>
    <row r="92" customFormat="false" ht="15" hidden="false" customHeight="false" outlineLevel="0" collapsed="false">
      <c r="A92" s="112" t="s">
        <v>1728</v>
      </c>
      <c r="B92" s="24" t="s">
        <v>857</v>
      </c>
      <c r="C92" s="24" t="s">
        <v>690</v>
      </c>
      <c r="D92" s="24" t="s">
        <v>1675</v>
      </c>
      <c r="F92" s="113" t="n">
        <v>0</v>
      </c>
      <c r="G92" s="113" t="n">
        <v>0</v>
      </c>
      <c r="H92" s="113" t="n">
        <v>0</v>
      </c>
      <c r="I92" s="113" t="n">
        <v>0</v>
      </c>
      <c r="J92" s="113" t="n">
        <v>0</v>
      </c>
      <c r="K92" s="113" t="n">
        <v>0</v>
      </c>
      <c r="L92" s="113" t="n">
        <v>0</v>
      </c>
      <c r="M92" s="113" t="n">
        <v>0</v>
      </c>
      <c r="N92" s="113" t="n">
        <v>0</v>
      </c>
      <c r="O92" s="113" t="n">
        <v>0</v>
      </c>
      <c r="P92" s="113" t="n">
        <v>0</v>
      </c>
      <c r="Q92" s="113" t="n">
        <v>0</v>
      </c>
      <c r="R92" s="113" t="n">
        <v>0</v>
      </c>
      <c r="S92" s="113" t="n">
        <v>35</v>
      </c>
      <c r="T92" s="113" t="n">
        <v>70</v>
      </c>
      <c r="U92" s="113" t="n">
        <v>70</v>
      </c>
      <c r="V92" s="113" t="n">
        <v>70</v>
      </c>
      <c r="W92" s="113" t="n">
        <v>140</v>
      </c>
      <c r="X92" s="113" t="n">
        <v>140</v>
      </c>
      <c r="Y92" s="113" t="n">
        <v>200</v>
      </c>
      <c r="Z92" s="113" t="n">
        <v>200</v>
      </c>
      <c r="AA92" s="113" t="n">
        <v>200</v>
      </c>
      <c r="AB92" s="113" t="n">
        <v>200</v>
      </c>
      <c r="AC92" s="113" t="n">
        <v>310</v>
      </c>
      <c r="AD92" s="113" t="n">
        <v>310</v>
      </c>
      <c r="AE92" s="113" t="n">
        <v>310</v>
      </c>
      <c r="AF92" s="113" t="n">
        <v>310</v>
      </c>
      <c r="AG92" s="113" t="n">
        <v>310</v>
      </c>
      <c r="AI92" s="114" t="n">
        <f aca="false">INDEX($F92:$AG92,1,MATCH(AI$7,$F$7:$AG$7,1))</f>
        <v>0</v>
      </c>
      <c r="AJ92" s="114" t="n">
        <f aca="false">INDEX($F92:$AG92,1,MATCH(AJ$7,$F$7:$AG$7,1))</f>
        <v>0</v>
      </c>
      <c r="AK92" s="114" t="n">
        <f aca="false">INDEX($F92:$AG92,1,MATCH(AK$7,$F$7:$AG$7,1))</f>
        <v>0</v>
      </c>
      <c r="AL92" s="114" t="n">
        <f aca="false">INDEX($F92:$AG92,1,MATCH(AL$7,$F$7:$AG$7,1))</f>
        <v>70</v>
      </c>
      <c r="AM92" s="114" t="n">
        <f aca="false">INDEX($F92:$AG92,1,MATCH(AM$7,$F$7:$AG$7,1))</f>
        <v>200</v>
      </c>
      <c r="AN92" s="114" t="n">
        <f aca="false">INDEX($F92:$AG92,1,MATCH(AN$7,$F$7:$AG$7,1))</f>
        <v>310</v>
      </c>
      <c r="AO92" s="114" t="n">
        <f aca="false">INDEX($F92:$AG92,1,MATCH(AO$7,$F$7:$AG$7,1))</f>
        <v>310</v>
      </c>
    </row>
    <row r="93" customFormat="false" ht="15" hidden="false" customHeight="false" outlineLevel="0" collapsed="false">
      <c r="A93" s="112" t="s">
        <v>1729</v>
      </c>
      <c r="B93" s="24" t="s">
        <v>857</v>
      </c>
      <c r="C93" s="24" t="s">
        <v>690</v>
      </c>
      <c r="D93" s="24" t="s">
        <v>1677</v>
      </c>
      <c r="F93" s="113" t="n">
        <v>0</v>
      </c>
      <c r="G93" s="113" t="n">
        <v>0</v>
      </c>
      <c r="H93" s="113" t="n">
        <v>0</v>
      </c>
      <c r="I93" s="113" t="n">
        <v>0</v>
      </c>
      <c r="J93" s="113" t="n">
        <v>0</v>
      </c>
      <c r="K93" s="113" t="n">
        <v>0</v>
      </c>
      <c r="L93" s="113" t="n">
        <v>0</v>
      </c>
      <c r="M93" s="113" t="n">
        <v>0</v>
      </c>
      <c r="N93" s="113" t="n">
        <v>0</v>
      </c>
      <c r="O93" s="113" t="n">
        <v>0</v>
      </c>
      <c r="P93" s="113" t="n">
        <v>0</v>
      </c>
      <c r="Q93" s="113" t="n">
        <v>0</v>
      </c>
      <c r="R93" s="113" t="n">
        <v>0</v>
      </c>
      <c r="S93" s="113" t="n">
        <v>35</v>
      </c>
      <c r="T93" s="113" t="n">
        <v>70</v>
      </c>
      <c r="U93" s="113" t="n">
        <v>70</v>
      </c>
      <c r="V93" s="113" t="n">
        <v>70</v>
      </c>
      <c r="W93" s="113" t="n">
        <v>140</v>
      </c>
      <c r="X93" s="113" t="n">
        <v>140</v>
      </c>
      <c r="Y93" s="113" t="n">
        <v>200</v>
      </c>
      <c r="Z93" s="113" t="n">
        <v>200</v>
      </c>
      <c r="AA93" s="113" t="n">
        <v>200</v>
      </c>
      <c r="AB93" s="113" t="n">
        <v>200</v>
      </c>
      <c r="AC93" s="113" t="n">
        <v>310</v>
      </c>
      <c r="AD93" s="113" t="n">
        <v>310</v>
      </c>
      <c r="AE93" s="113" t="n">
        <v>310</v>
      </c>
      <c r="AF93" s="113" t="n">
        <v>310</v>
      </c>
      <c r="AG93" s="113" t="n">
        <v>310</v>
      </c>
      <c r="AI93" s="114" t="n">
        <f aca="false">INDEX($F93:$AG93,1,MATCH(AI$7,$F$7:$AG$7,1))</f>
        <v>0</v>
      </c>
      <c r="AJ93" s="114" t="n">
        <f aca="false">INDEX($F93:$AG93,1,MATCH(AJ$7,$F$7:$AG$7,1))</f>
        <v>0</v>
      </c>
      <c r="AK93" s="114" t="n">
        <f aca="false">INDEX($F93:$AG93,1,MATCH(AK$7,$F$7:$AG$7,1))</f>
        <v>0</v>
      </c>
      <c r="AL93" s="114" t="n">
        <f aca="false">INDEX($F93:$AG93,1,MATCH(AL$7,$F$7:$AG$7,1))</f>
        <v>70</v>
      </c>
      <c r="AM93" s="114" t="n">
        <f aca="false">INDEX($F93:$AG93,1,MATCH(AM$7,$F$7:$AG$7,1))</f>
        <v>200</v>
      </c>
      <c r="AN93" s="114" t="n">
        <f aca="false">INDEX($F93:$AG93,1,MATCH(AN$7,$F$7:$AG$7,1))</f>
        <v>310</v>
      </c>
      <c r="AO93" s="114" t="n">
        <f aca="false">INDEX($F93:$AG93,1,MATCH(AO$7,$F$7:$AG$7,1))</f>
        <v>310</v>
      </c>
    </row>
    <row r="94" customFormat="false" ht="15" hidden="false" customHeight="false" outlineLevel="0" collapsed="false">
      <c r="A94" s="112" t="s">
        <v>1730</v>
      </c>
      <c r="B94" s="24" t="s">
        <v>857</v>
      </c>
      <c r="C94" s="24" t="s">
        <v>672</v>
      </c>
      <c r="D94" s="24" t="s">
        <v>1679</v>
      </c>
      <c r="F94" s="114" t="n">
        <f aca="false">IF(CapV=2,N(F93),N(F92))</f>
        <v>0</v>
      </c>
      <c r="G94" s="114" t="n">
        <f aca="false">IF(CapV=2,N(G93),N(G92))</f>
        <v>0</v>
      </c>
      <c r="H94" s="114" t="n">
        <f aca="false">IF(CapV=2,N(H93),N(H92))</f>
        <v>0</v>
      </c>
      <c r="I94" s="114" t="n">
        <f aca="false">IF(CapV=2,N(I93),N(I92))</f>
        <v>0</v>
      </c>
      <c r="J94" s="114" t="n">
        <f aca="false">IF(CapV=2,N(J93),N(J92))</f>
        <v>0</v>
      </c>
      <c r="K94" s="114" t="n">
        <f aca="false">IF(CapV=2,N(K93),N(K92))</f>
        <v>0</v>
      </c>
      <c r="L94" s="114" t="n">
        <f aca="false">IF(CapV=2,N(L93),N(L92))</f>
        <v>0</v>
      </c>
      <c r="M94" s="114" t="n">
        <f aca="false">IF(CapV=2,N(M93),N(M92))</f>
        <v>0</v>
      </c>
      <c r="N94" s="114" t="n">
        <f aca="false">IF(CapV=2,N(N93),N(N92))</f>
        <v>0</v>
      </c>
      <c r="O94" s="114" t="n">
        <f aca="false">IF(CapV=2,N(O93),N(O92))</f>
        <v>0</v>
      </c>
      <c r="P94" s="114" t="n">
        <f aca="false">IF(CapV=2,N(P93),N(P92))</f>
        <v>0</v>
      </c>
      <c r="Q94" s="114" t="n">
        <f aca="false">IF(CapV=2,N(Q93),N(Q92))</f>
        <v>0</v>
      </c>
      <c r="R94" s="114" t="n">
        <f aca="false">IF(CapV=2,N(R93),N(R92))</f>
        <v>0</v>
      </c>
      <c r="S94" s="114" t="n">
        <f aca="false">IF(CapV=2,N(S93),N(S92))</f>
        <v>35</v>
      </c>
      <c r="T94" s="114" t="n">
        <f aca="false">IF(CapV=2,N(T93),N(T92))</f>
        <v>70</v>
      </c>
      <c r="U94" s="114" t="n">
        <f aca="false">IF(CapV=2,N(U93),N(U92))</f>
        <v>70</v>
      </c>
      <c r="V94" s="114" t="n">
        <f aca="false">IF(CapV=2,N(V93),N(V92))</f>
        <v>70</v>
      </c>
      <c r="W94" s="114" t="n">
        <f aca="false">IF(CapV=2,N(W93),N(W92))</f>
        <v>140</v>
      </c>
      <c r="X94" s="114" t="n">
        <f aca="false">IF(CapV=2,N(X93),N(X92))</f>
        <v>140</v>
      </c>
      <c r="Y94" s="114" t="n">
        <f aca="false">IF(CapV=2,N(Y93),N(Y92))</f>
        <v>200</v>
      </c>
      <c r="Z94" s="114" t="n">
        <f aca="false">IF(CapV=2,N(Z93),N(Z92))</f>
        <v>200</v>
      </c>
      <c r="AA94" s="114" t="n">
        <f aca="false">IF(CapV=2,N(AA93),N(AA92))</f>
        <v>200</v>
      </c>
      <c r="AB94" s="114" t="n">
        <f aca="false">IF(CapV=2,N(AB93),N(AB92))</f>
        <v>200</v>
      </c>
      <c r="AC94" s="114" t="n">
        <f aca="false">IF(CapV=2,N(AC93),N(AC92))</f>
        <v>310</v>
      </c>
      <c r="AD94" s="114" t="n">
        <f aca="false">IF(CapV=2,N(AD93),N(AD92))</f>
        <v>310</v>
      </c>
      <c r="AE94" s="114" t="n">
        <f aca="false">IF(CapV=2,N(AE93),N(AE92))</f>
        <v>310</v>
      </c>
      <c r="AF94" s="114" t="n">
        <f aca="false">IF(CapV=2,N(AF93),N(AF92))</f>
        <v>310</v>
      </c>
      <c r="AG94" s="114" t="n">
        <f aca="false">IF(CapV=2,N(AG93),N(AG92))</f>
        <v>310</v>
      </c>
      <c r="AI94" s="114" t="n">
        <f aca="false">INDEX($F94:$AG94,1,MATCH(AI$7,$F$7:$AG$7,1))</f>
        <v>0</v>
      </c>
      <c r="AJ94" s="114" t="n">
        <f aca="false">INDEX($F94:$AG94,1,MATCH(AJ$7,$F$7:$AG$7,1))</f>
        <v>0</v>
      </c>
      <c r="AK94" s="114" t="n">
        <f aca="false">INDEX($F94:$AG94,1,MATCH(AK$7,$F$7:$AG$7,1))</f>
        <v>0</v>
      </c>
      <c r="AL94" s="114" t="n">
        <f aca="false">INDEX($F94:$AG94,1,MATCH(AL$7,$F$7:$AG$7,1))</f>
        <v>70</v>
      </c>
      <c r="AM94" s="114" t="n">
        <f aca="false">INDEX($F94:$AG94,1,MATCH(AM$7,$F$7:$AG$7,1))</f>
        <v>200</v>
      </c>
      <c r="AN94" s="114" t="n">
        <f aca="false">INDEX($F94:$AG94,1,MATCH(AN$7,$F$7:$AG$7,1))</f>
        <v>310</v>
      </c>
      <c r="AO94" s="114" t="n">
        <f aca="false">INDEX($F94:$AG94,1,MATCH(AO$7,$F$7:$AG$7,1))</f>
        <v>310</v>
      </c>
    </row>
    <row r="95" customFormat="false" ht="15" hidden="false" customHeight="false" outlineLevel="0" collapsed="false">
      <c r="A95" s="112" t="s">
        <v>1731</v>
      </c>
      <c r="B95" s="24" t="s">
        <v>857</v>
      </c>
      <c r="C95" s="24" t="s">
        <v>690</v>
      </c>
      <c r="D95" s="24" t="s">
        <v>1675</v>
      </c>
      <c r="F95" s="113" t="n">
        <v>25</v>
      </c>
      <c r="G95" s="113" t="n">
        <v>25</v>
      </c>
      <c r="H95" s="113" t="n">
        <v>25</v>
      </c>
      <c r="I95" s="113" t="n">
        <v>25</v>
      </c>
      <c r="J95" s="113" t="n">
        <v>25</v>
      </c>
      <c r="K95" s="113" t="n">
        <v>25</v>
      </c>
      <c r="L95" s="113" t="n">
        <v>25</v>
      </c>
      <c r="M95" s="113" t="n">
        <v>50</v>
      </c>
      <c r="N95" s="113" t="n">
        <v>75</v>
      </c>
      <c r="O95" s="113" t="n">
        <v>75</v>
      </c>
      <c r="P95" s="113" t="n">
        <v>75</v>
      </c>
      <c r="Q95" s="113" t="n">
        <v>75</v>
      </c>
      <c r="R95" s="113" t="n">
        <v>75</v>
      </c>
      <c r="S95" s="113" t="n">
        <v>75</v>
      </c>
      <c r="T95" s="113" t="n">
        <v>75</v>
      </c>
      <c r="U95" s="113" t="n">
        <v>75</v>
      </c>
      <c r="V95" s="113" t="n">
        <v>75</v>
      </c>
      <c r="W95" s="113" t="n">
        <v>75</v>
      </c>
      <c r="X95" s="113" t="n">
        <v>75</v>
      </c>
      <c r="Y95" s="113" t="n">
        <v>75</v>
      </c>
      <c r="Z95" s="113" t="n">
        <v>75</v>
      </c>
      <c r="AA95" s="113" t="n">
        <v>75</v>
      </c>
      <c r="AB95" s="113" t="n">
        <v>75</v>
      </c>
      <c r="AC95" s="113" t="n">
        <v>75</v>
      </c>
      <c r="AD95" s="113" t="n">
        <v>75</v>
      </c>
      <c r="AE95" s="113" t="n">
        <v>75</v>
      </c>
      <c r="AF95" s="113" t="n">
        <v>75</v>
      </c>
      <c r="AG95" s="113" t="n">
        <v>75</v>
      </c>
      <c r="AI95" s="114" t="n">
        <f aca="false">INDEX($F95:$AG95,1,MATCH(AI$7,$F$7:$AG$7,1))</f>
        <v>25</v>
      </c>
      <c r="AJ95" s="114" t="n">
        <f aca="false">INDEX($F95:$AG95,1,MATCH(AJ$7,$F$7:$AG$7,1))</f>
        <v>50</v>
      </c>
      <c r="AK95" s="114" t="n">
        <f aca="false">INDEX($F95:$AG95,1,MATCH(AK$7,$F$7:$AG$7,1))</f>
        <v>75</v>
      </c>
      <c r="AL95" s="114" t="n">
        <f aca="false">INDEX($F95:$AG95,1,MATCH(AL$7,$F$7:$AG$7,1))</f>
        <v>75</v>
      </c>
      <c r="AM95" s="114" t="n">
        <f aca="false">INDEX($F95:$AG95,1,MATCH(AM$7,$F$7:$AG$7,1))</f>
        <v>75</v>
      </c>
      <c r="AN95" s="114" t="n">
        <f aca="false">INDEX($F95:$AG95,1,MATCH(AN$7,$F$7:$AG$7,1))</f>
        <v>75</v>
      </c>
      <c r="AO95" s="114" t="n">
        <f aca="false">INDEX($F95:$AG95,1,MATCH(AO$7,$F$7:$AG$7,1))</f>
        <v>75</v>
      </c>
    </row>
    <row r="96" customFormat="false" ht="15" hidden="false" customHeight="false" outlineLevel="0" collapsed="false">
      <c r="A96" s="112" t="s">
        <v>1732</v>
      </c>
      <c r="B96" s="24" t="s">
        <v>857</v>
      </c>
      <c r="C96" s="24" t="s">
        <v>690</v>
      </c>
      <c r="D96" s="24" t="s">
        <v>1677</v>
      </c>
      <c r="F96" s="113" t="n">
        <v>25</v>
      </c>
      <c r="G96" s="113" t="n">
        <v>25</v>
      </c>
      <c r="H96" s="113" t="n">
        <v>25</v>
      </c>
      <c r="I96" s="113" t="n">
        <v>25</v>
      </c>
      <c r="J96" s="113" t="n">
        <v>25</v>
      </c>
      <c r="K96" s="113" t="n">
        <v>25</v>
      </c>
      <c r="L96" s="113" t="n">
        <v>25</v>
      </c>
      <c r="M96" s="113" t="n">
        <v>50</v>
      </c>
      <c r="N96" s="113" t="n">
        <v>75</v>
      </c>
      <c r="O96" s="113" t="n">
        <v>75</v>
      </c>
      <c r="P96" s="113" t="n">
        <v>75</v>
      </c>
      <c r="Q96" s="113" t="n">
        <v>75</v>
      </c>
      <c r="R96" s="113" t="n">
        <v>75</v>
      </c>
      <c r="S96" s="113" t="n">
        <v>75</v>
      </c>
      <c r="T96" s="113" t="n">
        <v>75</v>
      </c>
      <c r="U96" s="113" t="n">
        <v>75</v>
      </c>
      <c r="V96" s="113" t="n">
        <v>75</v>
      </c>
      <c r="W96" s="113" t="n">
        <v>75</v>
      </c>
      <c r="X96" s="113" t="n">
        <v>75</v>
      </c>
      <c r="Y96" s="113" t="n">
        <v>75</v>
      </c>
      <c r="Z96" s="113" t="n">
        <v>75</v>
      </c>
      <c r="AA96" s="113" t="n">
        <v>75</v>
      </c>
      <c r="AB96" s="113" t="n">
        <v>75</v>
      </c>
      <c r="AC96" s="113" t="n">
        <v>75</v>
      </c>
      <c r="AD96" s="113" t="n">
        <v>75</v>
      </c>
      <c r="AE96" s="113" t="n">
        <v>75</v>
      </c>
      <c r="AF96" s="113" t="n">
        <v>75</v>
      </c>
      <c r="AG96" s="113" t="n">
        <v>75</v>
      </c>
      <c r="AI96" s="114" t="n">
        <f aca="false">INDEX($F96:$AG96,1,MATCH(AI$7,$F$7:$AG$7,1))</f>
        <v>25</v>
      </c>
      <c r="AJ96" s="114" t="n">
        <f aca="false">INDEX($F96:$AG96,1,MATCH(AJ$7,$F$7:$AG$7,1))</f>
        <v>50</v>
      </c>
      <c r="AK96" s="114" t="n">
        <f aca="false">INDEX($F96:$AG96,1,MATCH(AK$7,$F$7:$AG$7,1))</f>
        <v>75</v>
      </c>
      <c r="AL96" s="114" t="n">
        <f aca="false">INDEX($F96:$AG96,1,MATCH(AL$7,$F$7:$AG$7,1))</f>
        <v>75</v>
      </c>
      <c r="AM96" s="114" t="n">
        <f aca="false">INDEX($F96:$AG96,1,MATCH(AM$7,$F$7:$AG$7,1))</f>
        <v>75</v>
      </c>
      <c r="AN96" s="114" t="n">
        <f aca="false">INDEX($F96:$AG96,1,MATCH(AN$7,$F$7:$AG$7,1))</f>
        <v>75</v>
      </c>
      <c r="AO96" s="114" t="n">
        <f aca="false">INDEX($F96:$AG96,1,MATCH(AO$7,$F$7:$AG$7,1))</f>
        <v>75</v>
      </c>
    </row>
    <row r="97" customFormat="false" ht="15" hidden="false" customHeight="false" outlineLevel="0" collapsed="false">
      <c r="A97" s="112" t="s">
        <v>1733</v>
      </c>
      <c r="B97" s="24" t="s">
        <v>857</v>
      </c>
      <c r="C97" s="24" t="s">
        <v>672</v>
      </c>
      <c r="D97" s="24" t="s">
        <v>1679</v>
      </c>
      <c r="F97" s="114" t="n">
        <f aca="false">IF(CapV=2,N(F96),N(F95))</f>
        <v>25</v>
      </c>
      <c r="G97" s="114" t="n">
        <f aca="false">IF(CapV=2,N(G96),N(G95))</f>
        <v>25</v>
      </c>
      <c r="H97" s="114" t="n">
        <f aca="false">IF(CapV=2,N(H96),N(H95))</f>
        <v>25</v>
      </c>
      <c r="I97" s="114" t="n">
        <f aca="false">IF(CapV=2,N(I96),N(I95))</f>
        <v>25</v>
      </c>
      <c r="J97" s="114" t="n">
        <f aca="false">IF(CapV=2,N(J96),N(J95))</f>
        <v>25</v>
      </c>
      <c r="K97" s="114" t="n">
        <f aca="false">IF(CapV=2,N(K96),N(K95))</f>
        <v>25</v>
      </c>
      <c r="L97" s="114" t="n">
        <f aca="false">IF(CapV=2,N(L96),N(L95))</f>
        <v>25</v>
      </c>
      <c r="M97" s="114" t="n">
        <f aca="false">IF(CapV=2,N(M96),N(M95))</f>
        <v>50</v>
      </c>
      <c r="N97" s="114" t="n">
        <f aca="false">IF(CapV=2,N(N96),N(N95))</f>
        <v>75</v>
      </c>
      <c r="O97" s="114" t="n">
        <f aca="false">IF(CapV=2,N(O96),N(O95))</f>
        <v>75</v>
      </c>
      <c r="P97" s="114" t="n">
        <f aca="false">IF(CapV=2,N(P96),N(P95))</f>
        <v>75</v>
      </c>
      <c r="Q97" s="114" t="n">
        <f aca="false">IF(CapV=2,N(Q96),N(Q95))</f>
        <v>75</v>
      </c>
      <c r="R97" s="114" t="n">
        <f aca="false">IF(CapV=2,N(R96),N(R95))</f>
        <v>75</v>
      </c>
      <c r="S97" s="114" t="n">
        <f aca="false">IF(CapV=2,N(S96),N(S95))</f>
        <v>75</v>
      </c>
      <c r="T97" s="114" t="n">
        <f aca="false">IF(CapV=2,N(T96),N(T95))</f>
        <v>75</v>
      </c>
      <c r="U97" s="114" t="n">
        <f aca="false">IF(CapV=2,N(U96),N(U95))</f>
        <v>75</v>
      </c>
      <c r="V97" s="114" t="n">
        <f aca="false">IF(CapV=2,N(V96),N(V95))</f>
        <v>75</v>
      </c>
      <c r="W97" s="114" t="n">
        <f aca="false">IF(CapV=2,N(W96),N(W95))</f>
        <v>75</v>
      </c>
      <c r="X97" s="114" t="n">
        <f aca="false">IF(CapV=2,N(X96),N(X95))</f>
        <v>75</v>
      </c>
      <c r="Y97" s="114" t="n">
        <f aca="false">IF(CapV=2,N(Y96),N(Y95))</f>
        <v>75</v>
      </c>
      <c r="Z97" s="114" t="n">
        <f aca="false">IF(CapV=2,N(Z96),N(Z95))</f>
        <v>75</v>
      </c>
      <c r="AA97" s="114" t="n">
        <f aca="false">IF(CapV=2,N(AA96),N(AA95))</f>
        <v>75</v>
      </c>
      <c r="AB97" s="114" t="n">
        <f aca="false">IF(CapV=2,N(AB96),N(AB95))</f>
        <v>75</v>
      </c>
      <c r="AC97" s="114" t="n">
        <f aca="false">IF(CapV=2,N(AC96),N(AC95))</f>
        <v>75</v>
      </c>
      <c r="AD97" s="114" t="n">
        <f aca="false">IF(CapV=2,N(AD96),N(AD95))</f>
        <v>75</v>
      </c>
      <c r="AE97" s="114" t="n">
        <f aca="false">IF(CapV=2,N(AE96),N(AE95))</f>
        <v>75</v>
      </c>
      <c r="AF97" s="114" t="n">
        <f aca="false">IF(CapV=2,N(AF96),N(AF95))</f>
        <v>75</v>
      </c>
      <c r="AG97" s="114" t="n">
        <f aca="false">IF(CapV=2,N(AG96),N(AG95))</f>
        <v>75</v>
      </c>
      <c r="AI97" s="114" t="n">
        <f aca="false">INDEX($F97:$AG97,1,MATCH(AI$7,$F$7:$AG$7,1))</f>
        <v>25</v>
      </c>
      <c r="AJ97" s="114" t="n">
        <f aca="false">INDEX($F97:$AG97,1,MATCH(AJ$7,$F$7:$AG$7,1))</f>
        <v>50</v>
      </c>
      <c r="AK97" s="114" t="n">
        <f aca="false">INDEX($F97:$AG97,1,MATCH(AK$7,$F$7:$AG$7,1))</f>
        <v>75</v>
      </c>
      <c r="AL97" s="114" t="n">
        <f aca="false">INDEX($F97:$AG97,1,MATCH(AL$7,$F$7:$AG$7,1))</f>
        <v>75</v>
      </c>
      <c r="AM97" s="114" t="n">
        <f aca="false">INDEX($F97:$AG97,1,MATCH(AM$7,$F$7:$AG$7,1))</f>
        <v>75</v>
      </c>
      <c r="AN97" s="114" t="n">
        <f aca="false">INDEX($F97:$AG97,1,MATCH(AN$7,$F$7:$AG$7,1))</f>
        <v>75</v>
      </c>
      <c r="AO97" s="114" t="n">
        <f aca="false">INDEX($F97:$AG97,1,MATCH(AO$7,$F$7:$AG$7,1))</f>
        <v>75</v>
      </c>
    </row>
    <row r="98" customFormat="false" ht="15" hidden="false" customHeight="false" outlineLevel="0" collapsed="false">
      <c r="A98" s="112" t="s">
        <v>1734</v>
      </c>
      <c r="B98" s="24" t="s">
        <v>857</v>
      </c>
      <c r="C98" s="24" t="s">
        <v>690</v>
      </c>
      <c r="D98" s="24" t="s">
        <v>1675</v>
      </c>
      <c r="F98" s="113" t="n">
        <v>25</v>
      </c>
      <c r="G98" s="113" t="n">
        <v>25</v>
      </c>
      <c r="H98" s="113" t="n">
        <v>25</v>
      </c>
      <c r="I98" s="113" t="n">
        <v>25</v>
      </c>
      <c r="J98" s="113" t="n">
        <v>25</v>
      </c>
      <c r="K98" s="113" t="n">
        <v>25</v>
      </c>
      <c r="L98" s="113" t="n">
        <v>37.5</v>
      </c>
      <c r="M98" s="113" t="n">
        <v>62.5</v>
      </c>
      <c r="N98" s="113" t="n">
        <v>75</v>
      </c>
      <c r="O98" s="113" t="n">
        <v>75</v>
      </c>
      <c r="P98" s="113" t="n">
        <v>75</v>
      </c>
      <c r="Q98" s="113" t="n">
        <v>75</v>
      </c>
      <c r="R98" s="113" t="n">
        <v>75</v>
      </c>
      <c r="S98" s="113" t="n">
        <v>75</v>
      </c>
      <c r="T98" s="113" t="n">
        <v>75</v>
      </c>
      <c r="U98" s="113" t="n">
        <v>75</v>
      </c>
      <c r="V98" s="113" t="n">
        <v>75</v>
      </c>
      <c r="W98" s="113" t="n">
        <v>75</v>
      </c>
      <c r="X98" s="113" t="n">
        <v>75</v>
      </c>
      <c r="Y98" s="113" t="n">
        <v>75</v>
      </c>
      <c r="Z98" s="113" t="n">
        <v>75</v>
      </c>
      <c r="AA98" s="113" t="n">
        <v>75</v>
      </c>
      <c r="AB98" s="113" t="n">
        <v>75</v>
      </c>
      <c r="AC98" s="113" t="n">
        <v>75</v>
      </c>
      <c r="AD98" s="113" t="n">
        <v>75</v>
      </c>
      <c r="AE98" s="113" t="n">
        <v>75</v>
      </c>
      <c r="AF98" s="113" t="n">
        <v>75</v>
      </c>
      <c r="AG98" s="113" t="n">
        <v>75</v>
      </c>
      <c r="AI98" s="114" t="n">
        <f aca="false">INDEX($F98:$AG98,1,MATCH(AI$7,$F$7:$AG$7,1))</f>
        <v>25</v>
      </c>
      <c r="AJ98" s="114" t="n">
        <f aca="false">INDEX($F98:$AG98,1,MATCH(AJ$7,$F$7:$AG$7,1))</f>
        <v>62.5</v>
      </c>
      <c r="AK98" s="114" t="n">
        <f aca="false">INDEX($F98:$AG98,1,MATCH(AK$7,$F$7:$AG$7,1))</f>
        <v>75</v>
      </c>
      <c r="AL98" s="114" t="n">
        <f aca="false">INDEX($F98:$AG98,1,MATCH(AL$7,$F$7:$AG$7,1))</f>
        <v>75</v>
      </c>
      <c r="AM98" s="114" t="n">
        <f aca="false">INDEX($F98:$AG98,1,MATCH(AM$7,$F$7:$AG$7,1))</f>
        <v>75</v>
      </c>
      <c r="AN98" s="114" t="n">
        <f aca="false">INDEX($F98:$AG98,1,MATCH(AN$7,$F$7:$AG$7,1))</f>
        <v>75</v>
      </c>
      <c r="AO98" s="114" t="n">
        <f aca="false">INDEX($F98:$AG98,1,MATCH(AO$7,$F$7:$AG$7,1))</f>
        <v>75</v>
      </c>
    </row>
    <row r="99" customFormat="false" ht="15" hidden="false" customHeight="false" outlineLevel="0" collapsed="false">
      <c r="A99" s="112" t="s">
        <v>1735</v>
      </c>
      <c r="B99" s="24" t="s">
        <v>857</v>
      </c>
      <c r="C99" s="24" t="s">
        <v>690</v>
      </c>
      <c r="D99" s="24" t="s">
        <v>1677</v>
      </c>
      <c r="F99" s="113" t="n">
        <v>25</v>
      </c>
      <c r="G99" s="113" t="n">
        <v>25</v>
      </c>
      <c r="H99" s="113" t="n">
        <v>25</v>
      </c>
      <c r="I99" s="113" t="n">
        <v>25</v>
      </c>
      <c r="J99" s="113" t="n">
        <v>25</v>
      </c>
      <c r="K99" s="113" t="n">
        <v>25</v>
      </c>
      <c r="L99" s="113" t="n">
        <v>37.5</v>
      </c>
      <c r="M99" s="113" t="n">
        <v>62.5</v>
      </c>
      <c r="N99" s="113" t="n">
        <v>75</v>
      </c>
      <c r="O99" s="113" t="n">
        <v>75</v>
      </c>
      <c r="P99" s="113" t="n">
        <v>75</v>
      </c>
      <c r="Q99" s="113" t="n">
        <v>75</v>
      </c>
      <c r="R99" s="113" t="n">
        <v>75</v>
      </c>
      <c r="S99" s="113" t="n">
        <v>75</v>
      </c>
      <c r="T99" s="113" t="n">
        <v>75</v>
      </c>
      <c r="U99" s="113" t="n">
        <v>75</v>
      </c>
      <c r="V99" s="113" t="n">
        <v>75</v>
      </c>
      <c r="W99" s="113" t="n">
        <v>75</v>
      </c>
      <c r="X99" s="113" t="n">
        <v>75</v>
      </c>
      <c r="Y99" s="113" t="n">
        <v>75</v>
      </c>
      <c r="Z99" s="113" t="n">
        <v>75</v>
      </c>
      <c r="AA99" s="113" t="n">
        <v>75</v>
      </c>
      <c r="AB99" s="113" t="n">
        <v>75</v>
      </c>
      <c r="AC99" s="113" t="n">
        <v>75</v>
      </c>
      <c r="AD99" s="113" t="n">
        <v>75</v>
      </c>
      <c r="AE99" s="113" t="n">
        <v>75</v>
      </c>
      <c r="AF99" s="113" t="n">
        <v>75</v>
      </c>
      <c r="AG99" s="113" t="n">
        <v>75</v>
      </c>
      <c r="AI99" s="114" t="n">
        <f aca="false">INDEX($F99:$AG99,1,MATCH(AI$7,$F$7:$AG$7,1))</f>
        <v>25</v>
      </c>
      <c r="AJ99" s="114" t="n">
        <f aca="false">INDEX($F99:$AG99,1,MATCH(AJ$7,$F$7:$AG$7,1))</f>
        <v>62.5</v>
      </c>
      <c r="AK99" s="114" t="n">
        <f aca="false">INDEX($F99:$AG99,1,MATCH(AK$7,$F$7:$AG$7,1))</f>
        <v>75</v>
      </c>
      <c r="AL99" s="114" t="n">
        <f aca="false">INDEX($F99:$AG99,1,MATCH(AL$7,$F$7:$AG$7,1))</f>
        <v>75</v>
      </c>
      <c r="AM99" s="114" t="n">
        <f aca="false">INDEX($F99:$AG99,1,MATCH(AM$7,$F$7:$AG$7,1))</f>
        <v>75</v>
      </c>
      <c r="AN99" s="114" t="n">
        <f aca="false">INDEX($F99:$AG99,1,MATCH(AN$7,$F$7:$AG$7,1))</f>
        <v>75</v>
      </c>
      <c r="AO99" s="114" t="n">
        <f aca="false">INDEX($F99:$AG99,1,MATCH(AO$7,$F$7:$AG$7,1))</f>
        <v>75</v>
      </c>
    </row>
    <row r="100" customFormat="false" ht="15" hidden="false" customHeight="false" outlineLevel="0" collapsed="false">
      <c r="A100" s="112" t="s">
        <v>1736</v>
      </c>
      <c r="B100" s="24" t="s">
        <v>857</v>
      </c>
      <c r="C100" s="24" t="s">
        <v>672</v>
      </c>
      <c r="D100" s="24" t="s">
        <v>1679</v>
      </c>
      <c r="F100" s="114" t="n">
        <f aca="false">IF(CapV=2,N(F99),N(F98))</f>
        <v>25</v>
      </c>
      <c r="G100" s="114" t="n">
        <f aca="false">IF(CapV=2,N(G99),N(G98))</f>
        <v>25</v>
      </c>
      <c r="H100" s="114" t="n">
        <f aca="false">IF(CapV=2,N(H99),N(H98))</f>
        <v>25</v>
      </c>
      <c r="I100" s="114" t="n">
        <f aca="false">IF(CapV=2,N(I99),N(I98))</f>
        <v>25</v>
      </c>
      <c r="J100" s="114" t="n">
        <f aca="false">IF(CapV=2,N(J99),N(J98))</f>
        <v>25</v>
      </c>
      <c r="K100" s="114" t="n">
        <f aca="false">IF(CapV=2,N(K99),N(K98))</f>
        <v>25</v>
      </c>
      <c r="L100" s="114" t="n">
        <f aca="false">IF(CapV=2,N(L99),N(L98))</f>
        <v>37.5</v>
      </c>
      <c r="M100" s="114" t="n">
        <f aca="false">IF(CapV=2,N(M99),N(M98))</f>
        <v>62.5</v>
      </c>
      <c r="N100" s="114" t="n">
        <f aca="false">IF(CapV=2,N(N99),N(N98))</f>
        <v>75</v>
      </c>
      <c r="O100" s="114" t="n">
        <f aca="false">IF(CapV=2,N(O99),N(O98))</f>
        <v>75</v>
      </c>
      <c r="P100" s="114" t="n">
        <f aca="false">IF(CapV=2,N(P99),N(P98))</f>
        <v>75</v>
      </c>
      <c r="Q100" s="114" t="n">
        <f aca="false">IF(CapV=2,N(Q99),N(Q98))</f>
        <v>75</v>
      </c>
      <c r="R100" s="114" t="n">
        <f aca="false">IF(CapV=2,N(R99),N(R98))</f>
        <v>75</v>
      </c>
      <c r="S100" s="114" t="n">
        <f aca="false">IF(CapV=2,N(S99),N(S98))</f>
        <v>75</v>
      </c>
      <c r="T100" s="114" t="n">
        <f aca="false">IF(CapV=2,N(T99),N(T98))</f>
        <v>75</v>
      </c>
      <c r="U100" s="114" t="n">
        <f aca="false">IF(CapV=2,N(U99),N(U98))</f>
        <v>75</v>
      </c>
      <c r="V100" s="114" t="n">
        <f aca="false">IF(CapV=2,N(V99),N(V98))</f>
        <v>75</v>
      </c>
      <c r="W100" s="114" t="n">
        <f aca="false">IF(CapV=2,N(W99),N(W98))</f>
        <v>75</v>
      </c>
      <c r="X100" s="114" t="n">
        <f aca="false">IF(CapV=2,N(X99),N(X98))</f>
        <v>75</v>
      </c>
      <c r="Y100" s="114" t="n">
        <f aca="false">IF(CapV=2,N(Y99),N(Y98))</f>
        <v>75</v>
      </c>
      <c r="Z100" s="114" t="n">
        <f aca="false">IF(CapV=2,N(Z99),N(Z98))</f>
        <v>75</v>
      </c>
      <c r="AA100" s="114" t="n">
        <f aca="false">IF(CapV=2,N(AA99),N(AA98))</f>
        <v>75</v>
      </c>
      <c r="AB100" s="114" t="n">
        <f aca="false">IF(CapV=2,N(AB99),N(AB98))</f>
        <v>75</v>
      </c>
      <c r="AC100" s="114" t="n">
        <f aca="false">IF(CapV=2,N(AC99),N(AC98))</f>
        <v>75</v>
      </c>
      <c r="AD100" s="114" t="n">
        <f aca="false">IF(CapV=2,N(AD99),N(AD98))</f>
        <v>75</v>
      </c>
      <c r="AE100" s="114" t="n">
        <f aca="false">IF(CapV=2,N(AE99),N(AE98))</f>
        <v>75</v>
      </c>
      <c r="AF100" s="114" t="n">
        <f aca="false">IF(CapV=2,N(AF99),N(AF98))</f>
        <v>75</v>
      </c>
      <c r="AG100" s="114" t="n">
        <f aca="false">IF(CapV=2,N(AG99),N(AG98))</f>
        <v>75</v>
      </c>
      <c r="AI100" s="114" t="n">
        <f aca="false">INDEX($F100:$AG100,1,MATCH(AI$7,$F$7:$AG$7,1))</f>
        <v>25</v>
      </c>
      <c r="AJ100" s="114" t="n">
        <f aca="false">INDEX($F100:$AG100,1,MATCH(AJ$7,$F$7:$AG$7,1))</f>
        <v>62.5</v>
      </c>
      <c r="AK100" s="114" t="n">
        <f aca="false">INDEX($F100:$AG100,1,MATCH(AK$7,$F$7:$AG$7,1))</f>
        <v>75</v>
      </c>
      <c r="AL100" s="114" t="n">
        <f aca="false">INDEX($F100:$AG100,1,MATCH(AL$7,$F$7:$AG$7,1))</f>
        <v>75</v>
      </c>
      <c r="AM100" s="114" t="n">
        <f aca="false">INDEX($F100:$AG100,1,MATCH(AM$7,$F$7:$AG$7,1))</f>
        <v>75</v>
      </c>
      <c r="AN100" s="114" t="n">
        <f aca="false">INDEX($F100:$AG100,1,MATCH(AN$7,$F$7:$AG$7,1))</f>
        <v>75</v>
      </c>
      <c r="AO100" s="114" t="n">
        <f aca="false">INDEX($F100:$AG100,1,MATCH(AO$7,$F$7:$AG$7,1))</f>
        <v>75</v>
      </c>
    </row>
    <row r="101" customFormat="false" ht="15" hidden="false" customHeight="false" outlineLevel="0" collapsed="false">
      <c r="A101" s="112" t="s">
        <v>1737</v>
      </c>
      <c r="B101" s="24" t="s">
        <v>857</v>
      </c>
      <c r="C101" s="24" t="s">
        <v>690</v>
      </c>
      <c r="D101" s="24" t="s">
        <v>1675</v>
      </c>
      <c r="F101" s="113" t="n">
        <v>25</v>
      </c>
      <c r="G101" s="113" t="n">
        <v>25</v>
      </c>
      <c r="H101" s="113" t="n">
        <v>25</v>
      </c>
      <c r="I101" s="113" t="n">
        <v>25</v>
      </c>
      <c r="J101" s="113" t="n">
        <v>25</v>
      </c>
      <c r="K101" s="113" t="n">
        <v>25</v>
      </c>
      <c r="L101" s="113" t="n">
        <v>50</v>
      </c>
      <c r="M101" s="113" t="n">
        <v>75</v>
      </c>
      <c r="N101" s="113" t="n">
        <v>75</v>
      </c>
      <c r="O101" s="113" t="n">
        <v>75</v>
      </c>
      <c r="P101" s="113" t="n">
        <v>75</v>
      </c>
      <c r="Q101" s="113" t="n">
        <v>75</v>
      </c>
      <c r="R101" s="113" t="n">
        <v>75</v>
      </c>
      <c r="S101" s="113" t="n">
        <v>75</v>
      </c>
      <c r="T101" s="113" t="n">
        <v>75</v>
      </c>
      <c r="U101" s="113" t="n">
        <v>75</v>
      </c>
      <c r="V101" s="113" t="n">
        <v>75</v>
      </c>
      <c r="W101" s="113" t="n">
        <v>75</v>
      </c>
      <c r="X101" s="113" t="n">
        <v>75</v>
      </c>
      <c r="Y101" s="113" t="n">
        <v>75</v>
      </c>
      <c r="Z101" s="113" t="n">
        <v>75</v>
      </c>
      <c r="AA101" s="113" t="n">
        <v>75</v>
      </c>
      <c r="AB101" s="113" t="n">
        <v>75</v>
      </c>
      <c r="AC101" s="113" t="n">
        <v>75</v>
      </c>
      <c r="AD101" s="113" t="n">
        <v>75</v>
      </c>
      <c r="AE101" s="113" t="n">
        <v>75</v>
      </c>
      <c r="AF101" s="113" t="n">
        <v>75</v>
      </c>
      <c r="AG101" s="113" t="n">
        <v>75</v>
      </c>
      <c r="AI101" s="114" t="n">
        <f aca="false">INDEX($F101:$AG101,1,MATCH(AI$7,$F$7:$AG$7,1))</f>
        <v>25</v>
      </c>
      <c r="AJ101" s="114" t="n">
        <f aca="false">INDEX($F101:$AG101,1,MATCH(AJ$7,$F$7:$AG$7,1))</f>
        <v>75</v>
      </c>
      <c r="AK101" s="114" t="n">
        <f aca="false">INDEX($F101:$AG101,1,MATCH(AK$7,$F$7:$AG$7,1))</f>
        <v>75</v>
      </c>
      <c r="AL101" s="114" t="n">
        <f aca="false">INDEX($F101:$AG101,1,MATCH(AL$7,$F$7:$AG$7,1))</f>
        <v>75</v>
      </c>
      <c r="AM101" s="114" t="n">
        <f aca="false">INDEX($F101:$AG101,1,MATCH(AM$7,$F$7:$AG$7,1))</f>
        <v>75</v>
      </c>
      <c r="AN101" s="114" t="n">
        <f aca="false">INDEX($F101:$AG101,1,MATCH(AN$7,$F$7:$AG$7,1))</f>
        <v>75</v>
      </c>
      <c r="AO101" s="114" t="n">
        <f aca="false">INDEX($F101:$AG101,1,MATCH(AO$7,$F$7:$AG$7,1))</f>
        <v>75</v>
      </c>
    </row>
    <row r="102" customFormat="false" ht="15" hidden="false" customHeight="false" outlineLevel="0" collapsed="false">
      <c r="A102" s="112" t="s">
        <v>1738</v>
      </c>
      <c r="B102" s="24" t="s">
        <v>857</v>
      </c>
      <c r="C102" s="24" t="s">
        <v>690</v>
      </c>
      <c r="D102" s="24" t="s">
        <v>1677</v>
      </c>
      <c r="F102" s="113" t="n">
        <v>25</v>
      </c>
      <c r="G102" s="113" t="n">
        <v>25</v>
      </c>
      <c r="H102" s="113" t="n">
        <v>25</v>
      </c>
      <c r="I102" s="113" t="n">
        <v>25</v>
      </c>
      <c r="J102" s="113" t="n">
        <v>25</v>
      </c>
      <c r="K102" s="113" t="n">
        <v>25</v>
      </c>
      <c r="L102" s="113" t="n">
        <v>50</v>
      </c>
      <c r="M102" s="113" t="n">
        <v>75</v>
      </c>
      <c r="N102" s="113" t="n">
        <v>75</v>
      </c>
      <c r="O102" s="113" t="n">
        <v>75</v>
      </c>
      <c r="P102" s="113" t="n">
        <v>75</v>
      </c>
      <c r="Q102" s="113" t="n">
        <v>75</v>
      </c>
      <c r="R102" s="113" t="n">
        <v>75</v>
      </c>
      <c r="S102" s="113" t="n">
        <v>75</v>
      </c>
      <c r="T102" s="113" t="n">
        <v>75</v>
      </c>
      <c r="U102" s="113" t="n">
        <v>75</v>
      </c>
      <c r="V102" s="113" t="n">
        <v>75</v>
      </c>
      <c r="W102" s="113" t="n">
        <v>75</v>
      </c>
      <c r="X102" s="113" t="n">
        <v>75</v>
      </c>
      <c r="Y102" s="113" t="n">
        <v>75</v>
      </c>
      <c r="Z102" s="113" t="n">
        <v>75</v>
      </c>
      <c r="AA102" s="113" t="n">
        <v>75</v>
      </c>
      <c r="AB102" s="113" t="n">
        <v>75</v>
      </c>
      <c r="AC102" s="113" t="n">
        <v>75</v>
      </c>
      <c r="AD102" s="113" t="n">
        <v>75</v>
      </c>
      <c r="AE102" s="113" t="n">
        <v>75</v>
      </c>
      <c r="AF102" s="113" t="n">
        <v>75</v>
      </c>
      <c r="AG102" s="113" t="n">
        <v>75</v>
      </c>
      <c r="AI102" s="114" t="n">
        <f aca="false">INDEX($F102:$AG102,1,MATCH(AI$7,$F$7:$AG$7,1))</f>
        <v>25</v>
      </c>
      <c r="AJ102" s="114" t="n">
        <f aca="false">INDEX($F102:$AG102,1,MATCH(AJ$7,$F$7:$AG$7,1))</f>
        <v>75</v>
      </c>
      <c r="AK102" s="114" t="n">
        <f aca="false">INDEX($F102:$AG102,1,MATCH(AK$7,$F$7:$AG$7,1))</f>
        <v>75</v>
      </c>
      <c r="AL102" s="114" t="n">
        <f aca="false">INDEX($F102:$AG102,1,MATCH(AL$7,$F$7:$AG$7,1))</f>
        <v>75</v>
      </c>
      <c r="AM102" s="114" t="n">
        <f aca="false">INDEX($F102:$AG102,1,MATCH(AM$7,$F$7:$AG$7,1))</f>
        <v>75</v>
      </c>
      <c r="AN102" s="114" t="n">
        <f aca="false">INDEX($F102:$AG102,1,MATCH(AN$7,$F$7:$AG$7,1))</f>
        <v>75</v>
      </c>
      <c r="AO102" s="114" t="n">
        <f aca="false">INDEX($F102:$AG102,1,MATCH(AO$7,$F$7:$AG$7,1))</f>
        <v>75</v>
      </c>
    </row>
    <row r="103" customFormat="false" ht="15" hidden="false" customHeight="false" outlineLevel="0" collapsed="false">
      <c r="A103" s="112" t="s">
        <v>1739</v>
      </c>
      <c r="B103" s="24" t="s">
        <v>857</v>
      </c>
      <c r="C103" s="24" t="s">
        <v>672</v>
      </c>
      <c r="D103" s="24" t="s">
        <v>1679</v>
      </c>
      <c r="F103" s="114" t="n">
        <f aca="false">IF(CapV=2,N(F102),N(F101))</f>
        <v>25</v>
      </c>
      <c r="G103" s="114" t="n">
        <f aca="false">IF(CapV=2,N(G102),N(G101))</f>
        <v>25</v>
      </c>
      <c r="H103" s="114" t="n">
        <f aca="false">IF(CapV=2,N(H102),N(H101))</f>
        <v>25</v>
      </c>
      <c r="I103" s="114" t="n">
        <f aca="false">IF(CapV=2,N(I102),N(I101))</f>
        <v>25</v>
      </c>
      <c r="J103" s="114" t="n">
        <f aca="false">IF(CapV=2,N(J102),N(J101))</f>
        <v>25</v>
      </c>
      <c r="K103" s="114" t="n">
        <f aca="false">IF(CapV=2,N(K102),N(K101))</f>
        <v>25</v>
      </c>
      <c r="L103" s="114" t="n">
        <f aca="false">IF(CapV=2,N(L102),N(L101))</f>
        <v>50</v>
      </c>
      <c r="M103" s="114" t="n">
        <f aca="false">IF(CapV=2,N(M102),N(M101))</f>
        <v>75</v>
      </c>
      <c r="N103" s="114" t="n">
        <f aca="false">IF(CapV=2,N(N102),N(N101))</f>
        <v>75</v>
      </c>
      <c r="O103" s="114" t="n">
        <f aca="false">IF(CapV=2,N(O102),N(O101))</f>
        <v>75</v>
      </c>
      <c r="P103" s="114" t="n">
        <f aca="false">IF(CapV=2,N(P102),N(P101))</f>
        <v>75</v>
      </c>
      <c r="Q103" s="114" t="n">
        <f aca="false">IF(CapV=2,N(Q102),N(Q101))</f>
        <v>75</v>
      </c>
      <c r="R103" s="114" t="n">
        <f aca="false">IF(CapV=2,N(R102),N(R101))</f>
        <v>75</v>
      </c>
      <c r="S103" s="114" t="n">
        <f aca="false">IF(CapV=2,N(S102),N(S101))</f>
        <v>75</v>
      </c>
      <c r="T103" s="114" t="n">
        <f aca="false">IF(CapV=2,N(T102),N(T101))</f>
        <v>75</v>
      </c>
      <c r="U103" s="114" t="n">
        <f aca="false">IF(CapV=2,N(U102),N(U101))</f>
        <v>75</v>
      </c>
      <c r="V103" s="114" t="n">
        <f aca="false">IF(CapV=2,N(V102),N(V101))</f>
        <v>75</v>
      </c>
      <c r="W103" s="114" t="n">
        <f aca="false">IF(CapV=2,N(W102),N(W101))</f>
        <v>75</v>
      </c>
      <c r="X103" s="114" t="n">
        <f aca="false">IF(CapV=2,N(X102),N(X101))</f>
        <v>75</v>
      </c>
      <c r="Y103" s="114" t="n">
        <f aca="false">IF(CapV=2,N(Y102),N(Y101))</f>
        <v>75</v>
      </c>
      <c r="Z103" s="114" t="n">
        <f aca="false">IF(CapV=2,N(Z102),N(Z101))</f>
        <v>75</v>
      </c>
      <c r="AA103" s="114" t="n">
        <f aca="false">IF(CapV=2,N(AA102),N(AA101))</f>
        <v>75</v>
      </c>
      <c r="AB103" s="114" t="n">
        <f aca="false">IF(CapV=2,N(AB102),N(AB101))</f>
        <v>75</v>
      </c>
      <c r="AC103" s="114" t="n">
        <f aca="false">IF(CapV=2,N(AC102),N(AC101))</f>
        <v>75</v>
      </c>
      <c r="AD103" s="114" t="n">
        <f aca="false">IF(CapV=2,N(AD102),N(AD101))</f>
        <v>75</v>
      </c>
      <c r="AE103" s="114" t="n">
        <f aca="false">IF(CapV=2,N(AE102),N(AE101))</f>
        <v>75</v>
      </c>
      <c r="AF103" s="114" t="n">
        <f aca="false">IF(CapV=2,N(AF102),N(AF101))</f>
        <v>75</v>
      </c>
      <c r="AG103" s="114" t="n">
        <f aca="false">IF(CapV=2,N(AG102),N(AG101))</f>
        <v>75</v>
      </c>
      <c r="AI103" s="114" t="n">
        <f aca="false">INDEX($F103:$AG103,1,MATCH(AI$7,$F$7:$AG$7,1))</f>
        <v>25</v>
      </c>
      <c r="AJ103" s="114" t="n">
        <f aca="false">INDEX($F103:$AG103,1,MATCH(AJ$7,$F$7:$AG$7,1))</f>
        <v>75</v>
      </c>
      <c r="AK103" s="114" t="n">
        <f aca="false">INDEX($F103:$AG103,1,MATCH(AK$7,$F$7:$AG$7,1))</f>
        <v>75</v>
      </c>
      <c r="AL103" s="114" t="n">
        <f aca="false">INDEX($F103:$AG103,1,MATCH(AL$7,$F$7:$AG$7,1))</f>
        <v>75</v>
      </c>
      <c r="AM103" s="114" t="n">
        <f aca="false">INDEX($F103:$AG103,1,MATCH(AM$7,$F$7:$AG$7,1))</f>
        <v>75</v>
      </c>
      <c r="AN103" s="114" t="n">
        <f aca="false">INDEX($F103:$AG103,1,MATCH(AN$7,$F$7:$AG$7,1))</f>
        <v>75</v>
      </c>
      <c r="AO103" s="114" t="n">
        <f aca="false">INDEX($F103:$AG103,1,MATCH(AO$7,$F$7:$AG$7,1))</f>
        <v>75</v>
      </c>
    </row>
    <row r="104" customFormat="false" ht="15" hidden="false" customHeight="false" outlineLevel="0" collapsed="false">
      <c r="A104" s="112" t="s">
        <v>1740</v>
      </c>
      <c r="B104" s="24" t="s">
        <v>857</v>
      </c>
      <c r="C104" s="24" t="s">
        <v>690</v>
      </c>
      <c r="D104" s="24" t="s">
        <v>1675</v>
      </c>
      <c r="F104" s="113" t="n">
        <v>0</v>
      </c>
      <c r="G104" s="113" t="n">
        <v>0</v>
      </c>
      <c r="H104" s="113" t="n">
        <v>0</v>
      </c>
      <c r="I104" s="113" t="n">
        <v>0</v>
      </c>
      <c r="J104" s="113" t="n">
        <v>0</v>
      </c>
      <c r="K104" s="113" t="n">
        <v>0</v>
      </c>
      <c r="L104" s="113" t="n">
        <v>0</v>
      </c>
      <c r="M104" s="113" t="n">
        <v>0</v>
      </c>
      <c r="N104" s="113" t="n">
        <v>0</v>
      </c>
      <c r="O104" s="113" t="n">
        <v>0</v>
      </c>
      <c r="P104" s="113" t="n">
        <v>0</v>
      </c>
      <c r="Q104" s="113" t="n">
        <v>0</v>
      </c>
      <c r="R104" s="113" t="n">
        <v>0</v>
      </c>
      <c r="S104" s="113" t="n">
        <v>0</v>
      </c>
      <c r="T104" s="113" t="n">
        <v>0</v>
      </c>
      <c r="U104" s="113" t="n">
        <v>0</v>
      </c>
      <c r="V104" s="113" t="n">
        <v>35</v>
      </c>
      <c r="W104" s="113" t="n">
        <v>70</v>
      </c>
      <c r="X104" s="113" t="n">
        <v>70</v>
      </c>
      <c r="Y104" s="113" t="n">
        <v>70</v>
      </c>
      <c r="Z104" s="113" t="n">
        <v>70</v>
      </c>
      <c r="AA104" s="113" t="n">
        <v>70</v>
      </c>
      <c r="AB104" s="113" t="n">
        <v>70</v>
      </c>
      <c r="AC104" s="113" t="n">
        <v>70</v>
      </c>
      <c r="AD104" s="113" t="n">
        <v>70</v>
      </c>
      <c r="AE104" s="113" t="n">
        <v>70</v>
      </c>
      <c r="AF104" s="113" t="n">
        <v>70</v>
      </c>
      <c r="AG104" s="113" t="n">
        <v>70</v>
      </c>
      <c r="AI104" s="114" t="n">
        <f aca="false">INDEX($F104:$AG104,1,MATCH(AI$7,$F$7:$AG$7,1))</f>
        <v>0</v>
      </c>
      <c r="AJ104" s="114" t="n">
        <f aca="false">INDEX($F104:$AG104,1,MATCH(AJ$7,$F$7:$AG$7,1))</f>
        <v>0</v>
      </c>
      <c r="AK104" s="114" t="n">
        <f aca="false">INDEX($F104:$AG104,1,MATCH(AK$7,$F$7:$AG$7,1))</f>
        <v>0</v>
      </c>
      <c r="AL104" s="114" t="n">
        <f aca="false">INDEX($F104:$AG104,1,MATCH(AL$7,$F$7:$AG$7,1))</f>
        <v>0</v>
      </c>
      <c r="AM104" s="114" t="n">
        <f aca="false">INDEX($F104:$AG104,1,MATCH(AM$7,$F$7:$AG$7,1))</f>
        <v>70</v>
      </c>
      <c r="AN104" s="114" t="n">
        <f aca="false">INDEX($F104:$AG104,1,MATCH(AN$7,$F$7:$AG$7,1))</f>
        <v>70</v>
      </c>
      <c r="AO104" s="114" t="n">
        <f aca="false">INDEX($F104:$AG104,1,MATCH(AO$7,$F$7:$AG$7,1))</f>
        <v>70</v>
      </c>
    </row>
    <row r="105" customFormat="false" ht="15" hidden="false" customHeight="false" outlineLevel="0" collapsed="false">
      <c r="A105" s="112" t="s">
        <v>1741</v>
      </c>
      <c r="B105" s="24" t="s">
        <v>857</v>
      </c>
      <c r="C105" s="24" t="s">
        <v>690</v>
      </c>
      <c r="D105" s="24" t="s">
        <v>1677</v>
      </c>
      <c r="F105" s="113" t="n">
        <v>0</v>
      </c>
      <c r="G105" s="113" t="n">
        <v>0</v>
      </c>
      <c r="H105" s="113" t="n">
        <v>0</v>
      </c>
      <c r="I105" s="113" t="n">
        <v>0</v>
      </c>
      <c r="J105" s="113" t="n">
        <v>0</v>
      </c>
      <c r="K105" s="113" t="n">
        <v>0</v>
      </c>
      <c r="L105" s="113" t="n">
        <v>0</v>
      </c>
      <c r="M105" s="113" t="n">
        <v>0</v>
      </c>
      <c r="N105" s="113" t="n">
        <v>0</v>
      </c>
      <c r="O105" s="113" t="n">
        <v>0</v>
      </c>
      <c r="P105" s="113" t="n">
        <v>0</v>
      </c>
      <c r="Q105" s="113" t="n">
        <v>0</v>
      </c>
      <c r="R105" s="113" t="n">
        <v>0</v>
      </c>
      <c r="S105" s="113" t="n">
        <v>0</v>
      </c>
      <c r="T105" s="113" t="n">
        <v>0</v>
      </c>
      <c r="U105" s="113" t="n">
        <v>0</v>
      </c>
      <c r="V105" s="113" t="n">
        <v>35</v>
      </c>
      <c r="W105" s="113" t="n">
        <v>70</v>
      </c>
      <c r="X105" s="113" t="n">
        <v>70</v>
      </c>
      <c r="Y105" s="113" t="n">
        <v>70</v>
      </c>
      <c r="Z105" s="113" t="n">
        <v>70</v>
      </c>
      <c r="AA105" s="113" t="n">
        <v>70</v>
      </c>
      <c r="AB105" s="113" t="n">
        <v>70</v>
      </c>
      <c r="AC105" s="113" t="n">
        <v>70</v>
      </c>
      <c r="AD105" s="113" t="n">
        <v>70</v>
      </c>
      <c r="AE105" s="113" t="n">
        <v>70</v>
      </c>
      <c r="AF105" s="113" t="n">
        <v>70</v>
      </c>
      <c r="AG105" s="113" t="n">
        <v>70</v>
      </c>
      <c r="AI105" s="114" t="n">
        <f aca="false">INDEX($F105:$AG105,1,MATCH(AI$7,$F$7:$AG$7,1))</f>
        <v>0</v>
      </c>
      <c r="AJ105" s="114" t="n">
        <f aca="false">INDEX($F105:$AG105,1,MATCH(AJ$7,$F$7:$AG$7,1))</f>
        <v>0</v>
      </c>
      <c r="AK105" s="114" t="n">
        <f aca="false">INDEX($F105:$AG105,1,MATCH(AK$7,$F$7:$AG$7,1))</f>
        <v>0</v>
      </c>
      <c r="AL105" s="114" t="n">
        <f aca="false">INDEX($F105:$AG105,1,MATCH(AL$7,$F$7:$AG$7,1))</f>
        <v>0</v>
      </c>
      <c r="AM105" s="114" t="n">
        <f aca="false">INDEX($F105:$AG105,1,MATCH(AM$7,$F$7:$AG$7,1))</f>
        <v>70</v>
      </c>
      <c r="AN105" s="114" t="n">
        <f aca="false">INDEX($F105:$AG105,1,MATCH(AN$7,$F$7:$AG$7,1))</f>
        <v>70</v>
      </c>
      <c r="AO105" s="114" t="n">
        <f aca="false">INDEX($F105:$AG105,1,MATCH(AO$7,$F$7:$AG$7,1))</f>
        <v>70</v>
      </c>
    </row>
    <row r="106" customFormat="false" ht="15" hidden="false" customHeight="false" outlineLevel="0" collapsed="false">
      <c r="A106" s="112" t="s">
        <v>1742</v>
      </c>
      <c r="B106" s="24" t="s">
        <v>857</v>
      </c>
      <c r="C106" s="24" t="s">
        <v>672</v>
      </c>
      <c r="D106" s="24" t="s">
        <v>1679</v>
      </c>
      <c r="F106" s="114" t="n">
        <f aca="false">IF(CapV=2,N(F105),N(F104))</f>
        <v>0</v>
      </c>
      <c r="G106" s="114" t="n">
        <f aca="false">IF(CapV=2,N(G105),N(G104))</f>
        <v>0</v>
      </c>
      <c r="H106" s="114" t="n">
        <f aca="false">IF(CapV=2,N(H105),N(H104))</f>
        <v>0</v>
      </c>
      <c r="I106" s="114" t="n">
        <f aca="false">IF(CapV=2,N(I105),N(I104))</f>
        <v>0</v>
      </c>
      <c r="J106" s="114" t="n">
        <f aca="false">IF(CapV=2,N(J105),N(J104))</f>
        <v>0</v>
      </c>
      <c r="K106" s="114" t="n">
        <f aca="false">IF(CapV=2,N(K105),N(K104))</f>
        <v>0</v>
      </c>
      <c r="L106" s="114" t="n">
        <f aca="false">IF(CapV=2,N(L105),N(L104))</f>
        <v>0</v>
      </c>
      <c r="M106" s="114" t="n">
        <f aca="false">IF(CapV=2,N(M105),N(M104))</f>
        <v>0</v>
      </c>
      <c r="N106" s="114" t="n">
        <f aca="false">IF(CapV=2,N(N105),N(N104))</f>
        <v>0</v>
      </c>
      <c r="O106" s="114" t="n">
        <f aca="false">IF(CapV=2,N(O105),N(O104))</f>
        <v>0</v>
      </c>
      <c r="P106" s="114" t="n">
        <f aca="false">IF(CapV=2,N(P105),N(P104))</f>
        <v>0</v>
      </c>
      <c r="Q106" s="114" t="n">
        <f aca="false">IF(CapV=2,N(Q105),N(Q104))</f>
        <v>0</v>
      </c>
      <c r="R106" s="114" t="n">
        <f aca="false">IF(CapV=2,N(R105),N(R104))</f>
        <v>0</v>
      </c>
      <c r="S106" s="114" t="n">
        <f aca="false">IF(CapV=2,N(S105),N(S104))</f>
        <v>0</v>
      </c>
      <c r="T106" s="114" t="n">
        <f aca="false">IF(CapV=2,N(T105),N(T104))</f>
        <v>0</v>
      </c>
      <c r="U106" s="114" t="n">
        <f aca="false">IF(CapV=2,N(U105),N(U104))</f>
        <v>0</v>
      </c>
      <c r="V106" s="114" t="n">
        <f aca="false">IF(CapV=2,N(V105),N(V104))</f>
        <v>35</v>
      </c>
      <c r="W106" s="114" t="n">
        <f aca="false">IF(CapV=2,N(W105),N(W104))</f>
        <v>70</v>
      </c>
      <c r="X106" s="114" t="n">
        <f aca="false">IF(CapV=2,N(X105),N(X104))</f>
        <v>70</v>
      </c>
      <c r="Y106" s="114" t="n">
        <f aca="false">IF(CapV=2,N(Y105),N(Y104))</f>
        <v>70</v>
      </c>
      <c r="Z106" s="114" t="n">
        <f aca="false">IF(CapV=2,N(Z105),N(Z104))</f>
        <v>70</v>
      </c>
      <c r="AA106" s="114" t="n">
        <f aca="false">IF(CapV=2,N(AA105),N(AA104))</f>
        <v>70</v>
      </c>
      <c r="AB106" s="114" t="n">
        <f aca="false">IF(CapV=2,N(AB105),N(AB104))</f>
        <v>70</v>
      </c>
      <c r="AC106" s="114" t="n">
        <f aca="false">IF(CapV=2,N(AC105),N(AC104))</f>
        <v>70</v>
      </c>
      <c r="AD106" s="114" t="n">
        <f aca="false">IF(CapV=2,N(AD105),N(AD104))</f>
        <v>70</v>
      </c>
      <c r="AE106" s="114" t="n">
        <f aca="false">IF(CapV=2,N(AE105),N(AE104))</f>
        <v>70</v>
      </c>
      <c r="AF106" s="114" t="n">
        <f aca="false">IF(CapV=2,N(AF105),N(AF104))</f>
        <v>70</v>
      </c>
      <c r="AG106" s="114" t="n">
        <f aca="false">IF(CapV=2,N(AG105),N(AG104))</f>
        <v>70</v>
      </c>
      <c r="AI106" s="114" t="n">
        <f aca="false">INDEX($F106:$AG106,1,MATCH(AI$7,$F$7:$AG$7,1))</f>
        <v>0</v>
      </c>
      <c r="AJ106" s="114" t="n">
        <f aca="false">INDEX($F106:$AG106,1,MATCH(AJ$7,$F$7:$AG$7,1))</f>
        <v>0</v>
      </c>
      <c r="AK106" s="114" t="n">
        <f aca="false">INDEX($F106:$AG106,1,MATCH(AK$7,$F$7:$AG$7,1))</f>
        <v>0</v>
      </c>
      <c r="AL106" s="114" t="n">
        <f aca="false">INDEX($F106:$AG106,1,MATCH(AL$7,$F$7:$AG$7,1))</f>
        <v>0</v>
      </c>
      <c r="AM106" s="114" t="n">
        <f aca="false">INDEX($F106:$AG106,1,MATCH(AM$7,$F$7:$AG$7,1))</f>
        <v>70</v>
      </c>
      <c r="AN106" s="114" t="n">
        <f aca="false">INDEX($F106:$AG106,1,MATCH(AN$7,$F$7:$AG$7,1))</f>
        <v>70</v>
      </c>
      <c r="AO106" s="114" t="n">
        <f aca="false">INDEX($F106:$AG106,1,MATCH(AO$7,$F$7:$AG$7,1))</f>
        <v>70</v>
      </c>
    </row>
    <row r="107" customFormat="false" ht="15" hidden="false" customHeight="false" outlineLevel="0" collapsed="false">
      <c r="A107" s="112" t="s">
        <v>1743</v>
      </c>
      <c r="B107" s="24" t="s">
        <v>857</v>
      </c>
      <c r="C107" s="24" t="s">
        <v>690</v>
      </c>
      <c r="D107" s="24" t="s">
        <v>1675</v>
      </c>
      <c r="F107" s="113" t="n">
        <v>0</v>
      </c>
      <c r="G107" s="113" t="n">
        <v>0</v>
      </c>
      <c r="H107" s="113" t="n">
        <v>0</v>
      </c>
      <c r="I107" s="113" t="n">
        <v>0</v>
      </c>
      <c r="J107" s="113" t="n">
        <v>0</v>
      </c>
      <c r="K107" s="113" t="n">
        <v>0</v>
      </c>
      <c r="L107" s="113" t="n">
        <v>0</v>
      </c>
      <c r="M107" s="113" t="n">
        <v>0</v>
      </c>
      <c r="N107" s="113" t="n">
        <v>0</v>
      </c>
      <c r="O107" s="113" t="n">
        <v>0</v>
      </c>
      <c r="P107" s="113" t="n">
        <v>0</v>
      </c>
      <c r="Q107" s="113" t="n">
        <v>0</v>
      </c>
      <c r="R107" s="113" t="n">
        <v>0</v>
      </c>
      <c r="S107" s="113" t="n">
        <v>0</v>
      </c>
      <c r="T107" s="113" t="n">
        <v>0</v>
      </c>
      <c r="U107" s="113" t="n">
        <v>17.5</v>
      </c>
      <c r="V107" s="113" t="n">
        <v>52.5</v>
      </c>
      <c r="W107" s="113" t="n">
        <v>70</v>
      </c>
      <c r="X107" s="113" t="n">
        <v>70</v>
      </c>
      <c r="Y107" s="113" t="n">
        <v>70</v>
      </c>
      <c r="Z107" s="113" t="n">
        <v>70</v>
      </c>
      <c r="AA107" s="113" t="n">
        <v>70</v>
      </c>
      <c r="AB107" s="113" t="n">
        <v>70</v>
      </c>
      <c r="AC107" s="113" t="n">
        <v>70</v>
      </c>
      <c r="AD107" s="113" t="n">
        <v>70</v>
      </c>
      <c r="AE107" s="113" t="n">
        <v>70</v>
      </c>
      <c r="AF107" s="113" t="n">
        <v>70</v>
      </c>
      <c r="AG107" s="113" t="n">
        <v>70</v>
      </c>
      <c r="AI107" s="114" t="n">
        <f aca="false">INDEX($F107:$AG107,1,MATCH(AI$7,$F$7:$AG$7,1))</f>
        <v>0</v>
      </c>
      <c r="AJ107" s="114" t="n">
        <f aca="false">INDEX($F107:$AG107,1,MATCH(AJ$7,$F$7:$AG$7,1))</f>
        <v>0</v>
      </c>
      <c r="AK107" s="114" t="n">
        <f aca="false">INDEX($F107:$AG107,1,MATCH(AK$7,$F$7:$AG$7,1))</f>
        <v>0</v>
      </c>
      <c r="AL107" s="114" t="n">
        <f aca="false">INDEX($F107:$AG107,1,MATCH(AL$7,$F$7:$AG$7,1))</f>
        <v>17.5</v>
      </c>
      <c r="AM107" s="114" t="n">
        <f aca="false">INDEX($F107:$AG107,1,MATCH(AM$7,$F$7:$AG$7,1))</f>
        <v>70</v>
      </c>
      <c r="AN107" s="114" t="n">
        <f aca="false">INDEX($F107:$AG107,1,MATCH(AN$7,$F$7:$AG$7,1))</f>
        <v>70</v>
      </c>
      <c r="AO107" s="114" t="n">
        <f aca="false">INDEX($F107:$AG107,1,MATCH(AO$7,$F$7:$AG$7,1))</f>
        <v>70</v>
      </c>
    </row>
    <row r="108" customFormat="false" ht="15" hidden="false" customHeight="false" outlineLevel="0" collapsed="false">
      <c r="A108" s="112" t="s">
        <v>1744</v>
      </c>
      <c r="B108" s="24" t="s">
        <v>857</v>
      </c>
      <c r="C108" s="24" t="s">
        <v>690</v>
      </c>
      <c r="D108" s="24" t="s">
        <v>1677</v>
      </c>
      <c r="F108" s="113" t="n">
        <v>0</v>
      </c>
      <c r="G108" s="113" t="n">
        <v>0</v>
      </c>
      <c r="H108" s="113" t="n">
        <v>0</v>
      </c>
      <c r="I108" s="113" t="n">
        <v>0</v>
      </c>
      <c r="J108" s="113" t="n">
        <v>0</v>
      </c>
      <c r="K108" s="113" t="n">
        <v>0</v>
      </c>
      <c r="L108" s="113" t="n">
        <v>0</v>
      </c>
      <c r="M108" s="113" t="n">
        <v>0</v>
      </c>
      <c r="N108" s="113" t="n">
        <v>0</v>
      </c>
      <c r="O108" s="113" t="n">
        <v>0</v>
      </c>
      <c r="P108" s="113" t="n">
        <v>0</v>
      </c>
      <c r="Q108" s="113" t="n">
        <v>0</v>
      </c>
      <c r="R108" s="113" t="n">
        <v>0</v>
      </c>
      <c r="S108" s="113" t="n">
        <v>0</v>
      </c>
      <c r="T108" s="113" t="n">
        <v>0</v>
      </c>
      <c r="U108" s="113" t="n">
        <v>17.5</v>
      </c>
      <c r="V108" s="113" t="n">
        <v>52.5</v>
      </c>
      <c r="W108" s="113" t="n">
        <v>70</v>
      </c>
      <c r="X108" s="113" t="n">
        <v>70</v>
      </c>
      <c r="Y108" s="113" t="n">
        <v>70</v>
      </c>
      <c r="Z108" s="113" t="n">
        <v>70</v>
      </c>
      <c r="AA108" s="113" t="n">
        <v>70</v>
      </c>
      <c r="AB108" s="113" t="n">
        <v>70</v>
      </c>
      <c r="AC108" s="113" t="n">
        <v>70</v>
      </c>
      <c r="AD108" s="113" t="n">
        <v>70</v>
      </c>
      <c r="AE108" s="113" t="n">
        <v>70</v>
      </c>
      <c r="AF108" s="113" t="n">
        <v>70</v>
      </c>
      <c r="AG108" s="113" t="n">
        <v>70</v>
      </c>
      <c r="AI108" s="114" t="n">
        <f aca="false">INDEX($F108:$AG108,1,MATCH(AI$7,$F$7:$AG$7,1))</f>
        <v>0</v>
      </c>
      <c r="AJ108" s="114" t="n">
        <f aca="false">INDEX($F108:$AG108,1,MATCH(AJ$7,$F$7:$AG$7,1))</f>
        <v>0</v>
      </c>
      <c r="AK108" s="114" t="n">
        <f aca="false">INDEX($F108:$AG108,1,MATCH(AK$7,$F$7:$AG$7,1))</f>
        <v>0</v>
      </c>
      <c r="AL108" s="114" t="n">
        <f aca="false">INDEX($F108:$AG108,1,MATCH(AL$7,$F$7:$AG$7,1))</f>
        <v>17.5</v>
      </c>
      <c r="AM108" s="114" t="n">
        <f aca="false">INDEX($F108:$AG108,1,MATCH(AM$7,$F$7:$AG$7,1))</f>
        <v>70</v>
      </c>
      <c r="AN108" s="114" t="n">
        <f aca="false">INDEX($F108:$AG108,1,MATCH(AN$7,$F$7:$AG$7,1))</f>
        <v>70</v>
      </c>
      <c r="AO108" s="114" t="n">
        <f aca="false">INDEX($F108:$AG108,1,MATCH(AO$7,$F$7:$AG$7,1))</f>
        <v>70</v>
      </c>
    </row>
    <row r="109" customFormat="false" ht="15" hidden="false" customHeight="false" outlineLevel="0" collapsed="false">
      <c r="A109" s="112" t="s">
        <v>1745</v>
      </c>
      <c r="B109" s="24" t="s">
        <v>857</v>
      </c>
      <c r="C109" s="24" t="s">
        <v>672</v>
      </c>
      <c r="D109" s="24" t="s">
        <v>1679</v>
      </c>
      <c r="F109" s="114" t="n">
        <f aca="false">IF(CapV=2,N(F108),N(F107))</f>
        <v>0</v>
      </c>
      <c r="G109" s="114" t="n">
        <f aca="false">IF(CapV=2,N(G108),N(G107))</f>
        <v>0</v>
      </c>
      <c r="H109" s="114" t="n">
        <f aca="false">IF(CapV=2,N(H108),N(H107))</f>
        <v>0</v>
      </c>
      <c r="I109" s="114" t="n">
        <f aca="false">IF(CapV=2,N(I108),N(I107))</f>
        <v>0</v>
      </c>
      <c r="J109" s="114" t="n">
        <f aca="false">IF(CapV=2,N(J108),N(J107))</f>
        <v>0</v>
      </c>
      <c r="K109" s="114" t="n">
        <f aca="false">IF(CapV=2,N(K108),N(K107))</f>
        <v>0</v>
      </c>
      <c r="L109" s="114" t="n">
        <f aca="false">IF(CapV=2,N(L108),N(L107))</f>
        <v>0</v>
      </c>
      <c r="M109" s="114" t="n">
        <f aca="false">IF(CapV=2,N(M108),N(M107))</f>
        <v>0</v>
      </c>
      <c r="N109" s="114" t="n">
        <f aca="false">IF(CapV=2,N(N108),N(N107))</f>
        <v>0</v>
      </c>
      <c r="O109" s="114" t="n">
        <f aca="false">IF(CapV=2,N(O108),N(O107))</f>
        <v>0</v>
      </c>
      <c r="P109" s="114" t="n">
        <f aca="false">IF(CapV=2,N(P108),N(P107))</f>
        <v>0</v>
      </c>
      <c r="Q109" s="114" t="n">
        <f aca="false">IF(CapV=2,N(Q108),N(Q107))</f>
        <v>0</v>
      </c>
      <c r="R109" s="114" t="n">
        <f aca="false">IF(CapV=2,N(R108),N(R107))</f>
        <v>0</v>
      </c>
      <c r="S109" s="114" t="n">
        <f aca="false">IF(CapV=2,N(S108),N(S107))</f>
        <v>0</v>
      </c>
      <c r="T109" s="114" t="n">
        <f aca="false">IF(CapV=2,N(T108),N(T107))</f>
        <v>0</v>
      </c>
      <c r="U109" s="114" t="n">
        <f aca="false">IF(CapV=2,N(U108),N(U107))</f>
        <v>17.5</v>
      </c>
      <c r="V109" s="114" t="n">
        <f aca="false">IF(CapV=2,N(V108),N(V107))</f>
        <v>52.5</v>
      </c>
      <c r="W109" s="114" t="n">
        <f aca="false">IF(CapV=2,N(W108),N(W107))</f>
        <v>70</v>
      </c>
      <c r="X109" s="114" t="n">
        <f aca="false">IF(CapV=2,N(X108),N(X107))</f>
        <v>70</v>
      </c>
      <c r="Y109" s="114" t="n">
        <f aca="false">IF(CapV=2,N(Y108),N(Y107))</f>
        <v>70</v>
      </c>
      <c r="Z109" s="114" t="n">
        <f aca="false">IF(CapV=2,N(Z108),N(Z107))</f>
        <v>70</v>
      </c>
      <c r="AA109" s="114" t="n">
        <f aca="false">IF(CapV=2,N(AA108),N(AA107))</f>
        <v>70</v>
      </c>
      <c r="AB109" s="114" t="n">
        <f aca="false">IF(CapV=2,N(AB108),N(AB107))</f>
        <v>70</v>
      </c>
      <c r="AC109" s="114" t="n">
        <f aca="false">IF(CapV=2,N(AC108),N(AC107))</f>
        <v>70</v>
      </c>
      <c r="AD109" s="114" t="n">
        <f aca="false">IF(CapV=2,N(AD108),N(AD107))</f>
        <v>70</v>
      </c>
      <c r="AE109" s="114" t="n">
        <f aca="false">IF(CapV=2,N(AE108),N(AE107))</f>
        <v>70</v>
      </c>
      <c r="AF109" s="114" t="n">
        <f aca="false">IF(CapV=2,N(AF108),N(AF107))</f>
        <v>70</v>
      </c>
      <c r="AG109" s="114" t="n">
        <f aca="false">IF(CapV=2,N(AG108),N(AG107))</f>
        <v>70</v>
      </c>
      <c r="AI109" s="114" t="n">
        <f aca="false">INDEX($F109:$AG109,1,MATCH(AI$7,$F$7:$AG$7,1))</f>
        <v>0</v>
      </c>
      <c r="AJ109" s="114" t="n">
        <f aca="false">INDEX($F109:$AG109,1,MATCH(AJ$7,$F$7:$AG$7,1))</f>
        <v>0</v>
      </c>
      <c r="AK109" s="114" t="n">
        <f aca="false">INDEX($F109:$AG109,1,MATCH(AK$7,$F$7:$AG$7,1))</f>
        <v>0</v>
      </c>
      <c r="AL109" s="114" t="n">
        <f aca="false">INDEX($F109:$AG109,1,MATCH(AL$7,$F$7:$AG$7,1))</f>
        <v>17.5</v>
      </c>
      <c r="AM109" s="114" t="n">
        <f aca="false">INDEX($F109:$AG109,1,MATCH(AM$7,$F$7:$AG$7,1))</f>
        <v>70</v>
      </c>
      <c r="AN109" s="114" t="n">
        <f aca="false">INDEX($F109:$AG109,1,MATCH(AN$7,$F$7:$AG$7,1))</f>
        <v>70</v>
      </c>
      <c r="AO109" s="114" t="n">
        <f aca="false">INDEX($F109:$AG109,1,MATCH(AO$7,$F$7:$AG$7,1))</f>
        <v>70</v>
      </c>
    </row>
    <row r="110" customFormat="false" ht="15" hidden="false" customHeight="false" outlineLevel="0" collapsed="false">
      <c r="A110" s="112" t="s">
        <v>1746</v>
      </c>
      <c r="B110" s="24" t="s">
        <v>857</v>
      </c>
      <c r="C110" s="24" t="s">
        <v>690</v>
      </c>
      <c r="D110" s="24" t="s">
        <v>1675</v>
      </c>
      <c r="F110" s="113" t="n">
        <v>0</v>
      </c>
      <c r="G110" s="113" t="n">
        <v>0</v>
      </c>
      <c r="H110" s="113" t="n">
        <v>0</v>
      </c>
      <c r="I110" s="113" t="n">
        <v>0</v>
      </c>
      <c r="J110" s="113" t="n">
        <v>0</v>
      </c>
      <c r="K110" s="113" t="n">
        <v>0</v>
      </c>
      <c r="L110" s="113" t="n">
        <v>0</v>
      </c>
      <c r="M110" s="113" t="n">
        <v>0</v>
      </c>
      <c r="N110" s="113" t="n">
        <v>0</v>
      </c>
      <c r="O110" s="113" t="n">
        <v>0</v>
      </c>
      <c r="P110" s="113" t="n">
        <v>0</v>
      </c>
      <c r="Q110" s="113" t="n">
        <v>0</v>
      </c>
      <c r="R110" s="113" t="n">
        <v>0</v>
      </c>
      <c r="S110" s="113" t="n">
        <v>0</v>
      </c>
      <c r="T110" s="113" t="n">
        <v>0</v>
      </c>
      <c r="U110" s="113" t="n">
        <v>35</v>
      </c>
      <c r="V110" s="113" t="n">
        <v>70</v>
      </c>
      <c r="W110" s="113" t="n">
        <v>70</v>
      </c>
      <c r="X110" s="113" t="n">
        <v>70</v>
      </c>
      <c r="Y110" s="113" t="n">
        <v>70</v>
      </c>
      <c r="Z110" s="113" t="n">
        <v>70</v>
      </c>
      <c r="AA110" s="113" t="n">
        <v>70</v>
      </c>
      <c r="AB110" s="113" t="n">
        <v>70</v>
      </c>
      <c r="AC110" s="113" t="n">
        <v>70</v>
      </c>
      <c r="AD110" s="113" t="n">
        <v>70</v>
      </c>
      <c r="AE110" s="113" t="n">
        <v>70</v>
      </c>
      <c r="AF110" s="113" t="n">
        <v>70</v>
      </c>
      <c r="AG110" s="113" t="n">
        <v>70</v>
      </c>
      <c r="AI110" s="114" t="n">
        <f aca="false">INDEX($F110:$AG110,1,MATCH(AI$7,$F$7:$AG$7,1))</f>
        <v>0</v>
      </c>
      <c r="AJ110" s="114" t="n">
        <f aca="false">INDEX($F110:$AG110,1,MATCH(AJ$7,$F$7:$AG$7,1))</f>
        <v>0</v>
      </c>
      <c r="AK110" s="114" t="n">
        <f aca="false">INDEX($F110:$AG110,1,MATCH(AK$7,$F$7:$AG$7,1))</f>
        <v>0</v>
      </c>
      <c r="AL110" s="114" t="n">
        <f aca="false">INDEX($F110:$AG110,1,MATCH(AL$7,$F$7:$AG$7,1))</f>
        <v>35</v>
      </c>
      <c r="AM110" s="114" t="n">
        <f aca="false">INDEX($F110:$AG110,1,MATCH(AM$7,$F$7:$AG$7,1))</f>
        <v>70</v>
      </c>
      <c r="AN110" s="114" t="n">
        <f aca="false">INDEX($F110:$AG110,1,MATCH(AN$7,$F$7:$AG$7,1))</f>
        <v>70</v>
      </c>
      <c r="AO110" s="114" t="n">
        <f aca="false">INDEX($F110:$AG110,1,MATCH(AO$7,$F$7:$AG$7,1))</f>
        <v>70</v>
      </c>
    </row>
    <row r="111" customFormat="false" ht="15" hidden="false" customHeight="false" outlineLevel="0" collapsed="false">
      <c r="A111" s="112" t="s">
        <v>1747</v>
      </c>
      <c r="B111" s="24" t="s">
        <v>857</v>
      </c>
      <c r="C111" s="24" t="s">
        <v>690</v>
      </c>
      <c r="D111" s="24" t="s">
        <v>1677</v>
      </c>
      <c r="F111" s="113" t="n">
        <v>0</v>
      </c>
      <c r="G111" s="113" t="n">
        <v>0</v>
      </c>
      <c r="H111" s="113" t="n">
        <v>0</v>
      </c>
      <c r="I111" s="113" t="n">
        <v>0</v>
      </c>
      <c r="J111" s="113" t="n">
        <v>0</v>
      </c>
      <c r="K111" s="113" t="n">
        <v>0</v>
      </c>
      <c r="L111" s="113" t="n">
        <v>0</v>
      </c>
      <c r="M111" s="113" t="n">
        <v>0</v>
      </c>
      <c r="N111" s="113" t="n">
        <v>0</v>
      </c>
      <c r="O111" s="113" t="n">
        <v>0</v>
      </c>
      <c r="P111" s="113" t="n">
        <v>0</v>
      </c>
      <c r="Q111" s="113" t="n">
        <v>0</v>
      </c>
      <c r="R111" s="113" t="n">
        <v>0</v>
      </c>
      <c r="S111" s="113" t="n">
        <v>0</v>
      </c>
      <c r="T111" s="113" t="n">
        <v>0</v>
      </c>
      <c r="U111" s="113" t="n">
        <v>35</v>
      </c>
      <c r="V111" s="113" t="n">
        <v>70</v>
      </c>
      <c r="W111" s="113" t="n">
        <v>70</v>
      </c>
      <c r="X111" s="113" t="n">
        <v>70</v>
      </c>
      <c r="Y111" s="113" t="n">
        <v>70</v>
      </c>
      <c r="Z111" s="113" t="n">
        <v>70</v>
      </c>
      <c r="AA111" s="113" t="n">
        <v>70</v>
      </c>
      <c r="AB111" s="113" t="n">
        <v>70</v>
      </c>
      <c r="AC111" s="113" t="n">
        <v>70</v>
      </c>
      <c r="AD111" s="113" t="n">
        <v>70</v>
      </c>
      <c r="AE111" s="113" t="n">
        <v>70</v>
      </c>
      <c r="AF111" s="113" t="n">
        <v>70</v>
      </c>
      <c r="AG111" s="113" t="n">
        <v>70</v>
      </c>
      <c r="AI111" s="114" t="n">
        <f aca="false">INDEX($F111:$AG111,1,MATCH(AI$7,$F$7:$AG$7,1))</f>
        <v>0</v>
      </c>
      <c r="AJ111" s="114" t="n">
        <f aca="false">INDEX($F111:$AG111,1,MATCH(AJ$7,$F$7:$AG$7,1))</f>
        <v>0</v>
      </c>
      <c r="AK111" s="114" t="n">
        <f aca="false">INDEX($F111:$AG111,1,MATCH(AK$7,$F$7:$AG$7,1))</f>
        <v>0</v>
      </c>
      <c r="AL111" s="114" t="n">
        <f aca="false">INDEX($F111:$AG111,1,MATCH(AL$7,$F$7:$AG$7,1))</f>
        <v>35</v>
      </c>
      <c r="AM111" s="114" t="n">
        <f aca="false">INDEX($F111:$AG111,1,MATCH(AM$7,$F$7:$AG$7,1))</f>
        <v>70</v>
      </c>
      <c r="AN111" s="114" t="n">
        <f aca="false">INDEX($F111:$AG111,1,MATCH(AN$7,$F$7:$AG$7,1))</f>
        <v>70</v>
      </c>
      <c r="AO111" s="114" t="n">
        <f aca="false">INDEX($F111:$AG111,1,MATCH(AO$7,$F$7:$AG$7,1))</f>
        <v>70</v>
      </c>
    </row>
    <row r="112" customFormat="false" ht="15" hidden="false" customHeight="false" outlineLevel="0" collapsed="false">
      <c r="A112" s="112" t="s">
        <v>1748</v>
      </c>
      <c r="B112" s="24" t="s">
        <v>857</v>
      </c>
      <c r="C112" s="24" t="s">
        <v>672</v>
      </c>
      <c r="D112" s="24" t="s">
        <v>1679</v>
      </c>
      <c r="F112" s="114" t="n">
        <f aca="false">IF(CapV=2,N(F111),N(F110))</f>
        <v>0</v>
      </c>
      <c r="G112" s="114" t="n">
        <f aca="false">IF(CapV=2,N(G111),N(G110))</f>
        <v>0</v>
      </c>
      <c r="H112" s="114" t="n">
        <f aca="false">IF(CapV=2,N(H111),N(H110))</f>
        <v>0</v>
      </c>
      <c r="I112" s="114" t="n">
        <f aca="false">IF(CapV=2,N(I111),N(I110))</f>
        <v>0</v>
      </c>
      <c r="J112" s="114" t="n">
        <f aca="false">IF(CapV=2,N(J111),N(J110))</f>
        <v>0</v>
      </c>
      <c r="K112" s="114" t="n">
        <f aca="false">IF(CapV=2,N(K111),N(K110))</f>
        <v>0</v>
      </c>
      <c r="L112" s="114" t="n">
        <f aca="false">IF(CapV=2,N(L111),N(L110))</f>
        <v>0</v>
      </c>
      <c r="M112" s="114" t="n">
        <f aca="false">IF(CapV=2,N(M111),N(M110))</f>
        <v>0</v>
      </c>
      <c r="N112" s="114" t="n">
        <f aca="false">IF(CapV=2,N(N111),N(N110))</f>
        <v>0</v>
      </c>
      <c r="O112" s="114" t="n">
        <f aca="false">IF(CapV=2,N(O111),N(O110))</f>
        <v>0</v>
      </c>
      <c r="P112" s="114" t="n">
        <f aca="false">IF(CapV=2,N(P111),N(P110))</f>
        <v>0</v>
      </c>
      <c r="Q112" s="114" t="n">
        <f aca="false">IF(CapV=2,N(Q111),N(Q110))</f>
        <v>0</v>
      </c>
      <c r="R112" s="114" t="n">
        <f aca="false">IF(CapV=2,N(R111),N(R110))</f>
        <v>0</v>
      </c>
      <c r="S112" s="114" t="n">
        <f aca="false">IF(CapV=2,N(S111),N(S110))</f>
        <v>0</v>
      </c>
      <c r="T112" s="114" t="n">
        <f aca="false">IF(CapV=2,N(T111),N(T110))</f>
        <v>0</v>
      </c>
      <c r="U112" s="114" t="n">
        <f aca="false">IF(CapV=2,N(U111),N(U110))</f>
        <v>35</v>
      </c>
      <c r="V112" s="114" t="n">
        <f aca="false">IF(CapV=2,N(V111),N(V110))</f>
        <v>70</v>
      </c>
      <c r="W112" s="114" t="n">
        <f aca="false">IF(CapV=2,N(W111),N(W110))</f>
        <v>70</v>
      </c>
      <c r="X112" s="114" t="n">
        <f aca="false">IF(CapV=2,N(X111),N(X110))</f>
        <v>70</v>
      </c>
      <c r="Y112" s="114" t="n">
        <f aca="false">IF(CapV=2,N(Y111),N(Y110))</f>
        <v>70</v>
      </c>
      <c r="Z112" s="114" t="n">
        <f aca="false">IF(CapV=2,N(Z111),N(Z110))</f>
        <v>70</v>
      </c>
      <c r="AA112" s="114" t="n">
        <f aca="false">IF(CapV=2,N(AA111),N(AA110))</f>
        <v>70</v>
      </c>
      <c r="AB112" s="114" t="n">
        <f aca="false">IF(CapV=2,N(AB111),N(AB110))</f>
        <v>70</v>
      </c>
      <c r="AC112" s="114" t="n">
        <f aca="false">IF(CapV=2,N(AC111),N(AC110))</f>
        <v>70</v>
      </c>
      <c r="AD112" s="114" t="n">
        <f aca="false">IF(CapV=2,N(AD111),N(AD110))</f>
        <v>70</v>
      </c>
      <c r="AE112" s="114" t="n">
        <f aca="false">IF(CapV=2,N(AE111),N(AE110))</f>
        <v>70</v>
      </c>
      <c r="AF112" s="114" t="n">
        <f aca="false">IF(CapV=2,N(AF111),N(AF110))</f>
        <v>70</v>
      </c>
      <c r="AG112" s="114" t="n">
        <f aca="false">IF(CapV=2,N(AG111),N(AG110))</f>
        <v>70</v>
      </c>
      <c r="AI112" s="114" t="n">
        <f aca="false">INDEX($F112:$AG112,1,MATCH(AI$7,$F$7:$AG$7,1))</f>
        <v>0</v>
      </c>
      <c r="AJ112" s="114" t="n">
        <f aca="false">INDEX($F112:$AG112,1,MATCH(AJ$7,$F$7:$AG$7,1))</f>
        <v>0</v>
      </c>
      <c r="AK112" s="114" t="n">
        <f aca="false">INDEX($F112:$AG112,1,MATCH(AK$7,$F$7:$AG$7,1))</f>
        <v>0</v>
      </c>
      <c r="AL112" s="114" t="n">
        <f aca="false">INDEX($F112:$AG112,1,MATCH(AL$7,$F$7:$AG$7,1))</f>
        <v>35</v>
      </c>
      <c r="AM112" s="114" t="n">
        <f aca="false">INDEX($F112:$AG112,1,MATCH(AM$7,$F$7:$AG$7,1))</f>
        <v>70</v>
      </c>
      <c r="AN112" s="114" t="n">
        <f aca="false">INDEX($F112:$AG112,1,MATCH(AN$7,$F$7:$AG$7,1))</f>
        <v>70</v>
      </c>
      <c r="AO112" s="114" t="n">
        <f aca="false">INDEX($F112:$AG112,1,MATCH(AO$7,$F$7:$AG$7,1))</f>
        <v>70</v>
      </c>
    </row>
    <row r="113" customFormat="false" ht="15" hidden="false" customHeight="false" outlineLevel="0" collapsed="false">
      <c r="A113" s="112" t="s">
        <v>1749</v>
      </c>
      <c r="B113" s="24" t="s">
        <v>857</v>
      </c>
      <c r="C113" s="24" t="s">
        <v>690</v>
      </c>
      <c r="D113" s="24" t="s">
        <v>1675</v>
      </c>
      <c r="F113" s="113" t="n">
        <v>0</v>
      </c>
      <c r="G113" s="113" t="n">
        <v>0</v>
      </c>
      <c r="H113" s="113" t="n">
        <v>0</v>
      </c>
      <c r="I113" s="113" t="n">
        <v>0</v>
      </c>
      <c r="J113" s="113" t="n">
        <v>0</v>
      </c>
      <c r="K113" s="113" t="n">
        <v>5</v>
      </c>
      <c r="L113" s="113" t="n">
        <v>5</v>
      </c>
      <c r="M113" s="113" t="n">
        <v>5</v>
      </c>
      <c r="N113" s="113" t="n">
        <v>5</v>
      </c>
      <c r="O113" s="113" t="n">
        <v>5</v>
      </c>
      <c r="P113" s="113" t="n">
        <v>5</v>
      </c>
      <c r="Q113" s="113" t="n">
        <v>5</v>
      </c>
      <c r="R113" s="113" t="n">
        <v>5</v>
      </c>
      <c r="S113" s="113" t="n">
        <v>5</v>
      </c>
      <c r="T113" s="113" t="n">
        <v>5</v>
      </c>
      <c r="U113" s="113" t="n">
        <v>20</v>
      </c>
      <c r="V113" s="113" t="n">
        <v>20</v>
      </c>
      <c r="W113" s="113" t="n">
        <v>20</v>
      </c>
      <c r="X113" s="113" t="n">
        <v>20</v>
      </c>
      <c r="Y113" s="113" t="n">
        <v>20</v>
      </c>
      <c r="Z113" s="113" t="n">
        <v>20</v>
      </c>
      <c r="AA113" s="113" t="n">
        <v>20</v>
      </c>
      <c r="AB113" s="113" t="n">
        <v>20</v>
      </c>
      <c r="AC113" s="113" t="n">
        <v>20</v>
      </c>
      <c r="AD113" s="113" t="n">
        <v>20</v>
      </c>
      <c r="AE113" s="113" t="n">
        <v>20</v>
      </c>
      <c r="AF113" s="113" t="n">
        <v>20</v>
      </c>
      <c r="AG113" s="113" t="n">
        <v>20</v>
      </c>
      <c r="AI113" s="114" t="n">
        <f aca="false">INDEX($F113:$AG113,1,MATCH(AI$7,$F$7:$AG$7,1))</f>
        <v>0</v>
      </c>
      <c r="AJ113" s="114" t="n">
        <f aca="false">INDEX($F113:$AG113,1,MATCH(AJ$7,$F$7:$AG$7,1))</f>
        <v>5</v>
      </c>
      <c r="AK113" s="114" t="n">
        <f aca="false">INDEX($F113:$AG113,1,MATCH(AK$7,$F$7:$AG$7,1))</f>
        <v>5</v>
      </c>
      <c r="AL113" s="114" t="n">
        <f aca="false">INDEX($F113:$AG113,1,MATCH(AL$7,$F$7:$AG$7,1))</f>
        <v>20</v>
      </c>
      <c r="AM113" s="114" t="n">
        <f aca="false">INDEX($F113:$AG113,1,MATCH(AM$7,$F$7:$AG$7,1))</f>
        <v>20</v>
      </c>
      <c r="AN113" s="114" t="n">
        <f aca="false">INDEX($F113:$AG113,1,MATCH(AN$7,$F$7:$AG$7,1))</f>
        <v>20</v>
      </c>
      <c r="AO113" s="114" t="n">
        <f aca="false">INDEX($F113:$AG113,1,MATCH(AO$7,$F$7:$AG$7,1))</f>
        <v>20</v>
      </c>
    </row>
    <row r="114" customFormat="false" ht="15" hidden="false" customHeight="false" outlineLevel="0" collapsed="false">
      <c r="A114" s="112" t="s">
        <v>1750</v>
      </c>
      <c r="B114" s="24" t="s">
        <v>857</v>
      </c>
      <c r="C114" s="24" t="s">
        <v>690</v>
      </c>
      <c r="D114" s="24" t="s">
        <v>1677</v>
      </c>
      <c r="F114" s="113" t="n">
        <v>0</v>
      </c>
      <c r="G114" s="113" t="n">
        <v>0</v>
      </c>
      <c r="H114" s="113" t="n">
        <v>0</v>
      </c>
      <c r="I114" s="113" t="n">
        <v>0</v>
      </c>
      <c r="J114" s="113" t="n">
        <v>5</v>
      </c>
      <c r="K114" s="113" t="n">
        <v>5</v>
      </c>
      <c r="L114" s="113" t="n">
        <v>5</v>
      </c>
      <c r="M114" s="113" t="n">
        <v>5</v>
      </c>
      <c r="N114" s="113" t="n">
        <v>5</v>
      </c>
      <c r="O114" s="113" t="n">
        <v>5</v>
      </c>
      <c r="P114" s="113" t="n">
        <v>5</v>
      </c>
      <c r="Q114" s="113" t="n">
        <v>5</v>
      </c>
      <c r="R114" s="113" t="n">
        <v>5</v>
      </c>
      <c r="S114" s="113" t="n">
        <v>5</v>
      </c>
      <c r="T114" s="113" t="n">
        <v>5</v>
      </c>
      <c r="U114" s="113" t="n">
        <v>20</v>
      </c>
      <c r="V114" s="113" t="n">
        <v>20</v>
      </c>
      <c r="W114" s="113" t="n">
        <v>20</v>
      </c>
      <c r="X114" s="113" t="n">
        <v>20</v>
      </c>
      <c r="Y114" s="113" t="n">
        <v>20</v>
      </c>
      <c r="Z114" s="113" t="n">
        <v>20</v>
      </c>
      <c r="AA114" s="113" t="n">
        <v>20</v>
      </c>
      <c r="AB114" s="113" t="n">
        <v>20</v>
      </c>
      <c r="AC114" s="113" t="n">
        <v>20</v>
      </c>
      <c r="AD114" s="113" t="n">
        <v>20</v>
      </c>
      <c r="AE114" s="113" t="n">
        <v>20</v>
      </c>
      <c r="AF114" s="113" t="n">
        <v>20</v>
      </c>
      <c r="AG114" s="113" t="n">
        <v>20</v>
      </c>
      <c r="AI114" s="114" t="n">
        <f aca="false">INDEX($F114:$AG114,1,MATCH(AI$7,$F$7:$AG$7,1))</f>
        <v>0</v>
      </c>
      <c r="AJ114" s="114" t="n">
        <f aca="false">INDEX($F114:$AG114,1,MATCH(AJ$7,$F$7:$AG$7,1))</f>
        <v>5</v>
      </c>
      <c r="AK114" s="114" t="n">
        <f aca="false">INDEX($F114:$AG114,1,MATCH(AK$7,$F$7:$AG$7,1))</f>
        <v>5</v>
      </c>
      <c r="AL114" s="114" t="n">
        <f aca="false">INDEX($F114:$AG114,1,MATCH(AL$7,$F$7:$AG$7,1))</f>
        <v>20</v>
      </c>
      <c r="AM114" s="114" t="n">
        <f aca="false">INDEX($F114:$AG114,1,MATCH(AM$7,$F$7:$AG$7,1))</f>
        <v>20</v>
      </c>
      <c r="AN114" s="114" t="n">
        <f aca="false">INDEX($F114:$AG114,1,MATCH(AN$7,$F$7:$AG$7,1))</f>
        <v>20</v>
      </c>
      <c r="AO114" s="114" t="n">
        <f aca="false">INDEX($F114:$AG114,1,MATCH(AO$7,$F$7:$AG$7,1))</f>
        <v>20</v>
      </c>
    </row>
    <row r="115" customFormat="false" ht="15" hidden="false" customHeight="false" outlineLevel="0" collapsed="false">
      <c r="A115" s="112" t="s">
        <v>1751</v>
      </c>
      <c r="B115" s="24" t="s">
        <v>857</v>
      </c>
      <c r="C115" s="24" t="s">
        <v>672</v>
      </c>
      <c r="D115" s="24" t="s">
        <v>1679</v>
      </c>
      <c r="F115" s="114" t="n">
        <f aca="false">IF(CapV=2,N(F114),N(F113))</f>
        <v>0</v>
      </c>
      <c r="G115" s="114" t="n">
        <f aca="false">IF(CapV=2,N(G114),N(G113))</f>
        <v>0</v>
      </c>
      <c r="H115" s="114" t="n">
        <f aca="false">IF(CapV=2,N(H114),N(H113))</f>
        <v>0</v>
      </c>
      <c r="I115" s="114" t="n">
        <f aca="false">IF(CapV=2,N(I114),N(I113))</f>
        <v>0</v>
      </c>
      <c r="J115" s="114" t="n">
        <f aca="false">IF(CapV=2,N(J114),N(J113))</f>
        <v>5</v>
      </c>
      <c r="K115" s="114" t="n">
        <f aca="false">IF(CapV=2,N(K114),N(K113))</f>
        <v>5</v>
      </c>
      <c r="L115" s="114" t="n">
        <f aca="false">IF(CapV=2,N(L114),N(L113))</f>
        <v>5</v>
      </c>
      <c r="M115" s="114" t="n">
        <f aca="false">IF(CapV=2,N(M114),N(M113))</f>
        <v>5</v>
      </c>
      <c r="N115" s="114" t="n">
        <f aca="false">IF(CapV=2,N(N114),N(N113))</f>
        <v>5</v>
      </c>
      <c r="O115" s="114" t="n">
        <f aca="false">IF(CapV=2,N(O114),N(O113))</f>
        <v>5</v>
      </c>
      <c r="P115" s="114" t="n">
        <f aca="false">IF(CapV=2,N(P114),N(P113))</f>
        <v>5</v>
      </c>
      <c r="Q115" s="114" t="n">
        <f aca="false">IF(CapV=2,N(Q114),N(Q113))</f>
        <v>5</v>
      </c>
      <c r="R115" s="114" t="n">
        <f aca="false">IF(CapV=2,N(R114),N(R113))</f>
        <v>5</v>
      </c>
      <c r="S115" s="114" t="n">
        <f aca="false">IF(CapV=2,N(S114),N(S113))</f>
        <v>5</v>
      </c>
      <c r="T115" s="114" t="n">
        <f aca="false">IF(CapV=2,N(T114),N(T113))</f>
        <v>5</v>
      </c>
      <c r="U115" s="114" t="n">
        <f aca="false">IF(CapV=2,N(U114),N(U113))</f>
        <v>20</v>
      </c>
      <c r="V115" s="114" t="n">
        <f aca="false">IF(CapV=2,N(V114),N(V113))</f>
        <v>20</v>
      </c>
      <c r="W115" s="114" t="n">
        <f aca="false">IF(CapV=2,N(W114),N(W113))</f>
        <v>20</v>
      </c>
      <c r="X115" s="114" t="n">
        <f aca="false">IF(CapV=2,N(X114),N(X113))</f>
        <v>20</v>
      </c>
      <c r="Y115" s="114" t="n">
        <f aca="false">IF(CapV=2,N(Y114),N(Y113))</f>
        <v>20</v>
      </c>
      <c r="Z115" s="114" t="n">
        <f aca="false">IF(CapV=2,N(Z114),N(Z113))</f>
        <v>20</v>
      </c>
      <c r="AA115" s="114" t="n">
        <f aca="false">IF(CapV=2,N(AA114),N(AA113))</f>
        <v>20</v>
      </c>
      <c r="AB115" s="114" t="n">
        <f aca="false">IF(CapV=2,N(AB114),N(AB113))</f>
        <v>20</v>
      </c>
      <c r="AC115" s="114" t="n">
        <f aca="false">IF(CapV=2,N(AC114),N(AC113))</f>
        <v>20</v>
      </c>
      <c r="AD115" s="114" t="n">
        <f aca="false">IF(CapV=2,N(AD114),N(AD113))</f>
        <v>20</v>
      </c>
      <c r="AE115" s="114" t="n">
        <f aca="false">IF(CapV=2,N(AE114),N(AE113))</f>
        <v>20</v>
      </c>
      <c r="AF115" s="114" t="n">
        <f aca="false">IF(CapV=2,N(AF114),N(AF113))</f>
        <v>20</v>
      </c>
      <c r="AG115" s="114" t="n">
        <f aca="false">IF(CapV=2,N(AG114),N(AG113))</f>
        <v>20</v>
      </c>
      <c r="AI115" s="114" t="n">
        <f aca="false">INDEX($F115:$AG115,1,MATCH(AI$7,$F$7:$AG$7,1))</f>
        <v>0</v>
      </c>
      <c r="AJ115" s="114" t="n">
        <f aca="false">INDEX($F115:$AG115,1,MATCH(AJ$7,$F$7:$AG$7,1))</f>
        <v>5</v>
      </c>
      <c r="AK115" s="114" t="n">
        <f aca="false">INDEX($F115:$AG115,1,MATCH(AK$7,$F$7:$AG$7,1))</f>
        <v>5</v>
      </c>
      <c r="AL115" s="114" t="n">
        <f aca="false">INDEX($F115:$AG115,1,MATCH(AL$7,$F$7:$AG$7,1))</f>
        <v>20</v>
      </c>
      <c r="AM115" s="114" t="n">
        <f aca="false">INDEX($F115:$AG115,1,MATCH(AM$7,$F$7:$AG$7,1))</f>
        <v>20</v>
      </c>
      <c r="AN115" s="114" t="n">
        <f aca="false">INDEX($F115:$AG115,1,MATCH(AN$7,$F$7:$AG$7,1))</f>
        <v>20</v>
      </c>
      <c r="AO115" s="114" t="n">
        <f aca="false">INDEX($F115:$AG115,1,MATCH(AO$7,$F$7:$AG$7,1))</f>
        <v>20</v>
      </c>
    </row>
    <row r="116" customFormat="false" ht="15" hidden="false" customHeight="false" outlineLevel="0" collapsed="false">
      <c r="A116" s="112" t="s">
        <v>1752</v>
      </c>
      <c r="B116" s="24" t="s">
        <v>857</v>
      </c>
      <c r="C116" s="24" t="s">
        <v>690</v>
      </c>
      <c r="D116" s="24" t="s">
        <v>1675</v>
      </c>
      <c r="F116" s="113" t="n">
        <v>0</v>
      </c>
      <c r="G116" s="113" t="n">
        <v>0</v>
      </c>
      <c r="H116" s="113" t="n">
        <v>0</v>
      </c>
      <c r="I116" s="113" t="n">
        <v>0</v>
      </c>
      <c r="J116" s="113" t="n">
        <v>0</v>
      </c>
      <c r="K116" s="113" t="n">
        <v>5</v>
      </c>
      <c r="L116" s="113" t="n">
        <v>10</v>
      </c>
      <c r="M116" s="113" t="n">
        <v>20</v>
      </c>
      <c r="N116" s="113" t="n">
        <v>20</v>
      </c>
      <c r="O116" s="113" t="n">
        <v>20</v>
      </c>
      <c r="P116" s="113" t="n">
        <v>20</v>
      </c>
      <c r="Q116" s="113" t="n">
        <v>20</v>
      </c>
      <c r="R116" s="113" t="n">
        <v>20</v>
      </c>
      <c r="S116" s="113" t="n">
        <v>20</v>
      </c>
      <c r="T116" s="113" t="n">
        <v>20</v>
      </c>
      <c r="U116" s="113" t="n">
        <v>30</v>
      </c>
      <c r="V116" s="113" t="n">
        <v>30</v>
      </c>
      <c r="W116" s="113" t="n">
        <v>30</v>
      </c>
      <c r="X116" s="113" t="n">
        <v>30</v>
      </c>
      <c r="Y116" s="113" t="n">
        <v>30</v>
      </c>
      <c r="Z116" s="113" t="n">
        <v>30</v>
      </c>
      <c r="AA116" s="113" t="n">
        <v>30</v>
      </c>
      <c r="AB116" s="113" t="n">
        <v>30</v>
      </c>
      <c r="AC116" s="113" t="n">
        <v>30</v>
      </c>
      <c r="AD116" s="113" t="n">
        <v>30</v>
      </c>
      <c r="AE116" s="113" t="n">
        <v>30</v>
      </c>
      <c r="AF116" s="113" t="n">
        <v>30</v>
      </c>
      <c r="AG116" s="113" t="n">
        <v>30</v>
      </c>
      <c r="AI116" s="114" t="n">
        <f aca="false">INDEX($F116:$AG116,1,MATCH(AI$7,$F$7:$AG$7,1))</f>
        <v>0</v>
      </c>
      <c r="AJ116" s="114" t="n">
        <f aca="false">INDEX($F116:$AG116,1,MATCH(AJ$7,$F$7:$AG$7,1))</f>
        <v>20</v>
      </c>
      <c r="AK116" s="114" t="n">
        <f aca="false">INDEX($F116:$AG116,1,MATCH(AK$7,$F$7:$AG$7,1))</f>
        <v>20</v>
      </c>
      <c r="AL116" s="114" t="n">
        <f aca="false">INDEX($F116:$AG116,1,MATCH(AL$7,$F$7:$AG$7,1))</f>
        <v>30</v>
      </c>
      <c r="AM116" s="114" t="n">
        <f aca="false">INDEX($F116:$AG116,1,MATCH(AM$7,$F$7:$AG$7,1))</f>
        <v>30</v>
      </c>
      <c r="AN116" s="114" t="n">
        <f aca="false">INDEX($F116:$AG116,1,MATCH(AN$7,$F$7:$AG$7,1))</f>
        <v>30</v>
      </c>
      <c r="AO116" s="114" t="n">
        <f aca="false">INDEX($F116:$AG116,1,MATCH(AO$7,$F$7:$AG$7,1))</f>
        <v>30</v>
      </c>
    </row>
    <row r="117" customFormat="false" ht="15" hidden="false" customHeight="false" outlineLevel="0" collapsed="false">
      <c r="A117" s="112" t="s">
        <v>1753</v>
      </c>
      <c r="B117" s="24" t="s">
        <v>857</v>
      </c>
      <c r="C117" s="24" t="s">
        <v>690</v>
      </c>
      <c r="D117" s="24" t="s">
        <v>1677</v>
      </c>
      <c r="F117" s="113" t="n">
        <v>0</v>
      </c>
      <c r="G117" s="113" t="n">
        <v>0</v>
      </c>
      <c r="H117" s="113" t="n">
        <v>0</v>
      </c>
      <c r="I117" s="113" t="n">
        <v>0</v>
      </c>
      <c r="J117" s="113" t="n">
        <v>10</v>
      </c>
      <c r="K117" s="113" t="n">
        <v>10</v>
      </c>
      <c r="L117" s="113" t="n">
        <v>10</v>
      </c>
      <c r="M117" s="113" t="n">
        <v>20</v>
      </c>
      <c r="N117" s="113" t="n">
        <v>20</v>
      </c>
      <c r="O117" s="113" t="n">
        <v>20</v>
      </c>
      <c r="P117" s="113" t="n">
        <v>20</v>
      </c>
      <c r="Q117" s="113" t="n">
        <v>20</v>
      </c>
      <c r="R117" s="113" t="n">
        <v>20</v>
      </c>
      <c r="S117" s="113" t="n">
        <v>20</v>
      </c>
      <c r="T117" s="113" t="n">
        <v>20</v>
      </c>
      <c r="U117" s="113" t="n">
        <v>30</v>
      </c>
      <c r="V117" s="113" t="n">
        <v>30</v>
      </c>
      <c r="W117" s="113" t="n">
        <v>30</v>
      </c>
      <c r="X117" s="113" t="n">
        <v>30</v>
      </c>
      <c r="Y117" s="113" t="n">
        <v>30</v>
      </c>
      <c r="Z117" s="113" t="n">
        <v>30</v>
      </c>
      <c r="AA117" s="113" t="n">
        <v>30</v>
      </c>
      <c r="AB117" s="113" t="n">
        <v>30</v>
      </c>
      <c r="AC117" s="113" t="n">
        <v>30</v>
      </c>
      <c r="AD117" s="113" t="n">
        <v>30</v>
      </c>
      <c r="AE117" s="113" t="n">
        <v>30</v>
      </c>
      <c r="AF117" s="113" t="n">
        <v>30</v>
      </c>
      <c r="AG117" s="113" t="n">
        <v>30</v>
      </c>
      <c r="AI117" s="114" t="n">
        <f aca="false">INDEX($F117:$AG117,1,MATCH(AI$7,$F$7:$AG$7,1))</f>
        <v>0</v>
      </c>
      <c r="AJ117" s="114" t="n">
        <f aca="false">INDEX($F117:$AG117,1,MATCH(AJ$7,$F$7:$AG$7,1))</f>
        <v>20</v>
      </c>
      <c r="AK117" s="114" t="n">
        <f aca="false">INDEX($F117:$AG117,1,MATCH(AK$7,$F$7:$AG$7,1))</f>
        <v>20</v>
      </c>
      <c r="AL117" s="114" t="n">
        <f aca="false">INDEX($F117:$AG117,1,MATCH(AL$7,$F$7:$AG$7,1))</f>
        <v>30</v>
      </c>
      <c r="AM117" s="114" t="n">
        <f aca="false">INDEX($F117:$AG117,1,MATCH(AM$7,$F$7:$AG$7,1))</f>
        <v>30</v>
      </c>
      <c r="AN117" s="114" t="n">
        <f aca="false">INDEX($F117:$AG117,1,MATCH(AN$7,$F$7:$AG$7,1))</f>
        <v>30</v>
      </c>
      <c r="AO117" s="114" t="n">
        <f aca="false">INDEX($F117:$AG117,1,MATCH(AO$7,$F$7:$AG$7,1))</f>
        <v>30</v>
      </c>
    </row>
    <row r="118" customFormat="false" ht="15" hidden="false" customHeight="false" outlineLevel="0" collapsed="false">
      <c r="A118" s="112" t="s">
        <v>1754</v>
      </c>
      <c r="B118" s="24" t="s">
        <v>857</v>
      </c>
      <c r="C118" s="24" t="s">
        <v>672</v>
      </c>
      <c r="D118" s="24" t="s">
        <v>1679</v>
      </c>
      <c r="F118" s="114" t="n">
        <f aca="false">IF(CapV=2,N(F117),N(F116))</f>
        <v>0</v>
      </c>
      <c r="G118" s="114" t="n">
        <f aca="false">IF(CapV=2,N(G117),N(G116))</f>
        <v>0</v>
      </c>
      <c r="H118" s="114" t="n">
        <f aca="false">IF(CapV=2,N(H117),N(H116))</f>
        <v>0</v>
      </c>
      <c r="I118" s="114" t="n">
        <f aca="false">IF(CapV=2,N(I117),N(I116))</f>
        <v>0</v>
      </c>
      <c r="J118" s="114" t="n">
        <f aca="false">IF(CapV=2,N(J117),N(J116))</f>
        <v>10</v>
      </c>
      <c r="K118" s="114" t="n">
        <f aca="false">IF(CapV=2,N(K117),N(K116))</f>
        <v>10</v>
      </c>
      <c r="L118" s="114" t="n">
        <f aca="false">IF(CapV=2,N(L117),N(L116))</f>
        <v>10</v>
      </c>
      <c r="M118" s="114" t="n">
        <f aca="false">IF(CapV=2,N(M117),N(M116))</f>
        <v>20</v>
      </c>
      <c r="N118" s="114" t="n">
        <f aca="false">IF(CapV=2,N(N117),N(N116))</f>
        <v>20</v>
      </c>
      <c r="O118" s="114" t="n">
        <f aca="false">IF(CapV=2,N(O117),N(O116))</f>
        <v>20</v>
      </c>
      <c r="P118" s="114" t="n">
        <f aca="false">IF(CapV=2,N(P117),N(P116))</f>
        <v>20</v>
      </c>
      <c r="Q118" s="114" t="n">
        <f aca="false">IF(CapV=2,N(Q117),N(Q116))</f>
        <v>20</v>
      </c>
      <c r="R118" s="114" t="n">
        <f aca="false">IF(CapV=2,N(R117),N(R116))</f>
        <v>20</v>
      </c>
      <c r="S118" s="114" t="n">
        <f aca="false">IF(CapV=2,N(S117),N(S116))</f>
        <v>20</v>
      </c>
      <c r="T118" s="114" t="n">
        <f aca="false">IF(CapV=2,N(T117),N(T116))</f>
        <v>20</v>
      </c>
      <c r="U118" s="114" t="n">
        <f aca="false">IF(CapV=2,N(U117),N(U116))</f>
        <v>30</v>
      </c>
      <c r="V118" s="114" t="n">
        <f aca="false">IF(CapV=2,N(V117),N(V116))</f>
        <v>30</v>
      </c>
      <c r="W118" s="114" t="n">
        <f aca="false">IF(CapV=2,N(W117),N(W116))</f>
        <v>30</v>
      </c>
      <c r="X118" s="114" t="n">
        <f aca="false">IF(CapV=2,N(X117),N(X116))</f>
        <v>30</v>
      </c>
      <c r="Y118" s="114" t="n">
        <f aca="false">IF(CapV=2,N(Y117),N(Y116))</f>
        <v>30</v>
      </c>
      <c r="Z118" s="114" t="n">
        <f aca="false">IF(CapV=2,N(Z117),N(Z116))</f>
        <v>30</v>
      </c>
      <c r="AA118" s="114" t="n">
        <f aca="false">IF(CapV=2,N(AA117),N(AA116))</f>
        <v>30</v>
      </c>
      <c r="AB118" s="114" t="n">
        <f aca="false">IF(CapV=2,N(AB117),N(AB116))</f>
        <v>30</v>
      </c>
      <c r="AC118" s="114" t="n">
        <f aca="false">IF(CapV=2,N(AC117),N(AC116))</f>
        <v>30</v>
      </c>
      <c r="AD118" s="114" t="n">
        <f aca="false">IF(CapV=2,N(AD117),N(AD116))</f>
        <v>30</v>
      </c>
      <c r="AE118" s="114" t="n">
        <f aca="false">IF(CapV=2,N(AE117),N(AE116))</f>
        <v>30</v>
      </c>
      <c r="AF118" s="114" t="n">
        <f aca="false">IF(CapV=2,N(AF117),N(AF116))</f>
        <v>30</v>
      </c>
      <c r="AG118" s="114" t="n">
        <f aca="false">IF(CapV=2,N(AG117),N(AG116))</f>
        <v>30</v>
      </c>
      <c r="AI118" s="114" t="n">
        <f aca="false">INDEX($F118:$AG118,1,MATCH(AI$7,$F$7:$AG$7,1))</f>
        <v>0</v>
      </c>
      <c r="AJ118" s="114" t="n">
        <f aca="false">INDEX($F118:$AG118,1,MATCH(AJ$7,$F$7:$AG$7,1))</f>
        <v>20</v>
      </c>
      <c r="AK118" s="114" t="n">
        <f aca="false">INDEX($F118:$AG118,1,MATCH(AK$7,$F$7:$AG$7,1))</f>
        <v>20</v>
      </c>
      <c r="AL118" s="114" t="n">
        <f aca="false">INDEX($F118:$AG118,1,MATCH(AL$7,$F$7:$AG$7,1))</f>
        <v>30</v>
      </c>
      <c r="AM118" s="114" t="n">
        <f aca="false">INDEX($F118:$AG118,1,MATCH(AM$7,$F$7:$AG$7,1))</f>
        <v>30</v>
      </c>
      <c r="AN118" s="114" t="n">
        <f aca="false">INDEX($F118:$AG118,1,MATCH(AN$7,$F$7:$AG$7,1))</f>
        <v>30</v>
      </c>
      <c r="AO118" s="114" t="n">
        <f aca="false">INDEX($F118:$AG118,1,MATCH(AO$7,$F$7:$AG$7,1))</f>
        <v>30</v>
      </c>
    </row>
    <row r="119" customFormat="false" ht="15" hidden="false" customHeight="false" outlineLevel="0" collapsed="false">
      <c r="A119" s="112" t="s">
        <v>1755</v>
      </c>
      <c r="B119" s="24" t="s">
        <v>857</v>
      </c>
      <c r="C119" s="24" t="s">
        <v>690</v>
      </c>
      <c r="D119" s="24" t="s">
        <v>1675</v>
      </c>
      <c r="F119" s="113" t="n">
        <v>0</v>
      </c>
      <c r="G119" s="113" t="n">
        <v>0</v>
      </c>
      <c r="H119" s="113" t="n">
        <v>0</v>
      </c>
      <c r="I119" s="113" t="n">
        <v>0</v>
      </c>
      <c r="J119" s="113" t="n">
        <v>0</v>
      </c>
      <c r="K119" s="113" t="n">
        <v>5</v>
      </c>
      <c r="L119" s="113" t="n">
        <v>15</v>
      </c>
      <c r="M119" s="113" t="n">
        <v>35</v>
      </c>
      <c r="N119" s="113" t="n">
        <v>35</v>
      </c>
      <c r="O119" s="113" t="n">
        <v>35</v>
      </c>
      <c r="P119" s="113" t="n">
        <v>35</v>
      </c>
      <c r="Q119" s="113" t="n">
        <v>35</v>
      </c>
      <c r="R119" s="113" t="n">
        <v>35</v>
      </c>
      <c r="S119" s="113" t="n">
        <v>35</v>
      </c>
      <c r="T119" s="113" t="n">
        <v>35</v>
      </c>
      <c r="U119" s="113" t="n">
        <v>40</v>
      </c>
      <c r="V119" s="113" t="n">
        <v>40</v>
      </c>
      <c r="W119" s="113" t="n">
        <v>40</v>
      </c>
      <c r="X119" s="113" t="n">
        <v>40</v>
      </c>
      <c r="Y119" s="113" t="n">
        <v>40</v>
      </c>
      <c r="Z119" s="113" t="n">
        <v>40</v>
      </c>
      <c r="AA119" s="113" t="n">
        <v>40</v>
      </c>
      <c r="AB119" s="113" t="n">
        <v>40</v>
      </c>
      <c r="AC119" s="113" t="n">
        <v>40</v>
      </c>
      <c r="AD119" s="113" t="n">
        <v>40</v>
      </c>
      <c r="AE119" s="113" t="n">
        <v>40</v>
      </c>
      <c r="AF119" s="113" t="n">
        <v>40</v>
      </c>
      <c r="AG119" s="113" t="n">
        <v>40</v>
      </c>
      <c r="AI119" s="114" t="n">
        <f aca="false">INDEX($F119:$AG119,1,MATCH(AI$7,$F$7:$AG$7,1))</f>
        <v>0</v>
      </c>
      <c r="AJ119" s="114" t="n">
        <f aca="false">INDEX($F119:$AG119,1,MATCH(AJ$7,$F$7:$AG$7,1))</f>
        <v>35</v>
      </c>
      <c r="AK119" s="114" t="n">
        <f aca="false">INDEX($F119:$AG119,1,MATCH(AK$7,$F$7:$AG$7,1))</f>
        <v>35</v>
      </c>
      <c r="AL119" s="114" t="n">
        <f aca="false">INDEX($F119:$AG119,1,MATCH(AL$7,$F$7:$AG$7,1))</f>
        <v>40</v>
      </c>
      <c r="AM119" s="114" t="n">
        <f aca="false">INDEX($F119:$AG119,1,MATCH(AM$7,$F$7:$AG$7,1))</f>
        <v>40</v>
      </c>
      <c r="AN119" s="114" t="n">
        <f aca="false">INDEX($F119:$AG119,1,MATCH(AN$7,$F$7:$AG$7,1))</f>
        <v>40</v>
      </c>
      <c r="AO119" s="114" t="n">
        <f aca="false">INDEX($F119:$AG119,1,MATCH(AO$7,$F$7:$AG$7,1))</f>
        <v>40</v>
      </c>
    </row>
    <row r="120" customFormat="false" ht="15" hidden="false" customHeight="false" outlineLevel="0" collapsed="false">
      <c r="A120" s="112" t="s">
        <v>1756</v>
      </c>
      <c r="B120" s="24" t="s">
        <v>857</v>
      </c>
      <c r="C120" s="24" t="s">
        <v>690</v>
      </c>
      <c r="D120" s="24" t="s">
        <v>1677</v>
      </c>
      <c r="F120" s="113" t="n">
        <v>0</v>
      </c>
      <c r="G120" s="113" t="n">
        <v>0</v>
      </c>
      <c r="H120" s="113" t="n">
        <v>0</v>
      </c>
      <c r="I120" s="113" t="n">
        <v>0</v>
      </c>
      <c r="J120" s="113" t="n">
        <v>15</v>
      </c>
      <c r="K120" s="113" t="n">
        <v>15</v>
      </c>
      <c r="L120" s="113" t="n">
        <v>15</v>
      </c>
      <c r="M120" s="113" t="n">
        <v>35</v>
      </c>
      <c r="N120" s="113" t="n">
        <v>35</v>
      </c>
      <c r="O120" s="113" t="n">
        <v>35</v>
      </c>
      <c r="P120" s="113" t="n">
        <v>35</v>
      </c>
      <c r="Q120" s="113" t="n">
        <v>35</v>
      </c>
      <c r="R120" s="113" t="n">
        <v>35</v>
      </c>
      <c r="S120" s="113" t="n">
        <v>35</v>
      </c>
      <c r="T120" s="113" t="n">
        <v>35</v>
      </c>
      <c r="U120" s="113" t="n">
        <v>40</v>
      </c>
      <c r="V120" s="113" t="n">
        <v>40</v>
      </c>
      <c r="W120" s="113" t="n">
        <v>40</v>
      </c>
      <c r="X120" s="113" t="n">
        <v>40</v>
      </c>
      <c r="Y120" s="113" t="n">
        <v>40</v>
      </c>
      <c r="Z120" s="113" t="n">
        <v>40</v>
      </c>
      <c r="AA120" s="113" t="n">
        <v>40</v>
      </c>
      <c r="AB120" s="113" t="n">
        <v>40</v>
      </c>
      <c r="AC120" s="113" t="n">
        <v>40</v>
      </c>
      <c r="AD120" s="113" t="n">
        <v>40</v>
      </c>
      <c r="AE120" s="113" t="n">
        <v>40</v>
      </c>
      <c r="AF120" s="113" t="n">
        <v>40</v>
      </c>
      <c r="AG120" s="113" t="n">
        <v>40</v>
      </c>
      <c r="AI120" s="114" t="n">
        <f aca="false">INDEX($F120:$AG120,1,MATCH(AI$7,$F$7:$AG$7,1))</f>
        <v>0</v>
      </c>
      <c r="AJ120" s="114" t="n">
        <f aca="false">INDEX($F120:$AG120,1,MATCH(AJ$7,$F$7:$AG$7,1))</f>
        <v>35</v>
      </c>
      <c r="AK120" s="114" t="n">
        <f aca="false">INDEX($F120:$AG120,1,MATCH(AK$7,$F$7:$AG$7,1))</f>
        <v>35</v>
      </c>
      <c r="AL120" s="114" t="n">
        <f aca="false">INDEX($F120:$AG120,1,MATCH(AL$7,$F$7:$AG$7,1))</f>
        <v>40</v>
      </c>
      <c r="AM120" s="114" t="n">
        <f aca="false">INDEX($F120:$AG120,1,MATCH(AM$7,$F$7:$AG$7,1))</f>
        <v>40</v>
      </c>
      <c r="AN120" s="114" t="n">
        <f aca="false">INDEX($F120:$AG120,1,MATCH(AN$7,$F$7:$AG$7,1))</f>
        <v>40</v>
      </c>
      <c r="AO120" s="114" t="n">
        <f aca="false">INDEX($F120:$AG120,1,MATCH(AO$7,$F$7:$AG$7,1))</f>
        <v>40</v>
      </c>
    </row>
    <row r="121" customFormat="false" ht="15" hidden="false" customHeight="false" outlineLevel="0" collapsed="false">
      <c r="A121" s="112" t="s">
        <v>1757</v>
      </c>
      <c r="B121" s="24" t="s">
        <v>857</v>
      </c>
      <c r="C121" s="24" t="s">
        <v>672</v>
      </c>
      <c r="D121" s="24" t="s">
        <v>1679</v>
      </c>
      <c r="F121" s="114" t="n">
        <f aca="false">IF(CapV=2,N(F120),N(F119))</f>
        <v>0</v>
      </c>
      <c r="G121" s="114" t="n">
        <f aca="false">IF(CapV=2,N(G120),N(G119))</f>
        <v>0</v>
      </c>
      <c r="H121" s="114" t="n">
        <f aca="false">IF(CapV=2,N(H120),N(H119))</f>
        <v>0</v>
      </c>
      <c r="I121" s="114" t="n">
        <f aca="false">IF(CapV=2,N(I120),N(I119))</f>
        <v>0</v>
      </c>
      <c r="J121" s="114" t="n">
        <f aca="false">IF(CapV=2,N(J120),N(J119))</f>
        <v>15</v>
      </c>
      <c r="K121" s="114" t="n">
        <f aca="false">IF(CapV=2,N(K120),N(K119))</f>
        <v>15</v>
      </c>
      <c r="L121" s="114" t="n">
        <f aca="false">IF(CapV=2,N(L120),N(L119))</f>
        <v>15</v>
      </c>
      <c r="M121" s="114" t="n">
        <f aca="false">IF(CapV=2,N(M120),N(M119))</f>
        <v>35</v>
      </c>
      <c r="N121" s="114" t="n">
        <f aca="false">IF(CapV=2,N(N120),N(N119))</f>
        <v>35</v>
      </c>
      <c r="O121" s="114" t="n">
        <f aca="false">IF(CapV=2,N(O120),N(O119))</f>
        <v>35</v>
      </c>
      <c r="P121" s="114" t="n">
        <f aca="false">IF(CapV=2,N(P120),N(P119))</f>
        <v>35</v>
      </c>
      <c r="Q121" s="114" t="n">
        <f aca="false">IF(CapV=2,N(Q120),N(Q119))</f>
        <v>35</v>
      </c>
      <c r="R121" s="114" t="n">
        <f aca="false">IF(CapV=2,N(R120),N(R119))</f>
        <v>35</v>
      </c>
      <c r="S121" s="114" t="n">
        <f aca="false">IF(CapV=2,N(S120),N(S119))</f>
        <v>35</v>
      </c>
      <c r="T121" s="114" t="n">
        <f aca="false">IF(CapV=2,N(T120),N(T119))</f>
        <v>35</v>
      </c>
      <c r="U121" s="114" t="n">
        <f aca="false">IF(CapV=2,N(U120),N(U119))</f>
        <v>40</v>
      </c>
      <c r="V121" s="114" t="n">
        <f aca="false">IF(CapV=2,N(V120),N(V119))</f>
        <v>40</v>
      </c>
      <c r="W121" s="114" t="n">
        <f aca="false">IF(CapV=2,N(W120),N(W119))</f>
        <v>40</v>
      </c>
      <c r="X121" s="114" t="n">
        <f aca="false">IF(CapV=2,N(X120),N(X119))</f>
        <v>40</v>
      </c>
      <c r="Y121" s="114" t="n">
        <f aca="false">IF(CapV=2,N(Y120),N(Y119))</f>
        <v>40</v>
      </c>
      <c r="Z121" s="114" t="n">
        <f aca="false">IF(CapV=2,N(Z120),N(Z119))</f>
        <v>40</v>
      </c>
      <c r="AA121" s="114" t="n">
        <f aca="false">IF(CapV=2,N(AA120),N(AA119))</f>
        <v>40</v>
      </c>
      <c r="AB121" s="114" t="n">
        <f aca="false">IF(CapV=2,N(AB120),N(AB119))</f>
        <v>40</v>
      </c>
      <c r="AC121" s="114" t="n">
        <f aca="false">IF(CapV=2,N(AC120),N(AC119))</f>
        <v>40</v>
      </c>
      <c r="AD121" s="114" t="n">
        <f aca="false">IF(CapV=2,N(AD120),N(AD119))</f>
        <v>40</v>
      </c>
      <c r="AE121" s="114" t="n">
        <f aca="false">IF(CapV=2,N(AE120),N(AE119))</f>
        <v>40</v>
      </c>
      <c r="AF121" s="114" t="n">
        <f aca="false">IF(CapV=2,N(AF120),N(AF119))</f>
        <v>40</v>
      </c>
      <c r="AG121" s="114" t="n">
        <f aca="false">IF(CapV=2,N(AG120),N(AG119))</f>
        <v>40</v>
      </c>
      <c r="AI121" s="114" t="n">
        <f aca="false">INDEX($F121:$AG121,1,MATCH(AI$7,$F$7:$AG$7,1))</f>
        <v>0</v>
      </c>
      <c r="AJ121" s="114" t="n">
        <f aca="false">INDEX($F121:$AG121,1,MATCH(AJ$7,$F$7:$AG$7,1))</f>
        <v>35</v>
      </c>
      <c r="AK121" s="114" t="n">
        <f aca="false">INDEX($F121:$AG121,1,MATCH(AK$7,$F$7:$AG$7,1))</f>
        <v>35</v>
      </c>
      <c r="AL121" s="114" t="n">
        <f aca="false">INDEX($F121:$AG121,1,MATCH(AL$7,$F$7:$AG$7,1))</f>
        <v>40</v>
      </c>
      <c r="AM121" s="114" t="n">
        <f aca="false">INDEX($F121:$AG121,1,MATCH(AM$7,$F$7:$AG$7,1))</f>
        <v>40</v>
      </c>
      <c r="AN121" s="114" t="n">
        <f aca="false">INDEX($F121:$AG121,1,MATCH(AN$7,$F$7:$AG$7,1))</f>
        <v>40</v>
      </c>
      <c r="AO121" s="114" t="n">
        <f aca="false">INDEX($F121:$AG121,1,MATCH(AO$7,$F$7:$AG$7,1))</f>
        <v>40</v>
      </c>
    </row>
    <row r="122" customFormat="false" ht="15" hidden="false" customHeight="false" outlineLevel="0" collapsed="false">
      <c r="A122" s="112" t="s">
        <v>1758</v>
      </c>
      <c r="B122" s="24" t="s">
        <v>857</v>
      </c>
      <c r="C122" s="24" t="s">
        <v>690</v>
      </c>
      <c r="D122" s="24" t="s">
        <v>1675</v>
      </c>
      <c r="F122" s="113" t="n">
        <v>0</v>
      </c>
      <c r="G122" s="113" t="n">
        <v>0</v>
      </c>
      <c r="H122" s="113" t="n">
        <v>0</v>
      </c>
      <c r="I122" s="113" t="n">
        <v>5</v>
      </c>
      <c r="J122" s="113" t="n">
        <v>5</v>
      </c>
      <c r="K122" s="113" t="n">
        <v>5</v>
      </c>
      <c r="L122" s="113" t="n">
        <v>5</v>
      </c>
      <c r="M122" s="113" t="n">
        <v>5</v>
      </c>
      <c r="N122" s="113" t="n">
        <v>5</v>
      </c>
      <c r="O122" s="113" t="n">
        <v>5</v>
      </c>
      <c r="P122" s="113" t="n">
        <v>5</v>
      </c>
      <c r="Q122" s="113" t="n">
        <v>5</v>
      </c>
      <c r="R122" s="113" t="n">
        <v>5</v>
      </c>
      <c r="S122" s="113" t="n">
        <v>5</v>
      </c>
      <c r="T122" s="113" t="n">
        <v>5</v>
      </c>
      <c r="U122" s="113" t="n">
        <v>5</v>
      </c>
      <c r="V122" s="113" t="n">
        <v>5</v>
      </c>
      <c r="W122" s="113" t="n">
        <v>5</v>
      </c>
      <c r="X122" s="113" t="n">
        <v>5</v>
      </c>
      <c r="Y122" s="113" t="n">
        <v>5</v>
      </c>
      <c r="Z122" s="113" t="n">
        <v>5</v>
      </c>
      <c r="AA122" s="113" t="n">
        <v>5</v>
      </c>
      <c r="AB122" s="113" t="n">
        <v>5</v>
      </c>
      <c r="AC122" s="113" t="n">
        <v>5</v>
      </c>
      <c r="AD122" s="113" t="n">
        <v>5</v>
      </c>
      <c r="AE122" s="113" t="n">
        <v>5</v>
      </c>
      <c r="AF122" s="113" t="n">
        <v>5</v>
      </c>
      <c r="AG122" s="113" t="n">
        <v>5</v>
      </c>
      <c r="AI122" s="114" t="n">
        <f aca="false">INDEX($F122:$AG122,1,MATCH(AI$7,$F$7:$AG$7,1))</f>
        <v>5</v>
      </c>
      <c r="AJ122" s="114" t="n">
        <f aca="false">INDEX($F122:$AG122,1,MATCH(AJ$7,$F$7:$AG$7,1))</f>
        <v>5</v>
      </c>
      <c r="AK122" s="114" t="n">
        <f aca="false">INDEX($F122:$AG122,1,MATCH(AK$7,$F$7:$AG$7,1))</f>
        <v>5</v>
      </c>
      <c r="AL122" s="114" t="n">
        <f aca="false">INDEX($F122:$AG122,1,MATCH(AL$7,$F$7:$AG$7,1))</f>
        <v>5</v>
      </c>
      <c r="AM122" s="114" t="n">
        <f aca="false">INDEX($F122:$AG122,1,MATCH(AM$7,$F$7:$AG$7,1))</f>
        <v>5</v>
      </c>
      <c r="AN122" s="114" t="n">
        <f aca="false">INDEX($F122:$AG122,1,MATCH(AN$7,$F$7:$AG$7,1))</f>
        <v>5</v>
      </c>
      <c r="AO122" s="114" t="n">
        <f aca="false">INDEX($F122:$AG122,1,MATCH(AO$7,$F$7:$AG$7,1))</f>
        <v>5</v>
      </c>
    </row>
    <row r="123" customFormat="false" ht="15" hidden="false" customHeight="false" outlineLevel="0" collapsed="false">
      <c r="A123" s="112" t="s">
        <v>1759</v>
      </c>
      <c r="B123" s="24" t="s">
        <v>857</v>
      </c>
      <c r="C123" s="24" t="s">
        <v>690</v>
      </c>
      <c r="D123" s="24" t="s">
        <v>1677</v>
      </c>
      <c r="F123" s="113" t="n">
        <v>0</v>
      </c>
      <c r="G123" s="113" t="n">
        <v>0</v>
      </c>
      <c r="H123" s="113" t="n">
        <v>0</v>
      </c>
      <c r="I123" s="113" t="n">
        <v>5</v>
      </c>
      <c r="J123" s="113" t="n">
        <v>5</v>
      </c>
      <c r="K123" s="113" t="n">
        <v>5</v>
      </c>
      <c r="L123" s="113" t="n">
        <v>5</v>
      </c>
      <c r="M123" s="113" t="n">
        <v>5</v>
      </c>
      <c r="N123" s="113" t="n">
        <v>5</v>
      </c>
      <c r="O123" s="113" t="n">
        <v>5</v>
      </c>
      <c r="P123" s="113" t="n">
        <v>5</v>
      </c>
      <c r="Q123" s="113" t="n">
        <v>5</v>
      </c>
      <c r="R123" s="113" t="n">
        <v>5</v>
      </c>
      <c r="S123" s="113" t="n">
        <v>5</v>
      </c>
      <c r="T123" s="113" t="n">
        <v>5</v>
      </c>
      <c r="U123" s="113" t="n">
        <v>5</v>
      </c>
      <c r="V123" s="113" t="n">
        <v>5</v>
      </c>
      <c r="W123" s="113" t="n">
        <v>5</v>
      </c>
      <c r="X123" s="113" t="n">
        <v>5</v>
      </c>
      <c r="Y123" s="113" t="n">
        <v>5</v>
      </c>
      <c r="Z123" s="113" t="n">
        <v>5</v>
      </c>
      <c r="AA123" s="113" t="n">
        <v>5</v>
      </c>
      <c r="AB123" s="113" t="n">
        <v>5</v>
      </c>
      <c r="AC123" s="113" t="n">
        <v>5</v>
      </c>
      <c r="AD123" s="113" t="n">
        <v>5</v>
      </c>
      <c r="AE123" s="113" t="n">
        <v>5</v>
      </c>
      <c r="AF123" s="113" t="n">
        <v>5</v>
      </c>
      <c r="AG123" s="113" t="n">
        <v>5</v>
      </c>
      <c r="AI123" s="114" t="n">
        <f aca="false">INDEX($F123:$AG123,1,MATCH(AI$7,$F$7:$AG$7,1))</f>
        <v>5</v>
      </c>
      <c r="AJ123" s="114" t="n">
        <f aca="false">INDEX($F123:$AG123,1,MATCH(AJ$7,$F$7:$AG$7,1))</f>
        <v>5</v>
      </c>
      <c r="AK123" s="114" t="n">
        <f aca="false">INDEX($F123:$AG123,1,MATCH(AK$7,$F$7:$AG$7,1))</f>
        <v>5</v>
      </c>
      <c r="AL123" s="114" t="n">
        <f aca="false">INDEX($F123:$AG123,1,MATCH(AL$7,$F$7:$AG$7,1))</f>
        <v>5</v>
      </c>
      <c r="AM123" s="114" t="n">
        <f aca="false">INDEX($F123:$AG123,1,MATCH(AM$7,$F$7:$AG$7,1))</f>
        <v>5</v>
      </c>
      <c r="AN123" s="114" t="n">
        <f aca="false">INDEX($F123:$AG123,1,MATCH(AN$7,$F$7:$AG$7,1))</f>
        <v>5</v>
      </c>
      <c r="AO123" s="114" t="n">
        <f aca="false">INDEX($F123:$AG123,1,MATCH(AO$7,$F$7:$AG$7,1))</f>
        <v>5</v>
      </c>
    </row>
    <row r="124" customFormat="false" ht="15" hidden="false" customHeight="false" outlineLevel="0" collapsed="false">
      <c r="A124" s="112" t="s">
        <v>1760</v>
      </c>
      <c r="B124" s="24" t="s">
        <v>857</v>
      </c>
      <c r="C124" s="24" t="s">
        <v>672</v>
      </c>
      <c r="D124" s="24" t="s">
        <v>1679</v>
      </c>
      <c r="F124" s="114" t="n">
        <f aca="false">IF(CapV=2,N(F123),N(F122))</f>
        <v>0</v>
      </c>
      <c r="G124" s="114" t="n">
        <f aca="false">IF(CapV=2,N(G123),N(G122))</f>
        <v>0</v>
      </c>
      <c r="H124" s="114" t="n">
        <f aca="false">IF(CapV=2,N(H123),N(H122))</f>
        <v>0</v>
      </c>
      <c r="I124" s="114" t="n">
        <f aca="false">IF(CapV=2,N(I123),N(I122))</f>
        <v>5</v>
      </c>
      <c r="J124" s="114" t="n">
        <f aca="false">IF(CapV=2,N(J123),N(J122))</f>
        <v>5</v>
      </c>
      <c r="K124" s="114" t="n">
        <f aca="false">IF(CapV=2,N(K123),N(K122))</f>
        <v>5</v>
      </c>
      <c r="L124" s="114" t="n">
        <f aca="false">IF(CapV=2,N(L123),N(L122))</f>
        <v>5</v>
      </c>
      <c r="M124" s="114" t="n">
        <f aca="false">IF(CapV=2,N(M123),N(M122))</f>
        <v>5</v>
      </c>
      <c r="N124" s="114" t="n">
        <f aca="false">IF(CapV=2,N(N123),N(N122))</f>
        <v>5</v>
      </c>
      <c r="O124" s="114" t="n">
        <f aca="false">IF(CapV=2,N(O123),N(O122))</f>
        <v>5</v>
      </c>
      <c r="P124" s="114" t="n">
        <f aca="false">IF(CapV=2,N(P123),N(P122))</f>
        <v>5</v>
      </c>
      <c r="Q124" s="114" t="n">
        <f aca="false">IF(CapV=2,N(Q123),N(Q122))</f>
        <v>5</v>
      </c>
      <c r="R124" s="114" t="n">
        <f aca="false">IF(CapV=2,N(R123),N(R122))</f>
        <v>5</v>
      </c>
      <c r="S124" s="114" t="n">
        <f aca="false">IF(CapV=2,N(S123),N(S122))</f>
        <v>5</v>
      </c>
      <c r="T124" s="114" t="n">
        <f aca="false">IF(CapV=2,N(T123),N(T122))</f>
        <v>5</v>
      </c>
      <c r="U124" s="114" t="n">
        <f aca="false">IF(CapV=2,N(U123),N(U122))</f>
        <v>5</v>
      </c>
      <c r="V124" s="114" t="n">
        <f aca="false">IF(CapV=2,N(V123),N(V122))</f>
        <v>5</v>
      </c>
      <c r="W124" s="114" t="n">
        <f aca="false">IF(CapV=2,N(W123),N(W122))</f>
        <v>5</v>
      </c>
      <c r="X124" s="114" t="n">
        <f aca="false">IF(CapV=2,N(X123),N(X122))</f>
        <v>5</v>
      </c>
      <c r="Y124" s="114" t="n">
        <f aca="false">IF(CapV=2,N(Y123),N(Y122))</f>
        <v>5</v>
      </c>
      <c r="Z124" s="114" t="n">
        <f aca="false">IF(CapV=2,N(Z123),N(Z122))</f>
        <v>5</v>
      </c>
      <c r="AA124" s="114" t="n">
        <f aca="false">IF(CapV=2,N(AA123),N(AA122))</f>
        <v>5</v>
      </c>
      <c r="AB124" s="114" t="n">
        <f aca="false">IF(CapV=2,N(AB123),N(AB122))</f>
        <v>5</v>
      </c>
      <c r="AC124" s="114" t="n">
        <f aca="false">IF(CapV=2,N(AC123),N(AC122))</f>
        <v>5</v>
      </c>
      <c r="AD124" s="114" t="n">
        <f aca="false">IF(CapV=2,N(AD123),N(AD122))</f>
        <v>5</v>
      </c>
      <c r="AE124" s="114" t="n">
        <f aca="false">IF(CapV=2,N(AE123),N(AE122))</f>
        <v>5</v>
      </c>
      <c r="AF124" s="114" t="n">
        <f aca="false">IF(CapV=2,N(AF123),N(AF122))</f>
        <v>5</v>
      </c>
      <c r="AG124" s="114" t="n">
        <f aca="false">IF(CapV=2,N(AG123),N(AG122))</f>
        <v>5</v>
      </c>
      <c r="AI124" s="114" t="n">
        <f aca="false">INDEX($F124:$AG124,1,MATCH(AI$7,$F$7:$AG$7,1))</f>
        <v>5</v>
      </c>
      <c r="AJ124" s="114" t="n">
        <f aca="false">INDEX($F124:$AG124,1,MATCH(AJ$7,$F$7:$AG$7,1))</f>
        <v>5</v>
      </c>
      <c r="AK124" s="114" t="n">
        <f aca="false">INDEX($F124:$AG124,1,MATCH(AK$7,$F$7:$AG$7,1))</f>
        <v>5</v>
      </c>
      <c r="AL124" s="114" t="n">
        <f aca="false">INDEX($F124:$AG124,1,MATCH(AL$7,$F$7:$AG$7,1))</f>
        <v>5</v>
      </c>
      <c r="AM124" s="114" t="n">
        <f aca="false">INDEX($F124:$AG124,1,MATCH(AM$7,$F$7:$AG$7,1))</f>
        <v>5</v>
      </c>
      <c r="AN124" s="114" t="n">
        <f aca="false">INDEX($F124:$AG124,1,MATCH(AN$7,$F$7:$AG$7,1))</f>
        <v>5</v>
      </c>
      <c r="AO124" s="114" t="n">
        <f aca="false">INDEX($F124:$AG124,1,MATCH(AO$7,$F$7:$AG$7,1))</f>
        <v>5</v>
      </c>
    </row>
    <row r="125" customFormat="false" ht="15" hidden="false" customHeight="false" outlineLevel="0" collapsed="false">
      <c r="A125" s="112" t="s">
        <v>1761</v>
      </c>
      <c r="B125" s="24" t="s">
        <v>857</v>
      </c>
      <c r="C125" s="24" t="s">
        <v>690</v>
      </c>
      <c r="D125" s="24" t="s">
        <v>1675</v>
      </c>
      <c r="F125" s="113" t="n">
        <v>0</v>
      </c>
      <c r="G125" s="113" t="n">
        <v>0</v>
      </c>
      <c r="H125" s="113" t="n">
        <v>0</v>
      </c>
      <c r="I125" s="113" t="n">
        <v>5</v>
      </c>
      <c r="J125" s="113" t="n">
        <v>5</v>
      </c>
      <c r="K125" s="113" t="n">
        <v>5</v>
      </c>
      <c r="L125" s="113" t="n">
        <v>5</v>
      </c>
      <c r="M125" s="113" t="n">
        <v>5</v>
      </c>
      <c r="N125" s="113" t="n">
        <v>5</v>
      </c>
      <c r="O125" s="113" t="n">
        <v>5</v>
      </c>
      <c r="P125" s="113" t="n">
        <v>5</v>
      </c>
      <c r="Q125" s="113" t="n">
        <v>5</v>
      </c>
      <c r="R125" s="113" t="n">
        <v>5</v>
      </c>
      <c r="S125" s="113" t="n">
        <v>5</v>
      </c>
      <c r="T125" s="113" t="n">
        <v>5</v>
      </c>
      <c r="U125" s="113" t="n">
        <v>5</v>
      </c>
      <c r="V125" s="113" t="n">
        <v>5</v>
      </c>
      <c r="W125" s="113" t="n">
        <v>5</v>
      </c>
      <c r="X125" s="113" t="n">
        <v>5</v>
      </c>
      <c r="Y125" s="113" t="n">
        <v>5</v>
      </c>
      <c r="Z125" s="113" t="n">
        <v>5</v>
      </c>
      <c r="AA125" s="113" t="n">
        <v>5</v>
      </c>
      <c r="AB125" s="113" t="n">
        <v>5</v>
      </c>
      <c r="AC125" s="113" t="n">
        <v>5</v>
      </c>
      <c r="AD125" s="113" t="n">
        <v>5</v>
      </c>
      <c r="AE125" s="113" t="n">
        <v>5</v>
      </c>
      <c r="AF125" s="113" t="n">
        <v>5</v>
      </c>
      <c r="AG125" s="113" t="n">
        <v>5</v>
      </c>
      <c r="AI125" s="114" t="n">
        <f aca="false">INDEX($F125:$AG125,1,MATCH(AI$7,$F$7:$AG$7,1))</f>
        <v>5</v>
      </c>
      <c r="AJ125" s="114" t="n">
        <f aca="false">INDEX($F125:$AG125,1,MATCH(AJ$7,$F$7:$AG$7,1))</f>
        <v>5</v>
      </c>
      <c r="AK125" s="114" t="n">
        <f aca="false">INDEX($F125:$AG125,1,MATCH(AK$7,$F$7:$AG$7,1))</f>
        <v>5</v>
      </c>
      <c r="AL125" s="114" t="n">
        <f aca="false">INDEX($F125:$AG125,1,MATCH(AL$7,$F$7:$AG$7,1))</f>
        <v>5</v>
      </c>
      <c r="AM125" s="114" t="n">
        <f aca="false">INDEX($F125:$AG125,1,MATCH(AM$7,$F$7:$AG$7,1))</f>
        <v>5</v>
      </c>
      <c r="AN125" s="114" t="n">
        <f aca="false">INDEX($F125:$AG125,1,MATCH(AN$7,$F$7:$AG$7,1))</f>
        <v>5</v>
      </c>
      <c r="AO125" s="114" t="n">
        <f aca="false">INDEX($F125:$AG125,1,MATCH(AO$7,$F$7:$AG$7,1))</f>
        <v>5</v>
      </c>
    </row>
    <row r="126" customFormat="false" ht="15" hidden="false" customHeight="false" outlineLevel="0" collapsed="false">
      <c r="A126" s="112" t="s">
        <v>1762</v>
      </c>
      <c r="B126" s="24" t="s">
        <v>857</v>
      </c>
      <c r="C126" s="24" t="s">
        <v>690</v>
      </c>
      <c r="D126" s="24" t="s">
        <v>1677</v>
      </c>
      <c r="F126" s="113" t="n">
        <v>0</v>
      </c>
      <c r="G126" s="113" t="n">
        <v>0</v>
      </c>
      <c r="H126" s="113" t="n">
        <v>0</v>
      </c>
      <c r="I126" s="113" t="n">
        <v>5</v>
      </c>
      <c r="J126" s="113" t="n">
        <v>5</v>
      </c>
      <c r="K126" s="113" t="n">
        <v>5</v>
      </c>
      <c r="L126" s="113" t="n">
        <v>5</v>
      </c>
      <c r="M126" s="113" t="n">
        <v>5</v>
      </c>
      <c r="N126" s="113" t="n">
        <v>5</v>
      </c>
      <c r="O126" s="113" t="n">
        <v>5</v>
      </c>
      <c r="P126" s="113" t="n">
        <v>5</v>
      </c>
      <c r="Q126" s="113" t="n">
        <v>5</v>
      </c>
      <c r="R126" s="113" t="n">
        <v>5</v>
      </c>
      <c r="S126" s="113" t="n">
        <v>5</v>
      </c>
      <c r="T126" s="113" t="n">
        <v>5</v>
      </c>
      <c r="U126" s="113" t="n">
        <v>5</v>
      </c>
      <c r="V126" s="113" t="n">
        <v>5</v>
      </c>
      <c r="W126" s="113" t="n">
        <v>5</v>
      </c>
      <c r="X126" s="113" t="n">
        <v>5</v>
      </c>
      <c r="Y126" s="113" t="n">
        <v>5</v>
      </c>
      <c r="Z126" s="113" t="n">
        <v>5</v>
      </c>
      <c r="AA126" s="113" t="n">
        <v>5</v>
      </c>
      <c r="AB126" s="113" t="n">
        <v>5</v>
      </c>
      <c r="AC126" s="113" t="n">
        <v>5</v>
      </c>
      <c r="AD126" s="113" t="n">
        <v>5</v>
      </c>
      <c r="AE126" s="113" t="n">
        <v>5</v>
      </c>
      <c r="AF126" s="113" t="n">
        <v>5</v>
      </c>
      <c r="AG126" s="113" t="n">
        <v>5</v>
      </c>
      <c r="AI126" s="114" t="n">
        <f aca="false">INDEX($F126:$AG126,1,MATCH(AI$7,$F$7:$AG$7,1))</f>
        <v>5</v>
      </c>
      <c r="AJ126" s="114" t="n">
        <f aca="false">INDEX($F126:$AG126,1,MATCH(AJ$7,$F$7:$AG$7,1))</f>
        <v>5</v>
      </c>
      <c r="AK126" s="114" t="n">
        <f aca="false">INDEX($F126:$AG126,1,MATCH(AK$7,$F$7:$AG$7,1))</f>
        <v>5</v>
      </c>
      <c r="AL126" s="114" t="n">
        <f aca="false">INDEX($F126:$AG126,1,MATCH(AL$7,$F$7:$AG$7,1))</f>
        <v>5</v>
      </c>
      <c r="AM126" s="114" t="n">
        <f aca="false">INDEX($F126:$AG126,1,MATCH(AM$7,$F$7:$AG$7,1))</f>
        <v>5</v>
      </c>
      <c r="AN126" s="114" t="n">
        <f aca="false">INDEX($F126:$AG126,1,MATCH(AN$7,$F$7:$AG$7,1))</f>
        <v>5</v>
      </c>
      <c r="AO126" s="114" t="n">
        <f aca="false">INDEX($F126:$AG126,1,MATCH(AO$7,$F$7:$AG$7,1))</f>
        <v>5</v>
      </c>
    </row>
    <row r="127" customFormat="false" ht="15" hidden="false" customHeight="false" outlineLevel="0" collapsed="false">
      <c r="A127" s="112" t="s">
        <v>1763</v>
      </c>
      <c r="B127" s="24" t="s">
        <v>857</v>
      </c>
      <c r="C127" s="24" t="s">
        <v>672</v>
      </c>
      <c r="D127" s="24" t="s">
        <v>1679</v>
      </c>
      <c r="F127" s="114" t="n">
        <f aca="false">IF(CapV=2,N(F126),N(F125))</f>
        <v>0</v>
      </c>
      <c r="G127" s="114" t="n">
        <f aca="false">IF(CapV=2,N(G126),N(G125))</f>
        <v>0</v>
      </c>
      <c r="H127" s="114" t="n">
        <f aca="false">IF(CapV=2,N(H126),N(H125))</f>
        <v>0</v>
      </c>
      <c r="I127" s="114" t="n">
        <f aca="false">IF(CapV=2,N(I126),N(I125))</f>
        <v>5</v>
      </c>
      <c r="J127" s="114" t="n">
        <f aca="false">IF(CapV=2,N(J126),N(J125))</f>
        <v>5</v>
      </c>
      <c r="K127" s="114" t="n">
        <f aca="false">IF(CapV=2,N(K126),N(K125))</f>
        <v>5</v>
      </c>
      <c r="L127" s="114" t="n">
        <f aca="false">IF(CapV=2,N(L126),N(L125))</f>
        <v>5</v>
      </c>
      <c r="M127" s="114" t="n">
        <f aca="false">IF(CapV=2,N(M126),N(M125))</f>
        <v>5</v>
      </c>
      <c r="N127" s="114" t="n">
        <f aca="false">IF(CapV=2,N(N126),N(N125))</f>
        <v>5</v>
      </c>
      <c r="O127" s="114" t="n">
        <f aca="false">IF(CapV=2,N(O126),N(O125))</f>
        <v>5</v>
      </c>
      <c r="P127" s="114" t="n">
        <f aca="false">IF(CapV=2,N(P126),N(P125))</f>
        <v>5</v>
      </c>
      <c r="Q127" s="114" t="n">
        <f aca="false">IF(CapV=2,N(Q126),N(Q125))</f>
        <v>5</v>
      </c>
      <c r="R127" s="114" t="n">
        <f aca="false">IF(CapV=2,N(R126),N(R125))</f>
        <v>5</v>
      </c>
      <c r="S127" s="114" t="n">
        <f aca="false">IF(CapV=2,N(S126),N(S125))</f>
        <v>5</v>
      </c>
      <c r="T127" s="114" t="n">
        <f aca="false">IF(CapV=2,N(T126),N(T125))</f>
        <v>5</v>
      </c>
      <c r="U127" s="114" t="n">
        <f aca="false">IF(CapV=2,N(U126),N(U125))</f>
        <v>5</v>
      </c>
      <c r="V127" s="114" t="n">
        <f aca="false">IF(CapV=2,N(V126),N(V125))</f>
        <v>5</v>
      </c>
      <c r="W127" s="114" t="n">
        <f aca="false">IF(CapV=2,N(W126),N(W125))</f>
        <v>5</v>
      </c>
      <c r="X127" s="114" t="n">
        <f aca="false">IF(CapV=2,N(X126),N(X125))</f>
        <v>5</v>
      </c>
      <c r="Y127" s="114" t="n">
        <f aca="false">IF(CapV=2,N(Y126),N(Y125))</f>
        <v>5</v>
      </c>
      <c r="Z127" s="114" t="n">
        <f aca="false">IF(CapV=2,N(Z126),N(Z125))</f>
        <v>5</v>
      </c>
      <c r="AA127" s="114" t="n">
        <f aca="false">IF(CapV=2,N(AA126),N(AA125))</f>
        <v>5</v>
      </c>
      <c r="AB127" s="114" t="n">
        <f aca="false">IF(CapV=2,N(AB126),N(AB125))</f>
        <v>5</v>
      </c>
      <c r="AC127" s="114" t="n">
        <f aca="false">IF(CapV=2,N(AC126),N(AC125))</f>
        <v>5</v>
      </c>
      <c r="AD127" s="114" t="n">
        <f aca="false">IF(CapV=2,N(AD126),N(AD125))</f>
        <v>5</v>
      </c>
      <c r="AE127" s="114" t="n">
        <f aca="false">IF(CapV=2,N(AE126),N(AE125))</f>
        <v>5</v>
      </c>
      <c r="AF127" s="114" t="n">
        <f aca="false">IF(CapV=2,N(AF126),N(AF125))</f>
        <v>5</v>
      </c>
      <c r="AG127" s="114" t="n">
        <f aca="false">IF(CapV=2,N(AG126),N(AG125))</f>
        <v>5</v>
      </c>
      <c r="AI127" s="114" t="n">
        <f aca="false">INDEX($F127:$AG127,1,MATCH(AI$7,$F$7:$AG$7,1))</f>
        <v>5</v>
      </c>
      <c r="AJ127" s="114" t="n">
        <f aca="false">INDEX($F127:$AG127,1,MATCH(AJ$7,$F$7:$AG$7,1))</f>
        <v>5</v>
      </c>
      <c r="AK127" s="114" t="n">
        <f aca="false">INDEX($F127:$AG127,1,MATCH(AK$7,$F$7:$AG$7,1))</f>
        <v>5</v>
      </c>
      <c r="AL127" s="114" t="n">
        <f aca="false">INDEX($F127:$AG127,1,MATCH(AL$7,$F$7:$AG$7,1))</f>
        <v>5</v>
      </c>
      <c r="AM127" s="114" t="n">
        <f aca="false">INDEX($F127:$AG127,1,MATCH(AM$7,$F$7:$AG$7,1))</f>
        <v>5</v>
      </c>
      <c r="AN127" s="114" t="n">
        <f aca="false">INDEX($F127:$AG127,1,MATCH(AN$7,$F$7:$AG$7,1))</f>
        <v>5</v>
      </c>
      <c r="AO127" s="114" t="n">
        <f aca="false">INDEX($F127:$AG127,1,MATCH(AO$7,$F$7:$AG$7,1))</f>
        <v>5</v>
      </c>
    </row>
    <row r="128" customFormat="false" ht="15" hidden="false" customHeight="false" outlineLevel="0" collapsed="false">
      <c r="A128" s="112" t="s">
        <v>1764</v>
      </c>
      <c r="B128" s="24" t="s">
        <v>857</v>
      </c>
      <c r="C128" s="24" t="s">
        <v>690</v>
      </c>
      <c r="D128" s="24" t="s">
        <v>1675</v>
      </c>
      <c r="F128" s="113" t="n">
        <v>0</v>
      </c>
      <c r="G128" s="113" t="n">
        <v>0</v>
      </c>
      <c r="H128" s="113" t="n">
        <v>0</v>
      </c>
      <c r="I128" s="113" t="n">
        <v>5</v>
      </c>
      <c r="J128" s="113" t="n">
        <v>5</v>
      </c>
      <c r="K128" s="113" t="n">
        <v>5</v>
      </c>
      <c r="L128" s="113" t="n">
        <v>5</v>
      </c>
      <c r="M128" s="113" t="n">
        <v>5</v>
      </c>
      <c r="N128" s="113" t="n">
        <v>5</v>
      </c>
      <c r="O128" s="113" t="n">
        <v>5</v>
      </c>
      <c r="P128" s="113" t="n">
        <v>5</v>
      </c>
      <c r="Q128" s="113" t="n">
        <v>5</v>
      </c>
      <c r="R128" s="113" t="n">
        <v>5</v>
      </c>
      <c r="S128" s="113" t="n">
        <v>5</v>
      </c>
      <c r="T128" s="113" t="n">
        <v>5</v>
      </c>
      <c r="U128" s="113" t="n">
        <v>5</v>
      </c>
      <c r="V128" s="113" t="n">
        <v>5</v>
      </c>
      <c r="W128" s="113" t="n">
        <v>5</v>
      </c>
      <c r="X128" s="113" t="n">
        <v>5</v>
      </c>
      <c r="Y128" s="113" t="n">
        <v>5</v>
      </c>
      <c r="Z128" s="113" t="n">
        <v>5</v>
      </c>
      <c r="AA128" s="113" t="n">
        <v>5</v>
      </c>
      <c r="AB128" s="113" t="n">
        <v>5</v>
      </c>
      <c r="AC128" s="113" t="n">
        <v>5</v>
      </c>
      <c r="AD128" s="113" t="n">
        <v>5</v>
      </c>
      <c r="AE128" s="113" t="n">
        <v>5</v>
      </c>
      <c r="AF128" s="113" t="n">
        <v>5</v>
      </c>
      <c r="AG128" s="113" t="n">
        <v>5</v>
      </c>
      <c r="AI128" s="114" t="n">
        <f aca="false">INDEX($F128:$AG128,1,MATCH(AI$7,$F$7:$AG$7,1))</f>
        <v>5</v>
      </c>
      <c r="AJ128" s="114" t="n">
        <f aca="false">INDEX($F128:$AG128,1,MATCH(AJ$7,$F$7:$AG$7,1))</f>
        <v>5</v>
      </c>
      <c r="AK128" s="114" t="n">
        <f aca="false">INDEX($F128:$AG128,1,MATCH(AK$7,$F$7:$AG$7,1))</f>
        <v>5</v>
      </c>
      <c r="AL128" s="114" t="n">
        <f aca="false">INDEX($F128:$AG128,1,MATCH(AL$7,$F$7:$AG$7,1))</f>
        <v>5</v>
      </c>
      <c r="AM128" s="114" t="n">
        <f aca="false">INDEX($F128:$AG128,1,MATCH(AM$7,$F$7:$AG$7,1))</f>
        <v>5</v>
      </c>
      <c r="AN128" s="114" t="n">
        <f aca="false">INDEX($F128:$AG128,1,MATCH(AN$7,$F$7:$AG$7,1))</f>
        <v>5</v>
      </c>
      <c r="AO128" s="114" t="n">
        <f aca="false">INDEX($F128:$AG128,1,MATCH(AO$7,$F$7:$AG$7,1))</f>
        <v>5</v>
      </c>
    </row>
    <row r="129" customFormat="false" ht="15" hidden="false" customHeight="false" outlineLevel="0" collapsed="false">
      <c r="A129" s="112" t="s">
        <v>1765</v>
      </c>
      <c r="B129" s="24" t="s">
        <v>857</v>
      </c>
      <c r="C129" s="24" t="s">
        <v>690</v>
      </c>
      <c r="D129" s="24" t="s">
        <v>1677</v>
      </c>
      <c r="F129" s="113" t="n">
        <v>0</v>
      </c>
      <c r="G129" s="113" t="n">
        <v>0</v>
      </c>
      <c r="H129" s="113" t="n">
        <v>0</v>
      </c>
      <c r="I129" s="113" t="n">
        <v>5</v>
      </c>
      <c r="J129" s="113" t="n">
        <v>5</v>
      </c>
      <c r="K129" s="113" t="n">
        <v>5</v>
      </c>
      <c r="L129" s="113" t="n">
        <v>5</v>
      </c>
      <c r="M129" s="113" t="n">
        <v>5</v>
      </c>
      <c r="N129" s="113" t="n">
        <v>5</v>
      </c>
      <c r="O129" s="113" t="n">
        <v>5</v>
      </c>
      <c r="P129" s="113" t="n">
        <v>5</v>
      </c>
      <c r="Q129" s="113" t="n">
        <v>5</v>
      </c>
      <c r="R129" s="113" t="n">
        <v>5</v>
      </c>
      <c r="S129" s="113" t="n">
        <v>5</v>
      </c>
      <c r="T129" s="113" t="n">
        <v>5</v>
      </c>
      <c r="U129" s="113" t="n">
        <v>5</v>
      </c>
      <c r="V129" s="113" t="n">
        <v>5</v>
      </c>
      <c r="W129" s="113" t="n">
        <v>5</v>
      </c>
      <c r="X129" s="113" t="n">
        <v>5</v>
      </c>
      <c r="Y129" s="113" t="n">
        <v>5</v>
      </c>
      <c r="Z129" s="113" t="n">
        <v>5</v>
      </c>
      <c r="AA129" s="113" t="n">
        <v>5</v>
      </c>
      <c r="AB129" s="113" t="n">
        <v>5</v>
      </c>
      <c r="AC129" s="113" t="n">
        <v>5</v>
      </c>
      <c r="AD129" s="113" t="n">
        <v>5</v>
      </c>
      <c r="AE129" s="113" t="n">
        <v>5</v>
      </c>
      <c r="AF129" s="113" t="n">
        <v>5</v>
      </c>
      <c r="AG129" s="113" t="n">
        <v>5</v>
      </c>
      <c r="AI129" s="114" t="n">
        <f aca="false">INDEX($F129:$AG129,1,MATCH(AI$7,$F$7:$AG$7,1))</f>
        <v>5</v>
      </c>
      <c r="AJ129" s="114" t="n">
        <f aca="false">INDEX($F129:$AG129,1,MATCH(AJ$7,$F$7:$AG$7,1))</f>
        <v>5</v>
      </c>
      <c r="AK129" s="114" t="n">
        <f aca="false">INDEX($F129:$AG129,1,MATCH(AK$7,$F$7:$AG$7,1))</f>
        <v>5</v>
      </c>
      <c r="AL129" s="114" t="n">
        <f aca="false">INDEX($F129:$AG129,1,MATCH(AL$7,$F$7:$AG$7,1))</f>
        <v>5</v>
      </c>
      <c r="AM129" s="114" t="n">
        <f aca="false">INDEX($F129:$AG129,1,MATCH(AM$7,$F$7:$AG$7,1))</f>
        <v>5</v>
      </c>
      <c r="AN129" s="114" t="n">
        <f aca="false">INDEX($F129:$AG129,1,MATCH(AN$7,$F$7:$AG$7,1))</f>
        <v>5</v>
      </c>
      <c r="AO129" s="114" t="n">
        <f aca="false">INDEX($F129:$AG129,1,MATCH(AO$7,$F$7:$AG$7,1))</f>
        <v>5</v>
      </c>
    </row>
    <row r="130" customFormat="false" ht="15" hidden="false" customHeight="false" outlineLevel="0" collapsed="false">
      <c r="A130" s="112" t="s">
        <v>1766</v>
      </c>
      <c r="B130" s="24" t="s">
        <v>857</v>
      </c>
      <c r="C130" s="24" t="s">
        <v>672</v>
      </c>
      <c r="D130" s="24" t="s">
        <v>1679</v>
      </c>
      <c r="F130" s="114" t="n">
        <f aca="false">IF(CapV=2,N(F129),N(F128))</f>
        <v>0</v>
      </c>
      <c r="G130" s="114" t="n">
        <f aca="false">IF(CapV=2,N(G129),N(G128))</f>
        <v>0</v>
      </c>
      <c r="H130" s="114" t="n">
        <f aca="false">IF(CapV=2,N(H129),N(H128))</f>
        <v>0</v>
      </c>
      <c r="I130" s="114" t="n">
        <f aca="false">IF(CapV=2,N(I129),N(I128))</f>
        <v>5</v>
      </c>
      <c r="J130" s="114" t="n">
        <f aca="false">IF(CapV=2,N(J129),N(J128))</f>
        <v>5</v>
      </c>
      <c r="K130" s="114" t="n">
        <f aca="false">IF(CapV=2,N(K129),N(K128))</f>
        <v>5</v>
      </c>
      <c r="L130" s="114" t="n">
        <f aca="false">IF(CapV=2,N(L129),N(L128))</f>
        <v>5</v>
      </c>
      <c r="M130" s="114" t="n">
        <f aca="false">IF(CapV=2,N(M129),N(M128))</f>
        <v>5</v>
      </c>
      <c r="N130" s="114" t="n">
        <f aca="false">IF(CapV=2,N(N129),N(N128))</f>
        <v>5</v>
      </c>
      <c r="O130" s="114" t="n">
        <f aca="false">IF(CapV=2,N(O129),N(O128))</f>
        <v>5</v>
      </c>
      <c r="P130" s="114" t="n">
        <f aca="false">IF(CapV=2,N(P129),N(P128))</f>
        <v>5</v>
      </c>
      <c r="Q130" s="114" t="n">
        <f aca="false">IF(CapV=2,N(Q129),N(Q128))</f>
        <v>5</v>
      </c>
      <c r="R130" s="114" t="n">
        <f aca="false">IF(CapV=2,N(R129),N(R128))</f>
        <v>5</v>
      </c>
      <c r="S130" s="114" t="n">
        <f aca="false">IF(CapV=2,N(S129),N(S128))</f>
        <v>5</v>
      </c>
      <c r="T130" s="114" t="n">
        <f aca="false">IF(CapV=2,N(T129),N(T128))</f>
        <v>5</v>
      </c>
      <c r="U130" s="114" t="n">
        <f aca="false">IF(CapV=2,N(U129),N(U128))</f>
        <v>5</v>
      </c>
      <c r="V130" s="114" t="n">
        <f aca="false">IF(CapV=2,N(V129),N(V128))</f>
        <v>5</v>
      </c>
      <c r="W130" s="114" t="n">
        <f aca="false">IF(CapV=2,N(W129),N(W128))</f>
        <v>5</v>
      </c>
      <c r="X130" s="114" t="n">
        <f aca="false">IF(CapV=2,N(X129),N(X128))</f>
        <v>5</v>
      </c>
      <c r="Y130" s="114" t="n">
        <f aca="false">IF(CapV=2,N(Y129),N(Y128))</f>
        <v>5</v>
      </c>
      <c r="Z130" s="114" t="n">
        <f aca="false">IF(CapV=2,N(Z129),N(Z128))</f>
        <v>5</v>
      </c>
      <c r="AA130" s="114" t="n">
        <f aca="false">IF(CapV=2,N(AA129),N(AA128))</f>
        <v>5</v>
      </c>
      <c r="AB130" s="114" t="n">
        <f aca="false">IF(CapV=2,N(AB129),N(AB128))</f>
        <v>5</v>
      </c>
      <c r="AC130" s="114" t="n">
        <f aca="false">IF(CapV=2,N(AC129),N(AC128))</f>
        <v>5</v>
      </c>
      <c r="AD130" s="114" t="n">
        <f aca="false">IF(CapV=2,N(AD129),N(AD128))</f>
        <v>5</v>
      </c>
      <c r="AE130" s="114" t="n">
        <f aca="false">IF(CapV=2,N(AE129),N(AE128))</f>
        <v>5</v>
      </c>
      <c r="AF130" s="114" t="n">
        <f aca="false">IF(CapV=2,N(AF129),N(AF128))</f>
        <v>5</v>
      </c>
      <c r="AG130" s="114" t="n">
        <f aca="false">IF(CapV=2,N(AG129),N(AG128))</f>
        <v>5</v>
      </c>
      <c r="AI130" s="114" t="n">
        <f aca="false">INDEX($F130:$AG130,1,MATCH(AI$7,$F$7:$AG$7,1))</f>
        <v>5</v>
      </c>
      <c r="AJ130" s="114" t="n">
        <f aca="false">INDEX($F130:$AG130,1,MATCH(AJ$7,$F$7:$AG$7,1))</f>
        <v>5</v>
      </c>
      <c r="AK130" s="114" t="n">
        <f aca="false">INDEX($F130:$AG130,1,MATCH(AK$7,$F$7:$AG$7,1))</f>
        <v>5</v>
      </c>
      <c r="AL130" s="114" t="n">
        <f aca="false">INDEX($F130:$AG130,1,MATCH(AL$7,$F$7:$AG$7,1))</f>
        <v>5</v>
      </c>
      <c r="AM130" s="114" t="n">
        <f aca="false">INDEX($F130:$AG130,1,MATCH(AM$7,$F$7:$AG$7,1))</f>
        <v>5</v>
      </c>
      <c r="AN130" s="114" t="n">
        <f aca="false">INDEX($F130:$AG130,1,MATCH(AN$7,$F$7:$AG$7,1))</f>
        <v>5</v>
      </c>
      <c r="AO130" s="114" t="n">
        <f aca="false">INDEX($F130:$AG130,1,MATCH(AO$7,$F$7:$AG$7,1))</f>
        <v>5</v>
      </c>
    </row>
    <row r="131" customFormat="false" ht="15" hidden="false" customHeight="false" outlineLevel="0" collapsed="false">
      <c r="A131" s="112" t="s">
        <v>1767</v>
      </c>
      <c r="B131" s="24" t="s">
        <v>857</v>
      </c>
      <c r="C131" s="24" t="s">
        <v>690</v>
      </c>
      <c r="D131" s="24" t="s">
        <v>1675</v>
      </c>
      <c r="F131" s="113" t="n">
        <v>0</v>
      </c>
      <c r="G131" s="113" t="n">
        <v>0</v>
      </c>
      <c r="H131" s="113" t="n">
        <v>0</v>
      </c>
      <c r="I131" s="113" t="n">
        <v>0</v>
      </c>
      <c r="J131" s="113" t="n">
        <v>10</v>
      </c>
      <c r="K131" s="113" t="n">
        <v>10</v>
      </c>
      <c r="L131" s="113" t="n">
        <v>10</v>
      </c>
      <c r="M131" s="113" t="n">
        <v>10</v>
      </c>
      <c r="N131" s="113" t="n">
        <v>10</v>
      </c>
      <c r="O131" s="113" t="n">
        <v>10</v>
      </c>
      <c r="P131" s="113" t="n">
        <v>10</v>
      </c>
      <c r="Q131" s="113" t="n">
        <v>10</v>
      </c>
      <c r="R131" s="113" t="n">
        <v>10</v>
      </c>
      <c r="S131" s="113" t="n">
        <v>10</v>
      </c>
      <c r="T131" s="113" t="n">
        <v>10</v>
      </c>
      <c r="U131" s="113" t="n">
        <v>10</v>
      </c>
      <c r="V131" s="113" t="n">
        <v>10</v>
      </c>
      <c r="W131" s="113" t="n">
        <v>10</v>
      </c>
      <c r="X131" s="113" t="n">
        <v>10</v>
      </c>
      <c r="Y131" s="113" t="n">
        <v>10</v>
      </c>
      <c r="Z131" s="113" t="n">
        <v>10</v>
      </c>
      <c r="AA131" s="113" t="n">
        <v>10</v>
      </c>
      <c r="AB131" s="113" t="n">
        <v>10</v>
      </c>
      <c r="AC131" s="113" t="n">
        <v>10</v>
      </c>
      <c r="AD131" s="113" t="n">
        <v>10</v>
      </c>
      <c r="AE131" s="113" t="n">
        <v>10</v>
      </c>
      <c r="AF131" s="113" t="n">
        <v>10</v>
      </c>
      <c r="AG131" s="113" t="n">
        <v>10</v>
      </c>
      <c r="AI131" s="114" t="n">
        <f aca="false">INDEX($F131:$AG131,1,MATCH(AI$7,$F$7:$AG$7,1))</f>
        <v>0</v>
      </c>
      <c r="AJ131" s="114" t="n">
        <f aca="false">INDEX($F131:$AG131,1,MATCH(AJ$7,$F$7:$AG$7,1))</f>
        <v>10</v>
      </c>
      <c r="AK131" s="114" t="n">
        <f aca="false">INDEX($F131:$AG131,1,MATCH(AK$7,$F$7:$AG$7,1))</f>
        <v>10</v>
      </c>
      <c r="AL131" s="114" t="n">
        <f aca="false">INDEX($F131:$AG131,1,MATCH(AL$7,$F$7:$AG$7,1))</f>
        <v>10</v>
      </c>
      <c r="AM131" s="114" t="n">
        <f aca="false">INDEX($F131:$AG131,1,MATCH(AM$7,$F$7:$AG$7,1))</f>
        <v>10</v>
      </c>
      <c r="AN131" s="114" t="n">
        <f aca="false">INDEX($F131:$AG131,1,MATCH(AN$7,$F$7:$AG$7,1))</f>
        <v>10</v>
      </c>
      <c r="AO131" s="114" t="n">
        <f aca="false">INDEX($F131:$AG131,1,MATCH(AO$7,$F$7:$AG$7,1))</f>
        <v>10</v>
      </c>
    </row>
    <row r="132" customFormat="false" ht="15" hidden="false" customHeight="false" outlineLevel="0" collapsed="false">
      <c r="A132" s="112" t="s">
        <v>1768</v>
      </c>
      <c r="B132" s="24" t="s">
        <v>857</v>
      </c>
      <c r="C132" s="24" t="s">
        <v>690</v>
      </c>
      <c r="D132" s="24" t="s">
        <v>1677</v>
      </c>
      <c r="F132" s="113" t="n">
        <v>0</v>
      </c>
      <c r="G132" s="113" t="n">
        <v>0</v>
      </c>
      <c r="H132" s="113" t="n">
        <v>0</v>
      </c>
      <c r="I132" s="113" t="n">
        <v>0</v>
      </c>
      <c r="J132" s="113" t="n">
        <v>10</v>
      </c>
      <c r="K132" s="113" t="n">
        <v>10</v>
      </c>
      <c r="L132" s="113" t="n">
        <v>10</v>
      </c>
      <c r="M132" s="113" t="n">
        <v>10</v>
      </c>
      <c r="N132" s="113" t="n">
        <v>10</v>
      </c>
      <c r="O132" s="113" t="n">
        <v>10</v>
      </c>
      <c r="P132" s="113" t="n">
        <v>10</v>
      </c>
      <c r="Q132" s="113" t="n">
        <v>10</v>
      </c>
      <c r="R132" s="113" t="n">
        <v>10</v>
      </c>
      <c r="S132" s="113" t="n">
        <v>10</v>
      </c>
      <c r="T132" s="113" t="n">
        <v>10</v>
      </c>
      <c r="U132" s="113" t="n">
        <v>10</v>
      </c>
      <c r="V132" s="113" t="n">
        <v>10</v>
      </c>
      <c r="W132" s="113" t="n">
        <v>10</v>
      </c>
      <c r="X132" s="113" t="n">
        <v>10</v>
      </c>
      <c r="Y132" s="113" t="n">
        <v>10</v>
      </c>
      <c r="Z132" s="113" t="n">
        <v>10</v>
      </c>
      <c r="AA132" s="113" t="n">
        <v>10</v>
      </c>
      <c r="AB132" s="113" t="n">
        <v>10</v>
      </c>
      <c r="AC132" s="113" t="n">
        <v>10</v>
      </c>
      <c r="AD132" s="113" t="n">
        <v>10</v>
      </c>
      <c r="AE132" s="113" t="n">
        <v>10</v>
      </c>
      <c r="AF132" s="113" t="n">
        <v>10</v>
      </c>
      <c r="AG132" s="113" t="n">
        <v>10</v>
      </c>
      <c r="AI132" s="114" t="n">
        <f aca="false">INDEX($F132:$AG132,1,MATCH(AI$7,$F$7:$AG$7,1))</f>
        <v>0</v>
      </c>
      <c r="AJ132" s="114" t="n">
        <f aca="false">INDEX($F132:$AG132,1,MATCH(AJ$7,$F$7:$AG$7,1))</f>
        <v>10</v>
      </c>
      <c r="AK132" s="114" t="n">
        <f aca="false">INDEX($F132:$AG132,1,MATCH(AK$7,$F$7:$AG$7,1))</f>
        <v>10</v>
      </c>
      <c r="AL132" s="114" t="n">
        <f aca="false">INDEX($F132:$AG132,1,MATCH(AL$7,$F$7:$AG$7,1))</f>
        <v>10</v>
      </c>
      <c r="AM132" s="114" t="n">
        <f aca="false">INDEX($F132:$AG132,1,MATCH(AM$7,$F$7:$AG$7,1))</f>
        <v>10</v>
      </c>
      <c r="AN132" s="114" t="n">
        <f aca="false">INDEX($F132:$AG132,1,MATCH(AN$7,$F$7:$AG$7,1))</f>
        <v>10</v>
      </c>
      <c r="AO132" s="114" t="n">
        <f aca="false">INDEX($F132:$AG132,1,MATCH(AO$7,$F$7:$AG$7,1))</f>
        <v>10</v>
      </c>
    </row>
    <row r="133" customFormat="false" ht="15" hidden="false" customHeight="false" outlineLevel="0" collapsed="false">
      <c r="A133" s="112" t="s">
        <v>1769</v>
      </c>
      <c r="B133" s="24" t="s">
        <v>857</v>
      </c>
      <c r="C133" s="24" t="s">
        <v>672</v>
      </c>
      <c r="D133" s="24" t="s">
        <v>1679</v>
      </c>
      <c r="F133" s="114" t="n">
        <f aca="false">IF(CapV=2,N(F132),N(F131))</f>
        <v>0</v>
      </c>
      <c r="G133" s="114" t="n">
        <f aca="false">IF(CapV=2,N(G132),N(G131))</f>
        <v>0</v>
      </c>
      <c r="H133" s="114" t="n">
        <f aca="false">IF(CapV=2,N(H132),N(H131))</f>
        <v>0</v>
      </c>
      <c r="I133" s="114" t="n">
        <f aca="false">IF(CapV=2,N(I132),N(I131))</f>
        <v>0</v>
      </c>
      <c r="J133" s="114" t="n">
        <f aca="false">IF(CapV=2,N(J132),N(J131))</f>
        <v>10</v>
      </c>
      <c r="K133" s="114" t="n">
        <f aca="false">IF(CapV=2,N(K132),N(K131))</f>
        <v>10</v>
      </c>
      <c r="L133" s="114" t="n">
        <f aca="false">IF(CapV=2,N(L132),N(L131))</f>
        <v>10</v>
      </c>
      <c r="M133" s="114" t="n">
        <f aca="false">IF(CapV=2,N(M132),N(M131))</f>
        <v>10</v>
      </c>
      <c r="N133" s="114" t="n">
        <f aca="false">IF(CapV=2,N(N132),N(N131))</f>
        <v>10</v>
      </c>
      <c r="O133" s="114" t="n">
        <f aca="false">IF(CapV=2,N(O132),N(O131))</f>
        <v>10</v>
      </c>
      <c r="P133" s="114" t="n">
        <f aca="false">IF(CapV=2,N(P132),N(P131))</f>
        <v>10</v>
      </c>
      <c r="Q133" s="114" t="n">
        <f aca="false">IF(CapV=2,N(Q132),N(Q131))</f>
        <v>10</v>
      </c>
      <c r="R133" s="114" t="n">
        <f aca="false">IF(CapV=2,N(R132),N(R131))</f>
        <v>10</v>
      </c>
      <c r="S133" s="114" t="n">
        <f aca="false">IF(CapV=2,N(S132),N(S131))</f>
        <v>10</v>
      </c>
      <c r="T133" s="114" t="n">
        <f aca="false">IF(CapV=2,N(T132),N(T131))</f>
        <v>10</v>
      </c>
      <c r="U133" s="114" t="n">
        <f aca="false">IF(CapV=2,N(U132),N(U131))</f>
        <v>10</v>
      </c>
      <c r="V133" s="114" t="n">
        <f aca="false">IF(CapV=2,N(V132),N(V131))</f>
        <v>10</v>
      </c>
      <c r="W133" s="114" t="n">
        <f aca="false">IF(CapV=2,N(W132),N(W131))</f>
        <v>10</v>
      </c>
      <c r="X133" s="114" t="n">
        <f aca="false">IF(CapV=2,N(X132),N(X131))</f>
        <v>10</v>
      </c>
      <c r="Y133" s="114" t="n">
        <f aca="false">IF(CapV=2,N(Y132),N(Y131))</f>
        <v>10</v>
      </c>
      <c r="Z133" s="114" t="n">
        <f aca="false">IF(CapV=2,N(Z132),N(Z131))</f>
        <v>10</v>
      </c>
      <c r="AA133" s="114" t="n">
        <f aca="false">IF(CapV=2,N(AA132),N(AA131))</f>
        <v>10</v>
      </c>
      <c r="AB133" s="114" t="n">
        <f aca="false">IF(CapV=2,N(AB132),N(AB131))</f>
        <v>10</v>
      </c>
      <c r="AC133" s="114" t="n">
        <f aca="false">IF(CapV=2,N(AC132),N(AC131))</f>
        <v>10</v>
      </c>
      <c r="AD133" s="114" t="n">
        <f aca="false">IF(CapV=2,N(AD132),N(AD131))</f>
        <v>10</v>
      </c>
      <c r="AE133" s="114" t="n">
        <f aca="false">IF(CapV=2,N(AE132),N(AE131))</f>
        <v>10</v>
      </c>
      <c r="AF133" s="114" t="n">
        <f aca="false">IF(CapV=2,N(AF132),N(AF131))</f>
        <v>10</v>
      </c>
      <c r="AG133" s="114" t="n">
        <f aca="false">IF(CapV=2,N(AG132),N(AG131))</f>
        <v>10</v>
      </c>
      <c r="AI133" s="114" t="n">
        <f aca="false">INDEX($F133:$AG133,1,MATCH(AI$7,$F$7:$AG$7,1))</f>
        <v>0</v>
      </c>
      <c r="AJ133" s="114" t="n">
        <f aca="false">INDEX($F133:$AG133,1,MATCH(AJ$7,$F$7:$AG$7,1))</f>
        <v>10</v>
      </c>
      <c r="AK133" s="114" t="n">
        <f aca="false">INDEX($F133:$AG133,1,MATCH(AK$7,$F$7:$AG$7,1))</f>
        <v>10</v>
      </c>
      <c r="AL133" s="114" t="n">
        <f aca="false">INDEX($F133:$AG133,1,MATCH(AL$7,$F$7:$AG$7,1))</f>
        <v>10</v>
      </c>
      <c r="AM133" s="114" t="n">
        <f aca="false">INDEX($F133:$AG133,1,MATCH(AM$7,$F$7:$AG$7,1))</f>
        <v>10</v>
      </c>
      <c r="AN133" s="114" t="n">
        <f aca="false">INDEX($F133:$AG133,1,MATCH(AN$7,$F$7:$AG$7,1))</f>
        <v>10</v>
      </c>
      <c r="AO133" s="114" t="n">
        <f aca="false">INDEX($F133:$AG133,1,MATCH(AO$7,$F$7:$AG$7,1))</f>
        <v>10</v>
      </c>
    </row>
    <row r="134" customFormat="false" ht="15" hidden="false" customHeight="false" outlineLevel="0" collapsed="false">
      <c r="A134" s="112" t="s">
        <v>1770</v>
      </c>
      <c r="B134" s="24" t="s">
        <v>857</v>
      </c>
      <c r="C134" s="24" t="s">
        <v>690</v>
      </c>
      <c r="D134" s="24" t="s">
        <v>1675</v>
      </c>
      <c r="F134" s="113" t="n">
        <v>0</v>
      </c>
      <c r="G134" s="113" t="n">
        <v>0</v>
      </c>
      <c r="H134" s="113" t="n">
        <v>0</v>
      </c>
      <c r="I134" s="113" t="n">
        <v>0</v>
      </c>
      <c r="J134" s="113" t="n">
        <v>10</v>
      </c>
      <c r="K134" s="113" t="n">
        <v>10</v>
      </c>
      <c r="L134" s="113" t="n">
        <v>10</v>
      </c>
      <c r="M134" s="113" t="n">
        <v>10</v>
      </c>
      <c r="N134" s="113" t="n">
        <v>10</v>
      </c>
      <c r="O134" s="113" t="n">
        <v>10</v>
      </c>
      <c r="P134" s="113" t="n">
        <v>10</v>
      </c>
      <c r="Q134" s="113" t="n">
        <v>10</v>
      </c>
      <c r="R134" s="113" t="n">
        <v>10</v>
      </c>
      <c r="S134" s="113" t="n">
        <v>10</v>
      </c>
      <c r="T134" s="113" t="n">
        <v>10</v>
      </c>
      <c r="U134" s="113" t="n">
        <v>10</v>
      </c>
      <c r="V134" s="113" t="n">
        <v>10</v>
      </c>
      <c r="W134" s="113" t="n">
        <v>10</v>
      </c>
      <c r="X134" s="113" t="n">
        <v>10</v>
      </c>
      <c r="Y134" s="113" t="n">
        <v>10</v>
      </c>
      <c r="Z134" s="113" t="n">
        <v>10</v>
      </c>
      <c r="AA134" s="113" t="n">
        <v>10</v>
      </c>
      <c r="AB134" s="113" t="n">
        <v>10</v>
      </c>
      <c r="AC134" s="113" t="n">
        <v>10</v>
      </c>
      <c r="AD134" s="113" t="n">
        <v>10</v>
      </c>
      <c r="AE134" s="113" t="n">
        <v>10</v>
      </c>
      <c r="AF134" s="113" t="n">
        <v>10</v>
      </c>
      <c r="AG134" s="113" t="n">
        <v>10</v>
      </c>
      <c r="AI134" s="114" t="n">
        <f aca="false">INDEX($F134:$AG134,1,MATCH(AI$7,$F$7:$AG$7,1))</f>
        <v>0</v>
      </c>
      <c r="AJ134" s="114" t="n">
        <f aca="false">INDEX($F134:$AG134,1,MATCH(AJ$7,$F$7:$AG$7,1))</f>
        <v>10</v>
      </c>
      <c r="AK134" s="114" t="n">
        <f aca="false">INDEX($F134:$AG134,1,MATCH(AK$7,$F$7:$AG$7,1))</f>
        <v>10</v>
      </c>
      <c r="AL134" s="114" t="n">
        <f aca="false">INDEX($F134:$AG134,1,MATCH(AL$7,$F$7:$AG$7,1))</f>
        <v>10</v>
      </c>
      <c r="AM134" s="114" t="n">
        <f aca="false">INDEX($F134:$AG134,1,MATCH(AM$7,$F$7:$AG$7,1))</f>
        <v>10</v>
      </c>
      <c r="AN134" s="114" t="n">
        <f aca="false">INDEX($F134:$AG134,1,MATCH(AN$7,$F$7:$AG$7,1))</f>
        <v>10</v>
      </c>
      <c r="AO134" s="114" t="n">
        <f aca="false">INDEX($F134:$AG134,1,MATCH(AO$7,$F$7:$AG$7,1))</f>
        <v>10</v>
      </c>
    </row>
    <row r="135" customFormat="false" ht="15" hidden="false" customHeight="false" outlineLevel="0" collapsed="false">
      <c r="A135" s="112" t="s">
        <v>1771</v>
      </c>
      <c r="B135" s="24" t="s">
        <v>857</v>
      </c>
      <c r="C135" s="24" t="s">
        <v>690</v>
      </c>
      <c r="D135" s="24" t="s">
        <v>1677</v>
      </c>
      <c r="F135" s="113" t="n">
        <v>0</v>
      </c>
      <c r="G135" s="113" t="n">
        <v>0</v>
      </c>
      <c r="H135" s="113" t="n">
        <v>0</v>
      </c>
      <c r="I135" s="113" t="n">
        <v>0</v>
      </c>
      <c r="J135" s="113" t="n">
        <v>10</v>
      </c>
      <c r="K135" s="113" t="n">
        <v>10</v>
      </c>
      <c r="L135" s="113" t="n">
        <v>10</v>
      </c>
      <c r="M135" s="113" t="n">
        <v>10</v>
      </c>
      <c r="N135" s="113" t="n">
        <v>10</v>
      </c>
      <c r="O135" s="113" t="n">
        <v>10</v>
      </c>
      <c r="P135" s="113" t="n">
        <v>10</v>
      </c>
      <c r="Q135" s="113" t="n">
        <v>10</v>
      </c>
      <c r="R135" s="113" t="n">
        <v>10</v>
      </c>
      <c r="S135" s="113" t="n">
        <v>10</v>
      </c>
      <c r="T135" s="113" t="n">
        <v>10</v>
      </c>
      <c r="U135" s="113" t="n">
        <v>10</v>
      </c>
      <c r="V135" s="113" t="n">
        <v>10</v>
      </c>
      <c r="W135" s="113" t="n">
        <v>10</v>
      </c>
      <c r="X135" s="113" t="n">
        <v>10</v>
      </c>
      <c r="Y135" s="113" t="n">
        <v>10</v>
      </c>
      <c r="Z135" s="113" t="n">
        <v>10</v>
      </c>
      <c r="AA135" s="113" t="n">
        <v>10</v>
      </c>
      <c r="AB135" s="113" t="n">
        <v>10</v>
      </c>
      <c r="AC135" s="113" t="n">
        <v>10</v>
      </c>
      <c r="AD135" s="113" t="n">
        <v>10</v>
      </c>
      <c r="AE135" s="113" t="n">
        <v>10</v>
      </c>
      <c r="AF135" s="113" t="n">
        <v>10</v>
      </c>
      <c r="AG135" s="113" t="n">
        <v>10</v>
      </c>
      <c r="AI135" s="114" t="n">
        <f aca="false">INDEX($F135:$AG135,1,MATCH(AI$7,$F$7:$AG$7,1))</f>
        <v>0</v>
      </c>
      <c r="AJ135" s="114" t="n">
        <f aca="false">INDEX($F135:$AG135,1,MATCH(AJ$7,$F$7:$AG$7,1))</f>
        <v>10</v>
      </c>
      <c r="AK135" s="114" t="n">
        <f aca="false">INDEX($F135:$AG135,1,MATCH(AK$7,$F$7:$AG$7,1))</f>
        <v>10</v>
      </c>
      <c r="AL135" s="114" t="n">
        <f aca="false">INDEX($F135:$AG135,1,MATCH(AL$7,$F$7:$AG$7,1))</f>
        <v>10</v>
      </c>
      <c r="AM135" s="114" t="n">
        <f aca="false">INDEX($F135:$AG135,1,MATCH(AM$7,$F$7:$AG$7,1))</f>
        <v>10</v>
      </c>
      <c r="AN135" s="114" t="n">
        <f aca="false">INDEX($F135:$AG135,1,MATCH(AN$7,$F$7:$AG$7,1))</f>
        <v>10</v>
      </c>
      <c r="AO135" s="114" t="n">
        <f aca="false">INDEX($F135:$AG135,1,MATCH(AO$7,$F$7:$AG$7,1))</f>
        <v>10</v>
      </c>
    </row>
    <row r="136" customFormat="false" ht="15" hidden="false" customHeight="false" outlineLevel="0" collapsed="false">
      <c r="A136" s="112" t="s">
        <v>1772</v>
      </c>
      <c r="B136" s="24" t="s">
        <v>857</v>
      </c>
      <c r="C136" s="24" t="s">
        <v>672</v>
      </c>
      <c r="D136" s="24" t="s">
        <v>1679</v>
      </c>
      <c r="F136" s="114" t="n">
        <f aca="false">IF(CapV=2,N(F135),N(F134))</f>
        <v>0</v>
      </c>
      <c r="G136" s="114" t="n">
        <f aca="false">IF(CapV=2,N(G135),N(G134))</f>
        <v>0</v>
      </c>
      <c r="H136" s="114" t="n">
        <f aca="false">IF(CapV=2,N(H135),N(H134))</f>
        <v>0</v>
      </c>
      <c r="I136" s="114" t="n">
        <f aca="false">IF(CapV=2,N(I135),N(I134))</f>
        <v>0</v>
      </c>
      <c r="J136" s="114" t="n">
        <f aca="false">IF(CapV=2,N(J135),N(J134))</f>
        <v>10</v>
      </c>
      <c r="K136" s="114" t="n">
        <f aca="false">IF(CapV=2,N(K135),N(K134))</f>
        <v>10</v>
      </c>
      <c r="L136" s="114" t="n">
        <f aca="false">IF(CapV=2,N(L135),N(L134))</f>
        <v>10</v>
      </c>
      <c r="M136" s="114" t="n">
        <f aca="false">IF(CapV=2,N(M135),N(M134))</f>
        <v>10</v>
      </c>
      <c r="N136" s="114" t="n">
        <f aca="false">IF(CapV=2,N(N135),N(N134))</f>
        <v>10</v>
      </c>
      <c r="O136" s="114" t="n">
        <f aca="false">IF(CapV=2,N(O135),N(O134))</f>
        <v>10</v>
      </c>
      <c r="P136" s="114" t="n">
        <f aca="false">IF(CapV=2,N(P135),N(P134))</f>
        <v>10</v>
      </c>
      <c r="Q136" s="114" t="n">
        <f aca="false">IF(CapV=2,N(Q135),N(Q134))</f>
        <v>10</v>
      </c>
      <c r="R136" s="114" t="n">
        <f aca="false">IF(CapV=2,N(R135),N(R134))</f>
        <v>10</v>
      </c>
      <c r="S136" s="114" t="n">
        <f aca="false">IF(CapV=2,N(S135),N(S134))</f>
        <v>10</v>
      </c>
      <c r="T136" s="114" t="n">
        <f aca="false">IF(CapV=2,N(T135),N(T134))</f>
        <v>10</v>
      </c>
      <c r="U136" s="114" t="n">
        <f aca="false">IF(CapV=2,N(U135),N(U134))</f>
        <v>10</v>
      </c>
      <c r="V136" s="114" t="n">
        <f aca="false">IF(CapV=2,N(V135),N(V134))</f>
        <v>10</v>
      </c>
      <c r="W136" s="114" t="n">
        <f aca="false">IF(CapV=2,N(W135),N(W134))</f>
        <v>10</v>
      </c>
      <c r="X136" s="114" t="n">
        <f aca="false">IF(CapV=2,N(X135),N(X134))</f>
        <v>10</v>
      </c>
      <c r="Y136" s="114" t="n">
        <f aca="false">IF(CapV=2,N(Y135),N(Y134))</f>
        <v>10</v>
      </c>
      <c r="Z136" s="114" t="n">
        <f aca="false">IF(CapV=2,N(Z135),N(Z134))</f>
        <v>10</v>
      </c>
      <c r="AA136" s="114" t="n">
        <f aca="false">IF(CapV=2,N(AA135),N(AA134))</f>
        <v>10</v>
      </c>
      <c r="AB136" s="114" t="n">
        <f aca="false">IF(CapV=2,N(AB135),N(AB134))</f>
        <v>10</v>
      </c>
      <c r="AC136" s="114" t="n">
        <f aca="false">IF(CapV=2,N(AC135),N(AC134))</f>
        <v>10</v>
      </c>
      <c r="AD136" s="114" t="n">
        <f aca="false">IF(CapV=2,N(AD135),N(AD134))</f>
        <v>10</v>
      </c>
      <c r="AE136" s="114" t="n">
        <f aca="false">IF(CapV=2,N(AE135),N(AE134))</f>
        <v>10</v>
      </c>
      <c r="AF136" s="114" t="n">
        <f aca="false">IF(CapV=2,N(AF135),N(AF134))</f>
        <v>10</v>
      </c>
      <c r="AG136" s="114" t="n">
        <f aca="false">IF(CapV=2,N(AG135),N(AG134))</f>
        <v>10</v>
      </c>
      <c r="AI136" s="114" t="n">
        <f aca="false">INDEX($F136:$AG136,1,MATCH(AI$7,$F$7:$AG$7,1))</f>
        <v>0</v>
      </c>
      <c r="AJ136" s="114" t="n">
        <f aca="false">INDEX($F136:$AG136,1,MATCH(AJ$7,$F$7:$AG$7,1))</f>
        <v>10</v>
      </c>
      <c r="AK136" s="114" t="n">
        <f aca="false">INDEX($F136:$AG136,1,MATCH(AK$7,$F$7:$AG$7,1))</f>
        <v>10</v>
      </c>
      <c r="AL136" s="114" t="n">
        <f aca="false">INDEX($F136:$AG136,1,MATCH(AL$7,$F$7:$AG$7,1))</f>
        <v>10</v>
      </c>
      <c r="AM136" s="114" t="n">
        <f aca="false">INDEX($F136:$AG136,1,MATCH(AM$7,$F$7:$AG$7,1))</f>
        <v>10</v>
      </c>
      <c r="AN136" s="114" t="n">
        <f aca="false">INDEX($F136:$AG136,1,MATCH(AN$7,$F$7:$AG$7,1))</f>
        <v>10</v>
      </c>
      <c r="AO136" s="114" t="n">
        <f aca="false">INDEX($F136:$AG136,1,MATCH(AO$7,$F$7:$AG$7,1))</f>
        <v>10</v>
      </c>
    </row>
    <row r="137" customFormat="false" ht="15" hidden="false" customHeight="false" outlineLevel="0" collapsed="false">
      <c r="A137" s="112" t="s">
        <v>1773</v>
      </c>
      <c r="B137" s="24" t="s">
        <v>857</v>
      </c>
      <c r="C137" s="24" t="s">
        <v>690</v>
      </c>
      <c r="D137" s="24" t="s">
        <v>1675</v>
      </c>
      <c r="F137" s="113" t="n">
        <v>0</v>
      </c>
      <c r="G137" s="113" t="n">
        <v>0</v>
      </c>
      <c r="H137" s="113" t="n">
        <v>0</v>
      </c>
      <c r="I137" s="113" t="n">
        <v>0</v>
      </c>
      <c r="J137" s="113" t="n">
        <v>10</v>
      </c>
      <c r="K137" s="113" t="n">
        <v>10</v>
      </c>
      <c r="L137" s="113" t="n">
        <v>10</v>
      </c>
      <c r="M137" s="113" t="n">
        <v>10</v>
      </c>
      <c r="N137" s="113" t="n">
        <v>10</v>
      </c>
      <c r="O137" s="113" t="n">
        <v>10</v>
      </c>
      <c r="P137" s="113" t="n">
        <v>10</v>
      </c>
      <c r="Q137" s="113" t="n">
        <v>10</v>
      </c>
      <c r="R137" s="113" t="n">
        <v>10</v>
      </c>
      <c r="S137" s="113" t="n">
        <v>10</v>
      </c>
      <c r="T137" s="113" t="n">
        <v>10</v>
      </c>
      <c r="U137" s="113" t="n">
        <v>10</v>
      </c>
      <c r="V137" s="113" t="n">
        <v>10</v>
      </c>
      <c r="W137" s="113" t="n">
        <v>10</v>
      </c>
      <c r="X137" s="113" t="n">
        <v>10</v>
      </c>
      <c r="Y137" s="113" t="n">
        <v>10</v>
      </c>
      <c r="Z137" s="113" t="n">
        <v>10</v>
      </c>
      <c r="AA137" s="113" t="n">
        <v>10</v>
      </c>
      <c r="AB137" s="113" t="n">
        <v>10</v>
      </c>
      <c r="AC137" s="113" t="n">
        <v>10</v>
      </c>
      <c r="AD137" s="113" t="n">
        <v>10</v>
      </c>
      <c r="AE137" s="113" t="n">
        <v>10</v>
      </c>
      <c r="AF137" s="113" t="n">
        <v>10</v>
      </c>
      <c r="AG137" s="113" t="n">
        <v>10</v>
      </c>
      <c r="AI137" s="114" t="n">
        <f aca="false">INDEX($F137:$AG137,1,MATCH(AI$7,$F$7:$AG$7,1))</f>
        <v>0</v>
      </c>
      <c r="AJ137" s="114" t="n">
        <f aca="false">INDEX($F137:$AG137,1,MATCH(AJ$7,$F$7:$AG$7,1))</f>
        <v>10</v>
      </c>
      <c r="AK137" s="114" t="n">
        <f aca="false">INDEX($F137:$AG137,1,MATCH(AK$7,$F$7:$AG$7,1))</f>
        <v>10</v>
      </c>
      <c r="AL137" s="114" t="n">
        <f aca="false">INDEX($F137:$AG137,1,MATCH(AL$7,$F$7:$AG$7,1))</f>
        <v>10</v>
      </c>
      <c r="AM137" s="114" t="n">
        <f aca="false">INDEX($F137:$AG137,1,MATCH(AM$7,$F$7:$AG$7,1))</f>
        <v>10</v>
      </c>
      <c r="AN137" s="114" t="n">
        <f aca="false">INDEX($F137:$AG137,1,MATCH(AN$7,$F$7:$AG$7,1))</f>
        <v>10</v>
      </c>
      <c r="AO137" s="114" t="n">
        <f aca="false">INDEX($F137:$AG137,1,MATCH(AO$7,$F$7:$AG$7,1))</f>
        <v>10</v>
      </c>
    </row>
    <row r="138" customFormat="false" ht="15" hidden="false" customHeight="false" outlineLevel="0" collapsed="false">
      <c r="A138" s="112" t="s">
        <v>1774</v>
      </c>
      <c r="B138" s="24" t="s">
        <v>857</v>
      </c>
      <c r="C138" s="24" t="s">
        <v>690</v>
      </c>
      <c r="D138" s="24" t="s">
        <v>1677</v>
      </c>
      <c r="F138" s="113" t="n">
        <v>0</v>
      </c>
      <c r="G138" s="113" t="n">
        <v>0</v>
      </c>
      <c r="H138" s="113" t="n">
        <v>0</v>
      </c>
      <c r="I138" s="113" t="n">
        <v>0</v>
      </c>
      <c r="J138" s="113" t="n">
        <v>10</v>
      </c>
      <c r="K138" s="113" t="n">
        <v>10</v>
      </c>
      <c r="L138" s="113" t="n">
        <v>10</v>
      </c>
      <c r="M138" s="113" t="n">
        <v>10</v>
      </c>
      <c r="N138" s="113" t="n">
        <v>10</v>
      </c>
      <c r="O138" s="113" t="n">
        <v>10</v>
      </c>
      <c r="P138" s="113" t="n">
        <v>10</v>
      </c>
      <c r="Q138" s="113" t="n">
        <v>10</v>
      </c>
      <c r="R138" s="113" t="n">
        <v>10</v>
      </c>
      <c r="S138" s="113" t="n">
        <v>10</v>
      </c>
      <c r="T138" s="113" t="n">
        <v>10</v>
      </c>
      <c r="U138" s="113" t="n">
        <v>10</v>
      </c>
      <c r="V138" s="113" t="n">
        <v>10</v>
      </c>
      <c r="W138" s="113" t="n">
        <v>10</v>
      </c>
      <c r="X138" s="113" t="n">
        <v>10</v>
      </c>
      <c r="Y138" s="113" t="n">
        <v>10</v>
      </c>
      <c r="Z138" s="113" t="n">
        <v>10</v>
      </c>
      <c r="AA138" s="113" t="n">
        <v>10</v>
      </c>
      <c r="AB138" s="113" t="n">
        <v>10</v>
      </c>
      <c r="AC138" s="113" t="n">
        <v>10</v>
      </c>
      <c r="AD138" s="113" t="n">
        <v>10</v>
      </c>
      <c r="AE138" s="113" t="n">
        <v>10</v>
      </c>
      <c r="AF138" s="113" t="n">
        <v>10</v>
      </c>
      <c r="AG138" s="113" t="n">
        <v>10</v>
      </c>
      <c r="AI138" s="114" t="n">
        <f aca="false">INDEX($F138:$AG138,1,MATCH(AI$7,$F$7:$AG$7,1))</f>
        <v>0</v>
      </c>
      <c r="AJ138" s="114" t="n">
        <f aca="false">INDEX($F138:$AG138,1,MATCH(AJ$7,$F$7:$AG$7,1))</f>
        <v>10</v>
      </c>
      <c r="AK138" s="114" t="n">
        <f aca="false">INDEX($F138:$AG138,1,MATCH(AK$7,$F$7:$AG$7,1))</f>
        <v>10</v>
      </c>
      <c r="AL138" s="114" t="n">
        <f aca="false">INDEX($F138:$AG138,1,MATCH(AL$7,$F$7:$AG$7,1))</f>
        <v>10</v>
      </c>
      <c r="AM138" s="114" t="n">
        <f aca="false">INDEX($F138:$AG138,1,MATCH(AM$7,$F$7:$AG$7,1))</f>
        <v>10</v>
      </c>
      <c r="AN138" s="114" t="n">
        <f aca="false">INDEX($F138:$AG138,1,MATCH(AN$7,$F$7:$AG$7,1))</f>
        <v>10</v>
      </c>
      <c r="AO138" s="114" t="n">
        <f aca="false">INDEX($F138:$AG138,1,MATCH(AO$7,$F$7:$AG$7,1))</f>
        <v>10</v>
      </c>
    </row>
    <row r="139" customFormat="false" ht="15" hidden="false" customHeight="false" outlineLevel="0" collapsed="false">
      <c r="A139" s="112" t="s">
        <v>1775</v>
      </c>
      <c r="B139" s="24" t="s">
        <v>857</v>
      </c>
      <c r="C139" s="24" t="s">
        <v>672</v>
      </c>
      <c r="D139" s="24" t="s">
        <v>1679</v>
      </c>
      <c r="F139" s="114" t="n">
        <f aca="false">IF(CapV=2,N(F138),N(F137))</f>
        <v>0</v>
      </c>
      <c r="G139" s="114" t="n">
        <f aca="false">IF(CapV=2,N(G138),N(G137))</f>
        <v>0</v>
      </c>
      <c r="H139" s="114" t="n">
        <f aca="false">IF(CapV=2,N(H138),N(H137))</f>
        <v>0</v>
      </c>
      <c r="I139" s="114" t="n">
        <f aca="false">IF(CapV=2,N(I138),N(I137))</f>
        <v>0</v>
      </c>
      <c r="J139" s="114" t="n">
        <f aca="false">IF(CapV=2,N(J138),N(J137))</f>
        <v>10</v>
      </c>
      <c r="K139" s="114" t="n">
        <f aca="false">IF(CapV=2,N(K138),N(K137))</f>
        <v>10</v>
      </c>
      <c r="L139" s="114" t="n">
        <f aca="false">IF(CapV=2,N(L138),N(L137))</f>
        <v>10</v>
      </c>
      <c r="M139" s="114" t="n">
        <f aca="false">IF(CapV=2,N(M138),N(M137))</f>
        <v>10</v>
      </c>
      <c r="N139" s="114" t="n">
        <f aca="false">IF(CapV=2,N(N138),N(N137))</f>
        <v>10</v>
      </c>
      <c r="O139" s="114" t="n">
        <f aca="false">IF(CapV=2,N(O138),N(O137))</f>
        <v>10</v>
      </c>
      <c r="P139" s="114" t="n">
        <f aca="false">IF(CapV=2,N(P138),N(P137))</f>
        <v>10</v>
      </c>
      <c r="Q139" s="114" t="n">
        <f aca="false">IF(CapV=2,N(Q138),N(Q137))</f>
        <v>10</v>
      </c>
      <c r="R139" s="114" t="n">
        <f aca="false">IF(CapV=2,N(R138),N(R137))</f>
        <v>10</v>
      </c>
      <c r="S139" s="114" t="n">
        <f aca="false">IF(CapV=2,N(S138),N(S137))</f>
        <v>10</v>
      </c>
      <c r="T139" s="114" t="n">
        <f aca="false">IF(CapV=2,N(T138),N(T137))</f>
        <v>10</v>
      </c>
      <c r="U139" s="114" t="n">
        <f aca="false">IF(CapV=2,N(U138),N(U137))</f>
        <v>10</v>
      </c>
      <c r="V139" s="114" t="n">
        <f aca="false">IF(CapV=2,N(V138),N(V137))</f>
        <v>10</v>
      </c>
      <c r="W139" s="114" t="n">
        <f aca="false">IF(CapV=2,N(W138),N(W137))</f>
        <v>10</v>
      </c>
      <c r="X139" s="114" t="n">
        <f aca="false">IF(CapV=2,N(X138),N(X137))</f>
        <v>10</v>
      </c>
      <c r="Y139" s="114" t="n">
        <f aca="false">IF(CapV=2,N(Y138),N(Y137))</f>
        <v>10</v>
      </c>
      <c r="Z139" s="114" t="n">
        <f aca="false">IF(CapV=2,N(Z138),N(Z137))</f>
        <v>10</v>
      </c>
      <c r="AA139" s="114" t="n">
        <f aca="false">IF(CapV=2,N(AA138),N(AA137))</f>
        <v>10</v>
      </c>
      <c r="AB139" s="114" t="n">
        <f aca="false">IF(CapV=2,N(AB138),N(AB137))</f>
        <v>10</v>
      </c>
      <c r="AC139" s="114" t="n">
        <f aca="false">IF(CapV=2,N(AC138),N(AC137))</f>
        <v>10</v>
      </c>
      <c r="AD139" s="114" t="n">
        <f aca="false">IF(CapV=2,N(AD138),N(AD137))</f>
        <v>10</v>
      </c>
      <c r="AE139" s="114" t="n">
        <f aca="false">IF(CapV=2,N(AE138),N(AE137))</f>
        <v>10</v>
      </c>
      <c r="AF139" s="114" t="n">
        <f aca="false">IF(CapV=2,N(AF138),N(AF137))</f>
        <v>10</v>
      </c>
      <c r="AG139" s="114" t="n">
        <f aca="false">IF(CapV=2,N(AG138),N(AG137))</f>
        <v>10</v>
      </c>
      <c r="AI139" s="114" t="n">
        <f aca="false">INDEX($F139:$AG139,1,MATCH(AI$7,$F$7:$AG$7,1))</f>
        <v>0</v>
      </c>
      <c r="AJ139" s="114" t="n">
        <f aca="false">INDEX($F139:$AG139,1,MATCH(AJ$7,$F$7:$AG$7,1))</f>
        <v>10</v>
      </c>
      <c r="AK139" s="114" t="n">
        <f aca="false">INDEX($F139:$AG139,1,MATCH(AK$7,$F$7:$AG$7,1))</f>
        <v>10</v>
      </c>
      <c r="AL139" s="114" t="n">
        <f aca="false">INDEX($F139:$AG139,1,MATCH(AL$7,$F$7:$AG$7,1))</f>
        <v>10</v>
      </c>
      <c r="AM139" s="114" t="n">
        <f aca="false">INDEX($F139:$AG139,1,MATCH(AM$7,$F$7:$AG$7,1))</f>
        <v>10</v>
      </c>
      <c r="AN139" s="114" t="n">
        <f aca="false">INDEX($F139:$AG139,1,MATCH(AN$7,$F$7:$AG$7,1))</f>
        <v>10</v>
      </c>
      <c r="AO139" s="114" t="n">
        <f aca="false">INDEX($F139:$AG139,1,MATCH(AO$7,$F$7:$AG$7,1))</f>
        <v>10</v>
      </c>
    </row>
    <row r="140" customFormat="false" ht="15" hidden="false" customHeight="false" outlineLevel="0" collapsed="false">
      <c r="A140" s="112" t="s">
        <v>1776</v>
      </c>
      <c r="B140" s="24" t="s">
        <v>857</v>
      </c>
      <c r="C140" s="24" t="s">
        <v>690</v>
      </c>
      <c r="D140" s="24" t="s">
        <v>1675</v>
      </c>
      <c r="F140" s="113" t="n">
        <v>0</v>
      </c>
      <c r="G140" s="113" t="n">
        <v>0</v>
      </c>
      <c r="H140" s="113" t="n">
        <v>0</v>
      </c>
      <c r="I140" s="113" t="n">
        <v>0</v>
      </c>
      <c r="J140" s="113" t="n">
        <v>0</v>
      </c>
      <c r="K140" s="113" t="n">
        <v>0</v>
      </c>
      <c r="L140" s="113" t="n">
        <v>0</v>
      </c>
      <c r="M140" s="113" t="n">
        <v>16</v>
      </c>
      <c r="N140" s="113" t="n">
        <v>16</v>
      </c>
      <c r="O140" s="113" t="n">
        <v>16</v>
      </c>
      <c r="P140" s="113" t="n">
        <v>16</v>
      </c>
      <c r="Q140" s="113" t="n">
        <v>16</v>
      </c>
      <c r="R140" s="113" t="n">
        <v>19</v>
      </c>
      <c r="S140" s="113" t="n">
        <v>19</v>
      </c>
      <c r="T140" s="113" t="n">
        <v>19</v>
      </c>
      <c r="U140" s="113" t="n">
        <v>19</v>
      </c>
      <c r="V140" s="113" t="n">
        <v>19</v>
      </c>
      <c r="W140" s="113" t="n">
        <v>19</v>
      </c>
      <c r="X140" s="113" t="n">
        <v>19</v>
      </c>
      <c r="Y140" s="113" t="n">
        <v>19</v>
      </c>
      <c r="Z140" s="113" t="n">
        <v>19</v>
      </c>
      <c r="AA140" s="113" t="n">
        <v>19</v>
      </c>
      <c r="AB140" s="113" t="n">
        <v>19</v>
      </c>
      <c r="AC140" s="113" t="n">
        <v>19</v>
      </c>
      <c r="AD140" s="113" t="n">
        <v>19</v>
      </c>
      <c r="AE140" s="113" t="n">
        <v>19</v>
      </c>
      <c r="AF140" s="113" t="n">
        <v>19</v>
      </c>
      <c r="AG140" s="113" t="n">
        <v>19</v>
      </c>
      <c r="AI140" s="114" t="n">
        <f aca="false">INDEX($F140:$AG140,1,MATCH(AI$7,$F$7:$AG$7,1))</f>
        <v>0</v>
      </c>
      <c r="AJ140" s="114" t="n">
        <f aca="false">INDEX($F140:$AG140,1,MATCH(AJ$7,$F$7:$AG$7,1))</f>
        <v>16</v>
      </c>
      <c r="AK140" s="114" t="n">
        <f aca="false">INDEX($F140:$AG140,1,MATCH(AK$7,$F$7:$AG$7,1))</f>
        <v>16</v>
      </c>
      <c r="AL140" s="114" t="n">
        <f aca="false">INDEX($F140:$AG140,1,MATCH(AL$7,$F$7:$AG$7,1))</f>
        <v>19</v>
      </c>
      <c r="AM140" s="114" t="n">
        <f aca="false">INDEX($F140:$AG140,1,MATCH(AM$7,$F$7:$AG$7,1))</f>
        <v>19</v>
      </c>
      <c r="AN140" s="114" t="n">
        <f aca="false">INDEX($F140:$AG140,1,MATCH(AN$7,$F$7:$AG$7,1))</f>
        <v>19</v>
      </c>
      <c r="AO140" s="114" t="n">
        <f aca="false">INDEX($F140:$AG140,1,MATCH(AO$7,$F$7:$AG$7,1))</f>
        <v>19</v>
      </c>
    </row>
    <row r="141" customFormat="false" ht="15" hidden="false" customHeight="false" outlineLevel="0" collapsed="false">
      <c r="A141" s="112" t="s">
        <v>1777</v>
      </c>
      <c r="B141" s="24" t="s">
        <v>857</v>
      </c>
      <c r="C141" s="24" t="s">
        <v>690</v>
      </c>
      <c r="D141" s="24" t="s">
        <v>1677</v>
      </c>
      <c r="F141" s="113" t="n">
        <v>0</v>
      </c>
      <c r="G141" s="113" t="n">
        <v>0</v>
      </c>
      <c r="H141" s="113" t="n">
        <v>0</v>
      </c>
      <c r="I141" s="113" t="n">
        <v>0</v>
      </c>
      <c r="J141" s="113" t="n">
        <v>0</v>
      </c>
      <c r="K141" s="113" t="n">
        <v>0</v>
      </c>
      <c r="L141" s="113" t="n">
        <v>0</v>
      </c>
      <c r="M141" s="113" t="n">
        <v>16</v>
      </c>
      <c r="N141" s="113" t="n">
        <v>16</v>
      </c>
      <c r="O141" s="113" t="n">
        <v>16</v>
      </c>
      <c r="P141" s="113" t="n">
        <v>16</v>
      </c>
      <c r="Q141" s="113" t="n">
        <v>16</v>
      </c>
      <c r="R141" s="113" t="n">
        <v>19</v>
      </c>
      <c r="S141" s="113" t="n">
        <v>19</v>
      </c>
      <c r="T141" s="113" t="n">
        <v>19</v>
      </c>
      <c r="U141" s="113" t="n">
        <v>19</v>
      </c>
      <c r="V141" s="113" t="n">
        <v>19</v>
      </c>
      <c r="W141" s="113" t="n">
        <v>19</v>
      </c>
      <c r="X141" s="113" t="n">
        <v>19</v>
      </c>
      <c r="Y141" s="113" t="n">
        <v>19</v>
      </c>
      <c r="Z141" s="113" t="n">
        <v>19</v>
      </c>
      <c r="AA141" s="113" t="n">
        <v>19</v>
      </c>
      <c r="AB141" s="113" t="n">
        <v>19</v>
      </c>
      <c r="AC141" s="113" t="n">
        <v>19</v>
      </c>
      <c r="AD141" s="113" t="n">
        <v>19</v>
      </c>
      <c r="AE141" s="113" t="n">
        <v>19</v>
      </c>
      <c r="AF141" s="113" t="n">
        <v>19</v>
      </c>
      <c r="AG141" s="113" t="n">
        <v>19</v>
      </c>
      <c r="AI141" s="114" t="n">
        <f aca="false">INDEX($F141:$AG141,1,MATCH(AI$7,$F$7:$AG$7,1))</f>
        <v>0</v>
      </c>
      <c r="AJ141" s="114" t="n">
        <f aca="false">INDEX($F141:$AG141,1,MATCH(AJ$7,$F$7:$AG$7,1))</f>
        <v>16</v>
      </c>
      <c r="AK141" s="114" t="n">
        <f aca="false">INDEX($F141:$AG141,1,MATCH(AK$7,$F$7:$AG$7,1))</f>
        <v>16</v>
      </c>
      <c r="AL141" s="114" t="n">
        <f aca="false">INDEX($F141:$AG141,1,MATCH(AL$7,$F$7:$AG$7,1))</f>
        <v>19</v>
      </c>
      <c r="AM141" s="114" t="n">
        <f aca="false">INDEX($F141:$AG141,1,MATCH(AM$7,$F$7:$AG$7,1))</f>
        <v>19</v>
      </c>
      <c r="AN141" s="114" t="n">
        <f aca="false">INDEX($F141:$AG141,1,MATCH(AN$7,$F$7:$AG$7,1))</f>
        <v>19</v>
      </c>
      <c r="AO141" s="114" t="n">
        <f aca="false">INDEX($F141:$AG141,1,MATCH(AO$7,$F$7:$AG$7,1))</f>
        <v>19</v>
      </c>
    </row>
    <row r="142" customFormat="false" ht="15" hidden="false" customHeight="false" outlineLevel="0" collapsed="false">
      <c r="A142" s="112" t="s">
        <v>1778</v>
      </c>
      <c r="B142" s="24" t="s">
        <v>857</v>
      </c>
      <c r="C142" s="24" t="s">
        <v>672</v>
      </c>
      <c r="D142" s="24" t="s">
        <v>1679</v>
      </c>
      <c r="F142" s="114" t="n">
        <f aca="false">IF(CapV=2,N(F141),N(F140))</f>
        <v>0</v>
      </c>
      <c r="G142" s="114" t="n">
        <f aca="false">IF(CapV=2,N(G141),N(G140))</f>
        <v>0</v>
      </c>
      <c r="H142" s="114" t="n">
        <f aca="false">IF(CapV=2,N(H141),N(H140))</f>
        <v>0</v>
      </c>
      <c r="I142" s="114" t="n">
        <f aca="false">IF(CapV=2,N(I141),N(I140))</f>
        <v>0</v>
      </c>
      <c r="J142" s="114" t="n">
        <f aca="false">IF(CapV=2,N(J141),N(J140))</f>
        <v>0</v>
      </c>
      <c r="K142" s="114" t="n">
        <f aca="false">IF(CapV=2,N(K141),N(K140))</f>
        <v>0</v>
      </c>
      <c r="L142" s="114" t="n">
        <f aca="false">IF(CapV=2,N(L141),N(L140))</f>
        <v>0</v>
      </c>
      <c r="M142" s="114" t="n">
        <f aca="false">IF(CapV=2,N(M141),N(M140))</f>
        <v>16</v>
      </c>
      <c r="N142" s="114" t="n">
        <f aca="false">IF(CapV=2,N(N141),N(N140))</f>
        <v>16</v>
      </c>
      <c r="O142" s="114" t="n">
        <f aca="false">IF(CapV=2,N(O141),N(O140))</f>
        <v>16</v>
      </c>
      <c r="P142" s="114" t="n">
        <f aca="false">IF(CapV=2,N(P141),N(P140))</f>
        <v>16</v>
      </c>
      <c r="Q142" s="114" t="n">
        <f aca="false">IF(CapV=2,N(Q141),N(Q140))</f>
        <v>16</v>
      </c>
      <c r="R142" s="114" t="n">
        <f aca="false">IF(CapV=2,N(R141),N(R140))</f>
        <v>19</v>
      </c>
      <c r="S142" s="114" t="n">
        <f aca="false">IF(CapV=2,N(S141),N(S140))</f>
        <v>19</v>
      </c>
      <c r="T142" s="114" t="n">
        <f aca="false">IF(CapV=2,N(T141),N(T140))</f>
        <v>19</v>
      </c>
      <c r="U142" s="114" t="n">
        <f aca="false">IF(CapV=2,N(U141),N(U140))</f>
        <v>19</v>
      </c>
      <c r="V142" s="114" t="n">
        <f aca="false">IF(CapV=2,N(V141),N(V140))</f>
        <v>19</v>
      </c>
      <c r="W142" s="114" t="n">
        <f aca="false">IF(CapV=2,N(W141),N(W140))</f>
        <v>19</v>
      </c>
      <c r="X142" s="114" t="n">
        <f aca="false">IF(CapV=2,N(X141),N(X140))</f>
        <v>19</v>
      </c>
      <c r="Y142" s="114" t="n">
        <f aca="false">IF(CapV=2,N(Y141),N(Y140))</f>
        <v>19</v>
      </c>
      <c r="Z142" s="114" t="n">
        <f aca="false">IF(CapV=2,N(Z141),N(Z140))</f>
        <v>19</v>
      </c>
      <c r="AA142" s="114" t="n">
        <f aca="false">IF(CapV=2,N(AA141),N(AA140))</f>
        <v>19</v>
      </c>
      <c r="AB142" s="114" t="n">
        <f aca="false">IF(CapV=2,N(AB141),N(AB140))</f>
        <v>19</v>
      </c>
      <c r="AC142" s="114" t="n">
        <f aca="false">IF(CapV=2,N(AC141),N(AC140))</f>
        <v>19</v>
      </c>
      <c r="AD142" s="114" t="n">
        <f aca="false">IF(CapV=2,N(AD141),N(AD140))</f>
        <v>19</v>
      </c>
      <c r="AE142" s="114" t="n">
        <f aca="false">IF(CapV=2,N(AE141),N(AE140))</f>
        <v>19</v>
      </c>
      <c r="AF142" s="114" t="n">
        <f aca="false">IF(CapV=2,N(AF141),N(AF140))</f>
        <v>19</v>
      </c>
      <c r="AG142" s="114" t="n">
        <f aca="false">IF(CapV=2,N(AG141),N(AG140))</f>
        <v>19</v>
      </c>
      <c r="AI142" s="114" t="n">
        <f aca="false">INDEX($F142:$AG142,1,MATCH(AI$7,$F$7:$AG$7,1))</f>
        <v>0</v>
      </c>
      <c r="AJ142" s="114" t="n">
        <f aca="false">INDEX($F142:$AG142,1,MATCH(AJ$7,$F$7:$AG$7,1))</f>
        <v>16</v>
      </c>
      <c r="AK142" s="114" t="n">
        <f aca="false">INDEX($F142:$AG142,1,MATCH(AK$7,$F$7:$AG$7,1))</f>
        <v>16</v>
      </c>
      <c r="AL142" s="114" t="n">
        <f aca="false">INDEX($F142:$AG142,1,MATCH(AL$7,$F$7:$AG$7,1))</f>
        <v>19</v>
      </c>
      <c r="AM142" s="114" t="n">
        <f aca="false">INDEX($F142:$AG142,1,MATCH(AM$7,$F$7:$AG$7,1))</f>
        <v>19</v>
      </c>
      <c r="AN142" s="114" t="n">
        <f aca="false">INDEX($F142:$AG142,1,MATCH(AN$7,$F$7:$AG$7,1))</f>
        <v>19</v>
      </c>
      <c r="AO142" s="114" t="n">
        <f aca="false">INDEX($F142:$AG142,1,MATCH(AO$7,$F$7:$AG$7,1))</f>
        <v>19</v>
      </c>
    </row>
    <row r="143" customFormat="false" ht="15" hidden="false" customHeight="false" outlineLevel="0" collapsed="false">
      <c r="A143" s="112" t="s">
        <v>1779</v>
      </c>
      <c r="B143" s="24" t="s">
        <v>857</v>
      </c>
      <c r="C143" s="24" t="s">
        <v>690</v>
      </c>
      <c r="D143" s="24" t="s">
        <v>1675</v>
      </c>
      <c r="F143" s="113" t="n">
        <v>0</v>
      </c>
      <c r="G143" s="113" t="n">
        <v>0</v>
      </c>
      <c r="H143" s="113" t="n">
        <v>0</v>
      </c>
      <c r="I143" s="113" t="n">
        <v>0</v>
      </c>
      <c r="J143" s="113" t="n">
        <v>0</v>
      </c>
      <c r="K143" s="113" t="n">
        <v>0</v>
      </c>
      <c r="L143" s="113" t="n">
        <v>0</v>
      </c>
      <c r="M143" s="113" t="n">
        <v>16</v>
      </c>
      <c r="N143" s="113" t="n">
        <v>16</v>
      </c>
      <c r="O143" s="113" t="n">
        <v>16</v>
      </c>
      <c r="P143" s="113" t="n">
        <v>16</v>
      </c>
      <c r="Q143" s="113" t="n">
        <v>17.5</v>
      </c>
      <c r="R143" s="113" t="n">
        <v>19</v>
      </c>
      <c r="S143" s="113" t="n">
        <v>19</v>
      </c>
      <c r="T143" s="113" t="n">
        <v>19</v>
      </c>
      <c r="U143" s="113" t="n">
        <v>19</v>
      </c>
      <c r="V143" s="113" t="n">
        <v>19</v>
      </c>
      <c r="W143" s="113" t="n">
        <v>19</v>
      </c>
      <c r="X143" s="113" t="n">
        <v>19</v>
      </c>
      <c r="Y143" s="113" t="n">
        <v>19</v>
      </c>
      <c r="Z143" s="113" t="n">
        <v>19</v>
      </c>
      <c r="AA143" s="113" t="n">
        <v>19</v>
      </c>
      <c r="AB143" s="113" t="n">
        <v>19</v>
      </c>
      <c r="AC143" s="113" t="n">
        <v>19</v>
      </c>
      <c r="AD143" s="113" t="n">
        <v>19</v>
      </c>
      <c r="AE143" s="113" t="n">
        <v>19</v>
      </c>
      <c r="AF143" s="113" t="n">
        <v>19</v>
      </c>
      <c r="AG143" s="113" t="n">
        <v>19</v>
      </c>
      <c r="AI143" s="114" t="n">
        <f aca="false">INDEX($F143:$AG143,1,MATCH(AI$7,$F$7:$AG$7,1))</f>
        <v>0</v>
      </c>
      <c r="AJ143" s="114" t="n">
        <f aca="false">INDEX($F143:$AG143,1,MATCH(AJ$7,$F$7:$AG$7,1))</f>
        <v>16</v>
      </c>
      <c r="AK143" s="114" t="n">
        <f aca="false">INDEX($F143:$AG143,1,MATCH(AK$7,$F$7:$AG$7,1))</f>
        <v>17.5</v>
      </c>
      <c r="AL143" s="114" t="n">
        <f aca="false">INDEX($F143:$AG143,1,MATCH(AL$7,$F$7:$AG$7,1))</f>
        <v>19</v>
      </c>
      <c r="AM143" s="114" t="n">
        <f aca="false">INDEX($F143:$AG143,1,MATCH(AM$7,$F$7:$AG$7,1))</f>
        <v>19</v>
      </c>
      <c r="AN143" s="114" t="n">
        <f aca="false">INDEX($F143:$AG143,1,MATCH(AN$7,$F$7:$AG$7,1))</f>
        <v>19</v>
      </c>
      <c r="AO143" s="114" t="n">
        <f aca="false">INDEX($F143:$AG143,1,MATCH(AO$7,$F$7:$AG$7,1))</f>
        <v>19</v>
      </c>
    </row>
    <row r="144" customFormat="false" ht="15" hidden="false" customHeight="false" outlineLevel="0" collapsed="false">
      <c r="A144" s="112" t="s">
        <v>1780</v>
      </c>
      <c r="B144" s="24" t="s">
        <v>857</v>
      </c>
      <c r="C144" s="24" t="s">
        <v>690</v>
      </c>
      <c r="D144" s="24" t="s">
        <v>1677</v>
      </c>
      <c r="F144" s="113" t="n">
        <v>0</v>
      </c>
      <c r="G144" s="113" t="n">
        <v>0</v>
      </c>
      <c r="H144" s="113" t="n">
        <v>0</v>
      </c>
      <c r="I144" s="113" t="n">
        <v>0</v>
      </c>
      <c r="J144" s="113" t="n">
        <v>0</v>
      </c>
      <c r="K144" s="113" t="n">
        <v>0</v>
      </c>
      <c r="L144" s="113" t="n">
        <v>0</v>
      </c>
      <c r="M144" s="113" t="n">
        <v>16</v>
      </c>
      <c r="N144" s="113" t="n">
        <v>16</v>
      </c>
      <c r="O144" s="113" t="n">
        <v>16</v>
      </c>
      <c r="P144" s="113" t="n">
        <v>16</v>
      </c>
      <c r="Q144" s="113" t="n">
        <v>17.5</v>
      </c>
      <c r="R144" s="113" t="n">
        <v>19</v>
      </c>
      <c r="S144" s="113" t="n">
        <v>19</v>
      </c>
      <c r="T144" s="113" t="n">
        <v>19</v>
      </c>
      <c r="U144" s="113" t="n">
        <v>19</v>
      </c>
      <c r="V144" s="113" t="n">
        <v>19</v>
      </c>
      <c r="W144" s="113" t="n">
        <v>19</v>
      </c>
      <c r="X144" s="113" t="n">
        <v>19</v>
      </c>
      <c r="Y144" s="113" t="n">
        <v>19</v>
      </c>
      <c r="Z144" s="113" t="n">
        <v>19</v>
      </c>
      <c r="AA144" s="113" t="n">
        <v>19</v>
      </c>
      <c r="AB144" s="113" t="n">
        <v>19</v>
      </c>
      <c r="AC144" s="113" t="n">
        <v>19</v>
      </c>
      <c r="AD144" s="113" t="n">
        <v>19</v>
      </c>
      <c r="AE144" s="113" t="n">
        <v>19</v>
      </c>
      <c r="AF144" s="113" t="n">
        <v>19</v>
      </c>
      <c r="AG144" s="113" t="n">
        <v>19</v>
      </c>
      <c r="AI144" s="114" t="n">
        <f aca="false">INDEX($F144:$AG144,1,MATCH(AI$7,$F$7:$AG$7,1))</f>
        <v>0</v>
      </c>
      <c r="AJ144" s="114" t="n">
        <f aca="false">INDEX($F144:$AG144,1,MATCH(AJ$7,$F$7:$AG$7,1))</f>
        <v>16</v>
      </c>
      <c r="AK144" s="114" t="n">
        <f aca="false">INDEX($F144:$AG144,1,MATCH(AK$7,$F$7:$AG$7,1))</f>
        <v>17.5</v>
      </c>
      <c r="AL144" s="114" t="n">
        <f aca="false">INDEX($F144:$AG144,1,MATCH(AL$7,$F$7:$AG$7,1))</f>
        <v>19</v>
      </c>
      <c r="AM144" s="114" t="n">
        <f aca="false">INDEX($F144:$AG144,1,MATCH(AM$7,$F$7:$AG$7,1))</f>
        <v>19</v>
      </c>
      <c r="AN144" s="114" t="n">
        <f aca="false">INDEX($F144:$AG144,1,MATCH(AN$7,$F$7:$AG$7,1))</f>
        <v>19</v>
      </c>
      <c r="AO144" s="114" t="n">
        <f aca="false">INDEX($F144:$AG144,1,MATCH(AO$7,$F$7:$AG$7,1))</f>
        <v>19</v>
      </c>
    </row>
    <row r="145" customFormat="false" ht="15" hidden="false" customHeight="false" outlineLevel="0" collapsed="false">
      <c r="A145" s="112" t="s">
        <v>1781</v>
      </c>
      <c r="B145" s="24" t="s">
        <v>857</v>
      </c>
      <c r="C145" s="24" t="s">
        <v>672</v>
      </c>
      <c r="D145" s="24" t="s">
        <v>1679</v>
      </c>
      <c r="F145" s="114" t="n">
        <f aca="false">IF(CapV=2,N(F144),N(F143))</f>
        <v>0</v>
      </c>
      <c r="G145" s="114" t="n">
        <f aca="false">IF(CapV=2,N(G144),N(G143))</f>
        <v>0</v>
      </c>
      <c r="H145" s="114" t="n">
        <f aca="false">IF(CapV=2,N(H144),N(H143))</f>
        <v>0</v>
      </c>
      <c r="I145" s="114" t="n">
        <f aca="false">IF(CapV=2,N(I144),N(I143))</f>
        <v>0</v>
      </c>
      <c r="J145" s="114" t="n">
        <f aca="false">IF(CapV=2,N(J144),N(J143))</f>
        <v>0</v>
      </c>
      <c r="K145" s="114" t="n">
        <f aca="false">IF(CapV=2,N(K144),N(K143))</f>
        <v>0</v>
      </c>
      <c r="L145" s="114" t="n">
        <f aca="false">IF(CapV=2,N(L144),N(L143))</f>
        <v>0</v>
      </c>
      <c r="M145" s="114" t="n">
        <f aca="false">IF(CapV=2,N(M144),N(M143))</f>
        <v>16</v>
      </c>
      <c r="N145" s="114" t="n">
        <f aca="false">IF(CapV=2,N(N144),N(N143))</f>
        <v>16</v>
      </c>
      <c r="O145" s="114" t="n">
        <f aca="false">IF(CapV=2,N(O144),N(O143))</f>
        <v>16</v>
      </c>
      <c r="P145" s="114" t="n">
        <f aca="false">IF(CapV=2,N(P144),N(P143))</f>
        <v>16</v>
      </c>
      <c r="Q145" s="114" t="n">
        <f aca="false">IF(CapV=2,N(Q144),N(Q143))</f>
        <v>17.5</v>
      </c>
      <c r="R145" s="114" t="n">
        <f aca="false">IF(CapV=2,N(R144),N(R143))</f>
        <v>19</v>
      </c>
      <c r="S145" s="114" t="n">
        <f aca="false">IF(CapV=2,N(S144),N(S143))</f>
        <v>19</v>
      </c>
      <c r="T145" s="114" t="n">
        <f aca="false">IF(CapV=2,N(T144),N(T143))</f>
        <v>19</v>
      </c>
      <c r="U145" s="114" t="n">
        <f aca="false">IF(CapV=2,N(U144),N(U143))</f>
        <v>19</v>
      </c>
      <c r="V145" s="114" t="n">
        <f aca="false">IF(CapV=2,N(V144),N(V143))</f>
        <v>19</v>
      </c>
      <c r="W145" s="114" t="n">
        <f aca="false">IF(CapV=2,N(W144),N(W143))</f>
        <v>19</v>
      </c>
      <c r="X145" s="114" t="n">
        <f aca="false">IF(CapV=2,N(X144),N(X143))</f>
        <v>19</v>
      </c>
      <c r="Y145" s="114" t="n">
        <f aca="false">IF(CapV=2,N(Y144),N(Y143))</f>
        <v>19</v>
      </c>
      <c r="Z145" s="114" t="n">
        <f aca="false">IF(CapV=2,N(Z144),N(Z143))</f>
        <v>19</v>
      </c>
      <c r="AA145" s="114" t="n">
        <f aca="false">IF(CapV=2,N(AA144),N(AA143))</f>
        <v>19</v>
      </c>
      <c r="AB145" s="114" t="n">
        <f aca="false">IF(CapV=2,N(AB144),N(AB143))</f>
        <v>19</v>
      </c>
      <c r="AC145" s="114" t="n">
        <f aca="false">IF(CapV=2,N(AC144),N(AC143))</f>
        <v>19</v>
      </c>
      <c r="AD145" s="114" t="n">
        <f aca="false">IF(CapV=2,N(AD144),N(AD143))</f>
        <v>19</v>
      </c>
      <c r="AE145" s="114" t="n">
        <f aca="false">IF(CapV=2,N(AE144),N(AE143))</f>
        <v>19</v>
      </c>
      <c r="AF145" s="114" t="n">
        <f aca="false">IF(CapV=2,N(AF144),N(AF143))</f>
        <v>19</v>
      </c>
      <c r="AG145" s="114" t="n">
        <f aca="false">IF(CapV=2,N(AG144),N(AG143))</f>
        <v>19</v>
      </c>
      <c r="AI145" s="114" t="n">
        <f aca="false">INDEX($F145:$AG145,1,MATCH(AI$7,$F$7:$AG$7,1))</f>
        <v>0</v>
      </c>
      <c r="AJ145" s="114" t="n">
        <f aca="false">INDEX($F145:$AG145,1,MATCH(AJ$7,$F$7:$AG$7,1))</f>
        <v>16</v>
      </c>
      <c r="AK145" s="114" t="n">
        <f aca="false">INDEX($F145:$AG145,1,MATCH(AK$7,$F$7:$AG$7,1))</f>
        <v>17.5</v>
      </c>
      <c r="AL145" s="114" t="n">
        <f aca="false">INDEX($F145:$AG145,1,MATCH(AL$7,$F$7:$AG$7,1))</f>
        <v>19</v>
      </c>
      <c r="AM145" s="114" t="n">
        <f aca="false">INDEX($F145:$AG145,1,MATCH(AM$7,$F$7:$AG$7,1))</f>
        <v>19</v>
      </c>
      <c r="AN145" s="114" t="n">
        <f aca="false">INDEX($F145:$AG145,1,MATCH(AN$7,$F$7:$AG$7,1))</f>
        <v>19</v>
      </c>
      <c r="AO145" s="114" t="n">
        <f aca="false">INDEX($F145:$AG145,1,MATCH(AO$7,$F$7:$AG$7,1))</f>
        <v>19</v>
      </c>
    </row>
    <row r="146" customFormat="false" ht="15" hidden="false" customHeight="false" outlineLevel="0" collapsed="false">
      <c r="A146" s="112" t="s">
        <v>1782</v>
      </c>
      <c r="B146" s="24" t="s">
        <v>857</v>
      </c>
      <c r="C146" s="24" t="s">
        <v>690</v>
      </c>
      <c r="D146" s="24" t="s">
        <v>1675</v>
      </c>
      <c r="F146" s="113" t="n">
        <v>0</v>
      </c>
      <c r="G146" s="113" t="n">
        <v>0</v>
      </c>
      <c r="H146" s="113" t="n">
        <v>0</v>
      </c>
      <c r="I146" s="113" t="n">
        <v>0</v>
      </c>
      <c r="J146" s="113" t="n">
        <v>0</v>
      </c>
      <c r="K146" s="113" t="n">
        <v>0</v>
      </c>
      <c r="L146" s="113" t="n">
        <v>0</v>
      </c>
      <c r="M146" s="113" t="n">
        <v>16</v>
      </c>
      <c r="N146" s="113" t="n">
        <v>16</v>
      </c>
      <c r="O146" s="113" t="n">
        <v>16</v>
      </c>
      <c r="P146" s="113" t="n">
        <v>16</v>
      </c>
      <c r="Q146" s="113" t="n">
        <v>19</v>
      </c>
      <c r="R146" s="113" t="n">
        <v>19</v>
      </c>
      <c r="S146" s="113" t="n">
        <v>19</v>
      </c>
      <c r="T146" s="113" t="n">
        <v>19</v>
      </c>
      <c r="U146" s="113" t="n">
        <v>19</v>
      </c>
      <c r="V146" s="113" t="n">
        <v>19</v>
      </c>
      <c r="W146" s="113" t="n">
        <v>19</v>
      </c>
      <c r="X146" s="113" t="n">
        <v>19</v>
      </c>
      <c r="Y146" s="113" t="n">
        <v>19</v>
      </c>
      <c r="Z146" s="113" t="n">
        <v>19</v>
      </c>
      <c r="AA146" s="113" t="n">
        <v>19</v>
      </c>
      <c r="AB146" s="113" t="n">
        <v>19</v>
      </c>
      <c r="AC146" s="113" t="n">
        <v>19</v>
      </c>
      <c r="AD146" s="113" t="n">
        <v>19</v>
      </c>
      <c r="AE146" s="113" t="n">
        <v>19</v>
      </c>
      <c r="AF146" s="113" t="n">
        <v>19</v>
      </c>
      <c r="AG146" s="113" t="n">
        <v>19</v>
      </c>
      <c r="AI146" s="114" t="n">
        <f aca="false">INDEX($F146:$AG146,1,MATCH(AI$7,$F$7:$AG$7,1))</f>
        <v>0</v>
      </c>
      <c r="AJ146" s="114" t="n">
        <f aca="false">INDEX($F146:$AG146,1,MATCH(AJ$7,$F$7:$AG$7,1))</f>
        <v>16</v>
      </c>
      <c r="AK146" s="114" t="n">
        <f aca="false">INDEX($F146:$AG146,1,MATCH(AK$7,$F$7:$AG$7,1))</f>
        <v>19</v>
      </c>
      <c r="AL146" s="114" t="n">
        <f aca="false">INDEX($F146:$AG146,1,MATCH(AL$7,$F$7:$AG$7,1))</f>
        <v>19</v>
      </c>
      <c r="AM146" s="114" t="n">
        <f aca="false">INDEX($F146:$AG146,1,MATCH(AM$7,$F$7:$AG$7,1))</f>
        <v>19</v>
      </c>
      <c r="AN146" s="114" t="n">
        <f aca="false">INDEX($F146:$AG146,1,MATCH(AN$7,$F$7:$AG$7,1))</f>
        <v>19</v>
      </c>
      <c r="AO146" s="114" t="n">
        <f aca="false">INDEX($F146:$AG146,1,MATCH(AO$7,$F$7:$AG$7,1))</f>
        <v>19</v>
      </c>
    </row>
    <row r="147" customFormat="false" ht="15" hidden="false" customHeight="false" outlineLevel="0" collapsed="false">
      <c r="A147" s="112" t="s">
        <v>1783</v>
      </c>
      <c r="B147" s="24" t="s">
        <v>857</v>
      </c>
      <c r="C147" s="24" t="s">
        <v>690</v>
      </c>
      <c r="D147" s="24" t="s">
        <v>1677</v>
      </c>
      <c r="F147" s="113" t="n">
        <v>0</v>
      </c>
      <c r="G147" s="113" t="n">
        <v>0</v>
      </c>
      <c r="H147" s="113" t="n">
        <v>0</v>
      </c>
      <c r="I147" s="113" t="n">
        <v>0</v>
      </c>
      <c r="J147" s="113" t="n">
        <v>0</v>
      </c>
      <c r="K147" s="113" t="n">
        <v>0</v>
      </c>
      <c r="L147" s="113" t="n">
        <v>0</v>
      </c>
      <c r="M147" s="113" t="n">
        <v>16</v>
      </c>
      <c r="N147" s="113" t="n">
        <v>16</v>
      </c>
      <c r="O147" s="113" t="n">
        <v>16</v>
      </c>
      <c r="P147" s="113" t="n">
        <v>16</v>
      </c>
      <c r="Q147" s="113" t="n">
        <v>19</v>
      </c>
      <c r="R147" s="113" t="n">
        <v>19</v>
      </c>
      <c r="S147" s="113" t="n">
        <v>19</v>
      </c>
      <c r="T147" s="113" t="n">
        <v>19</v>
      </c>
      <c r="U147" s="113" t="n">
        <v>19</v>
      </c>
      <c r="V147" s="113" t="n">
        <v>19</v>
      </c>
      <c r="W147" s="113" t="n">
        <v>19</v>
      </c>
      <c r="X147" s="113" t="n">
        <v>19</v>
      </c>
      <c r="Y147" s="113" t="n">
        <v>19</v>
      </c>
      <c r="Z147" s="113" t="n">
        <v>19</v>
      </c>
      <c r="AA147" s="113" t="n">
        <v>19</v>
      </c>
      <c r="AB147" s="113" t="n">
        <v>19</v>
      </c>
      <c r="AC147" s="113" t="n">
        <v>19</v>
      </c>
      <c r="AD147" s="113" t="n">
        <v>19</v>
      </c>
      <c r="AE147" s="113" t="n">
        <v>19</v>
      </c>
      <c r="AF147" s="113" t="n">
        <v>19</v>
      </c>
      <c r="AG147" s="113" t="n">
        <v>19</v>
      </c>
      <c r="AI147" s="114" t="n">
        <f aca="false">INDEX($F147:$AG147,1,MATCH(AI$7,$F$7:$AG$7,1))</f>
        <v>0</v>
      </c>
      <c r="AJ147" s="114" t="n">
        <f aca="false">INDEX($F147:$AG147,1,MATCH(AJ$7,$F$7:$AG$7,1))</f>
        <v>16</v>
      </c>
      <c r="AK147" s="114" t="n">
        <f aca="false">INDEX($F147:$AG147,1,MATCH(AK$7,$F$7:$AG$7,1))</f>
        <v>19</v>
      </c>
      <c r="AL147" s="114" t="n">
        <f aca="false">INDEX($F147:$AG147,1,MATCH(AL$7,$F$7:$AG$7,1))</f>
        <v>19</v>
      </c>
      <c r="AM147" s="114" t="n">
        <f aca="false">INDEX($F147:$AG147,1,MATCH(AM$7,$F$7:$AG$7,1))</f>
        <v>19</v>
      </c>
      <c r="AN147" s="114" t="n">
        <f aca="false">INDEX($F147:$AG147,1,MATCH(AN$7,$F$7:$AG$7,1))</f>
        <v>19</v>
      </c>
      <c r="AO147" s="114" t="n">
        <f aca="false">INDEX($F147:$AG147,1,MATCH(AO$7,$F$7:$AG$7,1))</f>
        <v>19</v>
      </c>
    </row>
    <row r="148" customFormat="false" ht="15" hidden="false" customHeight="false" outlineLevel="0" collapsed="false">
      <c r="A148" s="112" t="s">
        <v>1784</v>
      </c>
      <c r="B148" s="24" t="s">
        <v>857</v>
      </c>
      <c r="C148" s="24" t="s">
        <v>672</v>
      </c>
      <c r="D148" s="24" t="s">
        <v>1679</v>
      </c>
      <c r="F148" s="114" t="n">
        <f aca="false">IF(CapV=2,N(F147),N(F146))</f>
        <v>0</v>
      </c>
      <c r="G148" s="114" t="n">
        <f aca="false">IF(CapV=2,N(G147),N(G146))</f>
        <v>0</v>
      </c>
      <c r="H148" s="114" t="n">
        <f aca="false">IF(CapV=2,N(H147),N(H146))</f>
        <v>0</v>
      </c>
      <c r="I148" s="114" t="n">
        <f aca="false">IF(CapV=2,N(I147),N(I146))</f>
        <v>0</v>
      </c>
      <c r="J148" s="114" t="n">
        <f aca="false">IF(CapV=2,N(J147),N(J146))</f>
        <v>0</v>
      </c>
      <c r="K148" s="114" t="n">
        <f aca="false">IF(CapV=2,N(K147),N(K146))</f>
        <v>0</v>
      </c>
      <c r="L148" s="114" t="n">
        <f aca="false">IF(CapV=2,N(L147),N(L146))</f>
        <v>0</v>
      </c>
      <c r="M148" s="114" t="n">
        <f aca="false">IF(CapV=2,N(M147),N(M146))</f>
        <v>16</v>
      </c>
      <c r="N148" s="114" t="n">
        <f aca="false">IF(CapV=2,N(N147),N(N146))</f>
        <v>16</v>
      </c>
      <c r="O148" s="114" t="n">
        <f aca="false">IF(CapV=2,N(O147),N(O146))</f>
        <v>16</v>
      </c>
      <c r="P148" s="114" t="n">
        <f aca="false">IF(CapV=2,N(P147),N(P146))</f>
        <v>16</v>
      </c>
      <c r="Q148" s="114" t="n">
        <f aca="false">IF(CapV=2,N(Q147),N(Q146))</f>
        <v>19</v>
      </c>
      <c r="R148" s="114" t="n">
        <f aca="false">IF(CapV=2,N(R147),N(R146))</f>
        <v>19</v>
      </c>
      <c r="S148" s="114" t="n">
        <f aca="false">IF(CapV=2,N(S147),N(S146))</f>
        <v>19</v>
      </c>
      <c r="T148" s="114" t="n">
        <f aca="false">IF(CapV=2,N(T147),N(T146))</f>
        <v>19</v>
      </c>
      <c r="U148" s="114" t="n">
        <f aca="false">IF(CapV=2,N(U147),N(U146))</f>
        <v>19</v>
      </c>
      <c r="V148" s="114" t="n">
        <f aca="false">IF(CapV=2,N(V147),N(V146))</f>
        <v>19</v>
      </c>
      <c r="W148" s="114" t="n">
        <f aca="false">IF(CapV=2,N(W147),N(W146))</f>
        <v>19</v>
      </c>
      <c r="X148" s="114" t="n">
        <f aca="false">IF(CapV=2,N(X147),N(X146))</f>
        <v>19</v>
      </c>
      <c r="Y148" s="114" t="n">
        <f aca="false">IF(CapV=2,N(Y147),N(Y146))</f>
        <v>19</v>
      </c>
      <c r="Z148" s="114" t="n">
        <f aca="false">IF(CapV=2,N(Z147),N(Z146))</f>
        <v>19</v>
      </c>
      <c r="AA148" s="114" t="n">
        <f aca="false">IF(CapV=2,N(AA147),N(AA146))</f>
        <v>19</v>
      </c>
      <c r="AB148" s="114" t="n">
        <f aca="false">IF(CapV=2,N(AB147),N(AB146))</f>
        <v>19</v>
      </c>
      <c r="AC148" s="114" t="n">
        <f aca="false">IF(CapV=2,N(AC147),N(AC146))</f>
        <v>19</v>
      </c>
      <c r="AD148" s="114" t="n">
        <f aca="false">IF(CapV=2,N(AD147),N(AD146))</f>
        <v>19</v>
      </c>
      <c r="AE148" s="114" t="n">
        <f aca="false">IF(CapV=2,N(AE147),N(AE146))</f>
        <v>19</v>
      </c>
      <c r="AF148" s="114" t="n">
        <f aca="false">IF(CapV=2,N(AF147),N(AF146))</f>
        <v>19</v>
      </c>
      <c r="AG148" s="114" t="n">
        <f aca="false">IF(CapV=2,N(AG147),N(AG146))</f>
        <v>19</v>
      </c>
      <c r="AI148" s="114" t="n">
        <f aca="false">INDEX($F148:$AG148,1,MATCH(AI$7,$F$7:$AG$7,1))</f>
        <v>0</v>
      </c>
      <c r="AJ148" s="114" t="n">
        <f aca="false">INDEX($F148:$AG148,1,MATCH(AJ$7,$F$7:$AG$7,1))</f>
        <v>16</v>
      </c>
      <c r="AK148" s="114" t="n">
        <f aca="false">INDEX($F148:$AG148,1,MATCH(AK$7,$F$7:$AG$7,1))</f>
        <v>19</v>
      </c>
      <c r="AL148" s="114" t="n">
        <f aca="false">INDEX($F148:$AG148,1,MATCH(AL$7,$F$7:$AG$7,1))</f>
        <v>19</v>
      </c>
      <c r="AM148" s="114" t="n">
        <f aca="false">INDEX($F148:$AG148,1,MATCH(AM$7,$F$7:$AG$7,1))</f>
        <v>19</v>
      </c>
      <c r="AN148" s="114" t="n">
        <f aca="false">INDEX($F148:$AG148,1,MATCH(AN$7,$F$7:$AG$7,1))</f>
        <v>19</v>
      </c>
      <c r="AO148" s="114" t="n">
        <f aca="false">INDEX($F148:$AG148,1,MATCH(AO$7,$F$7:$AG$7,1))</f>
        <v>19</v>
      </c>
    </row>
    <row r="149" customFormat="false" ht="15" hidden="false" customHeight="false" outlineLevel="0" collapsed="false">
      <c r="A149" s="112" t="s">
        <v>1785</v>
      </c>
      <c r="B149" s="24" t="s">
        <v>857</v>
      </c>
      <c r="C149" s="24" t="s">
        <v>690</v>
      </c>
      <c r="D149" s="24" t="s">
        <v>1675</v>
      </c>
      <c r="F149" s="113" t="n">
        <v>0</v>
      </c>
      <c r="G149" s="113" t="n">
        <v>0</v>
      </c>
      <c r="H149" s="113" t="n">
        <v>0</v>
      </c>
      <c r="I149" s="113" t="n">
        <v>0</v>
      </c>
      <c r="J149" s="113" t="n">
        <v>0</v>
      </c>
      <c r="K149" s="113" t="n">
        <v>0</v>
      </c>
      <c r="L149" s="113" t="n">
        <v>0</v>
      </c>
      <c r="M149" s="113" t="n">
        <v>0</v>
      </c>
      <c r="N149" s="113" t="n">
        <v>0</v>
      </c>
      <c r="O149" s="113" t="n">
        <v>0</v>
      </c>
      <c r="P149" s="113" t="n">
        <v>0</v>
      </c>
      <c r="Q149" s="113" t="n">
        <v>0</v>
      </c>
      <c r="R149" s="113" t="n">
        <v>4.4</v>
      </c>
      <c r="S149" s="113" t="n">
        <v>4.4</v>
      </c>
      <c r="T149" s="113" t="n">
        <v>22</v>
      </c>
      <c r="U149" s="113" t="n">
        <v>22</v>
      </c>
      <c r="V149" s="113" t="n">
        <v>22</v>
      </c>
      <c r="W149" s="113" t="n">
        <v>22</v>
      </c>
      <c r="X149" s="113" t="n">
        <v>22</v>
      </c>
      <c r="Y149" s="113" t="n">
        <v>22</v>
      </c>
      <c r="Z149" s="113" t="n">
        <v>22</v>
      </c>
      <c r="AA149" s="113" t="n">
        <v>22</v>
      </c>
      <c r="AB149" s="113" t="n">
        <v>22</v>
      </c>
      <c r="AC149" s="113" t="n">
        <v>22</v>
      </c>
      <c r="AD149" s="113" t="n">
        <v>22</v>
      </c>
      <c r="AE149" s="113" t="n">
        <v>22</v>
      </c>
      <c r="AF149" s="113" t="n">
        <v>22</v>
      </c>
      <c r="AG149" s="113" t="n">
        <v>22</v>
      </c>
      <c r="AI149" s="114" t="n">
        <f aca="false">INDEX($F149:$AG149,1,MATCH(AI$7,$F$7:$AG$7,1))</f>
        <v>0</v>
      </c>
      <c r="AJ149" s="114" t="n">
        <f aca="false">INDEX($F149:$AG149,1,MATCH(AJ$7,$F$7:$AG$7,1))</f>
        <v>0</v>
      </c>
      <c r="AK149" s="114" t="n">
        <f aca="false">INDEX($F149:$AG149,1,MATCH(AK$7,$F$7:$AG$7,1))</f>
        <v>0</v>
      </c>
      <c r="AL149" s="114" t="n">
        <f aca="false">INDEX($F149:$AG149,1,MATCH(AL$7,$F$7:$AG$7,1))</f>
        <v>22</v>
      </c>
      <c r="AM149" s="114" t="n">
        <f aca="false">INDEX($F149:$AG149,1,MATCH(AM$7,$F$7:$AG$7,1))</f>
        <v>22</v>
      </c>
      <c r="AN149" s="114" t="n">
        <f aca="false">INDEX($F149:$AG149,1,MATCH(AN$7,$F$7:$AG$7,1))</f>
        <v>22</v>
      </c>
      <c r="AO149" s="114" t="n">
        <f aca="false">INDEX($F149:$AG149,1,MATCH(AO$7,$F$7:$AG$7,1))</f>
        <v>22</v>
      </c>
    </row>
    <row r="150" customFormat="false" ht="15" hidden="false" customHeight="false" outlineLevel="0" collapsed="false">
      <c r="A150" s="112" t="s">
        <v>1786</v>
      </c>
      <c r="B150" s="24" t="s">
        <v>857</v>
      </c>
      <c r="C150" s="24" t="s">
        <v>690</v>
      </c>
      <c r="D150" s="24" t="s">
        <v>1677</v>
      </c>
      <c r="F150" s="113" t="n">
        <v>0</v>
      </c>
      <c r="G150" s="113" t="n">
        <v>0</v>
      </c>
      <c r="H150" s="113" t="n">
        <v>0</v>
      </c>
      <c r="I150" s="113" t="n">
        <v>0</v>
      </c>
      <c r="J150" s="113" t="n">
        <v>0</v>
      </c>
      <c r="K150" s="113" t="n">
        <v>0</v>
      </c>
      <c r="L150" s="113" t="n">
        <v>0</v>
      </c>
      <c r="M150" s="113" t="n">
        <v>0</v>
      </c>
      <c r="N150" s="113" t="n">
        <v>0</v>
      </c>
      <c r="O150" s="113" t="n">
        <v>0</v>
      </c>
      <c r="P150" s="113" t="n">
        <v>0</v>
      </c>
      <c r="Q150" s="113" t="n">
        <v>0</v>
      </c>
      <c r="R150" s="113" t="n">
        <v>4.4</v>
      </c>
      <c r="S150" s="113" t="n">
        <v>4.4</v>
      </c>
      <c r="T150" s="113" t="n">
        <v>22</v>
      </c>
      <c r="U150" s="113" t="n">
        <v>22</v>
      </c>
      <c r="V150" s="113" t="n">
        <v>22</v>
      </c>
      <c r="W150" s="113" t="n">
        <v>22</v>
      </c>
      <c r="X150" s="113" t="n">
        <v>22</v>
      </c>
      <c r="Y150" s="113" t="n">
        <v>22</v>
      </c>
      <c r="Z150" s="113" t="n">
        <v>22</v>
      </c>
      <c r="AA150" s="113" t="n">
        <v>22</v>
      </c>
      <c r="AB150" s="113" t="n">
        <v>22</v>
      </c>
      <c r="AC150" s="113" t="n">
        <v>22</v>
      </c>
      <c r="AD150" s="113" t="n">
        <v>22</v>
      </c>
      <c r="AE150" s="113" t="n">
        <v>22</v>
      </c>
      <c r="AF150" s="113" t="n">
        <v>22</v>
      </c>
      <c r="AG150" s="113" t="n">
        <v>22</v>
      </c>
      <c r="AI150" s="114" t="n">
        <f aca="false">INDEX($F150:$AG150,1,MATCH(AI$7,$F$7:$AG$7,1))</f>
        <v>0</v>
      </c>
      <c r="AJ150" s="114" t="n">
        <f aca="false">INDEX($F150:$AG150,1,MATCH(AJ$7,$F$7:$AG$7,1))</f>
        <v>0</v>
      </c>
      <c r="AK150" s="114" t="n">
        <f aca="false">INDEX($F150:$AG150,1,MATCH(AK$7,$F$7:$AG$7,1))</f>
        <v>0</v>
      </c>
      <c r="AL150" s="114" t="n">
        <f aca="false">INDEX($F150:$AG150,1,MATCH(AL$7,$F$7:$AG$7,1))</f>
        <v>22</v>
      </c>
      <c r="AM150" s="114" t="n">
        <f aca="false">INDEX($F150:$AG150,1,MATCH(AM$7,$F$7:$AG$7,1))</f>
        <v>22</v>
      </c>
      <c r="AN150" s="114" t="n">
        <f aca="false">INDEX($F150:$AG150,1,MATCH(AN$7,$F$7:$AG$7,1))</f>
        <v>22</v>
      </c>
      <c r="AO150" s="114" t="n">
        <f aca="false">INDEX($F150:$AG150,1,MATCH(AO$7,$F$7:$AG$7,1))</f>
        <v>22</v>
      </c>
    </row>
    <row r="151" customFormat="false" ht="15" hidden="false" customHeight="false" outlineLevel="0" collapsed="false">
      <c r="A151" s="112" t="s">
        <v>1787</v>
      </c>
      <c r="B151" s="24" t="s">
        <v>857</v>
      </c>
      <c r="C151" s="24" t="s">
        <v>672</v>
      </c>
      <c r="D151" s="24" t="s">
        <v>1679</v>
      </c>
      <c r="F151" s="114" t="n">
        <f aca="false">IF(CapV=2,N(F150),N(F149))</f>
        <v>0</v>
      </c>
      <c r="G151" s="114" t="n">
        <f aca="false">IF(CapV=2,N(G150),N(G149))</f>
        <v>0</v>
      </c>
      <c r="H151" s="114" t="n">
        <f aca="false">IF(CapV=2,N(H150),N(H149))</f>
        <v>0</v>
      </c>
      <c r="I151" s="114" t="n">
        <f aca="false">IF(CapV=2,N(I150),N(I149))</f>
        <v>0</v>
      </c>
      <c r="J151" s="114" t="n">
        <f aca="false">IF(CapV=2,N(J150),N(J149))</f>
        <v>0</v>
      </c>
      <c r="K151" s="114" t="n">
        <f aca="false">IF(CapV=2,N(K150),N(K149))</f>
        <v>0</v>
      </c>
      <c r="L151" s="114" t="n">
        <f aca="false">IF(CapV=2,N(L150),N(L149))</f>
        <v>0</v>
      </c>
      <c r="M151" s="114" t="n">
        <f aca="false">IF(CapV=2,N(M150),N(M149))</f>
        <v>0</v>
      </c>
      <c r="N151" s="114" t="n">
        <f aca="false">IF(CapV=2,N(N150),N(N149))</f>
        <v>0</v>
      </c>
      <c r="O151" s="114" t="n">
        <f aca="false">IF(CapV=2,N(O150),N(O149))</f>
        <v>0</v>
      </c>
      <c r="P151" s="114" t="n">
        <f aca="false">IF(CapV=2,N(P150),N(P149))</f>
        <v>0</v>
      </c>
      <c r="Q151" s="114" t="n">
        <f aca="false">IF(CapV=2,N(Q150),N(Q149))</f>
        <v>0</v>
      </c>
      <c r="R151" s="114" t="n">
        <f aca="false">IF(CapV=2,N(R150),N(R149))</f>
        <v>4.4</v>
      </c>
      <c r="S151" s="114" t="n">
        <f aca="false">IF(CapV=2,N(S150),N(S149))</f>
        <v>4.4</v>
      </c>
      <c r="T151" s="114" t="n">
        <f aca="false">IF(CapV=2,N(T150),N(T149))</f>
        <v>22</v>
      </c>
      <c r="U151" s="114" t="n">
        <f aca="false">IF(CapV=2,N(U150),N(U149))</f>
        <v>22</v>
      </c>
      <c r="V151" s="114" t="n">
        <f aca="false">IF(CapV=2,N(V150),N(V149))</f>
        <v>22</v>
      </c>
      <c r="W151" s="114" t="n">
        <f aca="false">IF(CapV=2,N(W150),N(W149))</f>
        <v>22</v>
      </c>
      <c r="X151" s="114" t="n">
        <f aca="false">IF(CapV=2,N(X150),N(X149))</f>
        <v>22</v>
      </c>
      <c r="Y151" s="114" t="n">
        <f aca="false">IF(CapV=2,N(Y150),N(Y149))</f>
        <v>22</v>
      </c>
      <c r="Z151" s="114" t="n">
        <f aca="false">IF(CapV=2,N(Z150),N(Z149))</f>
        <v>22</v>
      </c>
      <c r="AA151" s="114" t="n">
        <f aca="false">IF(CapV=2,N(AA150),N(AA149))</f>
        <v>22</v>
      </c>
      <c r="AB151" s="114" t="n">
        <f aca="false">IF(CapV=2,N(AB150),N(AB149))</f>
        <v>22</v>
      </c>
      <c r="AC151" s="114" t="n">
        <f aca="false">IF(CapV=2,N(AC150),N(AC149))</f>
        <v>22</v>
      </c>
      <c r="AD151" s="114" t="n">
        <f aca="false">IF(CapV=2,N(AD150),N(AD149))</f>
        <v>22</v>
      </c>
      <c r="AE151" s="114" t="n">
        <f aca="false">IF(CapV=2,N(AE150),N(AE149))</f>
        <v>22</v>
      </c>
      <c r="AF151" s="114" t="n">
        <f aca="false">IF(CapV=2,N(AF150),N(AF149))</f>
        <v>22</v>
      </c>
      <c r="AG151" s="114" t="n">
        <f aca="false">IF(CapV=2,N(AG150),N(AG149))</f>
        <v>22</v>
      </c>
      <c r="AI151" s="114" t="n">
        <f aca="false">INDEX($F151:$AG151,1,MATCH(AI$7,$F$7:$AG$7,1))</f>
        <v>0</v>
      </c>
      <c r="AJ151" s="114" t="n">
        <f aca="false">INDEX($F151:$AG151,1,MATCH(AJ$7,$F$7:$AG$7,1))</f>
        <v>0</v>
      </c>
      <c r="AK151" s="114" t="n">
        <f aca="false">INDEX($F151:$AG151,1,MATCH(AK$7,$F$7:$AG$7,1))</f>
        <v>0</v>
      </c>
      <c r="AL151" s="114" t="n">
        <f aca="false">INDEX($F151:$AG151,1,MATCH(AL$7,$F$7:$AG$7,1))</f>
        <v>22</v>
      </c>
      <c r="AM151" s="114" t="n">
        <f aca="false">INDEX($F151:$AG151,1,MATCH(AM$7,$F$7:$AG$7,1))</f>
        <v>22</v>
      </c>
      <c r="AN151" s="114" t="n">
        <f aca="false">INDEX($F151:$AG151,1,MATCH(AN$7,$F$7:$AG$7,1))</f>
        <v>22</v>
      </c>
      <c r="AO151" s="114" t="n">
        <f aca="false">INDEX($F151:$AG151,1,MATCH(AO$7,$F$7:$AG$7,1))</f>
        <v>22</v>
      </c>
    </row>
    <row r="152" customFormat="false" ht="15" hidden="false" customHeight="false" outlineLevel="0" collapsed="false">
      <c r="A152" s="112" t="s">
        <v>1788</v>
      </c>
      <c r="B152" s="24" t="s">
        <v>857</v>
      </c>
      <c r="C152" s="24" t="s">
        <v>690</v>
      </c>
      <c r="D152" s="24" t="s">
        <v>1675</v>
      </c>
      <c r="F152" s="113" t="n">
        <v>0</v>
      </c>
      <c r="G152" s="113" t="n">
        <v>0</v>
      </c>
      <c r="H152" s="113" t="n">
        <v>0</v>
      </c>
      <c r="I152" s="113" t="n">
        <v>0</v>
      </c>
      <c r="J152" s="113" t="n">
        <v>0</v>
      </c>
      <c r="K152" s="113" t="n">
        <v>0</v>
      </c>
      <c r="L152" s="113" t="n">
        <v>0</v>
      </c>
      <c r="M152" s="113" t="n">
        <v>0</v>
      </c>
      <c r="N152" s="113" t="n">
        <v>0</v>
      </c>
      <c r="O152" s="113" t="n">
        <v>0</v>
      </c>
      <c r="P152" s="113" t="n">
        <v>0</v>
      </c>
      <c r="Q152" s="113" t="n">
        <v>2.2</v>
      </c>
      <c r="R152" s="113" t="n">
        <v>13.2</v>
      </c>
      <c r="S152" s="113" t="n">
        <v>13.2</v>
      </c>
      <c r="T152" s="113" t="n">
        <v>22</v>
      </c>
      <c r="U152" s="113" t="n">
        <v>22</v>
      </c>
      <c r="V152" s="113" t="n">
        <v>22</v>
      </c>
      <c r="W152" s="113" t="n">
        <v>22</v>
      </c>
      <c r="X152" s="113" t="n">
        <v>22</v>
      </c>
      <c r="Y152" s="113" t="n">
        <v>22</v>
      </c>
      <c r="Z152" s="113" t="n">
        <v>22</v>
      </c>
      <c r="AA152" s="113" t="n">
        <v>22</v>
      </c>
      <c r="AB152" s="113" t="n">
        <v>22</v>
      </c>
      <c r="AC152" s="113" t="n">
        <v>22</v>
      </c>
      <c r="AD152" s="113" t="n">
        <v>22</v>
      </c>
      <c r="AE152" s="113" t="n">
        <v>22</v>
      </c>
      <c r="AF152" s="113" t="n">
        <v>22</v>
      </c>
      <c r="AG152" s="113" t="n">
        <v>22</v>
      </c>
      <c r="AI152" s="114" t="n">
        <f aca="false">INDEX($F152:$AG152,1,MATCH(AI$7,$F$7:$AG$7,1))</f>
        <v>0</v>
      </c>
      <c r="AJ152" s="114" t="n">
        <f aca="false">INDEX($F152:$AG152,1,MATCH(AJ$7,$F$7:$AG$7,1))</f>
        <v>0</v>
      </c>
      <c r="AK152" s="114" t="n">
        <f aca="false">INDEX($F152:$AG152,1,MATCH(AK$7,$F$7:$AG$7,1))</f>
        <v>2.2</v>
      </c>
      <c r="AL152" s="114" t="n">
        <f aca="false">INDEX($F152:$AG152,1,MATCH(AL$7,$F$7:$AG$7,1))</f>
        <v>22</v>
      </c>
      <c r="AM152" s="114" t="n">
        <f aca="false">INDEX($F152:$AG152,1,MATCH(AM$7,$F$7:$AG$7,1))</f>
        <v>22</v>
      </c>
      <c r="AN152" s="114" t="n">
        <f aca="false">INDEX($F152:$AG152,1,MATCH(AN$7,$F$7:$AG$7,1))</f>
        <v>22</v>
      </c>
      <c r="AO152" s="114" t="n">
        <f aca="false">INDEX($F152:$AG152,1,MATCH(AO$7,$F$7:$AG$7,1))</f>
        <v>22</v>
      </c>
    </row>
    <row r="153" customFormat="false" ht="15" hidden="false" customHeight="false" outlineLevel="0" collapsed="false">
      <c r="A153" s="112" t="s">
        <v>1789</v>
      </c>
      <c r="B153" s="24" t="s">
        <v>857</v>
      </c>
      <c r="C153" s="24" t="s">
        <v>690</v>
      </c>
      <c r="D153" s="24" t="s">
        <v>1677</v>
      </c>
      <c r="F153" s="113" t="n">
        <v>0</v>
      </c>
      <c r="G153" s="113" t="n">
        <v>0</v>
      </c>
      <c r="H153" s="113" t="n">
        <v>0</v>
      </c>
      <c r="I153" s="113" t="n">
        <v>0</v>
      </c>
      <c r="J153" s="113" t="n">
        <v>0</v>
      </c>
      <c r="K153" s="113" t="n">
        <v>0</v>
      </c>
      <c r="L153" s="113" t="n">
        <v>0</v>
      </c>
      <c r="M153" s="113" t="n">
        <v>0</v>
      </c>
      <c r="N153" s="113" t="n">
        <v>0</v>
      </c>
      <c r="O153" s="113" t="n">
        <v>0</v>
      </c>
      <c r="P153" s="113" t="n">
        <v>0</v>
      </c>
      <c r="Q153" s="113" t="n">
        <v>2.2</v>
      </c>
      <c r="R153" s="113" t="n">
        <v>13.2</v>
      </c>
      <c r="S153" s="113" t="n">
        <v>13.2</v>
      </c>
      <c r="T153" s="113" t="n">
        <v>22</v>
      </c>
      <c r="U153" s="113" t="n">
        <v>22</v>
      </c>
      <c r="V153" s="113" t="n">
        <v>22</v>
      </c>
      <c r="W153" s="113" t="n">
        <v>22</v>
      </c>
      <c r="X153" s="113" t="n">
        <v>22</v>
      </c>
      <c r="Y153" s="113" t="n">
        <v>22</v>
      </c>
      <c r="Z153" s="113" t="n">
        <v>22</v>
      </c>
      <c r="AA153" s="113" t="n">
        <v>22</v>
      </c>
      <c r="AB153" s="113" t="n">
        <v>22</v>
      </c>
      <c r="AC153" s="113" t="n">
        <v>22</v>
      </c>
      <c r="AD153" s="113" t="n">
        <v>22</v>
      </c>
      <c r="AE153" s="113" t="n">
        <v>22</v>
      </c>
      <c r="AF153" s="113" t="n">
        <v>22</v>
      </c>
      <c r="AG153" s="113" t="n">
        <v>22</v>
      </c>
      <c r="AI153" s="114" t="n">
        <f aca="false">INDEX($F153:$AG153,1,MATCH(AI$7,$F$7:$AG$7,1))</f>
        <v>0</v>
      </c>
      <c r="AJ153" s="114" t="n">
        <f aca="false">INDEX($F153:$AG153,1,MATCH(AJ$7,$F$7:$AG$7,1))</f>
        <v>0</v>
      </c>
      <c r="AK153" s="114" t="n">
        <f aca="false">INDEX($F153:$AG153,1,MATCH(AK$7,$F$7:$AG$7,1))</f>
        <v>2.2</v>
      </c>
      <c r="AL153" s="114" t="n">
        <f aca="false">INDEX($F153:$AG153,1,MATCH(AL$7,$F$7:$AG$7,1))</f>
        <v>22</v>
      </c>
      <c r="AM153" s="114" t="n">
        <f aca="false">INDEX($F153:$AG153,1,MATCH(AM$7,$F$7:$AG$7,1))</f>
        <v>22</v>
      </c>
      <c r="AN153" s="114" t="n">
        <f aca="false">INDEX($F153:$AG153,1,MATCH(AN$7,$F$7:$AG$7,1))</f>
        <v>22</v>
      </c>
      <c r="AO153" s="114" t="n">
        <f aca="false">INDEX($F153:$AG153,1,MATCH(AO$7,$F$7:$AG$7,1))</f>
        <v>22</v>
      </c>
    </row>
    <row r="154" customFormat="false" ht="15" hidden="false" customHeight="false" outlineLevel="0" collapsed="false">
      <c r="A154" s="112" t="s">
        <v>1790</v>
      </c>
      <c r="B154" s="24" t="s">
        <v>857</v>
      </c>
      <c r="C154" s="24" t="s">
        <v>672</v>
      </c>
      <c r="D154" s="24" t="s">
        <v>1679</v>
      </c>
      <c r="F154" s="114" t="n">
        <f aca="false">IF(CapV=2,N(F153),N(F152))</f>
        <v>0</v>
      </c>
      <c r="G154" s="114" t="n">
        <f aca="false">IF(CapV=2,N(G153),N(G152))</f>
        <v>0</v>
      </c>
      <c r="H154" s="114" t="n">
        <f aca="false">IF(CapV=2,N(H153),N(H152))</f>
        <v>0</v>
      </c>
      <c r="I154" s="114" t="n">
        <f aca="false">IF(CapV=2,N(I153),N(I152))</f>
        <v>0</v>
      </c>
      <c r="J154" s="114" t="n">
        <f aca="false">IF(CapV=2,N(J153),N(J152))</f>
        <v>0</v>
      </c>
      <c r="K154" s="114" t="n">
        <f aca="false">IF(CapV=2,N(K153),N(K152))</f>
        <v>0</v>
      </c>
      <c r="L154" s="114" t="n">
        <f aca="false">IF(CapV=2,N(L153),N(L152))</f>
        <v>0</v>
      </c>
      <c r="M154" s="114" t="n">
        <f aca="false">IF(CapV=2,N(M153),N(M152))</f>
        <v>0</v>
      </c>
      <c r="N154" s="114" t="n">
        <f aca="false">IF(CapV=2,N(N153),N(N152))</f>
        <v>0</v>
      </c>
      <c r="O154" s="114" t="n">
        <f aca="false">IF(CapV=2,N(O153),N(O152))</f>
        <v>0</v>
      </c>
      <c r="P154" s="114" t="n">
        <f aca="false">IF(CapV=2,N(P153),N(P152))</f>
        <v>0</v>
      </c>
      <c r="Q154" s="114" t="n">
        <f aca="false">IF(CapV=2,N(Q153),N(Q152))</f>
        <v>2.2</v>
      </c>
      <c r="R154" s="114" t="n">
        <f aca="false">IF(CapV=2,N(R153),N(R152))</f>
        <v>13.2</v>
      </c>
      <c r="S154" s="114" t="n">
        <f aca="false">IF(CapV=2,N(S153),N(S152))</f>
        <v>13.2</v>
      </c>
      <c r="T154" s="114" t="n">
        <f aca="false">IF(CapV=2,N(T153),N(T152))</f>
        <v>22</v>
      </c>
      <c r="U154" s="114" t="n">
        <f aca="false">IF(CapV=2,N(U153),N(U152))</f>
        <v>22</v>
      </c>
      <c r="V154" s="114" t="n">
        <f aca="false">IF(CapV=2,N(V153),N(V152))</f>
        <v>22</v>
      </c>
      <c r="W154" s="114" t="n">
        <f aca="false">IF(CapV=2,N(W153),N(W152))</f>
        <v>22</v>
      </c>
      <c r="X154" s="114" t="n">
        <f aca="false">IF(CapV=2,N(X153),N(X152))</f>
        <v>22</v>
      </c>
      <c r="Y154" s="114" t="n">
        <f aca="false">IF(CapV=2,N(Y153),N(Y152))</f>
        <v>22</v>
      </c>
      <c r="Z154" s="114" t="n">
        <f aca="false">IF(CapV=2,N(Z153),N(Z152))</f>
        <v>22</v>
      </c>
      <c r="AA154" s="114" t="n">
        <f aca="false">IF(CapV=2,N(AA153),N(AA152))</f>
        <v>22</v>
      </c>
      <c r="AB154" s="114" t="n">
        <f aca="false">IF(CapV=2,N(AB153),N(AB152))</f>
        <v>22</v>
      </c>
      <c r="AC154" s="114" t="n">
        <f aca="false">IF(CapV=2,N(AC153),N(AC152))</f>
        <v>22</v>
      </c>
      <c r="AD154" s="114" t="n">
        <f aca="false">IF(CapV=2,N(AD153),N(AD152))</f>
        <v>22</v>
      </c>
      <c r="AE154" s="114" t="n">
        <f aca="false">IF(CapV=2,N(AE153),N(AE152))</f>
        <v>22</v>
      </c>
      <c r="AF154" s="114" t="n">
        <f aca="false">IF(CapV=2,N(AF153),N(AF152))</f>
        <v>22</v>
      </c>
      <c r="AG154" s="114" t="n">
        <f aca="false">IF(CapV=2,N(AG153),N(AG152))</f>
        <v>22</v>
      </c>
      <c r="AI154" s="114" t="n">
        <f aca="false">INDEX($F154:$AG154,1,MATCH(AI$7,$F$7:$AG$7,1))</f>
        <v>0</v>
      </c>
      <c r="AJ154" s="114" t="n">
        <f aca="false">INDEX($F154:$AG154,1,MATCH(AJ$7,$F$7:$AG$7,1))</f>
        <v>0</v>
      </c>
      <c r="AK154" s="114" t="n">
        <f aca="false">INDEX($F154:$AG154,1,MATCH(AK$7,$F$7:$AG$7,1))</f>
        <v>2.2</v>
      </c>
      <c r="AL154" s="114" t="n">
        <f aca="false">INDEX($F154:$AG154,1,MATCH(AL$7,$F$7:$AG$7,1))</f>
        <v>22</v>
      </c>
      <c r="AM154" s="114" t="n">
        <f aca="false">INDEX($F154:$AG154,1,MATCH(AM$7,$F$7:$AG$7,1))</f>
        <v>22</v>
      </c>
      <c r="AN154" s="114" t="n">
        <f aca="false">INDEX($F154:$AG154,1,MATCH(AN$7,$F$7:$AG$7,1))</f>
        <v>22</v>
      </c>
      <c r="AO154" s="114" t="n">
        <f aca="false">INDEX($F154:$AG154,1,MATCH(AO$7,$F$7:$AG$7,1))</f>
        <v>22</v>
      </c>
    </row>
    <row r="155" customFormat="false" ht="15" hidden="false" customHeight="false" outlineLevel="0" collapsed="false">
      <c r="A155" s="112" t="s">
        <v>1791</v>
      </c>
      <c r="B155" s="24" t="s">
        <v>857</v>
      </c>
      <c r="C155" s="24" t="s">
        <v>690</v>
      </c>
      <c r="D155" s="24" t="s">
        <v>1675</v>
      </c>
      <c r="F155" s="113" t="n">
        <v>0</v>
      </c>
      <c r="G155" s="113" t="n">
        <v>0</v>
      </c>
      <c r="H155" s="113" t="n">
        <v>0</v>
      </c>
      <c r="I155" s="113" t="n">
        <v>0</v>
      </c>
      <c r="J155" s="113" t="n">
        <v>0</v>
      </c>
      <c r="K155" s="113" t="n">
        <v>0</v>
      </c>
      <c r="L155" s="113" t="n">
        <v>0</v>
      </c>
      <c r="M155" s="113" t="n">
        <v>0</v>
      </c>
      <c r="N155" s="113" t="n">
        <v>0</v>
      </c>
      <c r="O155" s="113" t="n">
        <v>0</v>
      </c>
      <c r="P155" s="113" t="n">
        <v>0</v>
      </c>
      <c r="Q155" s="113" t="n">
        <v>4.4</v>
      </c>
      <c r="R155" s="113" t="n">
        <v>22</v>
      </c>
      <c r="S155" s="113" t="n">
        <v>22</v>
      </c>
      <c r="T155" s="113" t="n">
        <v>22</v>
      </c>
      <c r="U155" s="113" t="n">
        <v>22</v>
      </c>
      <c r="V155" s="113" t="n">
        <v>22</v>
      </c>
      <c r="W155" s="113" t="n">
        <v>22</v>
      </c>
      <c r="X155" s="113" t="n">
        <v>22</v>
      </c>
      <c r="Y155" s="113" t="n">
        <v>22</v>
      </c>
      <c r="Z155" s="113" t="n">
        <v>22</v>
      </c>
      <c r="AA155" s="113" t="n">
        <v>22</v>
      </c>
      <c r="AB155" s="113" t="n">
        <v>22</v>
      </c>
      <c r="AC155" s="113" t="n">
        <v>22</v>
      </c>
      <c r="AD155" s="113" t="n">
        <v>22</v>
      </c>
      <c r="AE155" s="113" t="n">
        <v>22</v>
      </c>
      <c r="AF155" s="113" t="n">
        <v>22</v>
      </c>
      <c r="AG155" s="113" t="n">
        <v>22</v>
      </c>
      <c r="AI155" s="114" t="n">
        <f aca="false">INDEX($F155:$AG155,1,MATCH(AI$7,$F$7:$AG$7,1))</f>
        <v>0</v>
      </c>
      <c r="AJ155" s="114" t="n">
        <f aca="false">INDEX($F155:$AG155,1,MATCH(AJ$7,$F$7:$AG$7,1))</f>
        <v>0</v>
      </c>
      <c r="AK155" s="114" t="n">
        <f aca="false">INDEX($F155:$AG155,1,MATCH(AK$7,$F$7:$AG$7,1))</f>
        <v>4.4</v>
      </c>
      <c r="AL155" s="114" t="n">
        <f aca="false">INDEX($F155:$AG155,1,MATCH(AL$7,$F$7:$AG$7,1))</f>
        <v>22</v>
      </c>
      <c r="AM155" s="114" t="n">
        <f aca="false">INDEX($F155:$AG155,1,MATCH(AM$7,$F$7:$AG$7,1))</f>
        <v>22</v>
      </c>
      <c r="AN155" s="114" t="n">
        <f aca="false">INDEX($F155:$AG155,1,MATCH(AN$7,$F$7:$AG$7,1))</f>
        <v>22</v>
      </c>
      <c r="AO155" s="114" t="n">
        <f aca="false">INDEX($F155:$AG155,1,MATCH(AO$7,$F$7:$AG$7,1))</f>
        <v>22</v>
      </c>
    </row>
    <row r="156" customFormat="false" ht="15" hidden="false" customHeight="false" outlineLevel="0" collapsed="false">
      <c r="A156" s="112" t="s">
        <v>1792</v>
      </c>
      <c r="B156" s="24" t="s">
        <v>857</v>
      </c>
      <c r="C156" s="24" t="s">
        <v>690</v>
      </c>
      <c r="D156" s="24" t="s">
        <v>1677</v>
      </c>
      <c r="F156" s="113" t="n">
        <v>0</v>
      </c>
      <c r="G156" s="113" t="n">
        <v>0</v>
      </c>
      <c r="H156" s="113" t="n">
        <v>0</v>
      </c>
      <c r="I156" s="113" t="n">
        <v>0</v>
      </c>
      <c r="J156" s="113" t="n">
        <v>0</v>
      </c>
      <c r="K156" s="113" t="n">
        <v>0</v>
      </c>
      <c r="L156" s="113" t="n">
        <v>0</v>
      </c>
      <c r="M156" s="113" t="n">
        <v>0</v>
      </c>
      <c r="N156" s="113" t="n">
        <v>0</v>
      </c>
      <c r="O156" s="113" t="n">
        <v>0</v>
      </c>
      <c r="P156" s="113" t="n">
        <v>0</v>
      </c>
      <c r="Q156" s="113" t="n">
        <v>4.4</v>
      </c>
      <c r="R156" s="113" t="n">
        <v>22</v>
      </c>
      <c r="S156" s="113" t="n">
        <v>22</v>
      </c>
      <c r="T156" s="113" t="n">
        <v>22</v>
      </c>
      <c r="U156" s="113" t="n">
        <v>22</v>
      </c>
      <c r="V156" s="113" t="n">
        <v>22</v>
      </c>
      <c r="W156" s="113" t="n">
        <v>22</v>
      </c>
      <c r="X156" s="113" t="n">
        <v>22</v>
      </c>
      <c r="Y156" s="113" t="n">
        <v>22</v>
      </c>
      <c r="Z156" s="113" t="n">
        <v>22</v>
      </c>
      <c r="AA156" s="113" t="n">
        <v>22</v>
      </c>
      <c r="AB156" s="113" t="n">
        <v>22</v>
      </c>
      <c r="AC156" s="113" t="n">
        <v>22</v>
      </c>
      <c r="AD156" s="113" t="n">
        <v>22</v>
      </c>
      <c r="AE156" s="113" t="n">
        <v>22</v>
      </c>
      <c r="AF156" s="113" t="n">
        <v>22</v>
      </c>
      <c r="AG156" s="113" t="n">
        <v>22</v>
      </c>
      <c r="AI156" s="114" t="n">
        <f aca="false">INDEX($F156:$AG156,1,MATCH(AI$7,$F$7:$AG$7,1))</f>
        <v>0</v>
      </c>
      <c r="AJ156" s="114" t="n">
        <f aca="false">INDEX($F156:$AG156,1,MATCH(AJ$7,$F$7:$AG$7,1))</f>
        <v>0</v>
      </c>
      <c r="AK156" s="114" t="n">
        <f aca="false">INDEX($F156:$AG156,1,MATCH(AK$7,$F$7:$AG$7,1))</f>
        <v>4.4</v>
      </c>
      <c r="AL156" s="114" t="n">
        <f aca="false">INDEX($F156:$AG156,1,MATCH(AL$7,$F$7:$AG$7,1))</f>
        <v>22</v>
      </c>
      <c r="AM156" s="114" t="n">
        <f aca="false">INDEX($F156:$AG156,1,MATCH(AM$7,$F$7:$AG$7,1))</f>
        <v>22</v>
      </c>
      <c r="AN156" s="114" t="n">
        <f aca="false">INDEX($F156:$AG156,1,MATCH(AN$7,$F$7:$AG$7,1))</f>
        <v>22</v>
      </c>
      <c r="AO156" s="114" t="n">
        <f aca="false">INDEX($F156:$AG156,1,MATCH(AO$7,$F$7:$AG$7,1))</f>
        <v>22</v>
      </c>
    </row>
    <row r="157" customFormat="false" ht="15" hidden="false" customHeight="false" outlineLevel="0" collapsed="false">
      <c r="A157" s="112" t="s">
        <v>1793</v>
      </c>
      <c r="B157" s="24" t="s">
        <v>857</v>
      </c>
      <c r="C157" s="24" t="s">
        <v>672</v>
      </c>
      <c r="D157" s="24" t="s">
        <v>1679</v>
      </c>
      <c r="F157" s="114" t="n">
        <f aca="false">IF(CapV=2,N(F156),N(F155))</f>
        <v>0</v>
      </c>
      <c r="G157" s="114" t="n">
        <f aca="false">IF(CapV=2,N(G156),N(G155))</f>
        <v>0</v>
      </c>
      <c r="H157" s="114" t="n">
        <f aca="false">IF(CapV=2,N(H156),N(H155))</f>
        <v>0</v>
      </c>
      <c r="I157" s="114" t="n">
        <f aca="false">IF(CapV=2,N(I156),N(I155))</f>
        <v>0</v>
      </c>
      <c r="J157" s="114" t="n">
        <f aca="false">IF(CapV=2,N(J156),N(J155))</f>
        <v>0</v>
      </c>
      <c r="K157" s="114" t="n">
        <f aca="false">IF(CapV=2,N(K156),N(K155))</f>
        <v>0</v>
      </c>
      <c r="L157" s="114" t="n">
        <f aca="false">IF(CapV=2,N(L156),N(L155))</f>
        <v>0</v>
      </c>
      <c r="M157" s="114" t="n">
        <f aca="false">IF(CapV=2,N(M156),N(M155))</f>
        <v>0</v>
      </c>
      <c r="N157" s="114" t="n">
        <f aca="false">IF(CapV=2,N(N156),N(N155))</f>
        <v>0</v>
      </c>
      <c r="O157" s="114" t="n">
        <f aca="false">IF(CapV=2,N(O156),N(O155))</f>
        <v>0</v>
      </c>
      <c r="P157" s="114" t="n">
        <f aca="false">IF(CapV=2,N(P156),N(P155))</f>
        <v>0</v>
      </c>
      <c r="Q157" s="114" t="n">
        <f aca="false">IF(CapV=2,N(Q156),N(Q155))</f>
        <v>4.4</v>
      </c>
      <c r="R157" s="114" t="n">
        <f aca="false">IF(CapV=2,N(R156),N(R155))</f>
        <v>22</v>
      </c>
      <c r="S157" s="114" t="n">
        <f aca="false">IF(CapV=2,N(S156),N(S155))</f>
        <v>22</v>
      </c>
      <c r="T157" s="114" t="n">
        <f aca="false">IF(CapV=2,N(T156),N(T155))</f>
        <v>22</v>
      </c>
      <c r="U157" s="114" t="n">
        <f aca="false">IF(CapV=2,N(U156),N(U155))</f>
        <v>22</v>
      </c>
      <c r="V157" s="114" t="n">
        <f aca="false">IF(CapV=2,N(V156),N(V155))</f>
        <v>22</v>
      </c>
      <c r="W157" s="114" t="n">
        <f aca="false">IF(CapV=2,N(W156),N(W155))</f>
        <v>22</v>
      </c>
      <c r="X157" s="114" t="n">
        <f aca="false">IF(CapV=2,N(X156),N(X155))</f>
        <v>22</v>
      </c>
      <c r="Y157" s="114" t="n">
        <f aca="false">IF(CapV=2,N(Y156),N(Y155))</f>
        <v>22</v>
      </c>
      <c r="Z157" s="114" t="n">
        <f aca="false">IF(CapV=2,N(Z156),N(Z155))</f>
        <v>22</v>
      </c>
      <c r="AA157" s="114" t="n">
        <f aca="false">IF(CapV=2,N(AA156),N(AA155))</f>
        <v>22</v>
      </c>
      <c r="AB157" s="114" t="n">
        <f aca="false">IF(CapV=2,N(AB156),N(AB155))</f>
        <v>22</v>
      </c>
      <c r="AC157" s="114" t="n">
        <f aca="false">IF(CapV=2,N(AC156),N(AC155))</f>
        <v>22</v>
      </c>
      <c r="AD157" s="114" t="n">
        <f aca="false">IF(CapV=2,N(AD156),N(AD155))</f>
        <v>22</v>
      </c>
      <c r="AE157" s="114" t="n">
        <f aca="false">IF(CapV=2,N(AE156),N(AE155))</f>
        <v>22</v>
      </c>
      <c r="AF157" s="114" t="n">
        <f aca="false">IF(CapV=2,N(AF156),N(AF155))</f>
        <v>22</v>
      </c>
      <c r="AG157" s="114" t="n">
        <f aca="false">IF(CapV=2,N(AG156),N(AG155))</f>
        <v>22</v>
      </c>
      <c r="AI157" s="114" t="n">
        <f aca="false">INDEX($F157:$AG157,1,MATCH(AI$7,$F$7:$AG$7,1))</f>
        <v>0</v>
      </c>
      <c r="AJ157" s="114" t="n">
        <f aca="false">INDEX($F157:$AG157,1,MATCH(AJ$7,$F$7:$AG$7,1))</f>
        <v>0</v>
      </c>
      <c r="AK157" s="114" t="n">
        <f aca="false">INDEX($F157:$AG157,1,MATCH(AK$7,$F$7:$AG$7,1))</f>
        <v>4.4</v>
      </c>
      <c r="AL157" s="114" t="n">
        <f aca="false">INDEX($F157:$AG157,1,MATCH(AL$7,$F$7:$AG$7,1))</f>
        <v>22</v>
      </c>
      <c r="AM157" s="114" t="n">
        <f aca="false">INDEX($F157:$AG157,1,MATCH(AM$7,$F$7:$AG$7,1))</f>
        <v>22</v>
      </c>
      <c r="AN157" s="114" t="n">
        <f aca="false">INDEX($F157:$AG157,1,MATCH(AN$7,$F$7:$AG$7,1))</f>
        <v>22</v>
      </c>
      <c r="AO157" s="114" t="n">
        <f aca="false">INDEX($F157:$AG157,1,MATCH(AO$7,$F$7:$AG$7,1))</f>
        <v>22</v>
      </c>
    </row>
    <row r="158" customFormat="false" ht="15" hidden="false" customHeight="false" outlineLevel="0" collapsed="false">
      <c r="A158" s="112" t="s">
        <v>1794</v>
      </c>
      <c r="B158" s="24" t="s">
        <v>857</v>
      </c>
      <c r="C158" s="24" t="s">
        <v>690</v>
      </c>
      <c r="D158" s="24" t="s">
        <v>1675</v>
      </c>
      <c r="AI158" s="114" t="n">
        <f aca="false">INDEX($F158:$AG158,1,MATCH(AI$7,$F$7:$AG$7,1))</f>
        <v>0</v>
      </c>
      <c r="AJ158" s="114" t="n">
        <f aca="false">INDEX($F158:$AG158,1,MATCH(AJ$7,$F$7:$AG$7,1))</f>
        <v>0</v>
      </c>
      <c r="AK158" s="114" t="n">
        <f aca="false">INDEX($F158:$AG158,1,MATCH(AK$7,$F$7:$AG$7,1))</f>
        <v>0</v>
      </c>
      <c r="AL158" s="114" t="n">
        <f aca="false">INDEX($F158:$AG158,1,MATCH(AL$7,$F$7:$AG$7,1))</f>
        <v>0</v>
      </c>
      <c r="AM158" s="114" t="n">
        <f aca="false">INDEX($F158:$AG158,1,MATCH(AM$7,$F$7:$AG$7,1))</f>
        <v>0</v>
      </c>
      <c r="AN158" s="114" t="n">
        <f aca="false">INDEX($F158:$AG158,1,MATCH(AN$7,$F$7:$AG$7,1))</f>
        <v>0</v>
      </c>
      <c r="AO158" s="114" t="n">
        <f aca="false">INDEX($F158:$AG158,1,MATCH(AO$7,$F$7:$AG$7,1))</f>
        <v>0</v>
      </c>
    </row>
    <row r="159" customFormat="false" ht="15" hidden="false" customHeight="false" outlineLevel="0" collapsed="false">
      <c r="A159" s="112" t="s">
        <v>1795</v>
      </c>
      <c r="B159" s="24" t="s">
        <v>857</v>
      </c>
      <c r="C159" s="24" t="s">
        <v>690</v>
      </c>
      <c r="D159" s="24" t="s">
        <v>1677</v>
      </c>
      <c r="F159" s="113" t="n">
        <v>0</v>
      </c>
      <c r="G159" s="113" t="n">
        <v>0</v>
      </c>
      <c r="H159" s="113" t="n">
        <v>0</v>
      </c>
      <c r="I159" s="113" t="n">
        <v>0</v>
      </c>
      <c r="J159" s="113" t="n">
        <v>0</v>
      </c>
      <c r="K159" s="113" t="n">
        <v>0</v>
      </c>
      <c r="L159" s="113" t="n">
        <v>0</v>
      </c>
      <c r="M159" s="113" t="n">
        <v>0</v>
      </c>
      <c r="N159" s="113" t="n">
        <v>0</v>
      </c>
      <c r="O159" s="113" t="n">
        <v>0</v>
      </c>
      <c r="P159" s="113" t="n">
        <v>0</v>
      </c>
      <c r="Q159" s="113" t="n">
        <v>0</v>
      </c>
      <c r="R159" s="113" t="n">
        <v>0</v>
      </c>
      <c r="S159" s="113" t="n">
        <v>0</v>
      </c>
      <c r="T159" s="113" t="n">
        <v>0</v>
      </c>
      <c r="U159" s="113" t="n">
        <v>0</v>
      </c>
      <c r="V159" s="113" t="n">
        <v>0</v>
      </c>
      <c r="W159" s="113" t="n">
        <v>0</v>
      </c>
      <c r="X159" s="113" t="n">
        <v>0</v>
      </c>
      <c r="Y159" s="113" t="n">
        <v>0</v>
      </c>
      <c r="Z159" s="113" t="n">
        <v>0</v>
      </c>
      <c r="AA159" s="113" t="n">
        <v>0</v>
      </c>
      <c r="AB159" s="113" t="n">
        <v>0</v>
      </c>
      <c r="AC159" s="113" t="n">
        <v>0</v>
      </c>
      <c r="AD159" s="113" t="n">
        <v>0</v>
      </c>
      <c r="AE159" s="113" t="n">
        <v>0</v>
      </c>
      <c r="AF159" s="113" t="n">
        <v>0</v>
      </c>
      <c r="AG159" s="113" t="n">
        <v>0</v>
      </c>
      <c r="AI159" s="114" t="n">
        <f aca="false">INDEX($F159:$AG159,1,MATCH(AI$7,$F$7:$AG$7,1))</f>
        <v>0</v>
      </c>
      <c r="AJ159" s="114" t="n">
        <f aca="false">INDEX($F159:$AG159,1,MATCH(AJ$7,$F$7:$AG$7,1))</f>
        <v>0</v>
      </c>
      <c r="AK159" s="114" t="n">
        <f aca="false">INDEX($F159:$AG159,1,MATCH(AK$7,$F$7:$AG$7,1))</f>
        <v>0</v>
      </c>
      <c r="AL159" s="114" t="n">
        <f aca="false">INDEX($F159:$AG159,1,MATCH(AL$7,$F$7:$AG$7,1))</f>
        <v>0</v>
      </c>
      <c r="AM159" s="114" t="n">
        <f aca="false">INDEX($F159:$AG159,1,MATCH(AM$7,$F$7:$AG$7,1))</f>
        <v>0</v>
      </c>
      <c r="AN159" s="114" t="n">
        <f aca="false">INDEX($F159:$AG159,1,MATCH(AN$7,$F$7:$AG$7,1))</f>
        <v>0</v>
      </c>
      <c r="AO159" s="114" t="n">
        <f aca="false">INDEX($F159:$AG159,1,MATCH(AO$7,$F$7:$AG$7,1))</f>
        <v>0</v>
      </c>
    </row>
    <row r="160" customFormat="false" ht="15" hidden="false" customHeight="false" outlineLevel="0" collapsed="false">
      <c r="A160" s="112" t="s">
        <v>1796</v>
      </c>
      <c r="B160" s="24" t="s">
        <v>857</v>
      </c>
      <c r="C160" s="24" t="s">
        <v>672</v>
      </c>
      <c r="D160" s="24" t="s">
        <v>1679</v>
      </c>
      <c r="F160" s="114" t="n">
        <f aca="false">IF(CapV=2,N(F159),N(F158))</f>
        <v>0</v>
      </c>
      <c r="G160" s="114" t="n">
        <f aca="false">IF(CapV=2,N(G159),N(G158))</f>
        <v>0</v>
      </c>
      <c r="H160" s="114" t="n">
        <f aca="false">IF(CapV=2,N(H159),N(H158))</f>
        <v>0</v>
      </c>
      <c r="I160" s="114" t="n">
        <f aca="false">IF(CapV=2,N(I159),N(I158))</f>
        <v>0</v>
      </c>
      <c r="J160" s="114" t="n">
        <f aca="false">IF(CapV=2,N(J159),N(J158))</f>
        <v>0</v>
      </c>
      <c r="K160" s="114" t="n">
        <f aca="false">IF(CapV=2,N(K159),N(K158))</f>
        <v>0</v>
      </c>
      <c r="L160" s="114" t="n">
        <f aca="false">IF(CapV=2,N(L159),N(L158))</f>
        <v>0</v>
      </c>
      <c r="M160" s="114" t="n">
        <f aca="false">IF(CapV=2,N(M159),N(M158))</f>
        <v>0</v>
      </c>
      <c r="N160" s="114" t="n">
        <f aca="false">IF(CapV=2,N(N159),N(N158))</f>
        <v>0</v>
      </c>
      <c r="O160" s="114" t="n">
        <f aca="false">IF(CapV=2,N(O159),N(O158))</f>
        <v>0</v>
      </c>
      <c r="P160" s="114" t="n">
        <f aca="false">IF(CapV=2,N(P159),N(P158))</f>
        <v>0</v>
      </c>
      <c r="Q160" s="114" t="n">
        <f aca="false">IF(CapV=2,N(Q159),N(Q158))</f>
        <v>0</v>
      </c>
      <c r="R160" s="114" t="n">
        <f aca="false">IF(CapV=2,N(R159),N(R158))</f>
        <v>0</v>
      </c>
      <c r="S160" s="114" t="n">
        <f aca="false">IF(CapV=2,N(S159),N(S158))</f>
        <v>0</v>
      </c>
      <c r="T160" s="114" t="n">
        <f aca="false">IF(CapV=2,N(T159),N(T158))</f>
        <v>0</v>
      </c>
      <c r="U160" s="114" t="n">
        <f aca="false">IF(CapV=2,N(U159),N(U158))</f>
        <v>0</v>
      </c>
      <c r="V160" s="114" t="n">
        <f aca="false">IF(CapV=2,N(V159),N(V158))</f>
        <v>0</v>
      </c>
      <c r="W160" s="114" t="n">
        <f aca="false">IF(CapV=2,N(W159),N(W158))</f>
        <v>0</v>
      </c>
      <c r="X160" s="114" t="n">
        <f aca="false">IF(CapV=2,N(X159),N(X158))</f>
        <v>0</v>
      </c>
      <c r="Y160" s="114" t="n">
        <f aca="false">IF(CapV=2,N(Y159),N(Y158))</f>
        <v>0</v>
      </c>
      <c r="Z160" s="114" t="n">
        <f aca="false">IF(CapV=2,N(Z159),N(Z158))</f>
        <v>0</v>
      </c>
      <c r="AA160" s="114" t="n">
        <f aca="false">IF(CapV=2,N(AA159),N(AA158))</f>
        <v>0</v>
      </c>
      <c r="AB160" s="114" t="n">
        <f aca="false">IF(CapV=2,N(AB159),N(AB158))</f>
        <v>0</v>
      </c>
      <c r="AC160" s="114" t="n">
        <f aca="false">IF(CapV=2,N(AC159),N(AC158))</f>
        <v>0</v>
      </c>
      <c r="AD160" s="114" t="n">
        <f aca="false">IF(CapV=2,N(AD159),N(AD158))</f>
        <v>0</v>
      </c>
      <c r="AE160" s="114" t="n">
        <f aca="false">IF(CapV=2,N(AE159),N(AE158))</f>
        <v>0</v>
      </c>
      <c r="AF160" s="114" t="n">
        <f aca="false">IF(CapV=2,N(AF159),N(AF158))</f>
        <v>0</v>
      </c>
      <c r="AG160" s="114" t="n">
        <f aca="false">IF(CapV=2,N(AG159),N(AG158))</f>
        <v>0</v>
      </c>
      <c r="AI160" s="114" t="n">
        <f aca="false">INDEX($F160:$AG160,1,MATCH(AI$7,$F$7:$AG$7,1))</f>
        <v>0</v>
      </c>
      <c r="AJ160" s="114" t="n">
        <f aca="false">INDEX($F160:$AG160,1,MATCH(AJ$7,$F$7:$AG$7,1))</f>
        <v>0</v>
      </c>
      <c r="AK160" s="114" t="n">
        <f aca="false">INDEX($F160:$AG160,1,MATCH(AK$7,$F$7:$AG$7,1))</f>
        <v>0</v>
      </c>
      <c r="AL160" s="114" t="n">
        <f aca="false">INDEX($F160:$AG160,1,MATCH(AL$7,$F$7:$AG$7,1))</f>
        <v>0</v>
      </c>
      <c r="AM160" s="114" t="n">
        <f aca="false">INDEX($F160:$AG160,1,MATCH(AM$7,$F$7:$AG$7,1))</f>
        <v>0</v>
      </c>
      <c r="AN160" s="114" t="n">
        <f aca="false">INDEX($F160:$AG160,1,MATCH(AN$7,$F$7:$AG$7,1))</f>
        <v>0</v>
      </c>
      <c r="AO160" s="114" t="n">
        <f aca="false">INDEX($F160:$AG160,1,MATCH(AO$7,$F$7:$AG$7,1))</f>
        <v>0</v>
      </c>
    </row>
    <row r="161" customFormat="false" ht="15" hidden="false" customHeight="false" outlineLevel="0" collapsed="false">
      <c r="A161" s="112" t="s">
        <v>1797</v>
      </c>
      <c r="B161" s="24" t="s">
        <v>857</v>
      </c>
      <c r="C161" s="24" t="s">
        <v>690</v>
      </c>
      <c r="D161" s="24" t="s">
        <v>1675</v>
      </c>
      <c r="AI161" s="114" t="n">
        <f aca="false">INDEX($F161:$AG161,1,MATCH(AI$7,$F$7:$AG$7,1))</f>
        <v>0</v>
      </c>
      <c r="AJ161" s="114" t="n">
        <f aca="false">INDEX($F161:$AG161,1,MATCH(AJ$7,$F$7:$AG$7,1))</f>
        <v>0</v>
      </c>
      <c r="AK161" s="114" t="n">
        <f aca="false">INDEX($F161:$AG161,1,MATCH(AK$7,$F$7:$AG$7,1))</f>
        <v>0</v>
      </c>
      <c r="AL161" s="114" t="n">
        <f aca="false">INDEX($F161:$AG161,1,MATCH(AL$7,$F$7:$AG$7,1))</f>
        <v>0</v>
      </c>
      <c r="AM161" s="114" t="n">
        <f aca="false">INDEX($F161:$AG161,1,MATCH(AM$7,$F$7:$AG$7,1))</f>
        <v>0</v>
      </c>
      <c r="AN161" s="114" t="n">
        <f aca="false">INDEX($F161:$AG161,1,MATCH(AN$7,$F$7:$AG$7,1))</f>
        <v>0</v>
      </c>
      <c r="AO161" s="114" t="n">
        <f aca="false">INDEX($F161:$AG161,1,MATCH(AO$7,$F$7:$AG$7,1))</f>
        <v>0</v>
      </c>
    </row>
    <row r="162" customFormat="false" ht="15" hidden="false" customHeight="false" outlineLevel="0" collapsed="false">
      <c r="A162" s="112" t="s">
        <v>1798</v>
      </c>
      <c r="B162" s="24" t="s">
        <v>857</v>
      </c>
      <c r="C162" s="24" t="s">
        <v>690</v>
      </c>
      <c r="D162" s="24" t="s">
        <v>1677</v>
      </c>
      <c r="F162" s="113" t="n">
        <v>0</v>
      </c>
      <c r="G162" s="113" t="n">
        <v>0</v>
      </c>
      <c r="H162" s="113" t="n">
        <v>0</v>
      </c>
      <c r="I162" s="113" t="n">
        <v>0</v>
      </c>
      <c r="J162" s="113" t="n">
        <v>0</v>
      </c>
      <c r="K162" s="113" t="n">
        <v>0</v>
      </c>
      <c r="L162" s="113" t="n">
        <v>0</v>
      </c>
      <c r="M162" s="113" t="n">
        <v>0</v>
      </c>
      <c r="N162" s="113" t="n">
        <v>0</v>
      </c>
      <c r="O162" s="113" t="n">
        <v>0</v>
      </c>
      <c r="P162" s="113" t="n">
        <v>0</v>
      </c>
      <c r="Q162" s="113" t="n">
        <v>0</v>
      </c>
      <c r="R162" s="113" t="n">
        <v>0</v>
      </c>
      <c r="S162" s="113" t="n">
        <v>2.5</v>
      </c>
      <c r="T162" s="113" t="n">
        <v>6</v>
      </c>
      <c r="U162" s="113" t="n">
        <v>7</v>
      </c>
      <c r="V162" s="113" t="n">
        <v>7</v>
      </c>
      <c r="W162" s="113" t="n">
        <v>7</v>
      </c>
      <c r="X162" s="113" t="n">
        <v>7</v>
      </c>
      <c r="Y162" s="113" t="n">
        <v>7</v>
      </c>
      <c r="Z162" s="113" t="n">
        <v>7</v>
      </c>
      <c r="AA162" s="113" t="n">
        <v>7</v>
      </c>
      <c r="AB162" s="113" t="n">
        <v>7</v>
      </c>
      <c r="AC162" s="113" t="n">
        <v>7</v>
      </c>
      <c r="AD162" s="113" t="n">
        <v>7</v>
      </c>
      <c r="AE162" s="113" t="n">
        <v>7</v>
      </c>
      <c r="AF162" s="113" t="n">
        <v>7</v>
      </c>
      <c r="AG162" s="113" t="n">
        <v>7</v>
      </c>
      <c r="AI162" s="114" t="n">
        <f aca="false">INDEX($F162:$AG162,1,MATCH(AI$7,$F$7:$AG$7,1))</f>
        <v>0</v>
      </c>
      <c r="AJ162" s="114" t="n">
        <f aca="false">INDEX($F162:$AG162,1,MATCH(AJ$7,$F$7:$AG$7,1))</f>
        <v>0</v>
      </c>
      <c r="AK162" s="114" t="n">
        <f aca="false">INDEX($F162:$AG162,1,MATCH(AK$7,$F$7:$AG$7,1))</f>
        <v>0</v>
      </c>
      <c r="AL162" s="114" t="n">
        <f aca="false">INDEX($F162:$AG162,1,MATCH(AL$7,$F$7:$AG$7,1))</f>
        <v>7</v>
      </c>
      <c r="AM162" s="114" t="n">
        <f aca="false">INDEX($F162:$AG162,1,MATCH(AM$7,$F$7:$AG$7,1))</f>
        <v>7</v>
      </c>
      <c r="AN162" s="114" t="n">
        <f aca="false">INDEX($F162:$AG162,1,MATCH(AN$7,$F$7:$AG$7,1))</f>
        <v>7</v>
      </c>
      <c r="AO162" s="114" t="n">
        <f aca="false">INDEX($F162:$AG162,1,MATCH(AO$7,$F$7:$AG$7,1))</f>
        <v>7</v>
      </c>
    </row>
    <row r="163" customFormat="false" ht="15" hidden="false" customHeight="false" outlineLevel="0" collapsed="false">
      <c r="A163" s="112" t="s">
        <v>1799</v>
      </c>
      <c r="B163" s="24" t="s">
        <v>857</v>
      </c>
      <c r="C163" s="24" t="s">
        <v>672</v>
      </c>
      <c r="D163" s="24" t="s">
        <v>1679</v>
      </c>
      <c r="F163" s="114" t="n">
        <f aca="false">IF(CapV=2,N(F162),N(F161))</f>
        <v>0</v>
      </c>
      <c r="G163" s="114" t="n">
        <f aca="false">IF(CapV=2,N(G162),N(G161))</f>
        <v>0</v>
      </c>
      <c r="H163" s="114" t="n">
        <f aca="false">IF(CapV=2,N(H162),N(H161))</f>
        <v>0</v>
      </c>
      <c r="I163" s="114" t="n">
        <f aca="false">IF(CapV=2,N(I162),N(I161))</f>
        <v>0</v>
      </c>
      <c r="J163" s="114" t="n">
        <f aca="false">IF(CapV=2,N(J162),N(J161))</f>
        <v>0</v>
      </c>
      <c r="K163" s="114" t="n">
        <f aca="false">IF(CapV=2,N(K162),N(K161))</f>
        <v>0</v>
      </c>
      <c r="L163" s="114" t="n">
        <f aca="false">IF(CapV=2,N(L162),N(L161))</f>
        <v>0</v>
      </c>
      <c r="M163" s="114" t="n">
        <f aca="false">IF(CapV=2,N(M162),N(M161))</f>
        <v>0</v>
      </c>
      <c r="N163" s="114" t="n">
        <f aca="false">IF(CapV=2,N(N162),N(N161))</f>
        <v>0</v>
      </c>
      <c r="O163" s="114" t="n">
        <f aca="false">IF(CapV=2,N(O162),N(O161))</f>
        <v>0</v>
      </c>
      <c r="P163" s="114" t="n">
        <f aca="false">IF(CapV=2,N(P162),N(P161))</f>
        <v>0</v>
      </c>
      <c r="Q163" s="114" t="n">
        <f aca="false">IF(CapV=2,N(Q162),N(Q161))</f>
        <v>0</v>
      </c>
      <c r="R163" s="114" t="n">
        <f aca="false">IF(CapV=2,N(R162),N(R161))</f>
        <v>0</v>
      </c>
      <c r="S163" s="114" t="n">
        <f aca="false">IF(CapV=2,N(S162),N(S161))</f>
        <v>2.5</v>
      </c>
      <c r="T163" s="114" t="n">
        <f aca="false">IF(CapV=2,N(T162),N(T161))</f>
        <v>6</v>
      </c>
      <c r="U163" s="114" t="n">
        <f aca="false">IF(CapV=2,N(U162),N(U161))</f>
        <v>7</v>
      </c>
      <c r="V163" s="114" t="n">
        <f aca="false">IF(CapV=2,N(V162),N(V161))</f>
        <v>7</v>
      </c>
      <c r="W163" s="114" t="n">
        <f aca="false">IF(CapV=2,N(W162),N(W161))</f>
        <v>7</v>
      </c>
      <c r="X163" s="114" t="n">
        <f aca="false">IF(CapV=2,N(X162),N(X161))</f>
        <v>7</v>
      </c>
      <c r="Y163" s="114" t="n">
        <f aca="false">IF(CapV=2,N(Y162),N(Y161))</f>
        <v>7</v>
      </c>
      <c r="Z163" s="114" t="n">
        <f aca="false">IF(CapV=2,N(Z162),N(Z161))</f>
        <v>7</v>
      </c>
      <c r="AA163" s="114" t="n">
        <f aca="false">IF(CapV=2,N(AA162),N(AA161))</f>
        <v>7</v>
      </c>
      <c r="AB163" s="114" t="n">
        <f aca="false">IF(CapV=2,N(AB162),N(AB161))</f>
        <v>7</v>
      </c>
      <c r="AC163" s="114" t="n">
        <f aca="false">IF(CapV=2,N(AC162),N(AC161))</f>
        <v>7</v>
      </c>
      <c r="AD163" s="114" t="n">
        <f aca="false">IF(CapV=2,N(AD162),N(AD161))</f>
        <v>7</v>
      </c>
      <c r="AE163" s="114" t="n">
        <f aca="false">IF(CapV=2,N(AE162),N(AE161))</f>
        <v>7</v>
      </c>
      <c r="AF163" s="114" t="n">
        <f aca="false">IF(CapV=2,N(AF162),N(AF161))</f>
        <v>7</v>
      </c>
      <c r="AG163" s="114" t="n">
        <f aca="false">IF(CapV=2,N(AG162),N(AG161))</f>
        <v>7</v>
      </c>
      <c r="AI163" s="114" t="n">
        <f aca="false">INDEX($F163:$AG163,1,MATCH(AI$7,$F$7:$AG$7,1))</f>
        <v>0</v>
      </c>
      <c r="AJ163" s="114" t="n">
        <f aca="false">INDEX($F163:$AG163,1,MATCH(AJ$7,$F$7:$AG$7,1))</f>
        <v>0</v>
      </c>
      <c r="AK163" s="114" t="n">
        <f aca="false">INDEX($F163:$AG163,1,MATCH(AK$7,$F$7:$AG$7,1))</f>
        <v>0</v>
      </c>
      <c r="AL163" s="114" t="n">
        <f aca="false">INDEX($F163:$AG163,1,MATCH(AL$7,$F$7:$AG$7,1))</f>
        <v>7</v>
      </c>
      <c r="AM163" s="114" t="n">
        <f aca="false">INDEX($F163:$AG163,1,MATCH(AM$7,$F$7:$AG$7,1))</f>
        <v>7</v>
      </c>
      <c r="AN163" s="114" t="n">
        <f aca="false">INDEX($F163:$AG163,1,MATCH(AN$7,$F$7:$AG$7,1))</f>
        <v>7</v>
      </c>
      <c r="AO163" s="114" t="n">
        <f aca="false">INDEX($F163:$AG163,1,MATCH(AO$7,$F$7:$AG$7,1))</f>
        <v>7</v>
      </c>
    </row>
    <row r="164" customFormat="false" ht="15" hidden="false" customHeight="false" outlineLevel="0" collapsed="false">
      <c r="A164" s="112" t="s">
        <v>1800</v>
      </c>
      <c r="B164" s="24" t="s">
        <v>857</v>
      </c>
      <c r="C164" s="24" t="s">
        <v>690</v>
      </c>
      <c r="D164" s="24" t="s">
        <v>1675</v>
      </c>
      <c r="AI164" s="114" t="n">
        <f aca="false">INDEX($F164:$AG164,1,MATCH(AI$7,$F$7:$AG$7,1))</f>
        <v>0</v>
      </c>
      <c r="AJ164" s="114" t="n">
        <f aca="false">INDEX($F164:$AG164,1,MATCH(AJ$7,$F$7:$AG$7,1))</f>
        <v>0</v>
      </c>
      <c r="AK164" s="114" t="n">
        <f aca="false">INDEX($F164:$AG164,1,MATCH(AK$7,$F$7:$AG$7,1))</f>
        <v>0</v>
      </c>
      <c r="AL164" s="114" t="n">
        <f aca="false">INDEX($F164:$AG164,1,MATCH(AL$7,$F$7:$AG$7,1))</f>
        <v>0</v>
      </c>
      <c r="AM164" s="114" t="n">
        <f aca="false">INDEX($F164:$AG164,1,MATCH(AM$7,$F$7:$AG$7,1))</f>
        <v>0</v>
      </c>
      <c r="AN164" s="114" t="n">
        <f aca="false">INDEX($F164:$AG164,1,MATCH(AN$7,$F$7:$AG$7,1))</f>
        <v>0</v>
      </c>
      <c r="AO164" s="114" t="n">
        <f aca="false">INDEX($F164:$AG164,1,MATCH(AO$7,$F$7:$AG$7,1))</f>
        <v>0</v>
      </c>
    </row>
    <row r="165" customFormat="false" ht="15" hidden="false" customHeight="false" outlineLevel="0" collapsed="false">
      <c r="A165" s="112" t="s">
        <v>1801</v>
      </c>
      <c r="B165" s="24" t="s">
        <v>857</v>
      </c>
      <c r="C165" s="24" t="s">
        <v>690</v>
      </c>
      <c r="D165" s="24" t="s">
        <v>1677</v>
      </c>
      <c r="F165" s="113" t="n">
        <v>0</v>
      </c>
      <c r="G165" s="113" t="n">
        <v>0</v>
      </c>
      <c r="H165" s="113" t="n">
        <v>0</v>
      </c>
      <c r="I165" s="113" t="n">
        <v>0</v>
      </c>
      <c r="J165" s="113" t="n">
        <v>0</v>
      </c>
      <c r="K165" s="113" t="n">
        <v>0</v>
      </c>
      <c r="L165" s="113" t="n">
        <v>0</v>
      </c>
      <c r="M165" s="113" t="n">
        <v>0</v>
      </c>
      <c r="N165" s="113" t="n">
        <v>0</v>
      </c>
      <c r="O165" s="113" t="n">
        <v>0</v>
      </c>
      <c r="P165" s="113" t="n">
        <v>0</v>
      </c>
      <c r="Q165" s="113" t="n">
        <v>0</v>
      </c>
      <c r="R165" s="113" t="n">
        <v>0</v>
      </c>
      <c r="S165" s="113" t="n">
        <v>5</v>
      </c>
      <c r="T165" s="113" t="n">
        <v>12</v>
      </c>
      <c r="U165" s="113" t="n">
        <v>14</v>
      </c>
      <c r="V165" s="113" t="n">
        <v>14</v>
      </c>
      <c r="W165" s="113" t="n">
        <v>14</v>
      </c>
      <c r="X165" s="113" t="n">
        <v>14</v>
      </c>
      <c r="Y165" s="113" t="n">
        <v>14</v>
      </c>
      <c r="Z165" s="113" t="n">
        <v>14</v>
      </c>
      <c r="AA165" s="113" t="n">
        <v>14</v>
      </c>
      <c r="AB165" s="113" t="n">
        <v>14</v>
      </c>
      <c r="AC165" s="113" t="n">
        <v>14</v>
      </c>
      <c r="AD165" s="113" t="n">
        <v>14</v>
      </c>
      <c r="AE165" s="113" t="n">
        <v>14</v>
      </c>
      <c r="AF165" s="113" t="n">
        <v>14</v>
      </c>
      <c r="AG165" s="113" t="n">
        <v>14</v>
      </c>
      <c r="AI165" s="114" t="n">
        <f aca="false">INDEX($F165:$AG165,1,MATCH(AI$7,$F$7:$AG$7,1))</f>
        <v>0</v>
      </c>
      <c r="AJ165" s="114" t="n">
        <f aca="false">INDEX($F165:$AG165,1,MATCH(AJ$7,$F$7:$AG$7,1))</f>
        <v>0</v>
      </c>
      <c r="AK165" s="114" t="n">
        <f aca="false">INDEX($F165:$AG165,1,MATCH(AK$7,$F$7:$AG$7,1))</f>
        <v>0</v>
      </c>
      <c r="AL165" s="114" t="n">
        <f aca="false">INDEX($F165:$AG165,1,MATCH(AL$7,$F$7:$AG$7,1))</f>
        <v>14</v>
      </c>
      <c r="AM165" s="114" t="n">
        <f aca="false">INDEX($F165:$AG165,1,MATCH(AM$7,$F$7:$AG$7,1))</f>
        <v>14</v>
      </c>
      <c r="AN165" s="114" t="n">
        <f aca="false">INDEX($F165:$AG165,1,MATCH(AN$7,$F$7:$AG$7,1))</f>
        <v>14</v>
      </c>
      <c r="AO165" s="114" t="n">
        <f aca="false">INDEX($F165:$AG165,1,MATCH(AO$7,$F$7:$AG$7,1))</f>
        <v>14</v>
      </c>
    </row>
    <row r="166" customFormat="false" ht="15" hidden="false" customHeight="false" outlineLevel="0" collapsed="false">
      <c r="A166" s="112" t="s">
        <v>1802</v>
      </c>
      <c r="B166" s="24" t="s">
        <v>857</v>
      </c>
      <c r="C166" s="24" t="s">
        <v>672</v>
      </c>
      <c r="D166" s="24" t="s">
        <v>1679</v>
      </c>
      <c r="F166" s="114" t="n">
        <f aca="false">IF(CapV=2,N(F165),N(F164))</f>
        <v>0</v>
      </c>
      <c r="G166" s="114" t="n">
        <f aca="false">IF(CapV=2,N(G165),N(G164))</f>
        <v>0</v>
      </c>
      <c r="H166" s="114" t="n">
        <f aca="false">IF(CapV=2,N(H165),N(H164))</f>
        <v>0</v>
      </c>
      <c r="I166" s="114" t="n">
        <f aca="false">IF(CapV=2,N(I165),N(I164))</f>
        <v>0</v>
      </c>
      <c r="J166" s="114" t="n">
        <f aca="false">IF(CapV=2,N(J165),N(J164))</f>
        <v>0</v>
      </c>
      <c r="K166" s="114" t="n">
        <f aca="false">IF(CapV=2,N(K165),N(K164))</f>
        <v>0</v>
      </c>
      <c r="L166" s="114" t="n">
        <f aca="false">IF(CapV=2,N(L165),N(L164))</f>
        <v>0</v>
      </c>
      <c r="M166" s="114" t="n">
        <f aca="false">IF(CapV=2,N(M165),N(M164))</f>
        <v>0</v>
      </c>
      <c r="N166" s="114" t="n">
        <f aca="false">IF(CapV=2,N(N165),N(N164))</f>
        <v>0</v>
      </c>
      <c r="O166" s="114" t="n">
        <f aca="false">IF(CapV=2,N(O165),N(O164))</f>
        <v>0</v>
      </c>
      <c r="P166" s="114" t="n">
        <f aca="false">IF(CapV=2,N(P165),N(P164))</f>
        <v>0</v>
      </c>
      <c r="Q166" s="114" t="n">
        <f aca="false">IF(CapV=2,N(Q165),N(Q164))</f>
        <v>0</v>
      </c>
      <c r="R166" s="114" t="n">
        <f aca="false">IF(CapV=2,N(R165),N(R164))</f>
        <v>0</v>
      </c>
      <c r="S166" s="114" t="n">
        <f aca="false">IF(CapV=2,N(S165),N(S164))</f>
        <v>5</v>
      </c>
      <c r="T166" s="114" t="n">
        <f aca="false">IF(CapV=2,N(T165),N(T164))</f>
        <v>12</v>
      </c>
      <c r="U166" s="114" t="n">
        <f aca="false">IF(CapV=2,N(U165),N(U164))</f>
        <v>14</v>
      </c>
      <c r="V166" s="114" t="n">
        <f aca="false">IF(CapV=2,N(V165),N(V164))</f>
        <v>14</v>
      </c>
      <c r="W166" s="114" t="n">
        <f aca="false">IF(CapV=2,N(W165),N(W164))</f>
        <v>14</v>
      </c>
      <c r="X166" s="114" t="n">
        <f aca="false">IF(CapV=2,N(X165),N(X164))</f>
        <v>14</v>
      </c>
      <c r="Y166" s="114" t="n">
        <f aca="false">IF(CapV=2,N(Y165),N(Y164))</f>
        <v>14</v>
      </c>
      <c r="Z166" s="114" t="n">
        <f aca="false">IF(CapV=2,N(Z165),N(Z164))</f>
        <v>14</v>
      </c>
      <c r="AA166" s="114" t="n">
        <f aca="false">IF(CapV=2,N(AA165),N(AA164))</f>
        <v>14</v>
      </c>
      <c r="AB166" s="114" t="n">
        <f aca="false">IF(CapV=2,N(AB165),N(AB164))</f>
        <v>14</v>
      </c>
      <c r="AC166" s="114" t="n">
        <f aca="false">IF(CapV=2,N(AC165),N(AC164))</f>
        <v>14</v>
      </c>
      <c r="AD166" s="114" t="n">
        <f aca="false">IF(CapV=2,N(AD165),N(AD164))</f>
        <v>14</v>
      </c>
      <c r="AE166" s="114" t="n">
        <f aca="false">IF(CapV=2,N(AE165),N(AE164))</f>
        <v>14</v>
      </c>
      <c r="AF166" s="114" t="n">
        <f aca="false">IF(CapV=2,N(AF165),N(AF164))</f>
        <v>14</v>
      </c>
      <c r="AG166" s="114" t="n">
        <f aca="false">IF(CapV=2,N(AG165),N(AG164))</f>
        <v>14</v>
      </c>
      <c r="AI166" s="114" t="n">
        <f aca="false">INDEX($F166:$AG166,1,MATCH(AI$7,$F$7:$AG$7,1))</f>
        <v>0</v>
      </c>
      <c r="AJ166" s="114" t="n">
        <f aca="false">INDEX($F166:$AG166,1,MATCH(AJ$7,$F$7:$AG$7,1))</f>
        <v>0</v>
      </c>
      <c r="AK166" s="114" t="n">
        <f aca="false">INDEX($F166:$AG166,1,MATCH(AK$7,$F$7:$AG$7,1))</f>
        <v>0</v>
      </c>
      <c r="AL166" s="114" t="n">
        <f aca="false">INDEX($F166:$AG166,1,MATCH(AL$7,$F$7:$AG$7,1))</f>
        <v>14</v>
      </c>
      <c r="AM166" s="114" t="n">
        <f aca="false">INDEX($F166:$AG166,1,MATCH(AM$7,$F$7:$AG$7,1))</f>
        <v>14</v>
      </c>
      <c r="AN166" s="114" t="n">
        <f aca="false">INDEX($F166:$AG166,1,MATCH(AN$7,$F$7:$AG$7,1))</f>
        <v>14</v>
      </c>
      <c r="AO166" s="114" t="n">
        <f aca="false">INDEX($F166:$AG166,1,MATCH(AO$7,$F$7:$AG$7,1))</f>
        <v>14</v>
      </c>
    </row>
    <row r="167" customFormat="false" ht="15" hidden="false" customHeight="false" outlineLevel="0" collapsed="false">
      <c r="A167" s="112" t="s">
        <v>1803</v>
      </c>
      <c r="B167" s="24" t="s">
        <v>857</v>
      </c>
      <c r="C167" s="24" t="s">
        <v>690</v>
      </c>
      <c r="D167" s="24" t="s">
        <v>1675</v>
      </c>
      <c r="F167" s="113" t="n">
        <v>0</v>
      </c>
      <c r="G167" s="113" t="n">
        <v>0</v>
      </c>
      <c r="H167" s="113" t="n">
        <v>0</v>
      </c>
      <c r="I167" s="113" t="n">
        <v>0</v>
      </c>
      <c r="J167" s="113" t="n">
        <v>0</v>
      </c>
      <c r="K167" s="113" t="n">
        <v>0</v>
      </c>
      <c r="L167" s="113" t="n">
        <v>0</v>
      </c>
      <c r="M167" s="113" t="n">
        <v>8</v>
      </c>
      <c r="N167" s="113" t="n">
        <v>8</v>
      </c>
      <c r="O167" s="113" t="n">
        <v>8</v>
      </c>
      <c r="P167" s="113" t="n">
        <v>8</v>
      </c>
      <c r="Q167" s="113" t="n">
        <v>8</v>
      </c>
      <c r="R167" s="113" t="n">
        <v>8</v>
      </c>
      <c r="S167" s="113" t="n">
        <v>8</v>
      </c>
      <c r="T167" s="113" t="n">
        <v>8</v>
      </c>
      <c r="U167" s="113" t="n">
        <v>8</v>
      </c>
      <c r="V167" s="113" t="n">
        <v>8</v>
      </c>
      <c r="W167" s="113" t="n">
        <v>8</v>
      </c>
      <c r="X167" s="113" t="n">
        <v>8</v>
      </c>
      <c r="Y167" s="113" t="n">
        <v>8</v>
      </c>
      <c r="Z167" s="113" t="n">
        <v>8</v>
      </c>
      <c r="AA167" s="113" t="n">
        <v>8</v>
      </c>
      <c r="AB167" s="113" t="n">
        <v>8</v>
      </c>
      <c r="AC167" s="113" t="n">
        <v>8</v>
      </c>
      <c r="AD167" s="113" t="n">
        <v>8</v>
      </c>
      <c r="AE167" s="113" t="n">
        <v>8</v>
      </c>
      <c r="AF167" s="113" t="n">
        <v>8</v>
      </c>
      <c r="AG167" s="113" t="n">
        <v>8</v>
      </c>
      <c r="AI167" s="114" t="n">
        <f aca="false">INDEX($F167:$AG167,1,MATCH(AI$7,$F$7:$AG$7,1))</f>
        <v>0</v>
      </c>
      <c r="AJ167" s="114" t="n">
        <f aca="false">INDEX($F167:$AG167,1,MATCH(AJ$7,$F$7:$AG$7,1))</f>
        <v>8</v>
      </c>
      <c r="AK167" s="114" t="n">
        <f aca="false">INDEX($F167:$AG167,1,MATCH(AK$7,$F$7:$AG$7,1))</f>
        <v>8</v>
      </c>
      <c r="AL167" s="114" t="n">
        <f aca="false">INDEX($F167:$AG167,1,MATCH(AL$7,$F$7:$AG$7,1))</f>
        <v>8</v>
      </c>
      <c r="AM167" s="114" t="n">
        <f aca="false">INDEX($F167:$AG167,1,MATCH(AM$7,$F$7:$AG$7,1))</f>
        <v>8</v>
      </c>
      <c r="AN167" s="114" t="n">
        <f aca="false">INDEX($F167:$AG167,1,MATCH(AN$7,$F$7:$AG$7,1))</f>
        <v>8</v>
      </c>
      <c r="AO167" s="114" t="n">
        <f aca="false">INDEX($F167:$AG167,1,MATCH(AO$7,$F$7:$AG$7,1))</f>
        <v>8</v>
      </c>
    </row>
    <row r="168" customFormat="false" ht="15" hidden="false" customHeight="false" outlineLevel="0" collapsed="false">
      <c r="A168" s="112" t="s">
        <v>1804</v>
      </c>
      <c r="B168" s="24" t="s">
        <v>857</v>
      </c>
      <c r="C168" s="24" t="s">
        <v>690</v>
      </c>
      <c r="D168" s="24" t="s">
        <v>1677</v>
      </c>
      <c r="F168" s="113" t="n">
        <v>0</v>
      </c>
      <c r="G168" s="113" t="n">
        <v>0</v>
      </c>
      <c r="H168" s="113" t="n">
        <v>0</v>
      </c>
      <c r="I168" s="113" t="n">
        <v>0</v>
      </c>
      <c r="J168" s="113" t="n">
        <v>0</v>
      </c>
      <c r="K168" s="113" t="n">
        <v>0</v>
      </c>
      <c r="L168" s="113" t="n">
        <v>0</v>
      </c>
      <c r="M168" s="113" t="n">
        <v>8</v>
      </c>
      <c r="N168" s="113" t="n">
        <v>8</v>
      </c>
      <c r="O168" s="113" t="n">
        <v>8</v>
      </c>
      <c r="P168" s="113" t="n">
        <v>8</v>
      </c>
      <c r="Q168" s="113" t="n">
        <v>8</v>
      </c>
      <c r="R168" s="113" t="n">
        <v>8</v>
      </c>
      <c r="S168" s="113" t="n">
        <v>8</v>
      </c>
      <c r="T168" s="113" t="n">
        <v>8</v>
      </c>
      <c r="U168" s="113" t="n">
        <v>8</v>
      </c>
      <c r="V168" s="113" t="n">
        <v>8</v>
      </c>
      <c r="W168" s="113" t="n">
        <v>8</v>
      </c>
      <c r="X168" s="113" t="n">
        <v>8</v>
      </c>
      <c r="Y168" s="113" t="n">
        <v>8</v>
      </c>
      <c r="Z168" s="113" t="n">
        <v>8</v>
      </c>
      <c r="AA168" s="113" t="n">
        <v>8</v>
      </c>
      <c r="AB168" s="113" t="n">
        <v>8</v>
      </c>
      <c r="AC168" s="113" t="n">
        <v>8</v>
      </c>
      <c r="AD168" s="113" t="n">
        <v>8</v>
      </c>
      <c r="AE168" s="113" t="n">
        <v>8</v>
      </c>
      <c r="AF168" s="113" t="n">
        <v>8</v>
      </c>
      <c r="AG168" s="113" t="n">
        <v>8</v>
      </c>
      <c r="AI168" s="114" t="n">
        <f aca="false">INDEX($F168:$AG168,1,MATCH(AI$7,$F$7:$AG$7,1))</f>
        <v>0</v>
      </c>
      <c r="AJ168" s="114" t="n">
        <f aca="false">INDEX($F168:$AG168,1,MATCH(AJ$7,$F$7:$AG$7,1))</f>
        <v>8</v>
      </c>
      <c r="AK168" s="114" t="n">
        <f aca="false">INDEX($F168:$AG168,1,MATCH(AK$7,$F$7:$AG$7,1))</f>
        <v>8</v>
      </c>
      <c r="AL168" s="114" t="n">
        <f aca="false">INDEX($F168:$AG168,1,MATCH(AL$7,$F$7:$AG$7,1))</f>
        <v>8</v>
      </c>
      <c r="AM168" s="114" t="n">
        <f aca="false">INDEX($F168:$AG168,1,MATCH(AM$7,$F$7:$AG$7,1))</f>
        <v>8</v>
      </c>
      <c r="AN168" s="114" t="n">
        <f aca="false">INDEX($F168:$AG168,1,MATCH(AN$7,$F$7:$AG$7,1))</f>
        <v>8</v>
      </c>
      <c r="AO168" s="114" t="n">
        <f aca="false">INDEX($F168:$AG168,1,MATCH(AO$7,$F$7:$AG$7,1))</f>
        <v>8</v>
      </c>
    </row>
    <row r="169" customFormat="false" ht="15" hidden="false" customHeight="false" outlineLevel="0" collapsed="false">
      <c r="A169" s="112" t="s">
        <v>1805</v>
      </c>
      <c r="B169" s="24" t="s">
        <v>857</v>
      </c>
      <c r="C169" s="24" t="s">
        <v>672</v>
      </c>
      <c r="D169" s="24" t="s">
        <v>1679</v>
      </c>
      <c r="F169" s="114" t="n">
        <f aca="false">IF(CapV=2,N(F168),N(F167))</f>
        <v>0</v>
      </c>
      <c r="G169" s="114" t="n">
        <f aca="false">IF(CapV=2,N(G168),N(G167))</f>
        <v>0</v>
      </c>
      <c r="H169" s="114" t="n">
        <f aca="false">IF(CapV=2,N(H168),N(H167))</f>
        <v>0</v>
      </c>
      <c r="I169" s="114" t="n">
        <f aca="false">IF(CapV=2,N(I168),N(I167))</f>
        <v>0</v>
      </c>
      <c r="J169" s="114" t="n">
        <f aca="false">IF(CapV=2,N(J168),N(J167))</f>
        <v>0</v>
      </c>
      <c r="K169" s="114" t="n">
        <f aca="false">IF(CapV=2,N(K168),N(K167))</f>
        <v>0</v>
      </c>
      <c r="L169" s="114" t="n">
        <f aca="false">IF(CapV=2,N(L168),N(L167))</f>
        <v>0</v>
      </c>
      <c r="M169" s="114" t="n">
        <f aca="false">IF(CapV=2,N(M168),N(M167))</f>
        <v>8</v>
      </c>
      <c r="N169" s="114" t="n">
        <f aca="false">IF(CapV=2,N(N168),N(N167))</f>
        <v>8</v>
      </c>
      <c r="O169" s="114" t="n">
        <f aca="false">IF(CapV=2,N(O168),N(O167))</f>
        <v>8</v>
      </c>
      <c r="P169" s="114" t="n">
        <f aca="false">IF(CapV=2,N(P168),N(P167))</f>
        <v>8</v>
      </c>
      <c r="Q169" s="114" t="n">
        <f aca="false">IF(CapV=2,N(Q168),N(Q167))</f>
        <v>8</v>
      </c>
      <c r="R169" s="114" t="n">
        <f aca="false">IF(CapV=2,N(R168),N(R167))</f>
        <v>8</v>
      </c>
      <c r="S169" s="114" t="n">
        <f aca="false">IF(CapV=2,N(S168),N(S167))</f>
        <v>8</v>
      </c>
      <c r="T169" s="114" t="n">
        <f aca="false">IF(CapV=2,N(T168),N(T167))</f>
        <v>8</v>
      </c>
      <c r="U169" s="114" t="n">
        <f aca="false">IF(CapV=2,N(U168),N(U167))</f>
        <v>8</v>
      </c>
      <c r="V169" s="114" t="n">
        <f aca="false">IF(CapV=2,N(V168),N(V167))</f>
        <v>8</v>
      </c>
      <c r="W169" s="114" t="n">
        <f aca="false">IF(CapV=2,N(W168),N(W167))</f>
        <v>8</v>
      </c>
      <c r="X169" s="114" t="n">
        <f aca="false">IF(CapV=2,N(X168),N(X167))</f>
        <v>8</v>
      </c>
      <c r="Y169" s="114" t="n">
        <f aca="false">IF(CapV=2,N(Y168),N(Y167))</f>
        <v>8</v>
      </c>
      <c r="Z169" s="114" t="n">
        <f aca="false">IF(CapV=2,N(Z168),N(Z167))</f>
        <v>8</v>
      </c>
      <c r="AA169" s="114" t="n">
        <f aca="false">IF(CapV=2,N(AA168),N(AA167))</f>
        <v>8</v>
      </c>
      <c r="AB169" s="114" t="n">
        <f aca="false">IF(CapV=2,N(AB168),N(AB167))</f>
        <v>8</v>
      </c>
      <c r="AC169" s="114" t="n">
        <f aca="false">IF(CapV=2,N(AC168),N(AC167))</f>
        <v>8</v>
      </c>
      <c r="AD169" s="114" t="n">
        <f aca="false">IF(CapV=2,N(AD168),N(AD167))</f>
        <v>8</v>
      </c>
      <c r="AE169" s="114" t="n">
        <f aca="false">IF(CapV=2,N(AE168),N(AE167))</f>
        <v>8</v>
      </c>
      <c r="AF169" s="114" t="n">
        <f aca="false">IF(CapV=2,N(AF168),N(AF167))</f>
        <v>8</v>
      </c>
      <c r="AG169" s="114" t="n">
        <f aca="false">IF(CapV=2,N(AG168),N(AG167))</f>
        <v>8</v>
      </c>
      <c r="AI169" s="114" t="n">
        <f aca="false">INDEX($F169:$AG169,1,MATCH(AI$7,$F$7:$AG$7,1))</f>
        <v>0</v>
      </c>
      <c r="AJ169" s="114" t="n">
        <f aca="false">INDEX($F169:$AG169,1,MATCH(AJ$7,$F$7:$AG$7,1))</f>
        <v>8</v>
      </c>
      <c r="AK169" s="114" t="n">
        <f aca="false">INDEX($F169:$AG169,1,MATCH(AK$7,$F$7:$AG$7,1))</f>
        <v>8</v>
      </c>
      <c r="AL169" s="114" t="n">
        <f aca="false">INDEX($F169:$AG169,1,MATCH(AL$7,$F$7:$AG$7,1))</f>
        <v>8</v>
      </c>
      <c r="AM169" s="114" t="n">
        <f aca="false">INDEX($F169:$AG169,1,MATCH(AM$7,$F$7:$AG$7,1))</f>
        <v>8</v>
      </c>
      <c r="AN169" s="114" t="n">
        <f aca="false">INDEX($F169:$AG169,1,MATCH(AN$7,$F$7:$AG$7,1))</f>
        <v>8</v>
      </c>
      <c r="AO169" s="114" t="n">
        <f aca="false">INDEX($F169:$AG169,1,MATCH(AO$7,$F$7:$AG$7,1))</f>
        <v>8</v>
      </c>
    </row>
    <row r="170" customFormat="false" ht="15" hidden="false" customHeight="false" outlineLevel="0" collapsed="false">
      <c r="A170" s="112" t="s">
        <v>1806</v>
      </c>
      <c r="B170" s="24" t="s">
        <v>857</v>
      </c>
      <c r="C170" s="24" t="s">
        <v>690</v>
      </c>
      <c r="D170" s="24" t="s">
        <v>1675</v>
      </c>
      <c r="F170" s="113" t="n">
        <v>0</v>
      </c>
      <c r="G170" s="113" t="n">
        <v>0</v>
      </c>
      <c r="H170" s="113" t="n">
        <v>0</v>
      </c>
      <c r="I170" s="113" t="n">
        <v>0</v>
      </c>
      <c r="J170" s="113" t="n">
        <v>0</v>
      </c>
      <c r="K170" s="113" t="n">
        <v>0</v>
      </c>
      <c r="L170" s="113" t="n">
        <v>0</v>
      </c>
      <c r="M170" s="113" t="n">
        <v>8</v>
      </c>
      <c r="N170" s="113" t="n">
        <v>8</v>
      </c>
      <c r="O170" s="113" t="n">
        <v>8</v>
      </c>
      <c r="P170" s="113" t="n">
        <v>8</v>
      </c>
      <c r="Q170" s="113" t="n">
        <v>8</v>
      </c>
      <c r="R170" s="113" t="n">
        <v>8</v>
      </c>
      <c r="S170" s="113" t="n">
        <v>8</v>
      </c>
      <c r="T170" s="113" t="n">
        <v>8</v>
      </c>
      <c r="U170" s="113" t="n">
        <v>8</v>
      </c>
      <c r="V170" s="113" t="n">
        <v>8</v>
      </c>
      <c r="W170" s="113" t="n">
        <v>8</v>
      </c>
      <c r="X170" s="113" t="n">
        <v>8</v>
      </c>
      <c r="Y170" s="113" t="n">
        <v>8</v>
      </c>
      <c r="Z170" s="113" t="n">
        <v>8</v>
      </c>
      <c r="AA170" s="113" t="n">
        <v>8</v>
      </c>
      <c r="AB170" s="113" t="n">
        <v>8</v>
      </c>
      <c r="AC170" s="113" t="n">
        <v>8</v>
      </c>
      <c r="AD170" s="113" t="n">
        <v>8</v>
      </c>
      <c r="AE170" s="113" t="n">
        <v>8</v>
      </c>
      <c r="AF170" s="113" t="n">
        <v>8</v>
      </c>
      <c r="AG170" s="113" t="n">
        <v>8</v>
      </c>
      <c r="AI170" s="114" t="n">
        <f aca="false">INDEX($F170:$AG170,1,MATCH(AI$7,$F$7:$AG$7,1))</f>
        <v>0</v>
      </c>
      <c r="AJ170" s="114" t="n">
        <f aca="false">INDEX($F170:$AG170,1,MATCH(AJ$7,$F$7:$AG$7,1))</f>
        <v>8</v>
      </c>
      <c r="AK170" s="114" t="n">
        <f aca="false">INDEX($F170:$AG170,1,MATCH(AK$7,$F$7:$AG$7,1))</f>
        <v>8</v>
      </c>
      <c r="AL170" s="114" t="n">
        <f aca="false">INDEX($F170:$AG170,1,MATCH(AL$7,$F$7:$AG$7,1))</f>
        <v>8</v>
      </c>
      <c r="AM170" s="114" t="n">
        <f aca="false">INDEX($F170:$AG170,1,MATCH(AM$7,$F$7:$AG$7,1))</f>
        <v>8</v>
      </c>
      <c r="AN170" s="114" t="n">
        <f aca="false">INDEX($F170:$AG170,1,MATCH(AN$7,$F$7:$AG$7,1))</f>
        <v>8</v>
      </c>
      <c r="AO170" s="114" t="n">
        <f aca="false">INDEX($F170:$AG170,1,MATCH(AO$7,$F$7:$AG$7,1))</f>
        <v>8</v>
      </c>
    </row>
    <row r="171" customFormat="false" ht="15" hidden="false" customHeight="false" outlineLevel="0" collapsed="false">
      <c r="A171" s="112" t="s">
        <v>1807</v>
      </c>
      <c r="B171" s="24" t="s">
        <v>857</v>
      </c>
      <c r="C171" s="24" t="s">
        <v>690</v>
      </c>
      <c r="D171" s="24" t="s">
        <v>1677</v>
      </c>
      <c r="F171" s="113" t="n">
        <v>0</v>
      </c>
      <c r="G171" s="113" t="n">
        <v>0</v>
      </c>
      <c r="H171" s="113" t="n">
        <v>0</v>
      </c>
      <c r="I171" s="113" t="n">
        <v>0</v>
      </c>
      <c r="J171" s="113" t="n">
        <v>0</v>
      </c>
      <c r="K171" s="113" t="n">
        <v>0</v>
      </c>
      <c r="L171" s="113" t="n">
        <v>0</v>
      </c>
      <c r="M171" s="113" t="n">
        <v>8</v>
      </c>
      <c r="N171" s="113" t="n">
        <v>8</v>
      </c>
      <c r="O171" s="113" t="n">
        <v>8</v>
      </c>
      <c r="P171" s="113" t="n">
        <v>8</v>
      </c>
      <c r="Q171" s="113" t="n">
        <v>8</v>
      </c>
      <c r="R171" s="113" t="n">
        <v>8</v>
      </c>
      <c r="S171" s="113" t="n">
        <v>8</v>
      </c>
      <c r="T171" s="113" t="n">
        <v>8</v>
      </c>
      <c r="U171" s="113" t="n">
        <v>8</v>
      </c>
      <c r="V171" s="113" t="n">
        <v>8</v>
      </c>
      <c r="W171" s="113" t="n">
        <v>8</v>
      </c>
      <c r="X171" s="113" t="n">
        <v>8</v>
      </c>
      <c r="Y171" s="113" t="n">
        <v>8</v>
      </c>
      <c r="Z171" s="113" t="n">
        <v>8</v>
      </c>
      <c r="AA171" s="113" t="n">
        <v>8</v>
      </c>
      <c r="AB171" s="113" t="n">
        <v>8</v>
      </c>
      <c r="AC171" s="113" t="n">
        <v>8</v>
      </c>
      <c r="AD171" s="113" t="n">
        <v>8</v>
      </c>
      <c r="AE171" s="113" t="n">
        <v>8</v>
      </c>
      <c r="AF171" s="113" t="n">
        <v>8</v>
      </c>
      <c r="AG171" s="113" t="n">
        <v>8</v>
      </c>
      <c r="AI171" s="114" t="n">
        <f aca="false">INDEX($F171:$AG171,1,MATCH(AI$7,$F$7:$AG$7,1))</f>
        <v>0</v>
      </c>
      <c r="AJ171" s="114" t="n">
        <f aca="false">INDEX($F171:$AG171,1,MATCH(AJ$7,$F$7:$AG$7,1))</f>
        <v>8</v>
      </c>
      <c r="AK171" s="114" t="n">
        <f aca="false">INDEX($F171:$AG171,1,MATCH(AK$7,$F$7:$AG$7,1))</f>
        <v>8</v>
      </c>
      <c r="AL171" s="114" t="n">
        <f aca="false">INDEX($F171:$AG171,1,MATCH(AL$7,$F$7:$AG$7,1))</f>
        <v>8</v>
      </c>
      <c r="AM171" s="114" t="n">
        <f aca="false">INDEX($F171:$AG171,1,MATCH(AM$7,$F$7:$AG$7,1))</f>
        <v>8</v>
      </c>
      <c r="AN171" s="114" t="n">
        <f aca="false">INDEX($F171:$AG171,1,MATCH(AN$7,$F$7:$AG$7,1))</f>
        <v>8</v>
      </c>
      <c r="AO171" s="114" t="n">
        <f aca="false">INDEX($F171:$AG171,1,MATCH(AO$7,$F$7:$AG$7,1))</f>
        <v>8</v>
      </c>
    </row>
    <row r="172" customFormat="false" ht="15" hidden="false" customHeight="false" outlineLevel="0" collapsed="false">
      <c r="A172" s="112" t="s">
        <v>1808</v>
      </c>
      <c r="B172" s="24" t="s">
        <v>857</v>
      </c>
      <c r="C172" s="24" t="s">
        <v>672</v>
      </c>
      <c r="D172" s="24" t="s">
        <v>1679</v>
      </c>
      <c r="F172" s="114" t="n">
        <f aca="false">IF(CapV=2,N(F171),N(F170))</f>
        <v>0</v>
      </c>
      <c r="G172" s="114" t="n">
        <f aca="false">IF(CapV=2,N(G171),N(G170))</f>
        <v>0</v>
      </c>
      <c r="H172" s="114" t="n">
        <f aca="false">IF(CapV=2,N(H171),N(H170))</f>
        <v>0</v>
      </c>
      <c r="I172" s="114" t="n">
        <f aca="false">IF(CapV=2,N(I171),N(I170))</f>
        <v>0</v>
      </c>
      <c r="J172" s="114" t="n">
        <f aca="false">IF(CapV=2,N(J171),N(J170))</f>
        <v>0</v>
      </c>
      <c r="K172" s="114" t="n">
        <f aca="false">IF(CapV=2,N(K171),N(K170))</f>
        <v>0</v>
      </c>
      <c r="L172" s="114" t="n">
        <f aca="false">IF(CapV=2,N(L171),N(L170))</f>
        <v>0</v>
      </c>
      <c r="M172" s="114" t="n">
        <f aca="false">IF(CapV=2,N(M171),N(M170))</f>
        <v>8</v>
      </c>
      <c r="N172" s="114" t="n">
        <f aca="false">IF(CapV=2,N(N171),N(N170))</f>
        <v>8</v>
      </c>
      <c r="O172" s="114" t="n">
        <f aca="false">IF(CapV=2,N(O171),N(O170))</f>
        <v>8</v>
      </c>
      <c r="P172" s="114" t="n">
        <f aca="false">IF(CapV=2,N(P171),N(P170))</f>
        <v>8</v>
      </c>
      <c r="Q172" s="114" t="n">
        <f aca="false">IF(CapV=2,N(Q171),N(Q170))</f>
        <v>8</v>
      </c>
      <c r="R172" s="114" t="n">
        <f aca="false">IF(CapV=2,N(R171),N(R170))</f>
        <v>8</v>
      </c>
      <c r="S172" s="114" t="n">
        <f aca="false">IF(CapV=2,N(S171),N(S170))</f>
        <v>8</v>
      </c>
      <c r="T172" s="114" t="n">
        <f aca="false">IF(CapV=2,N(T171),N(T170))</f>
        <v>8</v>
      </c>
      <c r="U172" s="114" t="n">
        <f aca="false">IF(CapV=2,N(U171),N(U170))</f>
        <v>8</v>
      </c>
      <c r="V172" s="114" t="n">
        <f aca="false">IF(CapV=2,N(V171),N(V170))</f>
        <v>8</v>
      </c>
      <c r="W172" s="114" t="n">
        <f aca="false">IF(CapV=2,N(W171),N(W170))</f>
        <v>8</v>
      </c>
      <c r="X172" s="114" t="n">
        <f aca="false">IF(CapV=2,N(X171),N(X170))</f>
        <v>8</v>
      </c>
      <c r="Y172" s="114" t="n">
        <f aca="false">IF(CapV=2,N(Y171),N(Y170))</f>
        <v>8</v>
      </c>
      <c r="Z172" s="114" t="n">
        <f aca="false">IF(CapV=2,N(Z171),N(Z170))</f>
        <v>8</v>
      </c>
      <c r="AA172" s="114" t="n">
        <f aca="false">IF(CapV=2,N(AA171),N(AA170))</f>
        <v>8</v>
      </c>
      <c r="AB172" s="114" t="n">
        <f aca="false">IF(CapV=2,N(AB171),N(AB170))</f>
        <v>8</v>
      </c>
      <c r="AC172" s="114" t="n">
        <f aca="false">IF(CapV=2,N(AC171),N(AC170))</f>
        <v>8</v>
      </c>
      <c r="AD172" s="114" t="n">
        <f aca="false">IF(CapV=2,N(AD171),N(AD170))</f>
        <v>8</v>
      </c>
      <c r="AE172" s="114" t="n">
        <f aca="false">IF(CapV=2,N(AE171),N(AE170))</f>
        <v>8</v>
      </c>
      <c r="AF172" s="114" t="n">
        <f aca="false">IF(CapV=2,N(AF171),N(AF170))</f>
        <v>8</v>
      </c>
      <c r="AG172" s="114" t="n">
        <f aca="false">IF(CapV=2,N(AG171),N(AG170))</f>
        <v>8</v>
      </c>
      <c r="AI172" s="114" t="n">
        <f aca="false">INDEX($F172:$AG172,1,MATCH(AI$7,$F$7:$AG$7,1))</f>
        <v>0</v>
      </c>
      <c r="AJ172" s="114" t="n">
        <f aca="false">INDEX($F172:$AG172,1,MATCH(AJ$7,$F$7:$AG$7,1))</f>
        <v>8</v>
      </c>
      <c r="AK172" s="114" t="n">
        <f aca="false">INDEX($F172:$AG172,1,MATCH(AK$7,$F$7:$AG$7,1))</f>
        <v>8</v>
      </c>
      <c r="AL172" s="114" t="n">
        <f aca="false">INDEX($F172:$AG172,1,MATCH(AL$7,$F$7:$AG$7,1))</f>
        <v>8</v>
      </c>
      <c r="AM172" s="114" t="n">
        <f aca="false">INDEX($F172:$AG172,1,MATCH(AM$7,$F$7:$AG$7,1))</f>
        <v>8</v>
      </c>
      <c r="AN172" s="114" t="n">
        <f aca="false">INDEX($F172:$AG172,1,MATCH(AN$7,$F$7:$AG$7,1))</f>
        <v>8</v>
      </c>
      <c r="AO172" s="114" t="n">
        <f aca="false">INDEX($F172:$AG172,1,MATCH(AO$7,$F$7:$AG$7,1))</f>
        <v>8</v>
      </c>
    </row>
    <row r="173" customFormat="false" ht="15" hidden="false" customHeight="false" outlineLevel="0" collapsed="false">
      <c r="A173" s="112" t="s">
        <v>1809</v>
      </c>
      <c r="B173" s="24" t="s">
        <v>857</v>
      </c>
      <c r="C173" s="24" t="s">
        <v>690</v>
      </c>
      <c r="D173" s="24" t="s">
        <v>1675</v>
      </c>
      <c r="F173" s="113" t="n">
        <v>0</v>
      </c>
      <c r="G173" s="113" t="n">
        <v>0</v>
      </c>
      <c r="H173" s="113" t="n">
        <v>0</v>
      </c>
      <c r="I173" s="113" t="n">
        <v>0</v>
      </c>
      <c r="J173" s="113" t="n">
        <v>0</v>
      </c>
      <c r="K173" s="113" t="n">
        <v>0</v>
      </c>
      <c r="L173" s="113" t="n">
        <v>0</v>
      </c>
      <c r="M173" s="113" t="n">
        <v>8</v>
      </c>
      <c r="N173" s="113" t="n">
        <v>8</v>
      </c>
      <c r="O173" s="113" t="n">
        <v>8</v>
      </c>
      <c r="P173" s="113" t="n">
        <v>8</v>
      </c>
      <c r="Q173" s="113" t="n">
        <v>8</v>
      </c>
      <c r="R173" s="113" t="n">
        <v>8</v>
      </c>
      <c r="S173" s="113" t="n">
        <v>8</v>
      </c>
      <c r="T173" s="113" t="n">
        <v>8</v>
      </c>
      <c r="U173" s="113" t="n">
        <v>8</v>
      </c>
      <c r="V173" s="113" t="n">
        <v>8</v>
      </c>
      <c r="W173" s="113" t="n">
        <v>8</v>
      </c>
      <c r="X173" s="113" t="n">
        <v>8</v>
      </c>
      <c r="Y173" s="113" t="n">
        <v>8</v>
      </c>
      <c r="Z173" s="113" t="n">
        <v>8</v>
      </c>
      <c r="AA173" s="113" t="n">
        <v>8</v>
      </c>
      <c r="AB173" s="113" t="n">
        <v>8</v>
      </c>
      <c r="AC173" s="113" t="n">
        <v>8</v>
      </c>
      <c r="AD173" s="113" t="n">
        <v>8</v>
      </c>
      <c r="AE173" s="113" t="n">
        <v>8</v>
      </c>
      <c r="AF173" s="113" t="n">
        <v>8</v>
      </c>
      <c r="AG173" s="113" t="n">
        <v>8</v>
      </c>
      <c r="AI173" s="114" t="n">
        <f aca="false">INDEX($F173:$AG173,1,MATCH(AI$7,$F$7:$AG$7,1))</f>
        <v>0</v>
      </c>
      <c r="AJ173" s="114" t="n">
        <f aca="false">INDEX($F173:$AG173,1,MATCH(AJ$7,$F$7:$AG$7,1))</f>
        <v>8</v>
      </c>
      <c r="AK173" s="114" t="n">
        <f aca="false">INDEX($F173:$AG173,1,MATCH(AK$7,$F$7:$AG$7,1))</f>
        <v>8</v>
      </c>
      <c r="AL173" s="114" t="n">
        <f aca="false">INDEX($F173:$AG173,1,MATCH(AL$7,$F$7:$AG$7,1))</f>
        <v>8</v>
      </c>
      <c r="AM173" s="114" t="n">
        <f aca="false">INDEX($F173:$AG173,1,MATCH(AM$7,$F$7:$AG$7,1))</f>
        <v>8</v>
      </c>
      <c r="AN173" s="114" t="n">
        <f aca="false">INDEX($F173:$AG173,1,MATCH(AN$7,$F$7:$AG$7,1))</f>
        <v>8</v>
      </c>
      <c r="AO173" s="114" t="n">
        <f aca="false">INDEX($F173:$AG173,1,MATCH(AO$7,$F$7:$AG$7,1))</f>
        <v>8</v>
      </c>
    </row>
    <row r="174" customFormat="false" ht="15" hidden="false" customHeight="false" outlineLevel="0" collapsed="false">
      <c r="A174" s="112" t="s">
        <v>1810</v>
      </c>
      <c r="B174" s="24" t="s">
        <v>857</v>
      </c>
      <c r="C174" s="24" t="s">
        <v>690</v>
      </c>
      <c r="D174" s="24" t="s">
        <v>1677</v>
      </c>
      <c r="F174" s="113" t="n">
        <v>0</v>
      </c>
      <c r="G174" s="113" t="n">
        <v>0</v>
      </c>
      <c r="H174" s="113" t="n">
        <v>0</v>
      </c>
      <c r="I174" s="113" t="n">
        <v>0</v>
      </c>
      <c r="J174" s="113" t="n">
        <v>0</v>
      </c>
      <c r="K174" s="113" t="n">
        <v>0</v>
      </c>
      <c r="L174" s="113" t="n">
        <v>0</v>
      </c>
      <c r="M174" s="113" t="n">
        <v>8</v>
      </c>
      <c r="N174" s="113" t="n">
        <v>8</v>
      </c>
      <c r="O174" s="113" t="n">
        <v>8</v>
      </c>
      <c r="P174" s="113" t="n">
        <v>8</v>
      </c>
      <c r="Q174" s="113" t="n">
        <v>8</v>
      </c>
      <c r="R174" s="113" t="n">
        <v>8</v>
      </c>
      <c r="S174" s="113" t="n">
        <v>8</v>
      </c>
      <c r="T174" s="113" t="n">
        <v>8</v>
      </c>
      <c r="U174" s="113" t="n">
        <v>8</v>
      </c>
      <c r="V174" s="113" t="n">
        <v>8</v>
      </c>
      <c r="W174" s="113" t="n">
        <v>8</v>
      </c>
      <c r="X174" s="113" t="n">
        <v>8</v>
      </c>
      <c r="Y174" s="113" t="n">
        <v>8</v>
      </c>
      <c r="Z174" s="113" t="n">
        <v>8</v>
      </c>
      <c r="AA174" s="113" t="n">
        <v>8</v>
      </c>
      <c r="AB174" s="113" t="n">
        <v>8</v>
      </c>
      <c r="AC174" s="113" t="n">
        <v>8</v>
      </c>
      <c r="AD174" s="113" t="n">
        <v>8</v>
      </c>
      <c r="AE174" s="113" t="n">
        <v>8</v>
      </c>
      <c r="AF174" s="113" t="n">
        <v>8</v>
      </c>
      <c r="AG174" s="113" t="n">
        <v>8</v>
      </c>
      <c r="AI174" s="114" t="n">
        <f aca="false">INDEX($F174:$AG174,1,MATCH(AI$7,$F$7:$AG$7,1))</f>
        <v>0</v>
      </c>
      <c r="AJ174" s="114" t="n">
        <f aca="false">INDEX($F174:$AG174,1,MATCH(AJ$7,$F$7:$AG$7,1))</f>
        <v>8</v>
      </c>
      <c r="AK174" s="114" t="n">
        <f aca="false">INDEX($F174:$AG174,1,MATCH(AK$7,$F$7:$AG$7,1))</f>
        <v>8</v>
      </c>
      <c r="AL174" s="114" t="n">
        <f aca="false">INDEX($F174:$AG174,1,MATCH(AL$7,$F$7:$AG$7,1))</f>
        <v>8</v>
      </c>
      <c r="AM174" s="114" t="n">
        <f aca="false">INDEX($F174:$AG174,1,MATCH(AM$7,$F$7:$AG$7,1))</f>
        <v>8</v>
      </c>
      <c r="AN174" s="114" t="n">
        <f aca="false">INDEX($F174:$AG174,1,MATCH(AN$7,$F$7:$AG$7,1))</f>
        <v>8</v>
      </c>
      <c r="AO174" s="114" t="n">
        <f aca="false">INDEX($F174:$AG174,1,MATCH(AO$7,$F$7:$AG$7,1))</f>
        <v>8</v>
      </c>
    </row>
    <row r="175" customFormat="false" ht="15" hidden="false" customHeight="false" outlineLevel="0" collapsed="false">
      <c r="A175" s="112" t="s">
        <v>1811</v>
      </c>
      <c r="B175" s="24" t="s">
        <v>857</v>
      </c>
      <c r="C175" s="24" t="s">
        <v>672</v>
      </c>
      <c r="D175" s="24" t="s">
        <v>1679</v>
      </c>
      <c r="F175" s="114" t="n">
        <f aca="false">IF(CapV=2,N(F174),N(F173))</f>
        <v>0</v>
      </c>
      <c r="G175" s="114" t="n">
        <f aca="false">IF(CapV=2,N(G174),N(G173))</f>
        <v>0</v>
      </c>
      <c r="H175" s="114" t="n">
        <f aca="false">IF(CapV=2,N(H174),N(H173))</f>
        <v>0</v>
      </c>
      <c r="I175" s="114" t="n">
        <f aca="false">IF(CapV=2,N(I174),N(I173))</f>
        <v>0</v>
      </c>
      <c r="J175" s="114" t="n">
        <f aca="false">IF(CapV=2,N(J174),N(J173))</f>
        <v>0</v>
      </c>
      <c r="K175" s="114" t="n">
        <f aca="false">IF(CapV=2,N(K174),N(K173))</f>
        <v>0</v>
      </c>
      <c r="L175" s="114" t="n">
        <f aca="false">IF(CapV=2,N(L174),N(L173))</f>
        <v>0</v>
      </c>
      <c r="M175" s="114" t="n">
        <f aca="false">IF(CapV=2,N(M174),N(M173))</f>
        <v>8</v>
      </c>
      <c r="N175" s="114" t="n">
        <f aca="false">IF(CapV=2,N(N174),N(N173))</f>
        <v>8</v>
      </c>
      <c r="O175" s="114" t="n">
        <f aca="false">IF(CapV=2,N(O174),N(O173))</f>
        <v>8</v>
      </c>
      <c r="P175" s="114" t="n">
        <f aca="false">IF(CapV=2,N(P174),N(P173))</f>
        <v>8</v>
      </c>
      <c r="Q175" s="114" t="n">
        <f aca="false">IF(CapV=2,N(Q174),N(Q173))</f>
        <v>8</v>
      </c>
      <c r="R175" s="114" t="n">
        <f aca="false">IF(CapV=2,N(R174),N(R173))</f>
        <v>8</v>
      </c>
      <c r="S175" s="114" t="n">
        <f aca="false">IF(CapV=2,N(S174),N(S173))</f>
        <v>8</v>
      </c>
      <c r="T175" s="114" t="n">
        <f aca="false">IF(CapV=2,N(T174),N(T173))</f>
        <v>8</v>
      </c>
      <c r="U175" s="114" t="n">
        <f aca="false">IF(CapV=2,N(U174),N(U173))</f>
        <v>8</v>
      </c>
      <c r="V175" s="114" t="n">
        <f aca="false">IF(CapV=2,N(V174),N(V173))</f>
        <v>8</v>
      </c>
      <c r="W175" s="114" t="n">
        <f aca="false">IF(CapV=2,N(W174),N(W173))</f>
        <v>8</v>
      </c>
      <c r="X175" s="114" t="n">
        <f aca="false">IF(CapV=2,N(X174),N(X173))</f>
        <v>8</v>
      </c>
      <c r="Y175" s="114" t="n">
        <f aca="false">IF(CapV=2,N(Y174),N(Y173))</f>
        <v>8</v>
      </c>
      <c r="Z175" s="114" t="n">
        <f aca="false">IF(CapV=2,N(Z174),N(Z173))</f>
        <v>8</v>
      </c>
      <c r="AA175" s="114" t="n">
        <f aca="false">IF(CapV=2,N(AA174),N(AA173))</f>
        <v>8</v>
      </c>
      <c r="AB175" s="114" t="n">
        <f aca="false">IF(CapV=2,N(AB174),N(AB173))</f>
        <v>8</v>
      </c>
      <c r="AC175" s="114" t="n">
        <f aca="false">IF(CapV=2,N(AC174),N(AC173))</f>
        <v>8</v>
      </c>
      <c r="AD175" s="114" t="n">
        <f aca="false">IF(CapV=2,N(AD174),N(AD173))</f>
        <v>8</v>
      </c>
      <c r="AE175" s="114" t="n">
        <f aca="false">IF(CapV=2,N(AE174),N(AE173))</f>
        <v>8</v>
      </c>
      <c r="AF175" s="114" t="n">
        <f aca="false">IF(CapV=2,N(AF174),N(AF173))</f>
        <v>8</v>
      </c>
      <c r="AG175" s="114" t="n">
        <f aca="false">IF(CapV=2,N(AG174),N(AG173))</f>
        <v>8</v>
      </c>
      <c r="AI175" s="114" t="n">
        <f aca="false">INDEX($F175:$AG175,1,MATCH(AI$7,$F$7:$AG$7,1))</f>
        <v>0</v>
      </c>
      <c r="AJ175" s="114" t="n">
        <f aca="false">INDEX($F175:$AG175,1,MATCH(AJ$7,$F$7:$AG$7,1))</f>
        <v>8</v>
      </c>
      <c r="AK175" s="114" t="n">
        <f aca="false">INDEX($F175:$AG175,1,MATCH(AK$7,$F$7:$AG$7,1))</f>
        <v>8</v>
      </c>
      <c r="AL175" s="114" t="n">
        <f aca="false">INDEX($F175:$AG175,1,MATCH(AL$7,$F$7:$AG$7,1))</f>
        <v>8</v>
      </c>
      <c r="AM175" s="114" t="n">
        <f aca="false">INDEX($F175:$AG175,1,MATCH(AM$7,$F$7:$AG$7,1))</f>
        <v>8</v>
      </c>
      <c r="AN175" s="114" t="n">
        <f aca="false">INDEX($F175:$AG175,1,MATCH(AN$7,$F$7:$AG$7,1))</f>
        <v>8</v>
      </c>
      <c r="AO175" s="114" t="n">
        <f aca="false">INDEX($F175:$AG175,1,MATCH(AO$7,$F$7:$AG$7,1))</f>
        <v>8</v>
      </c>
    </row>
    <row r="176" customFormat="false" ht="15" hidden="false" customHeight="false" outlineLevel="0" collapsed="false">
      <c r="A176" s="112" t="s">
        <v>1812</v>
      </c>
      <c r="B176" s="24" t="s">
        <v>857</v>
      </c>
      <c r="C176" s="24" t="s">
        <v>690</v>
      </c>
      <c r="D176" s="24" t="s">
        <v>1675</v>
      </c>
      <c r="F176" s="113" t="n">
        <v>0</v>
      </c>
      <c r="G176" s="113" t="n">
        <v>0</v>
      </c>
      <c r="H176" s="113" t="n">
        <v>0</v>
      </c>
      <c r="I176" s="113" t="n">
        <v>0</v>
      </c>
      <c r="J176" s="113" t="n">
        <v>0</v>
      </c>
      <c r="K176" s="113" t="n">
        <v>0</v>
      </c>
      <c r="L176" s="113" t="n">
        <v>0</v>
      </c>
      <c r="M176" s="113" t="n">
        <v>0</v>
      </c>
      <c r="N176" s="113" t="n">
        <v>0</v>
      </c>
      <c r="O176" s="113" t="n">
        <v>0</v>
      </c>
      <c r="P176" s="113" t="n">
        <v>0</v>
      </c>
      <c r="Q176" s="113" t="n">
        <v>0</v>
      </c>
      <c r="R176" s="113" t="n">
        <v>11</v>
      </c>
      <c r="S176" s="113" t="n">
        <v>22</v>
      </c>
      <c r="T176" s="113" t="n">
        <v>22</v>
      </c>
      <c r="U176" s="113" t="n">
        <v>22</v>
      </c>
      <c r="V176" s="113" t="n">
        <v>22</v>
      </c>
      <c r="W176" s="113" t="n">
        <v>22</v>
      </c>
      <c r="X176" s="113" t="n">
        <v>22</v>
      </c>
      <c r="Y176" s="113" t="n">
        <v>22</v>
      </c>
      <c r="Z176" s="113" t="n">
        <v>22</v>
      </c>
      <c r="AA176" s="113" t="n">
        <v>22</v>
      </c>
      <c r="AB176" s="113" t="n">
        <v>22</v>
      </c>
      <c r="AC176" s="113" t="n">
        <v>22</v>
      </c>
      <c r="AD176" s="113" t="n">
        <v>22</v>
      </c>
      <c r="AE176" s="113" t="n">
        <v>22</v>
      </c>
      <c r="AF176" s="113" t="n">
        <v>22</v>
      </c>
      <c r="AG176" s="113" t="n">
        <v>22</v>
      </c>
      <c r="AI176" s="114" t="n">
        <f aca="false">INDEX($F176:$AG176,1,MATCH(AI$7,$F$7:$AG$7,1))</f>
        <v>0</v>
      </c>
      <c r="AJ176" s="114" t="n">
        <f aca="false">INDEX($F176:$AG176,1,MATCH(AJ$7,$F$7:$AG$7,1))</f>
        <v>0</v>
      </c>
      <c r="AK176" s="114" t="n">
        <f aca="false">INDEX($F176:$AG176,1,MATCH(AK$7,$F$7:$AG$7,1))</f>
        <v>0</v>
      </c>
      <c r="AL176" s="114" t="n">
        <f aca="false">INDEX($F176:$AG176,1,MATCH(AL$7,$F$7:$AG$7,1))</f>
        <v>22</v>
      </c>
      <c r="AM176" s="114" t="n">
        <f aca="false">INDEX($F176:$AG176,1,MATCH(AM$7,$F$7:$AG$7,1))</f>
        <v>22</v>
      </c>
      <c r="AN176" s="114" t="n">
        <f aca="false">INDEX($F176:$AG176,1,MATCH(AN$7,$F$7:$AG$7,1))</f>
        <v>22</v>
      </c>
      <c r="AO176" s="114" t="n">
        <f aca="false">INDEX($F176:$AG176,1,MATCH(AO$7,$F$7:$AG$7,1))</f>
        <v>22</v>
      </c>
    </row>
    <row r="177" customFormat="false" ht="15" hidden="false" customHeight="false" outlineLevel="0" collapsed="false">
      <c r="A177" s="112" t="s">
        <v>1813</v>
      </c>
      <c r="B177" s="24" t="s">
        <v>857</v>
      </c>
      <c r="C177" s="24" t="s">
        <v>690</v>
      </c>
      <c r="D177" s="24" t="s">
        <v>1677</v>
      </c>
      <c r="F177" s="113" t="n">
        <v>0</v>
      </c>
      <c r="G177" s="113" t="n">
        <v>0</v>
      </c>
      <c r="H177" s="113" t="n">
        <v>0</v>
      </c>
      <c r="I177" s="113" t="n">
        <v>0</v>
      </c>
      <c r="J177" s="113" t="n">
        <v>0</v>
      </c>
      <c r="K177" s="113" t="n">
        <v>0</v>
      </c>
      <c r="L177" s="113" t="n">
        <v>0</v>
      </c>
      <c r="M177" s="113" t="n">
        <v>0</v>
      </c>
      <c r="N177" s="113" t="n">
        <v>0</v>
      </c>
      <c r="O177" s="113" t="n">
        <v>0</v>
      </c>
      <c r="P177" s="113" t="n">
        <v>0</v>
      </c>
      <c r="Q177" s="113" t="n">
        <v>0</v>
      </c>
      <c r="R177" s="113" t="n">
        <v>0</v>
      </c>
      <c r="S177" s="113" t="n">
        <v>11</v>
      </c>
      <c r="T177" s="113" t="n">
        <v>22</v>
      </c>
      <c r="U177" s="113" t="n">
        <v>22</v>
      </c>
      <c r="V177" s="113" t="n">
        <v>22</v>
      </c>
      <c r="W177" s="113" t="n">
        <v>22</v>
      </c>
      <c r="X177" s="113" t="n">
        <v>22</v>
      </c>
      <c r="Y177" s="113" t="n">
        <v>22</v>
      </c>
      <c r="Z177" s="113" t="n">
        <v>22</v>
      </c>
      <c r="AA177" s="113" t="n">
        <v>22</v>
      </c>
      <c r="AB177" s="113" t="n">
        <v>22</v>
      </c>
      <c r="AC177" s="113" t="n">
        <v>22</v>
      </c>
      <c r="AD177" s="113" t="n">
        <v>22</v>
      </c>
      <c r="AE177" s="113" t="n">
        <v>22</v>
      </c>
      <c r="AF177" s="113" t="n">
        <v>22</v>
      </c>
      <c r="AG177" s="113" t="n">
        <v>22</v>
      </c>
      <c r="AI177" s="114" t="n">
        <f aca="false">INDEX($F177:$AG177,1,MATCH(AI$7,$F$7:$AG$7,1))</f>
        <v>0</v>
      </c>
      <c r="AJ177" s="114" t="n">
        <f aca="false">INDEX($F177:$AG177,1,MATCH(AJ$7,$F$7:$AG$7,1))</f>
        <v>0</v>
      </c>
      <c r="AK177" s="114" t="n">
        <f aca="false">INDEX($F177:$AG177,1,MATCH(AK$7,$F$7:$AG$7,1))</f>
        <v>0</v>
      </c>
      <c r="AL177" s="114" t="n">
        <f aca="false">INDEX($F177:$AG177,1,MATCH(AL$7,$F$7:$AG$7,1))</f>
        <v>22</v>
      </c>
      <c r="AM177" s="114" t="n">
        <f aca="false">INDEX($F177:$AG177,1,MATCH(AM$7,$F$7:$AG$7,1))</f>
        <v>22</v>
      </c>
      <c r="AN177" s="114" t="n">
        <f aca="false">INDEX($F177:$AG177,1,MATCH(AN$7,$F$7:$AG$7,1))</f>
        <v>22</v>
      </c>
      <c r="AO177" s="114" t="n">
        <f aca="false">INDEX($F177:$AG177,1,MATCH(AO$7,$F$7:$AG$7,1))</f>
        <v>22</v>
      </c>
    </row>
    <row r="178" customFormat="false" ht="15" hidden="false" customHeight="false" outlineLevel="0" collapsed="false">
      <c r="A178" s="112" t="s">
        <v>1814</v>
      </c>
      <c r="B178" s="24" t="s">
        <v>857</v>
      </c>
      <c r="C178" s="24" t="s">
        <v>672</v>
      </c>
      <c r="D178" s="24" t="s">
        <v>1679</v>
      </c>
      <c r="F178" s="114" t="n">
        <f aca="false">IF(CapV=2,N(F177),N(F176))</f>
        <v>0</v>
      </c>
      <c r="G178" s="114" t="n">
        <f aca="false">IF(CapV=2,N(G177),N(G176))</f>
        <v>0</v>
      </c>
      <c r="H178" s="114" t="n">
        <f aca="false">IF(CapV=2,N(H177),N(H176))</f>
        <v>0</v>
      </c>
      <c r="I178" s="114" t="n">
        <f aca="false">IF(CapV=2,N(I177),N(I176))</f>
        <v>0</v>
      </c>
      <c r="J178" s="114" t="n">
        <f aca="false">IF(CapV=2,N(J177),N(J176))</f>
        <v>0</v>
      </c>
      <c r="K178" s="114" t="n">
        <f aca="false">IF(CapV=2,N(K177),N(K176))</f>
        <v>0</v>
      </c>
      <c r="L178" s="114" t="n">
        <f aca="false">IF(CapV=2,N(L177),N(L176))</f>
        <v>0</v>
      </c>
      <c r="M178" s="114" t="n">
        <f aca="false">IF(CapV=2,N(M177),N(M176))</f>
        <v>0</v>
      </c>
      <c r="N178" s="114" t="n">
        <f aca="false">IF(CapV=2,N(N177),N(N176))</f>
        <v>0</v>
      </c>
      <c r="O178" s="114" t="n">
        <f aca="false">IF(CapV=2,N(O177),N(O176))</f>
        <v>0</v>
      </c>
      <c r="P178" s="114" t="n">
        <f aca="false">IF(CapV=2,N(P177),N(P176))</f>
        <v>0</v>
      </c>
      <c r="Q178" s="114" t="n">
        <f aca="false">IF(CapV=2,N(Q177),N(Q176))</f>
        <v>0</v>
      </c>
      <c r="R178" s="114" t="n">
        <f aca="false">IF(CapV=2,N(R177),N(R176))</f>
        <v>0</v>
      </c>
      <c r="S178" s="114" t="n">
        <f aca="false">IF(CapV=2,N(S177),N(S176))</f>
        <v>11</v>
      </c>
      <c r="T178" s="114" t="n">
        <f aca="false">IF(CapV=2,N(T177),N(T176))</f>
        <v>22</v>
      </c>
      <c r="U178" s="114" t="n">
        <f aca="false">IF(CapV=2,N(U177),N(U176))</f>
        <v>22</v>
      </c>
      <c r="V178" s="114" t="n">
        <f aca="false">IF(CapV=2,N(V177),N(V176))</f>
        <v>22</v>
      </c>
      <c r="W178" s="114" t="n">
        <f aca="false">IF(CapV=2,N(W177),N(W176))</f>
        <v>22</v>
      </c>
      <c r="X178" s="114" t="n">
        <f aca="false">IF(CapV=2,N(X177),N(X176))</f>
        <v>22</v>
      </c>
      <c r="Y178" s="114" t="n">
        <f aca="false">IF(CapV=2,N(Y177),N(Y176))</f>
        <v>22</v>
      </c>
      <c r="Z178" s="114" t="n">
        <f aca="false">IF(CapV=2,N(Z177),N(Z176))</f>
        <v>22</v>
      </c>
      <c r="AA178" s="114" t="n">
        <f aca="false">IF(CapV=2,N(AA177),N(AA176))</f>
        <v>22</v>
      </c>
      <c r="AB178" s="114" t="n">
        <f aca="false">IF(CapV=2,N(AB177),N(AB176))</f>
        <v>22</v>
      </c>
      <c r="AC178" s="114" t="n">
        <f aca="false">IF(CapV=2,N(AC177),N(AC176))</f>
        <v>22</v>
      </c>
      <c r="AD178" s="114" t="n">
        <f aca="false">IF(CapV=2,N(AD177),N(AD176))</f>
        <v>22</v>
      </c>
      <c r="AE178" s="114" t="n">
        <f aca="false">IF(CapV=2,N(AE177),N(AE176))</f>
        <v>22</v>
      </c>
      <c r="AF178" s="114" t="n">
        <f aca="false">IF(CapV=2,N(AF177),N(AF176))</f>
        <v>22</v>
      </c>
      <c r="AG178" s="114" t="n">
        <f aca="false">IF(CapV=2,N(AG177),N(AG176))</f>
        <v>22</v>
      </c>
      <c r="AI178" s="114" t="n">
        <f aca="false">INDEX($F178:$AG178,1,MATCH(AI$7,$F$7:$AG$7,1))</f>
        <v>0</v>
      </c>
      <c r="AJ178" s="114" t="n">
        <f aca="false">INDEX($F178:$AG178,1,MATCH(AJ$7,$F$7:$AG$7,1))</f>
        <v>0</v>
      </c>
      <c r="AK178" s="114" t="n">
        <f aca="false">INDEX($F178:$AG178,1,MATCH(AK$7,$F$7:$AG$7,1))</f>
        <v>0</v>
      </c>
      <c r="AL178" s="114" t="n">
        <f aca="false">INDEX($F178:$AG178,1,MATCH(AL$7,$F$7:$AG$7,1))</f>
        <v>22</v>
      </c>
      <c r="AM178" s="114" t="n">
        <f aca="false">INDEX($F178:$AG178,1,MATCH(AM$7,$F$7:$AG$7,1))</f>
        <v>22</v>
      </c>
      <c r="AN178" s="114" t="n">
        <f aca="false">INDEX($F178:$AG178,1,MATCH(AN$7,$F$7:$AG$7,1))</f>
        <v>22</v>
      </c>
      <c r="AO178" s="114" t="n">
        <f aca="false">INDEX($F178:$AG178,1,MATCH(AO$7,$F$7:$AG$7,1))</f>
        <v>22</v>
      </c>
    </row>
    <row r="179" customFormat="false" ht="15" hidden="false" customHeight="false" outlineLevel="0" collapsed="false">
      <c r="A179" s="112" t="s">
        <v>1815</v>
      </c>
      <c r="B179" s="24" t="s">
        <v>857</v>
      </c>
      <c r="C179" s="24" t="s">
        <v>690</v>
      </c>
      <c r="D179" s="24" t="s">
        <v>1675</v>
      </c>
      <c r="F179" s="113" t="n">
        <v>0</v>
      </c>
      <c r="G179" s="113" t="n">
        <v>0</v>
      </c>
      <c r="H179" s="113" t="n">
        <v>0</v>
      </c>
      <c r="I179" s="113" t="n">
        <v>0</v>
      </c>
      <c r="J179" s="113" t="n">
        <v>0</v>
      </c>
      <c r="K179" s="113" t="n">
        <v>0</v>
      </c>
      <c r="L179" s="113" t="n">
        <v>0</v>
      </c>
      <c r="M179" s="113" t="n">
        <v>0</v>
      </c>
      <c r="N179" s="113" t="n">
        <v>0</v>
      </c>
      <c r="O179" s="113" t="n">
        <v>0</v>
      </c>
      <c r="P179" s="113" t="n">
        <v>0</v>
      </c>
      <c r="Q179" s="113" t="n">
        <v>11</v>
      </c>
      <c r="R179" s="113" t="n">
        <v>16.5</v>
      </c>
      <c r="S179" s="113" t="n">
        <v>22</v>
      </c>
      <c r="T179" s="113" t="n">
        <v>22</v>
      </c>
      <c r="U179" s="113" t="n">
        <v>22</v>
      </c>
      <c r="V179" s="113" t="n">
        <v>22</v>
      </c>
      <c r="W179" s="113" t="n">
        <v>22</v>
      </c>
      <c r="X179" s="113" t="n">
        <v>22</v>
      </c>
      <c r="Y179" s="113" t="n">
        <v>22</v>
      </c>
      <c r="Z179" s="113" t="n">
        <v>22</v>
      </c>
      <c r="AA179" s="113" t="n">
        <v>22</v>
      </c>
      <c r="AB179" s="113" t="n">
        <v>22</v>
      </c>
      <c r="AC179" s="113" t="n">
        <v>22</v>
      </c>
      <c r="AD179" s="113" t="n">
        <v>22</v>
      </c>
      <c r="AE179" s="113" t="n">
        <v>22</v>
      </c>
      <c r="AF179" s="113" t="n">
        <v>22</v>
      </c>
      <c r="AG179" s="113" t="n">
        <v>22</v>
      </c>
      <c r="AI179" s="114" t="n">
        <f aca="false">INDEX($F179:$AG179,1,MATCH(AI$7,$F$7:$AG$7,1))</f>
        <v>0</v>
      </c>
      <c r="AJ179" s="114" t="n">
        <f aca="false">INDEX($F179:$AG179,1,MATCH(AJ$7,$F$7:$AG$7,1))</f>
        <v>0</v>
      </c>
      <c r="AK179" s="114" t="n">
        <f aca="false">INDEX($F179:$AG179,1,MATCH(AK$7,$F$7:$AG$7,1))</f>
        <v>11</v>
      </c>
      <c r="AL179" s="114" t="n">
        <f aca="false">INDEX($F179:$AG179,1,MATCH(AL$7,$F$7:$AG$7,1))</f>
        <v>22</v>
      </c>
      <c r="AM179" s="114" t="n">
        <f aca="false">INDEX($F179:$AG179,1,MATCH(AM$7,$F$7:$AG$7,1))</f>
        <v>22</v>
      </c>
      <c r="AN179" s="114" t="n">
        <f aca="false">INDEX($F179:$AG179,1,MATCH(AN$7,$F$7:$AG$7,1))</f>
        <v>22</v>
      </c>
      <c r="AO179" s="114" t="n">
        <f aca="false">INDEX($F179:$AG179,1,MATCH(AO$7,$F$7:$AG$7,1))</f>
        <v>22</v>
      </c>
    </row>
    <row r="180" customFormat="false" ht="15" hidden="false" customHeight="false" outlineLevel="0" collapsed="false">
      <c r="A180" s="112" t="s">
        <v>1816</v>
      </c>
      <c r="B180" s="24" t="s">
        <v>857</v>
      </c>
      <c r="C180" s="24" t="s">
        <v>690</v>
      </c>
      <c r="D180" s="24" t="s">
        <v>1677</v>
      </c>
      <c r="F180" s="113" t="n">
        <v>0</v>
      </c>
      <c r="G180" s="113" t="n">
        <v>0</v>
      </c>
      <c r="H180" s="113" t="n">
        <v>0</v>
      </c>
      <c r="I180" s="113" t="n">
        <v>0</v>
      </c>
      <c r="J180" s="113" t="n">
        <v>0</v>
      </c>
      <c r="K180" s="113" t="n">
        <v>0</v>
      </c>
      <c r="L180" s="113" t="n">
        <v>0</v>
      </c>
      <c r="M180" s="113" t="n">
        <v>0</v>
      </c>
      <c r="N180" s="113" t="n">
        <v>0</v>
      </c>
      <c r="O180" s="113" t="n">
        <v>0</v>
      </c>
      <c r="P180" s="113" t="n">
        <v>0</v>
      </c>
      <c r="Q180" s="113" t="n">
        <v>5.5</v>
      </c>
      <c r="R180" s="113" t="n">
        <v>11</v>
      </c>
      <c r="S180" s="113" t="n">
        <v>16.5</v>
      </c>
      <c r="T180" s="113" t="n">
        <v>22</v>
      </c>
      <c r="U180" s="113" t="n">
        <v>22</v>
      </c>
      <c r="V180" s="113" t="n">
        <v>22</v>
      </c>
      <c r="W180" s="113" t="n">
        <v>22</v>
      </c>
      <c r="X180" s="113" t="n">
        <v>22</v>
      </c>
      <c r="Y180" s="113" t="n">
        <v>22</v>
      </c>
      <c r="Z180" s="113" t="n">
        <v>22</v>
      </c>
      <c r="AA180" s="113" t="n">
        <v>22</v>
      </c>
      <c r="AB180" s="113" t="n">
        <v>22</v>
      </c>
      <c r="AC180" s="113" t="n">
        <v>22</v>
      </c>
      <c r="AD180" s="113" t="n">
        <v>22</v>
      </c>
      <c r="AE180" s="113" t="n">
        <v>22</v>
      </c>
      <c r="AF180" s="113" t="n">
        <v>22</v>
      </c>
      <c r="AG180" s="113" t="n">
        <v>22</v>
      </c>
      <c r="AI180" s="114" t="n">
        <f aca="false">INDEX($F180:$AG180,1,MATCH(AI$7,$F$7:$AG$7,1))</f>
        <v>0</v>
      </c>
      <c r="AJ180" s="114" t="n">
        <f aca="false">INDEX($F180:$AG180,1,MATCH(AJ$7,$F$7:$AG$7,1))</f>
        <v>0</v>
      </c>
      <c r="AK180" s="114" t="n">
        <f aca="false">INDEX($F180:$AG180,1,MATCH(AK$7,$F$7:$AG$7,1))</f>
        <v>5.5</v>
      </c>
      <c r="AL180" s="114" t="n">
        <f aca="false">INDEX($F180:$AG180,1,MATCH(AL$7,$F$7:$AG$7,1))</f>
        <v>22</v>
      </c>
      <c r="AM180" s="114" t="n">
        <f aca="false">INDEX($F180:$AG180,1,MATCH(AM$7,$F$7:$AG$7,1))</f>
        <v>22</v>
      </c>
      <c r="AN180" s="114" t="n">
        <f aca="false">INDEX($F180:$AG180,1,MATCH(AN$7,$F$7:$AG$7,1))</f>
        <v>22</v>
      </c>
      <c r="AO180" s="114" t="n">
        <f aca="false">INDEX($F180:$AG180,1,MATCH(AO$7,$F$7:$AG$7,1))</f>
        <v>22</v>
      </c>
    </row>
    <row r="181" customFormat="false" ht="15" hidden="false" customHeight="false" outlineLevel="0" collapsed="false">
      <c r="A181" s="112" t="s">
        <v>1817</v>
      </c>
      <c r="B181" s="24" t="s">
        <v>857</v>
      </c>
      <c r="C181" s="24" t="s">
        <v>672</v>
      </c>
      <c r="D181" s="24" t="s">
        <v>1679</v>
      </c>
      <c r="F181" s="114" t="n">
        <f aca="false">IF(CapV=2,N(F180),N(F179))</f>
        <v>0</v>
      </c>
      <c r="G181" s="114" t="n">
        <f aca="false">IF(CapV=2,N(G180),N(G179))</f>
        <v>0</v>
      </c>
      <c r="H181" s="114" t="n">
        <f aca="false">IF(CapV=2,N(H180),N(H179))</f>
        <v>0</v>
      </c>
      <c r="I181" s="114" t="n">
        <f aca="false">IF(CapV=2,N(I180),N(I179))</f>
        <v>0</v>
      </c>
      <c r="J181" s="114" t="n">
        <f aca="false">IF(CapV=2,N(J180),N(J179))</f>
        <v>0</v>
      </c>
      <c r="K181" s="114" t="n">
        <f aca="false">IF(CapV=2,N(K180),N(K179))</f>
        <v>0</v>
      </c>
      <c r="L181" s="114" t="n">
        <f aca="false">IF(CapV=2,N(L180),N(L179))</f>
        <v>0</v>
      </c>
      <c r="M181" s="114" t="n">
        <f aca="false">IF(CapV=2,N(M180),N(M179))</f>
        <v>0</v>
      </c>
      <c r="N181" s="114" t="n">
        <f aca="false">IF(CapV=2,N(N180),N(N179))</f>
        <v>0</v>
      </c>
      <c r="O181" s="114" t="n">
        <f aca="false">IF(CapV=2,N(O180),N(O179))</f>
        <v>0</v>
      </c>
      <c r="P181" s="114" t="n">
        <f aca="false">IF(CapV=2,N(P180),N(P179))</f>
        <v>0</v>
      </c>
      <c r="Q181" s="114" t="n">
        <f aca="false">IF(CapV=2,N(Q180),N(Q179))</f>
        <v>5.5</v>
      </c>
      <c r="R181" s="114" t="n">
        <f aca="false">IF(CapV=2,N(R180),N(R179))</f>
        <v>11</v>
      </c>
      <c r="S181" s="114" t="n">
        <f aca="false">IF(CapV=2,N(S180),N(S179))</f>
        <v>16.5</v>
      </c>
      <c r="T181" s="114" t="n">
        <f aca="false">IF(CapV=2,N(T180),N(T179))</f>
        <v>22</v>
      </c>
      <c r="U181" s="114" t="n">
        <f aca="false">IF(CapV=2,N(U180),N(U179))</f>
        <v>22</v>
      </c>
      <c r="V181" s="114" t="n">
        <f aca="false">IF(CapV=2,N(V180),N(V179))</f>
        <v>22</v>
      </c>
      <c r="W181" s="114" t="n">
        <f aca="false">IF(CapV=2,N(W180),N(W179))</f>
        <v>22</v>
      </c>
      <c r="X181" s="114" t="n">
        <f aca="false">IF(CapV=2,N(X180),N(X179))</f>
        <v>22</v>
      </c>
      <c r="Y181" s="114" t="n">
        <f aca="false">IF(CapV=2,N(Y180),N(Y179))</f>
        <v>22</v>
      </c>
      <c r="Z181" s="114" t="n">
        <f aca="false">IF(CapV=2,N(Z180),N(Z179))</f>
        <v>22</v>
      </c>
      <c r="AA181" s="114" t="n">
        <f aca="false">IF(CapV=2,N(AA180),N(AA179))</f>
        <v>22</v>
      </c>
      <c r="AB181" s="114" t="n">
        <f aca="false">IF(CapV=2,N(AB180),N(AB179))</f>
        <v>22</v>
      </c>
      <c r="AC181" s="114" t="n">
        <f aca="false">IF(CapV=2,N(AC180),N(AC179))</f>
        <v>22</v>
      </c>
      <c r="AD181" s="114" t="n">
        <f aca="false">IF(CapV=2,N(AD180),N(AD179))</f>
        <v>22</v>
      </c>
      <c r="AE181" s="114" t="n">
        <f aca="false">IF(CapV=2,N(AE180),N(AE179))</f>
        <v>22</v>
      </c>
      <c r="AF181" s="114" t="n">
        <f aca="false">IF(CapV=2,N(AF180),N(AF179))</f>
        <v>22</v>
      </c>
      <c r="AG181" s="114" t="n">
        <f aca="false">IF(CapV=2,N(AG180),N(AG179))</f>
        <v>22</v>
      </c>
      <c r="AI181" s="114" t="n">
        <f aca="false">INDEX($F181:$AG181,1,MATCH(AI$7,$F$7:$AG$7,1))</f>
        <v>0</v>
      </c>
      <c r="AJ181" s="114" t="n">
        <f aca="false">INDEX($F181:$AG181,1,MATCH(AJ$7,$F$7:$AG$7,1))</f>
        <v>0</v>
      </c>
      <c r="AK181" s="114" t="n">
        <f aca="false">INDEX($F181:$AG181,1,MATCH(AK$7,$F$7:$AG$7,1))</f>
        <v>5.5</v>
      </c>
      <c r="AL181" s="114" t="n">
        <f aca="false">INDEX($F181:$AG181,1,MATCH(AL$7,$F$7:$AG$7,1))</f>
        <v>22</v>
      </c>
      <c r="AM181" s="114" t="n">
        <f aca="false">INDEX($F181:$AG181,1,MATCH(AM$7,$F$7:$AG$7,1))</f>
        <v>22</v>
      </c>
      <c r="AN181" s="114" t="n">
        <f aca="false">INDEX($F181:$AG181,1,MATCH(AN$7,$F$7:$AG$7,1))</f>
        <v>22</v>
      </c>
      <c r="AO181" s="114" t="n">
        <f aca="false">INDEX($F181:$AG181,1,MATCH(AO$7,$F$7:$AG$7,1))</f>
        <v>22</v>
      </c>
    </row>
    <row r="182" customFormat="false" ht="15" hidden="false" customHeight="false" outlineLevel="0" collapsed="false">
      <c r="A182" s="112" t="s">
        <v>1818</v>
      </c>
      <c r="B182" s="24" t="s">
        <v>857</v>
      </c>
      <c r="C182" s="24" t="s">
        <v>690</v>
      </c>
      <c r="D182" s="24" t="s">
        <v>1675</v>
      </c>
      <c r="F182" s="113" t="n">
        <v>0</v>
      </c>
      <c r="G182" s="113" t="n">
        <v>0</v>
      </c>
      <c r="H182" s="113" t="n">
        <v>0</v>
      </c>
      <c r="I182" s="113" t="n">
        <v>0</v>
      </c>
      <c r="J182" s="113" t="n">
        <v>0</v>
      </c>
      <c r="K182" s="113" t="n">
        <v>0</v>
      </c>
      <c r="L182" s="113" t="n">
        <v>0</v>
      </c>
      <c r="M182" s="113" t="n">
        <v>0</v>
      </c>
      <c r="N182" s="113" t="n">
        <v>0</v>
      </c>
      <c r="O182" s="113" t="n">
        <v>0</v>
      </c>
      <c r="P182" s="113" t="n">
        <v>0</v>
      </c>
      <c r="Q182" s="113" t="n">
        <v>22</v>
      </c>
      <c r="R182" s="113" t="n">
        <v>22</v>
      </c>
      <c r="S182" s="113" t="n">
        <v>22</v>
      </c>
      <c r="T182" s="113" t="n">
        <v>22</v>
      </c>
      <c r="U182" s="113" t="n">
        <v>22</v>
      </c>
      <c r="V182" s="113" t="n">
        <v>22</v>
      </c>
      <c r="W182" s="113" t="n">
        <v>22</v>
      </c>
      <c r="X182" s="113" t="n">
        <v>22</v>
      </c>
      <c r="Y182" s="113" t="n">
        <v>22</v>
      </c>
      <c r="Z182" s="113" t="n">
        <v>22</v>
      </c>
      <c r="AA182" s="113" t="n">
        <v>22</v>
      </c>
      <c r="AB182" s="113" t="n">
        <v>22</v>
      </c>
      <c r="AC182" s="113" t="n">
        <v>22</v>
      </c>
      <c r="AD182" s="113" t="n">
        <v>22</v>
      </c>
      <c r="AE182" s="113" t="n">
        <v>22</v>
      </c>
      <c r="AF182" s="113" t="n">
        <v>22</v>
      </c>
      <c r="AG182" s="113" t="n">
        <v>22</v>
      </c>
      <c r="AI182" s="114" t="n">
        <f aca="false">INDEX($F182:$AG182,1,MATCH(AI$7,$F$7:$AG$7,1))</f>
        <v>0</v>
      </c>
      <c r="AJ182" s="114" t="n">
        <f aca="false">INDEX($F182:$AG182,1,MATCH(AJ$7,$F$7:$AG$7,1))</f>
        <v>0</v>
      </c>
      <c r="AK182" s="114" t="n">
        <f aca="false">INDEX($F182:$AG182,1,MATCH(AK$7,$F$7:$AG$7,1))</f>
        <v>22</v>
      </c>
      <c r="AL182" s="114" t="n">
        <f aca="false">INDEX($F182:$AG182,1,MATCH(AL$7,$F$7:$AG$7,1))</f>
        <v>22</v>
      </c>
      <c r="AM182" s="114" t="n">
        <f aca="false">INDEX($F182:$AG182,1,MATCH(AM$7,$F$7:$AG$7,1))</f>
        <v>22</v>
      </c>
      <c r="AN182" s="114" t="n">
        <f aca="false">INDEX($F182:$AG182,1,MATCH(AN$7,$F$7:$AG$7,1))</f>
        <v>22</v>
      </c>
      <c r="AO182" s="114" t="n">
        <f aca="false">INDEX($F182:$AG182,1,MATCH(AO$7,$F$7:$AG$7,1))</f>
        <v>22</v>
      </c>
    </row>
    <row r="183" customFormat="false" ht="15" hidden="false" customHeight="false" outlineLevel="0" collapsed="false">
      <c r="A183" s="112" t="s">
        <v>1819</v>
      </c>
      <c r="B183" s="24" t="s">
        <v>857</v>
      </c>
      <c r="C183" s="24" t="s">
        <v>690</v>
      </c>
      <c r="D183" s="24" t="s">
        <v>1677</v>
      </c>
      <c r="F183" s="113" t="n">
        <v>0</v>
      </c>
      <c r="G183" s="113" t="n">
        <v>0</v>
      </c>
      <c r="H183" s="113" t="n">
        <v>0</v>
      </c>
      <c r="I183" s="113" t="n">
        <v>0</v>
      </c>
      <c r="J183" s="113" t="n">
        <v>0</v>
      </c>
      <c r="K183" s="113" t="n">
        <v>0</v>
      </c>
      <c r="L183" s="113" t="n">
        <v>0</v>
      </c>
      <c r="M183" s="113" t="n">
        <v>0</v>
      </c>
      <c r="N183" s="113" t="n">
        <v>0</v>
      </c>
      <c r="O183" s="113" t="n">
        <v>0</v>
      </c>
      <c r="P183" s="113" t="n">
        <v>0</v>
      </c>
      <c r="Q183" s="113" t="n">
        <v>11</v>
      </c>
      <c r="R183" s="113" t="n">
        <v>22</v>
      </c>
      <c r="S183" s="113" t="n">
        <v>22</v>
      </c>
      <c r="T183" s="113" t="n">
        <v>22</v>
      </c>
      <c r="U183" s="113" t="n">
        <v>22</v>
      </c>
      <c r="V183" s="113" t="n">
        <v>22</v>
      </c>
      <c r="W183" s="113" t="n">
        <v>22</v>
      </c>
      <c r="X183" s="113" t="n">
        <v>22</v>
      </c>
      <c r="Y183" s="113" t="n">
        <v>22</v>
      </c>
      <c r="Z183" s="113" t="n">
        <v>22</v>
      </c>
      <c r="AA183" s="113" t="n">
        <v>22</v>
      </c>
      <c r="AB183" s="113" t="n">
        <v>22</v>
      </c>
      <c r="AC183" s="113" t="n">
        <v>22</v>
      </c>
      <c r="AD183" s="113" t="n">
        <v>22</v>
      </c>
      <c r="AE183" s="113" t="n">
        <v>22</v>
      </c>
      <c r="AF183" s="113" t="n">
        <v>22</v>
      </c>
      <c r="AG183" s="113" t="n">
        <v>22</v>
      </c>
      <c r="AI183" s="114" t="n">
        <f aca="false">INDEX($F183:$AG183,1,MATCH(AI$7,$F$7:$AG$7,1))</f>
        <v>0</v>
      </c>
      <c r="AJ183" s="114" t="n">
        <f aca="false">INDEX($F183:$AG183,1,MATCH(AJ$7,$F$7:$AG$7,1))</f>
        <v>0</v>
      </c>
      <c r="AK183" s="114" t="n">
        <f aca="false">INDEX($F183:$AG183,1,MATCH(AK$7,$F$7:$AG$7,1))</f>
        <v>11</v>
      </c>
      <c r="AL183" s="114" t="n">
        <f aca="false">INDEX($F183:$AG183,1,MATCH(AL$7,$F$7:$AG$7,1))</f>
        <v>22</v>
      </c>
      <c r="AM183" s="114" t="n">
        <f aca="false">INDEX($F183:$AG183,1,MATCH(AM$7,$F$7:$AG$7,1))</f>
        <v>22</v>
      </c>
      <c r="AN183" s="114" t="n">
        <f aca="false">INDEX($F183:$AG183,1,MATCH(AN$7,$F$7:$AG$7,1))</f>
        <v>22</v>
      </c>
      <c r="AO183" s="114" t="n">
        <f aca="false">INDEX($F183:$AG183,1,MATCH(AO$7,$F$7:$AG$7,1))</f>
        <v>22</v>
      </c>
    </row>
    <row r="184" customFormat="false" ht="15" hidden="false" customHeight="false" outlineLevel="0" collapsed="false">
      <c r="A184" s="112" t="s">
        <v>1820</v>
      </c>
      <c r="B184" s="24" t="s">
        <v>857</v>
      </c>
      <c r="C184" s="24" t="s">
        <v>672</v>
      </c>
      <c r="D184" s="24" t="s">
        <v>1679</v>
      </c>
      <c r="F184" s="114" t="n">
        <f aca="false">IF(CapV=2,N(F183),N(F182))</f>
        <v>0</v>
      </c>
      <c r="G184" s="114" t="n">
        <f aca="false">IF(CapV=2,N(G183),N(G182))</f>
        <v>0</v>
      </c>
      <c r="H184" s="114" t="n">
        <f aca="false">IF(CapV=2,N(H183),N(H182))</f>
        <v>0</v>
      </c>
      <c r="I184" s="114" t="n">
        <f aca="false">IF(CapV=2,N(I183),N(I182))</f>
        <v>0</v>
      </c>
      <c r="J184" s="114" t="n">
        <f aca="false">IF(CapV=2,N(J183),N(J182))</f>
        <v>0</v>
      </c>
      <c r="K184" s="114" t="n">
        <f aca="false">IF(CapV=2,N(K183),N(K182))</f>
        <v>0</v>
      </c>
      <c r="L184" s="114" t="n">
        <f aca="false">IF(CapV=2,N(L183),N(L182))</f>
        <v>0</v>
      </c>
      <c r="M184" s="114" t="n">
        <f aca="false">IF(CapV=2,N(M183),N(M182))</f>
        <v>0</v>
      </c>
      <c r="N184" s="114" t="n">
        <f aca="false">IF(CapV=2,N(N183),N(N182))</f>
        <v>0</v>
      </c>
      <c r="O184" s="114" t="n">
        <f aca="false">IF(CapV=2,N(O183),N(O182))</f>
        <v>0</v>
      </c>
      <c r="P184" s="114" t="n">
        <f aca="false">IF(CapV=2,N(P183),N(P182))</f>
        <v>0</v>
      </c>
      <c r="Q184" s="114" t="n">
        <f aca="false">IF(CapV=2,N(Q183),N(Q182))</f>
        <v>11</v>
      </c>
      <c r="R184" s="114" t="n">
        <f aca="false">IF(CapV=2,N(R183),N(R182))</f>
        <v>22</v>
      </c>
      <c r="S184" s="114" t="n">
        <f aca="false">IF(CapV=2,N(S183),N(S182))</f>
        <v>22</v>
      </c>
      <c r="T184" s="114" t="n">
        <f aca="false">IF(CapV=2,N(T183),N(T182))</f>
        <v>22</v>
      </c>
      <c r="U184" s="114" t="n">
        <f aca="false">IF(CapV=2,N(U183),N(U182))</f>
        <v>22</v>
      </c>
      <c r="V184" s="114" t="n">
        <f aca="false">IF(CapV=2,N(V183),N(V182))</f>
        <v>22</v>
      </c>
      <c r="W184" s="114" t="n">
        <f aca="false">IF(CapV=2,N(W183),N(W182))</f>
        <v>22</v>
      </c>
      <c r="X184" s="114" t="n">
        <f aca="false">IF(CapV=2,N(X183),N(X182))</f>
        <v>22</v>
      </c>
      <c r="Y184" s="114" t="n">
        <f aca="false">IF(CapV=2,N(Y183),N(Y182))</f>
        <v>22</v>
      </c>
      <c r="Z184" s="114" t="n">
        <f aca="false">IF(CapV=2,N(Z183),N(Z182))</f>
        <v>22</v>
      </c>
      <c r="AA184" s="114" t="n">
        <f aca="false">IF(CapV=2,N(AA183),N(AA182))</f>
        <v>22</v>
      </c>
      <c r="AB184" s="114" t="n">
        <f aca="false">IF(CapV=2,N(AB183),N(AB182))</f>
        <v>22</v>
      </c>
      <c r="AC184" s="114" t="n">
        <f aca="false">IF(CapV=2,N(AC183),N(AC182))</f>
        <v>22</v>
      </c>
      <c r="AD184" s="114" t="n">
        <f aca="false">IF(CapV=2,N(AD183),N(AD182))</f>
        <v>22</v>
      </c>
      <c r="AE184" s="114" t="n">
        <f aca="false">IF(CapV=2,N(AE183),N(AE182))</f>
        <v>22</v>
      </c>
      <c r="AF184" s="114" t="n">
        <f aca="false">IF(CapV=2,N(AF183),N(AF182))</f>
        <v>22</v>
      </c>
      <c r="AG184" s="114" t="n">
        <f aca="false">IF(CapV=2,N(AG183),N(AG182))</f>
        <v>22</v>
      </c>
      <c r="AI184" s="114" t="n">
        <f aca="false">INDEX($F184:$AG184,1,MATCH(AI$7,$F$7:$AG$7,1))</f>
        <v>0</v>
      </c>
      <c r="AJ184" s="114" t="n">
        <f aca="false">INDEX($F184:$AG184,1,MATCH(AJ$7,$F$7:$AG$7,1))</f>
        <v>0</v>
      </c>
      <c r="AK184" s="114" t="n">
        <f aca="false">INDEX($F184:$AG184,1,MATCH(AK$7,$F$7:$AG$7,1))</f>
        <v>11</v>
      </c>
      <c r="AL184" s="114" t="n">
        <f aca="false">INDEX($F184:$AG184,1,MATCH(AL$7,$F$7:$AG$7,1))</f>
        <v>22</v>
      </c>
      <c r="AM184" s="114" t="n">
        <f aca="false">INDEX($F184:$AG184,1,MATCH(AM$7,$F$7:$AG$7,1))</f>
        <v>22</v>
      </c>
      <c r="AN184" s="114" t="n">
        <f aca="false">INDEX($F184:$AG184,1,MATCH(AN$7,$F$7:$AG$7,1))</f>
        <v>22</v>
      </c>
      <c r="AO184" s="114" t="n">
        <f aca="false">INDEX($F184:$AG184,1,MATCH(AO$7,$F$7:$AG$7,1))</f>
        <v>22</v>
      </c>
    </row>
    <row r="185" customFormat="false" ht="15" hidden="false" customHeight="false" outlineLevel="0" collapsed="false">
      <c r="A185" s="112" t="s">
        <v>1821</v>
      </c>
      <c r="B185" s="24" t="s">
        <v>857</v>
      </c>
      <c r="C185" s="24" t="s">
        <v>690</v>
      </c>
      <c r="D185" s="24" t="s">
        <v>1675</v>
      </c>
      <c r="F185" s="113" t="n">
        <v>0</v>
      </c>
      <c r="G185" s="113" t="n">
        <v>0</v>
      </c>
      <c r="H185" s="113" t="n">
        <v>0</v>
      </c>
      <c r="I185" s="113" t="n">
        <v>0</v>
      </c>
      <c r="J185" s="113" t="n">
        <v>0</v>
      </c>
      <c r="K185" s="113" t="n">
        <v>0</v>
      </c>
      <c r="L185" s="113" t="n">
        <v>0</v>
      </c>
      <c r="M185" s="113" t="n">
        <v>0</v>
      </c>
      <c r="N185" s="113" t="n">
        <v>0</v>
      </c>
      <c r="O185" s="113" t="n">
        <v>0</v>
      </c>
      <c r="P185" s="113" t="n">
        <v>0</v>
      </c>
      <c r="Q185" s="113" t="n">
        <v>0</v>
      </c>
      <c r="R185" s="113" t="n">
        <v>20</v>
      </c>
      <c r="S185" s="113" t="n">
        <v>39</v>
      </c>
      <c r="T185" s="113" t="n">
        <v>58</v>
      </c>
      <c r="U185" s="113" t="n">
        <v>58</v>
      </c>
      <c r="V185" s="113" t="n">
        <v>58</v>
      </c>
      <c r="W185" s="113" t="n">
        <v>58</v>
      </c>
      <c r="X185" s="113" t="n">
        <v>58</v>
      </c>
      <c r="Y185" s="113" t="n">
        <v>58</v>
      </c>
      <c r="Z185" s="113" t="n">
        <v>58</v>
      </c>
      <c r="AA185" s="113" t="n">
        <v>58</v>
      </c>
      <c r="AB185" s="113" t="n">
        <v>58</v>
      </c>
      <c r="AC185" s="113" t="n">
        <v>58</v>
      </c>
      <c r="AD185" s="113" t="n">
        <v>58</v>
      </c>
      <c r="AE185" s="113" t="n">
        <v>58</v>
      </c>
      <c r="AF185" s="113" t="n">
        <v>58</v>
      </c>
      <c r="AG185" s="113" t="n">
        <v>58</v>
      </c>
      <c r="AI185" s="114" t="n">
        <f aca="false">INDEX($F185:$AG185,1,MATCH(AI$7,$F$7:$AG$7,1))</f>
        <v>0</v>
      </c>
      <c r="AJ185" s="114" t="n">
        <f aca="false">INDEX($F185:$AG185,1,MATCH(AJ$7,$F$7:$AG$7,1))</f>
        <v>0</v>
      </c>
      <c r="AK185" s="114" t="n">
        <f aca="false">INDEX($F185:$AG185,1,MATCH(AK$7,$F$7:$AG$7,1))</f>
        <v>0</v>
      </c>
      <c r="AL185" s="114" t="n">
        <f aca="false">INDEX($F185:$AG185,1,MATCH(AL$7,$F$7:$AG$7,1))</f>
        <v>58</v>
      </c>
      <c r="AM185" s="114" t="n">
        <f aca="false">INDEX($F185:$AG185,1,MATCH(AM$7,$F$7:$AG$7,1))</f>
        <v>58</v>
      </c>
      <c r="AN185" s="114" t="n">
        <f aca="false">INDEX($F185:$AG185,1,MATCH(AN$7,$F$7:$AG$7,1))</f>
        <v>58</v>
      </c>
      <c r="AO185" s="114" t="n">
        <f aca="false">INDEX($F185:$AG185,1,MATCH(AO$7,$F$7:$AG$7,1))</f>
        <v>58</v>
      </c>
    </row>
    <row r="186" customFormat="false" ht="15" hidden="false" customHeight="false" outlineLevel="0" collapsed="false">
      <c r="A186" s="112" t="s">
        <v>1822</v>
      </c>
      <c r="B186" s="24" t="s">
        <v>857</v>
      </c>
      <c r="C186" s="24" t="s">
        <v>690</v>
      </c>
      <c r="D186" s="24" t="s">
        <v>1677</v>
      </c>
      <c r="F186" s="113" t="n">
        <v>0</v>
      </c>
      <c r="G186" s="113" t="n">
        <v>0</v>
      </c>
      <c r="H186" s="113" t="n">
        <v>0</v>
      </c>
      <c r="I186" s="113" t="n">
        <v>0</v>
      </c>
      <c r="J186" s="113" t="n">
        <v>0</v>
      </c>
      <c r="K186" s="113" t="n">
        <v>0</v>
      </c>
      <c r="L186" s="113" t="n">
        <v>0</v>
      </c>
      <c r="M186" s="113" t="n">
        <v>0</v>
      </c>
      <c r="N186" s="113" t="n">
        <v>0</v>
      </c>
      <c r="O186" s="113" t="n">
        <v>0</v>
      </c>
      <c r="P186" s="113" t="n">
        <v>0</v>
      </c>
      <c r="Q186" s="113" t="n">
        <v>0</v>
      </c>
      <c r="R186" s="113" t="n">
        <v>0</v>
      </c>
      <c r="S186" s="113" t="n">
        <v>20</v>
      </c>
      <c r="T186" s="113" t="n">
        <v>39</v>
      </c>
      <c r="U186" s="113" t="n">
        <v>58</v>
      </c>
      <c r="V186" s="113" t="n">
        <v>58</v>
      </c>
      <c r="W186" s="113" t="n">
        <v>58</v>
      </c>
      <c r="X186" s="113" t="n">
        <v>58</v>
      </c>
      <c r="Y186" s="113" t="n">
        <v>58</v>
      </c>
      <c r="Z186" s="113" t="n">
        <v>58</v>
      </c>
      <c r="AA186" s="113" t="n">
        <v>58</v>
      </c>
      <c r="AB186" s="113" t="n">
        <v>58</v>
      </c>
      <c r="AC186" s="113" t="n">
        <v>58</v>
      </c>
      <c r="AD186" s="113" t="n">
        <v>58</v>
      </c>
      <c r="AE186" s="113" t="n">
        <v>58</v>
      </c>
      <c r="AF186" s="113" t="n">
        <v>58</v>
      </c>
      <c r="AG186" s="113" t="n">
        <v>58</v>
      </c>
      <c r="AI186" s="114" t="n">
        <f aca="false">INDEX($F186:$AG186,1,MATCH(AI$7,$F$7:$AG$7,1))</f>
        <v>0</v>
      </c>
      <c r="AJ186" s="114" t="n">
        <f aca="false">INDEX($F186:$AG186,1,MATCH(AJ$7,$F$7:$AG$7,1))</f>
        <v>0</v>
      </c>
      <c r="AK186" s="114" t="n">
        <f aca="false">INDEX($F186:$AG186,1,MATCH(AK$7,$F$7:$AG$7,1))</f>
        <v>0</v>
      </c>
      <c r="AL186" s="114" t="n">
        <f aca="false">INDEX($F186:$AG186,1,MATCH(AL$7,$F$7:$AG$7,1))</f>
        <v>58</v>
      </c>
      <c r="AM186" s="114" t="n">
        <f aca="false">INDEX($F186:$AG186,1,MATCH(AM$7,$F$7:$AG$7,1))</f>
        <v>58</v>
      </c>
      <c r="AN186" s="114" t="n">
        <f aca="false">INDEX($F186:$AG186,1,MATCH(AN$7,$F$7:$AG$7,1))</f>
        <v>58</v>
      </c>
      <c r="AO186" s="114" t="n">
        <f aca="false">INDEX($F186:$AG186,1,MATCH(AO$7,$F$7:$AG$7,1))</f>
        <v>58</v>
      </c>
    </row>
    <row r="187" customFormat="false" ht="15" hidden="false" customHeight="false" outlineLevel="0" collapsed="false">
      <c r="A187" s="112" t="s">
        <v>1823</v>
      </c>
      <c r="B187" s="24" t="s">
        <v>857</v>
      </c>
      <c r="C187" s="24" t="s">
        <v>672</v>
      </c>
      <c r="D187" s="24" t="s">
        <v>1679</v>
      </c>
      <c r="F187" s="114" t="n">
        <f aca="false">IF(CapV=2,N(F186),N(F185))</f>
        <v>0</v>
      </c>
      <c r="G187" s="114" t="n">
        <f aca="false">IF(CapV=2,N(G186),N(G185))</f>
        <v>0</v>
      </c>
      <c r="H187" s="114" t="n">
        <f aca="false">IF(CapV=2,N(H186),N(H185))</f>
        <v>0</v>
      </c>
      <c r="I187" s="114" t="n">
        <f aca="false">IF(CapV=2,N(I186),N(I185))</f>
        <v>0</v>
      </c>
      <c r="J187" s="114" t="n">
        <f aca="false">IF(CapV=2,N(J186),N(J185))</f>
        <v>0</v>
      </c>
      <c r="K187" s="114" t="n">
        <f aca="false">IF(CapV=2,N(K186),N(K185))</f>
        <v>0</v>
      </c>
      <c r="L187" s="114" t="n">
        <f aca="false">IF(CapV=2,N(L186),N(L185))</f>
        <v>0</v>
      </c>
      <c r="M187" s="114" t="n">
        <f aca="false">IF(CapV=2,N(M186),N(M185))</f>
        <v>0</v>
      </c>
      <c r="N187" s="114" t="n">
        <f aca="false">IF(CapV=2,N(N186),N(N185))</f>
        <v>0</v>
      </c>
      <c r="O187" s="114" t="n">
        <f aca="false">IF(CapV=2,N(O186),N(O185))</f>
        <v>0</v>
      </c>
      <c r="P187" s="114" t="n">
        <f aca="false">IF(CapV=2,N(P186),N(P185))</f>
        <v>0</v>
      </c>
      <c r="Q187" s="114" t="n">
        <f aca="false">IF(CapV=2,N(Q186),N(Q185))</f>
        <v>0</v>
      </c>
      <c r="R187" s="114" t="n">
        <f aca="false">IF(CapV=2,N(R186),N(R185))</f>
        <v>0</v>
      </c>
      <c r="S187" s="114" t="n">
        <f aca="false">IF(CapV=2,N(S186),N(S185))</f>
        <v>20</v>
      </c>
      <c r="T187" s="114" t="n">
        <f aca="false">IF(CapV=2,N(T186),N(T185))</f>
        <v>39</v>
      </c>
      <c r="U187" s="114" t="n">
        <f aca="false">IF(CapV=2,N(U186),N(U185))</f>
        <v>58</v>
      </c>
      <c r="V187" s="114" t="n">
        <f aca="false">IF(CapV=2,N(V186),N(V185))</f>
        <v>58</v>
      </c>
      <c r="W187" s="114" t="n">
        <f aca="false">IF(CapV=2,N(W186),N(W185))</f>
        <v>58</v>
      </c>
      <c r="X187" s="114" t="n">
        <f aca="false">IF(CapV=2,N(X186),N(X185))</f>
        <v>58</v>
      </c>
      <c r="Y187" s="114" t="n">
        <f aca="false">IF(CapV=2,N(Y186),N(Y185))</f>
        <v>58</v>
      </c>
      <c r="Z187" s="114" t="n">
        <f aca="false">IF(CapV=2,N(Z186),N(Z185))</f>
        <v>58</v>
      </c>
      <c r="AA187" s="114" t="n">
        <f aca="false">IF(CapV=2,N(AA186),N(AA185))</f>
        <v>58</v>
      </c>
      <c r="AB187" s="114" t="n">
        <f aca="false">IF(CapV=2,N(AB186),N(AB185))</f>
        <v>58</v>
      </c>
      <c r="AC187" s="114" t="n">
        <f aca="false">IF(CapV=2,N(AC186),N(AC185))</f>
        <v>58</v>
      </c>
      <c r="AD187" s="114" t="n">
        <f aca="false">IF(CapV=2,N(AD186),N(AD185))</f>
        <v>58</v>
      </c>
      <c r="AE187" s="114" t="n">
        <f aca="false">IF(CapV=2,N(AE186),N(AE185))</f>
        <v>58</v>
      </c>
      <c r="AF187" s="114" t="n">
        <f aca="false">IF(CapV=2,N(AF186),N(AF185))</f>
        <v>58</v>
      </c>
      <c r="AG187" s="114" t="n">
        <f aca="false">IF(CapV=2,N(AG186),N(AG185))</f>
        <v>58</v>
      </c>
      <c r="AI187" s="114" t="n">
        <f aca="false">INDEX($F187:$AG187,1,MATCH(AI$7,$F$7:$AG$7,1))</f>
        <v>0</v>
      </c>
      <c r="AJ187" s="114" t="n">
        <f aca="false">INDEX($F187:$AG187,1,MATCH(AJ$7,$F$7:$AG$7,1))</f>
        <v>0</v>
      </c>
      <c r="AK187" s="114" t="n">
        <f aca="false">INDEX($F187:$AG187,1,MATCH(AK$7,$F$7:$AG$7,1))</f>
        <v>0</v>
      </c>
      <c r="AL187" s="114" t="n">
        <f aca="false">INDEX($F187:$AG187,1,MATCH(AL$7,$F$7:$AG$7,1))</f>
        <v>58</v>
      </c>
      <c r="AM187" s="114" t="n">
        <f aca="false">INDEX($F187:$AG187,1,MATCH(AM$7,$F$7:$AG$7,1))</f>
        <v>58</v>
      </c>
      <c r="AN187" s="114" t="n">
        <f aca="false">INDEX($F187:$AG187,1,MATCH(AN$7,$F$7:$AG$7,1))</f>
        <v>58</v>
      </c>
      <c r="AO187" s="114" t="n">
        <f aca="false">INDEX($F187:$AG187,1,MATCH(AO$7,$F$7:$AG$7,1))</f>
        <v>58</v>
      </c>
    </row>
    <row r="188" customFormat="false" ht="15" hidden="false" customHeight="false" outlineLevel="0" collapsed="false">
      <c r="A188" s="112" t="s">
        <v>1824</v>
      </c>
      <c r="B188" s="24" t="s">
        <v>857</v>
      </c>
      <c r="C188" s="24" t="s">
        <v>690</v>
      </c>
      <c r="D188" s="24" t="s">
        <v>1675</v>
      </c>
      <c r="F188" s="113" t="n">
        <v>0</v>
      </c>
      <c r="G188" s="113" t="n">
        <v>0</v>
      </c>
      <c r="H188" s="113" t="n">
        <v>0</v>
      </c>
      <c r="I188" s="113" t="n">
        <v>0</v>
      </c>
      <c r="J188" s="113" t="n">
        <v>0</v>
      </c>
      <c r="K188" s="113" t="n">
        <v>0</v>
      </c>
      <c r="L188" s="113" t="n">
        <v>0</v>
      </c>
      <c r="M188" s="113" t="n">
        <v>0</v>
      </c>
      <c r="N188" s="113" t="n">
        <v>0</v>
      </c>
      <c r="O188" s="113" t="n">
        <v>0</v>
      </c>
      <c r="P188" s="113" t="n">
        <v>0</v>
      </c>
      <c r="Q188" s="113" t="n">
        <v>19.5</v>
      </c>
      <c r="R188" s="113" t="n">
        <v>39</v>
      </c>
      <c r="S188" s="113" t="n">
        <v>48.5</v>
      </c>
      <c r="T188" s="113" t="n">
        <v>58</v>
      </c>
      <c r="U188" s="113" t="n">
        <v>58</v>
      </c>
      <c r="V188" s="113" t="n">
        <v>58</v>
      </c>
      <c r="W188" s="113" t="n">
        <v>58</v>
      </c>
      <c r="X188" s="113" t="n">
        <v>58</v>
      </c>
      <c r="Y188" s="113" t="n">
        <v>58</v>
      </c>
      <c r="Z188" s="113" t="n">
        <v>58</v>
      </c>
      <c r="AA188" s="113" t="n">
        <v>58</v>
      </c>
      <c r="AB188" s="113" t="n">
        <v>58</v>
      </c>
      <c r="AC188" s="113" t="n">
        <v>58</v>
      </c>
      <c r="AD188" s="113" t="n">
        <v>58</v>
      </c>
      <c r="AE188" s="113" t="n">
        <v>58</v>
      </c>
      <c r="AF188" s="113" t="n">
        <v>58</v>
      </c>
      <c r="AG188" s="113" t="n">
        <v>58</v>
      </c>
      <c r="AI188" s="114" t="n">
        <f aca="false">INDEX($F188:$AG188,1,MATCH(AI$7,$F$7:$AG$7,1))</f>
        <v>0</v>
      </c>
      <c r="AJ188" s="114" t="n">
        <f aca="false">INDEX($F188:$AG188,1,MATCH(AJ$7,$F$7:$AG$7,1))</f>
        <v>0</v>
      </c>
      <c r="AK188" s="114" t="n">
        <f aca="false">INDEX($F188:$AG188,1,MATCH(AK$7,$F$7:$AG$7,1))</f>
        <v>19.5</v>
      </c>
      <c r="AL188" s="114" t="n">
        <f aca="false">INDEX($F188:$AG188,1,MATCH(AL$7,$F$7:$AG$7,1))</f>
        <v>58</v>
      </c>
      <c r="AM188" s="114" t="n">
        <f aca="false">INDEX($F188:$AG188,1,MATCH(AM$7,$F$7:$AG$7,1))</f>
        <v>58</v>
      </c>
      <c r="AN188" s="114" t="n">
        <f aca="false">INDEX($F188:$AG188,1,MATCH(AN$7,$F$7:$AG$7,1))</f>
        <v>58</v>
      </c>
      <c r="AO188" s="114" t="n">
        <f aca="false">INDEX($F188:$AG188,1,MATCH(AO$7,$F$7:$AG$7,1))</f>
        <v>58</v>
      </c>
    </row>
    <row r="189" customFormat="false" ht="15" hidden="false" customHeight="false" outlineLevel="0" collapsed="false">
      <c r="A189" s="112" t="s">
        <v>1825</v>
      </c>
      <c r="B189" s="24" t="s">
        <v>857</v>
      </c>
      <c r="C189" s="24" t="s">
        <v>690</v>
      </c>
      <c r="D189" s="24" t="s">
        <v>1677</v>
      </c>
      <c r="F189" s="113" t="n">
        <v>0</v>
      </c>
      <c r="G189" s="113" t="n">
        <v>0</v>
      </c>
      <c r="H189" s="113" t="n">
        <v>0</v>
      </c>
      <c r="I189" s="113" t="n">
        <v>0</v>
      </c>
      <c r="J189" s="113" t="n">
        <v>0</v>
      </c>
      <c r="K189" s="113" t="n">
        <v>0</v>
      </c>
      <c r="L189" s="113" t="n">
        <v>0</v>
      </c>
      <c r="M189" s="113" t="n">
        <v>0</v>
      </c>
      <c r="N189" s="113" t="n">
        <v>0</v>
      </c>
      <c r="O189" s="113" t="n">
        <v>0</v>
      </c>
      <c r="P189" s="113" t="n">
        <v>0</v>
      </c>
      <c r="Q189" s="113" t="n">
        <v>0</v>
      </c>
      <c r="R189" s="113" t="n">
        <v>10</v>
      </c>
      <c r="S189" s="113" t="n">
        <v>29.5</v>
      </c>
      <c r="T189" s="113" t="n">
        <v>48.5</v>
      </c>
      <c r="U189" s="113" t="n">
        <v>58</v>
      </c>
      <c r="V189" s="113" t="n">
        <v>58</v>
      </c>
      <c r="W189" s="113" t="n">
        <v>58</v>
      </c>
      <c r="X189" s="113" t="n">
        <v>58</v>
      </c>
      <c r="Y189" s="113" t="n">
        <v>58</v>
      </c>
      <c r="Z189" s="113" t="n">
        <v>58</v>
      </c>
      <c r="AA189" s="113" t="n">
        <v>58</v>
      </c>
      <c r="AB189" s="113" t="n">
        <v>58</v>
      </c>
      <c r="AC189" s="113" t="n">
        <v>58</v>
      </c>
      <c r="AD189" s="113" t="n">
        <v>58</v>
      </c>
      <c r="AE189" s="113" t="n">
        <v>58</v>
      </c>
      <c r="AF189" s="113" t="n">
        <v>58</v>
      </c>
      <c r="AG189" s="113" t="n">
        <v>58</v>
      </c>
      <c r="AI189" s="114" t="n">
        <f aca="false">INDEX($F189:$AG189,1,MATCH(AI$7,$F$7:$AG$7,1))</f>
        <v>0</v>
      </c>
      <c r="AJ189" s="114" t="n">
        <f aca="false">INDEX($F189:$AG189,1,MATCH(AJ$7,$F$7:$AG$7,1))</f>
        <v>0</v>
      </c>
      <c r="AK189" s="114" t="n">
        <f aca="false">INDEX($F189:$AG189,1,MATCH(AK$7,$F$7:$AG$7,1))</f>
        <v>0</v>
      </c>
      <c r="AL189" s="114" t="n">
        <f aca="false">INDEX($F189:$AG189,1,MATCH(AL$7,$F$7:$AG$7,1))</f>
        <v>58</v>
      </c>
      <c r="AM189" s="114" t="n">
        <f aca="false">INDEX($F189:$AG189,1,MATCH(AM$7,$F$7:$AG$7,1))</f>
        <v>58</v>
      </c>
      <c r="AN189" s="114" t="n">
        <f aca="false">INDEX($F189:$AG189,1,MATCH(AN$7,$F$7:$AG$7,1))</f>
        <v>58</v>
      </c>
      <c r="AO189" s="114" t="n">
        <f aca="false">INDEX($F189:$AG189,1,MATCH(AO$7,$F$7:$AG$7,1))</f>
        <v>58</v>
      </c>
    </row>
    <row r="190" customFormat="false" ht="15" hidden="false" customHeight="false" outlineLevel="0" collapsed="false">
      <c r="A190" s="112" t="s">
        <v>1826</v>
      </c>
      <c r="B190" s="24" t="s">
        <v>857</v>
      </c>
      <c r="C190" s="24" t="s">
        <v>672</v>
      </c>
      <c r="D190" s="24" t="s">
        <v>1679</v>
      </c>
      <c r="F190" s="114" t="n">
        <f aca="false">IF(CapV=2,N(F189),N(F188))</f>
        <v>0</v>
      </c>
      <c r="G190" s="114" t="n">
        <f aca="false">IF(CapV=2,N(G189),N(G188))</f>
        <v>0</v>
      </c>
      <c r="H190" s="114" t="n">
        <f aca="false">IF(CapV=2,N(H189),N(H188))</f>
        <v>0</v>
      </c>
      <c r="I190" s="114" t="n">
        <f aca="false">IF(CapV=2,N(I189),N(I188))</f>
        <v>0</v>
      </c>
      <c r="J190" s="114" t="n">
        <f aca="false">IF(CapV=2,N(J189),N(J188))</f>
        <v>0</v>
      </c>
      <c r="K190" s="114" t="n">
        <f aca="false">IF(CapV=2,N(K189),N(K188))</f>
        <v>0</v>
      </c>
      <c r="L190" s="114" t="n">
        <f aca="false">IF(CapV=2,N(L189),N(L188))</f>
        <v>0</v>
      </c>
      <c r="M190" s="114" t="n">
        <f aca="false">IF(CapV=2,N(M189),N(M188))</f>
        <v>0</v>
      </c>
      <c r="N190" s="114" t="n">
        <f aca="false">IF(CapV=2,N(N189),N(N188))</f>
        <v>0</v>
      </c>
      <c r="O190" s="114" t="n">
        <f aca="false">IF(CapV=2,N(O189),N(O188))</f>
        <v>0</v>
      </c>
      <c r="P190" s="114" t="n">
        <f aca="false">IF(CapV=2,N(P189),N(P188))</f>
        <v>0</v>
      </c>
      <c r="Q190" s="114" t="n">
        <f aca="false">IF(CapV=2,N(Q189),N(Q188))</f>
        <v>0</v>
      </c>
      <c r="R190" s="114" t="n">
        <f aca="false">IF(CapV=2,N(R189),N(R188))</f>
        <v>10</v>
      </c>
      <c r="S190" s="114" t="n">
        <f aca="false">IF(CapV=2,N(S189),N(S188))</f>
        <v>29.5</v>
      </c>
      <c r="T190" s="114" t="n">
        <f aca="false">IF(CapV=2,N(T189),N(T188))</f>
        <v>48.5</v>
      </c>
      <c r="U190" s="114" t="n">
        <f aca="false">IF(CapV=2,N(U189),N(U188))</f>
        <v>58</v>
      </c>
      <c r="V190" s="114" t="n">
        <f aca="false">IF(CapV=2,N(V189),N(V188))</f>
        <v>58</v>
      </c>
      <c r="W190" s="114" t="n">
        <f aca="false">IF(CapV=2,N(W189),N(W188))</f>
        <v>58</v>
      </c>
      <c r="X190" s="114" t="n">
        <f aca="false">IF(CapV=2,N(X189),N(X188))</f>
        <v>58</v>
      </c>
      <c r="Y190" s="114" t="n">
        <f aca="false">IF(CapV=2,N(Y189),N(Y188))</f>
        <v>58</v>
      </c>
      <c r="Z190" s="114" t="n">
        <f aca="false">IF(CapV=2,N(Z189),N(Z188))</f>
        <v>58</v>
      </c>
      <c r="AA190" s="114" t="n">
        <f aca="false">IF(CapV=2,N(AA189),N(AA188))</f>
        <v>58</v>
      </c>
      <c r="AB190" s="114" t="n">
        <f aca="false">IF(CapV=2,N(AB189),N(AB188))</f>
        <v>58</v>
      </c>
      <c r="AC190" s="114" t="n">
        <f aca="false">IF(CapV=2,N(AC189),N(AC188))</f>
        <v>58</v>
      </c>
      <c r="AD190" s="114" t="n">
        <f aca="false">IF(CapV=2,N(AD189),N(AD188))</f>
        <v>58</v>
      </c>
      <c r="AE190" s="114" t="n">
        <f aca="false">IF(CapV=2,N(AE189),N(AE188))</f>
        <v>58</v>
      </c>
      <c r="AF190" s="114" t="n">
        <f aca="false">IF(CapV=2,N(AF189),N(AF188))</f>
        <v>58</v>
      </c>
      <c r="AG190" s="114" t="n">
        <f aca="false">IF(CapV=2,N(AG189),N(AG188))</f>
        <v>58</v>
      </c>
      <c r="AI190" s="114" t="n">
        <f aca="false">INDEX($F190:$AG190,1,MATCH(AI$7,$F$7:$AG$7,1))</f>
        <v>0</v>
      </c>
      <c r="AJ190" s="114" t="n">
        <f aca="false">INDEX($F190:$AG190,1,MATCH(AJ$7,$F$7:$AG$7,1))</f>
        <v>0</v>
      </c>
      <c r="AK190" s="114" t="n">
        <f aca="false">INDEX($F190:$AG190,1,MATCH(AK$7,$F$7:$AG$7,1))</f>
        <v>0</v>
      </c>
      <c r="AL190" s="114" t="n">
        <f aca="false">INDEX($F190:$AG190,1,MATCH(AL$7,$F$7:$AG$7,1))</f>
        <v>58</v>
      </c>
      <c r="AM190" s="114" t="n">
        <f aca="false">INDEX($F190:$AG190,1,MATCH(AM$7,$F$7:$AG$7,1))</f>
        <v>58</v>
      </c>
      <c r="AN190" s="114" t="n">
        <f aca="false">INDEX($F190:$AG190,1,MATCH(AN$7,$F$7:$AG$7,1))</f>
        <v>58</v>
      </c>
      <c r="AO190" s="114" t="n">
        <f aca="false">INDEX($F190:$AG190,1,MATCH(AO$7,$F$7:$AG$7,1))</f>
        <v>58</v>
      </c>
    </row>
    <row r="191" customFormat="false" ht="15" hidden="false" customHeight="false" outlineLevel="0" collapsed="false">
      <c r="A191" s="112" t="s">
        <v>1827</v>
      </c>
      <c r="B191" s="24" t="s">
        <v>857</v>
      </c>
      <c r="C191" s="24" t="s">
        <v>690</v>
      </c>
      <c r="D191" s="24" t="s">
        <v>1675</v>
      </c>
      <c r="F191" s="113" t="n">
        <v>0</v>
      </c>
      <c r="G191" s="113" t="n">
        <v>0</v>
      </c>
      <c r="H191" s="113" t="n">
        <v>0</v>
      </c>
      <c r="I191" s="113" t="n">
        <v>0</v>
      </c>
      <c r="J191" s="113" t="n">
        <v>0</v>
      </c>
      <c r="K191" s="113" t="n">
        <v>0</v>
      </c>
      <c r="L191" s="113" t="n">
        <v>0</v>
      </c>
      <c r="M191" s="113" t="n">
        <v>0</v>
      </c>
      <c r="N191" s="113" t="n">
        <v>0</v>
      </c>
      <c r="O191" s="113" t="n">
        <v>0</v>
      </c>
      <c r="P191" s="113" t="n">
        <v>0</v>
      </c>
      <c r="Q191" s="113" t="n">
        <v>39</v>
      </c>
      <c r="R191" s="113" t="n">
        <v>58</v>
      </c>
      <c r="S191" s="113" t="n">
        <v>58</v>
      </c>
      <c r="T191" s="113" t="n">
        <v>58</v>
      </c>
      <c r="U191" s="113" t="n">
        <v>58</v>
      </c>
      <c r="V191" s="113" t="n">
        <v>58</v>
      </c>
      <c r="W191" s="113" t="n">
        <v>58</v>
      </c>
      <c r="X191" s="113" t="n">
        <v>58</v>
      </c>
      <c r="Y191" s="113" t="n">
        <v>58</v>
      </c>
      <c r="Z191" s="113" t="n">
        <v>58</v>
      </c>
      <c r="AA191" s="113" t="n">
        <v>58</v>
      </c>
      <c r="AB191" s="113" t="n">
        <v>58</v>
      </c>
      <c r="AC191" s="113" t="n">
        <v>58</v>
      </c>
      <c r="AD191" s="113" t="n">
        <v>58</v>
      </c>
      <c r="AE191" s="113" t="n">
        <v>58</v>
      </c>
      <c r="AF191" s="113" t="n">
        <v>58</v>
      </c>
      <c r="AG191" s="113" t="n">
        <v>58</v>
      </c>
      <c r="AI191" s="114" t="n">
        <f aca="false">INDEX($F191:$AG191,1,MATCH(AI$7,$F$7:$AG$7,1))</f>
        <v>0</v>
      </c>
      <c r="AJ191" s="114" t="n">
        <f aca="false">INDEX($F191:$AG191,1,MATCH(AJ$7,$F$7:$AG$7,1))</f>
        <v>0</v>
      </c>
      <c r="AK191" s="114" t="n">
        <f aca="false">INDEX($F191:$AG191,1,MATCH(AK$7,$F$7:$AG$7,1))</f>
        <v>39</v>
      </c>
      <c r="AL191" s="114" t="n">
        <f aca="false">INDEX($F191:$AG191,1,MATCH(AL$7,$F$7:$AG$7,1))</f>
        <v>58</v>
      </c>
      <c r="AM191" s="114" t="n">
        <f aca="false">INDEX($F191:$AG191,1,MATCH(AM$7,$F$7:$AG$7,1))</f>
        <v>58</v>
      </c>
      <c r="AN191" s="114" t="n">
        <f aca="false">INDEX($F191:$AG191,1,MATCH(AN$7,$F$7:$AG$7,1))</f>
        <v>58</v>
      </c>
      <c r="AO191" s="114" t="n">
        <f aca="false">INDEX($F191:$AG191,1,MATCH(AO$7,$F$7:$AG$7,1))</f>
        <v>58</v>
      </c>
    </row>
    <row r="192" customFormat="false" ht="15" hidden="false" customHeight="false" outlineLevel="0" collapsed="false">
      <c r="A192" s="112" t="s">
        <v>1828</v>
      </c>
      <c r="B192" s="24" t="s">
        <v>857</v>
      </c>
      <c r="C192" s="24" t="s">
        <v>690</v>
      </c>
      <c r="D192" s="24" t="s">
        <v>1677</v>
      </c>
      <c r="F192" s="113" t="n">
        <v>0</v>
      </c>
      <c r="G192" s="113" t="n">
        <v>0</v>
      </c>
      <c r="H192" s="113" t="n">
        <v>0</v>
      </c>
      <c r="I192" s="113" t="n">
        <v>0</v>
      </c>
      <c r="J192" s="113" t="n">
        <v>0</v>
      </c>
      <c r="K192" s="113" t="n">
        <v>0</v>
      </c>
      <c r="L192" s="113" t="n">
        <v>0</v>
      </c>
      <c r="M192" s="113" t="n">
        <v>0</v>
      </c>
      <c r="N192" s="113" t="n">
        <v>0</v>
      </c>
      <c r="O192" s="113" t="n">
        <v>0</v>
      </c>
      <c r="P192" s="113" t="n">
        <v>0</v>
      </c>
      <c r="Q192" s="113" t="n">
        <v>0</v>
      </c>
      <c r="R192" s="113" t="n">
        <v>20</v>
      </c>
      <c r="S192" s="113" t="n">
        <v>39</v>
      </c>
      <c r="T192" s="113" t="n">
        <v>58</v>
      </c>
      <c r="U192" s="113" t="n">
        <v>58</v>
      </c>
      <c r="V192" s="113" t="n">
        <v>58</v>
      </c>
      <c r="W192" s="113" t="n">
        <v>58</v>
      </c>
      <c r="X192" s="113" t="n">
        <v>58</v>
      </c>
      <c r="Y192" s="113" t="n">
        <v>58</v>
      </c>
      <c r="Z192" s="113" t="n">
        <v>58</v>
      </c>
      <c r="AA192" s="113" t="n">
        <v>58</v>
      </c>
      <c r="AB192" s="113" t="n">
        <v>58</v>
      </c>
      <c r="AC192" s="113" t="n">
        <v>58</v>
      </c>
      <c r="AD192" s="113" t="n">
        <v>58</v>
      </c>
      <c r="AE192" s="113" t="n">
        <v>58</v>
      </c>
      <c r="AF192" s="113" t="n">
        <v>58</v>
      </c>
      <c r="AG192" s="113" t="n">
        <v>58</v>
      </c>
      <c r="AI192" s="114" t="n">
        <f aca="false">INDEX($F192:$AG192,1,MATCH(AI$7,$F$7:$AG$7,1))</f>
        <v>0</v>
      </c>
      <c r="AJ192" s="114" t="n">
        <f aca="false">INDEX($F192:$AG192,1,MATCH(AJ$7,$F$7:$AG$7,1))</f>
        <v>0</v>
      </c>
      <c r="AK192" s="114" t="n">
        <f aca="false">INDEX($F192:$AG192,1,MATCH(AK$7,$F$7:$AG$7,1))</f>
        <v>0</v>
      </c>
      <c r="AL192" s="114" t="n">
        <f aca="false">INDEX($F192:$AG192,1,MATCH(AL$7,$F$7:$AG$7,1))</f>
        <v>58</v>
      </c>
      <c r="AM192" s="114" t="n">
        <f aca="false">INDEX($F192:$AG192,1,MATCH(AM$7,$F$7:$AG$7,1))</f>
        <v>58</v>
      </c>
      <c r="AN192" s="114" t="n">
        <f aca="false">INDEX($F192:$AG192,1,MATCH(AN$7,$F$7:$AG$7,1))</f>
        <v>58</v>
      </c>
      <c r="AO192" s="114" t="n">
        <f aca="false">INDEX($F192:$AG192,1,MATCH(AO$7,$F$7:$AG$7,1))</f>
        <v>58</v>
      </c>
    </row>
    <row r="193" customFormat="false" ht="15" hidden="false" customHeight="false" outlineLevel="0" collapsed="false">
      <c r="A193" s="112" t="s">
        <v>1829</v>
      </c>
      <c r="B193" s="24" t="s">
        <v>857</v>
      </c>
      <c r="C193" s="24" t="s">
        <v>672</v>
      </c>
      <c r="D193" s="24" t="s">
        <v>1679</v>
      </c>
      <c r="F193" s="114" t="n">
        <f aca="false">IF(CapV=2,N(F192),N(F191))</f>
        <v>0</v>
      </c>
      <c r="G193" s="114" t="n">
        <f aca="false">IF(CapV=2,N(G192),N(G191))</f>
        <v>0</v>
      </c>
      <c r="H193" s="114" t="n">
        <f aca="false">IF(CapV=2,N(H192),N(H191))</f>
        <v>0</v>
      </c>
      <c r="I193" s="114" t="n">
        <f aca="false">IF(CapV=2,N(I192),N(I191))</f>
        <v>0</v>
      </c>
      <c r="J193" s="114" t="n">
        <f aca="false">IF(CapV=2,N(J192),N(J191))</f>
        <v>0</v>
      </c>
      <c r="K193" s="114" t="n">
        <f aca="false">IF(CapV=2,N(K192),N(K191))</f>
        <v>0</v>
      </c>
      <c r="L193" s="114" t="n">
        <f aca="false">IF(CapV=2,N(L192),N(L191))</f>
        <v>0</v>
      </c>
      <c r="M193" s="114" t="n">
        <f aca="false">IF(CapV=2,N(M192),N(M191))</f>
        <v>0</v>
      </c>
      <c r="N193" s="114" t="n">
        <f aca="false">IF(CapV=2,N(N192),N(N191))</f>
        <v>0</v>
      </c>
      <c r="O193" s="114" t="n">
        <f aca="false">IF(CapV=2,N(O192),N(O191))</f>
        <v>0</v>
      </c>
      <c r="P193" s="114" t="n">
        <f aca="false">IF(CapV=2,N(P192),N(P191))</f>
        <v>0</v>
      </c>
      <c r="Q193" s="114" t="n">
        <f aca="false">IF(CapV=2,N(Q192),N(Q191))</f>
        <v>0</v>
      </c>
      <c r="R193" s="114" t="n">
        <f aca="false">IF(CapV=2,N(R192),N(R191))</f>
        <v>20</v>
      </c>
      <c r="S193" s="114" t="n">
        <f aca="false">IF(CapV=2,N(S192),N(S191))</f>
        <v>39</v>
      </c>
      <c r="T193" s="114" t="n">
        <f aca="false">IF(CapV=2,N(T192),N(T191))</f>
        <v>58</v>
      </c>
      <c r="U193" s="114" t="n">
        <f aca="false">IF(CapV=2,N(U192),N(U191))</f>
        <v>58</v>
      </c>
      <c r="V193" s="114" t="n">
        <f aca="false">IF(CapV=2,N(V192),N(V191))</f>
        <v>58</v>
      </c>
      <c r="W193" s="114" t="n">
        <f aca="false">IF(CapV=2,N(W192),N(W191))</f>
        <v>58</v>
      </c>
      <c r="X193" s="114" t="n">
        <f aca="false">IF(CapV=2,N(X192),N(X191))</f>
        <v>58</v>
      </c>
      <c r="Y193" s="114" t="n">
        <f aca="false">IF(CapV=2,N(Y192),N(Y191))</f>
        <v>58</v>
      </c>
      <c r="Z193" s="114" t="n">
        <f aca="false">IF(CapV=2,N(Z192),N(Z191))</f>
        <v>58</v>
      </c>
      <c r="AA193" s="114" t="n">
        <f aca="false">IF(CapV=2,N(AA192),N(AA191))</f>
        <v>58</v>
      </c>
      <c r="AB193" s="114" t="n">
        <f aca="false">IF(CapV=2,N(AB192),N(AB191))</f>
        <v>58</v>
      </c>
      <c r="AC193" s="114" t="n">
        <f aca="false">IF(CapV=2,N(AC192),N(AC191))</f>
        <v>58</v>
      </c>
      <c r="AD193" s="114" t="n">
        <f aca="false">IF(CapV=2,N(AD192),N(AD191))</f>
        <v>58</v>
      </c>
      <c r="AE193" s="114" t="n">
        <f aca="false">IF(CapV=2,N(AE192),N(AE191))</f>
        <v>58</v>
      </c>
      <c r="AF193" s="114" t="n">
        <f aca="false">IF(CapV=2,N(AF192),N(AF191))</f>
        <v>58</v>
      </c>
      <c r="AG193" s="114" t="n">
        <f aca="false">IF(CapV=2,N(AG192),N(AG191))</f>
        <v>58</v>
      </c>
      <c r="AI193" s="114" t="n">
        <f aca="false">INDEX($F193:$AG193,1,MATCH(AI$7,$F$7:$AG$7,1))</f>
        <v>0</v>
      </c>
      <c r="AJ193" s="114" t="n">
        <f aca="false">INDEX($F193:$AG193,1,MATCH(AJ$7,$F$7:$AG$7,1))</f>
        <v>0</v>
      </c>
      <c r="AK193" s="114" t="n">
        <f aca="false">INDEX($F193:$AG193,1,MATCH(AK$7,$F$7:$AG$7,1))</f>
        <v>0</v>
      </c>
      <c r="AL193" s="114" t="n">
        <f aca="false">INDEX($F193:$AG193,1,MATCH(AL$7,$F$7:$AG$7,1))</f>
        <v>58</v>
      </c>
      <c r="AM193" s="114" t="n">
        <f aca="false">INDEX($F193:$AG193,1,MATCH(AM$7,$F$7:$AG$7,1))</f>
        <v>58</v>
      </c>
      <c r="AN193" s="114" t="n">
        <f aca="false">INDEX($F193:$AG193,1,MATCH(AN$7,$F$7:$AG$7,1))</f>
        <v>58</v>
      </c>
      <c r="AO193" s="114" t="n">
        <f aca="false">INDEX($F193:$AG193,1,MATCH(AO$7,$F$7:$AG$7,1))</f>
        <v>58</v>
      </c>
    </row>
    <row r="194" customFormat="false" ht="15" hidden="false" customHeight="false" outlineLevel="0" collapsed="false">
      <c r="A194" s="112" t="s">
        <v>1830</v>
      </c>
      <c r="B194" s="24" t="s">
        <v>857</v>
      </c>
      <c r="C194" s="24" t="s">
        <v>690</v>
      </c>
      <c r="D194" s="24" t="s">
        <v>1675</v>
      </c>
      <c r="F194" s="113" t="n">
        <v>0</v>
      </c>
      <c r="G194" s="113" t="n">
        <v>0</v>
      </c>
      <c r="H194" s="113" t="n">
        <v>0</v>
      </c>
      <c r="I194" s="113" t="n">
        <v>0</v>
      </c>
      <c r="J194" s="113" t="n">
        <v>0</v>
      </c>
      <c r="K194" s="113" t="n">
        <v>0</v>
      </c>
      <c r="L194" s="113" t="n">
        <v>0</v>
      </c>
      <c r="M194" s="113" t="n">
        <v>0</v>
      </c>
      <c r="N194" s="113" t="n">
        <v>0</v>
      </c>
      <c r="O194" s="113" t="n">
        <v>0</v>
      </c>
      <c r="P194" s="113" t="n">
        <v>6</v>
      </c>
      <c r="Q194" s="113" t="n">
        <v>9</v>
      </c>
      <c r="R194" s="113" t="n">
        <v>18</v>
      </c>
      <c r="S194" s="113" t="n">
        <v>18</v>
      </c>
      <c r="T194" s="113" t="n">
        <v>18</v>
      </c>
      <c r="U194" s="113" t="n">
        <v>18</v>
      </c>
      <c r="V194" s="113" t="n">
        <v>18</v>
      </c>
      <c r="W194" s="113" t="n">
        <v>18</v>
      </c>
      <c r="X194" s="113" t="n">
        <v>18</v>
      </c>
      <c r="Y194" s="113" t="n">
        <v>18</v>
      </c>
      <c r="Z194" s="113" t="n">
        <v>18</v>
      </c>
      <c r="AA194" s="113" t="n">
        <v>18</v>
      </c>
      <c r="AB194" s="113" t="n">
        <v>18</v>
      </c>
      <c r="AC194" s="113" t="n">
        <v>18</v>
      </c>
      <c r="AD194" s="113" t="n">
        <v>18</v>
      </c>
      <c r="AE194" s="113" t="n">
        <v>18</v>
      </c>
      <c r="AF194" s="113" t="n">
        <v>18</v>
      </c>
      <c r="AG194" s="113" t="n">
        <v>18</v>
      </c>
      <c r="AI194" s="114" t="n">
        <f aca="false">INDEX($F194:$AG194,1,MATCH(AI$7,$F$7:$AG$7,1))</f>
        <v>0</v>
      </c>
      <c r="AJ194" s="114" t="n">
        <f aca="false">INDEX($F194:$AG194,1,MATCH(AJ$7,$F$7:$AG$7,1))</f>
        <v>0</v>
      </c>
      <c r="AK194" s="114" t="n">
        <f aca="false">INDEX($F194:$AG194,1,MATCH(AK$7,$F$7:$AG$7,1))</f>
        <v>9</v>
      </c>
      <c r="AL194" s="114" t="n">
        <f aca="false">INDEX($F194:$AG194,1,MATCH(AL$7,$F$7:$AG$7,1))</f>
        <v>18</v>
      </c>
      <c r="AM194" s="114" t="n">
        <f aca="false">INDEX($F194:$AG194,1,MATCH(AM$7,$F$7:$AG$7,1))</f>
        <v>18</v>
      </c>
      <c r="AN194" s="114" t="n">
        <f aca="false">INDEX($F194:$AG194,1,MATCH(AN$7,$F$7:$AG$7,1))</f>
        <v>18</v>
      </c>
      <c r="AO194" s="114" t="n">
        <f aca="false">INDEX($F194:$AG194,1,MATCH(AO$7,$F$7:$AG$7,1))</f>
        <v>18</v>
      </c>
    </row>
    <row r="195" customFormat="false" ht="15" hidden="false" customHeight="false" outlineLevel="0" collapsed="false">
      <c r="A195" s="112" t="s">
        <v>1831</v>
      </c>
      <c r="B195" s="24" t="s">
        <v>857</v>
      </c>
      <c r="C195" s="24" t="s">
        <v>690</v>
      </c>
      <c r="D195" s="24" t="s">
        <v>1677</v>
      </c>
      <c r="F195" s="113" t="n">
        <v>0</v>
      </c>
      <c r="G195" s="113" t="n">
        <v>0</v>
      </c>
      <c r="H195" s="113" t="n">
        <v>0</v>
      </c>
      <c r="I195" s="113" t="n">
        <v>0</v>
      </c>
      <c r="J195" s="113" t="n">
        <v>0</v>
      </c>
      <c r="K195" s="113" t="n">
        <v>0</v>
      </c>
      <c r="L195" s="113" t="n">
        <v>0</v>
      </c>
      <c r="M195" s="113" t="n">
        <v>0</v>
      </c>
      <c r="N195" s="113" t="n">
        <v>0</v>
      </c>
      <c r="O195" s="113" t="n">
        <v>0</v>
      </c>
      <c r="P195" s="113" t="n">
        <v>6</v>
      </c>
      <c r="Q195" s="113" t="n">
        <v>9</v>
      </c>
      <c r="R195" s="113" t="n">
        <v>18</v>
      </c>
      <c r="S195" s="113" t="n">
        <v>18</v>
      </c>
      <c r="T195" s="113" t="n">
        <v>18</v>
      </c>
      <c r="U195" s="113" t="n">
        <v>18</v>
      </c>
      <c r="V195" s="113" t="n">
        <v>18</v>
      </c>
      <c r="W195" s="113" t="n">
        <v>18</v>
      </c>
      <c r="X195" s="113" t="n">
        <v>18</v>
      </c>
      <c r="Y195" s="113" t="n">
        <v>18</v>
      </c>
      <c r="Z195" s="113" t="n">
        <v>18</v>
      </c>
      <c r="AA195" s="113" t="n">
        <v>18</v>
      </c>
      <c r="AB195" s="113" t="n">
        <v>18</v>
      </c>
      <c r="AC195" s="113" t="n">
        <v>18</v>
      </c>
      <c r="AD195" s="113" t="n">
        <v>18</v>
      </c>
      <c r="AE195" s="113" t="n">
        <v>18</v>
      </c>
      <c r="AF195" s="113" t="n">
        <v>18</v>
      </c>
      <c r="AG195" s="113" t="n">
        <v>18</v>
      </c>
      <c r="AI195" s="114" t="n">
        <f aca="false">INDEX($F195:$AG195,1,MATCH(AI$7,$F$7:$AG$7,1))</f>
        <v>0</v>
      </c>
      <c r="AJ195" s="114" t="n">
        <f aca="false">INDEX($F195:$AG195,1,MATCH(AJ$7,$F$7:$AG$7,1))</f>
        <v>0</v>
      </c>
      <c r="AK195" s="114" t="n">
        <f aca="false">INDEX($F195:$AG195,1,MATCH(AK$7,$F$7:$AG$7,1))</f>
        <v>9</v>
      </c>
      <c r="AL195" s="114" t="n">
        <f aca="false">INDEX($F195:$AG195,1,MATCH(AL$7,$F$7:$AG$7,1))</f>
        <v>18</v>
      </c>
      <c r="AM195" s="114" t="n">
        <f aca="false">INDEX($F195:$AG195,1,MATCH(AM$7,$F$7:$AG$7,1))</f>
        <v>18</v>
      </c>
      <c r="AN195" s="114" t="n">
        <f aca="false">INDEX($F195:$AG195,1,MATCH(AN$7,$F$7:$AG$7,1))</f>
        <v>18</v>
      </c>
      <c r="AO195" s="114" t="n">
        <f aca="false">INDEX($F195:$AG195,1,MATCH(AO$7,$F$7:$AG$7,1))</f>
        <v>18</v>
      </c>
    </row>
    <row r="196" customFormat="false" ht="15" hidden="false" customHeight="false" outlineLevel="0" collapsed="false">
      <c r="A196" s="112" t="s">
        <v>1832</v>
      </c>
      <c r="B196" s="24" t="s">
        <v>857</v>
      </c>
      <c r="C196" s="24" t="s">
        <v>672</v>
      </c>
      <c r="D196" s="24" t="s">
        <v>1679</v>
      </c>
      <c r="F196" s="114" t="n">
        <f aca="false">IF(CapV=2,N(F195),N(F194))</f>
        <v>0</v>
      </c>
      <c r="G196" s="114" t="n">
        <f aca="false">IF(CapV=2,N(G195),N(G194))</f>
        <v>0</v>
      </c>
      <c r="H196" s="114" t="n">
        <f aca="false">IF(CapV=2,N(H195),N(H194))</f>
        <v>0</v>
      </c>
      <c r="I196" s="114" t="n">
        <f aca="false">IF(CapV=2,N(I195),N(I194))</f>
        <v>0</v>
      </c>
      <c r="J196" s="114" t="n">
        <f aca="false">IF(CapV=2,N(J195),N(J194))</f>
        <v>0</v>
      </c>
      <c r="K196" s="114" t="n">
        <f aca="false">IF(CapV=2,N(K195),N(K194))</f>
        <v>0</v>
      </c>
      <c r="L196" s="114" t="n">
        <f aca="false">IF(CapV=2,N(L195),N(L194))</f>
        <v>0</v>
      </c>
      <c r="M196" s="114" t="n">
        <f aca="false">IF(CapV=2,N(M195),N(M194))</f>
        <v>0</v>
      </c>
      <c r="N196" s="114" t="n">
        <f aca="false">IF(CapV=2,N(N195),N(N194))</f>
        <v>0</v>
      </c>
      <c r="O196" s="114" t="n">
        <f aca="false">IF(CapV=2,N(O195),N(O194))</f>
        <v>0</v>
      </c>
      <c r="P196" s="114" t="n">
        <f aca="false">IF(CapV=2,N(P195),N(P194))</f>
        <v>6</v>
      </c>
      <c r="Q196" s="114" t="n">
        <f aca="false">IF(CapV=2,N(Q195),N(Q194))</f>
        <v>9</v>
      </c>
      <c r="R196" s="114" t="n">
        <f aca="false">IF(CapV=2,N(R195),N(R194))</f>
        <v>18</v>
      </c>
      <c r="S196" s="114" t="n">
        <f aca="false">IF(CapV=2,N(S195),N(S194))</f>
        <v>18</v>
      </c>
      <c r="T196" s="114" t="n">
        <f aca="false">IF(CapV=2,N(T195),N(T194))</f>
        <v>18</v>
      </c>
      <c r="U196" s="114" t="n">
        <f aca="false">IF(CapV=2,N(U195),N(U194))</f>
        <v>18</v>
      </c>
      <c r="V196" s="114" t="n">
        <f aca="false">IF(CapV=2,N(V195),N(V194))</f>
        <v>18</v>
      </c>
      <c r="W196" s="114" t="n">
        <f aca="false">IF(CapV=2,N(W195),N(W194))</f>
        <v>18</v>
      </c>
      <c r="X196" s="114" t="n">
        <f aca="false">IF(CapV=2,N(X195),N(X194))</f>
        <v>18</v>
      </c>
      <c r="Y196" s="114" t="n">
        <f aca="false">IF(CapV=2,N(Y195),N(Y194))</f>
        <v>18</v>
      </c>
      <c r="Z196" s="114" t="n">
        <f aca="false">IF(CapV=2,N(Z195),N(Z194))</f>
        <v>18</v>
      </c>
      <c r="AA196" s="114" t="n">
        <f aca="false">IF(CapV=2,N(AA195),N(AA194))</f>
        <v>18</v>
      </c>
      <c r="AB196" s="114" t="n">
        <f aca="false">IF(CapV=2,N(AB195),N(AB194))</f>
        <v>18</v>
      </c>
      <c r="AC196" s="114" t="n">
        <f aca="false">IF(CapV=2,N(AC195),N(AC194))</f>
        <v>18</v>
      </c>
      <c r="AD196" s="114" t="n">
        <f aca="false">IF(CapV=2,N(AD195),N(AD194))</f>
        <v>18</v>
      </c>
      <c r="AE196" s="114" t="n">
        <f aca="false">IF(CapV=2,N(AE195),N(AE194))</f>
        <v>18</v>
      </c>
      <c r="AF196" s="114" t="n">
        <f aca="false">IF(CapV=2,N(AF195),N(AF194))</f>
        <v>18</v>
      </c>
      <c r="AG196" s="114" t="n">
        <f aca="false">IF(CapV=2,N(AG195),N(AG194))</f>
        <v>18</v>
      </c>
      <c r="AI196" s="114" t="n">
        <f aca="false">INDEX($F196:$AG196,1,MATCH(AI$7,$F$7:$AG$7,1))</f>
        <v>0</v>
      </c>
      <c r="AJ196" s="114" t="n">
        <f aca="false">INDEX($F196:$AG196,1,MATCH(AJ$7,$F$7:$AG$7,1))</f>
        <v>0</v>
      </c>
      <c r="AK196" s="114" t="n">
        <f aca="false">INDEX($F196:$AG196,1,MATCH(AK$7,$F$7:$AG$7,1))</f>
        <v>9</v>
      </c>
      <c r="AL196" s="114" t="n">
        <f aca="false">INDEX($F196:$AG196,1,MATCH(AL$7,$F$7:$AG$7,1))</f>
        <v>18</v>
      </c>
      <c r="AM196" s="114" t="n">
        <f aca="false">INDEX($F196:$AG196,1,MATCH(AM$7,$F$7:$AG$7,1))</f>
        <v>18</v>
      </c>
      <c r="AN196" s="114" t="n">
        <f aca="false">INDEX($F196:$AG196,1,MATCH(AN$7,$F$7:$AG$7,1))</f>
        <v>18</v>
      </c>
      <c r="AO196" s="114" t="n">
        <f aca="false">INDEX($F196:$AG196,1,MATCH(AO$7,$F$7:$AG$7,1))</f>
        <v>18</v>
      </c>
    </row>
    <row r="197" customFormat="false" ht="15" hidden="false" customHeight="false" outlineLevel="0" collapsed="false">
      <c r="A197" s="112" t="s">
        <v>1833</v>
      </c>
      <c r="B197" s="24" t="s">
        <v>857</v>
      </c>
      <c r="C197" s="24" t="s">
        <v>690</v>
      </c>
      <c r="D197" s="24" t="s">
        <v>1675</v>
      </c>
      <c r="F197" s="113" t="n">
        <v>0</v>
      </c>
      <c r="G197" s="113" t="n">
        <v>0</v>
      </c>
      <c r="H197" s="113" t="n">
        <v>0</v>
      </c>
      <c r="I197" s="113" t="n">
        <v>0</v>
      </c>
      <c r="J197" s="113" t="n">
        <v>0</v>
      </c>
      <c r="K197" s="113" t="n">
        <v>0</v>
      </c>
      <c r="L197" s="113" t="n">
        <v>0</v>
      </c>
      <c r="M197" s="113" t="n">
        <v>0</v>
      </c>
      <c r="N197" s="113" t="n">
        <v>0</v>
      </c>
      <c r="O197" s="113" t="n">
        <v>0</v>
      </c>
      <c r="P197" s="113" t="n">
        <v>7.5</v>
      </c>
      <c r="Q197" s="113" t="n">
        <v>13.5</v>
      </c>
      <c r="R197" s="113" t="n">
        <v>18</v>
      </c>
      <c r="S197" s="113" t="n">
        <v>18</v>
      </c>
      <c r="T197" s="113" t="n">
        <v>18</v>
      </c>
      <c r="U197" s="113" t="n">
        <v>18</v>
      </c>
      <c r="V197" s="113" t="n">
        <v>18</v>
      </c>
      <c r="W197" s="113" t="n">
        <v>18</v>
      </c>
      <c r="X197" s="113" t="n">
        <v>18</v>
      </c>
      <c r="Y197" s="113" t="n">
        <v>18</v>
      </c>
      <c r="Z197" s="113" t="n">
        <v>18</v>
      </c>
      <c r="AA197" s="113" t="n">
        <v>18</v>
      </c>
      <c r="AB197" s="113" t="n">
        <v>18</v>
      </c>
      <c r="AC197" s="113" t="n">
        <v>18</v>
      </c>
      <c r="AD197" s="113" t="n">
        <v>18</v>
      </c>
      <c r="AE197" s="113" t="n">
        <v>18</v>
      </c>
      <c r="AF197" s="113" t="n">
        <v>18</v>
      </c>
      <c r="AG197" s="113" t="n">
        <v>18</v>
      </c>
      <c r="AI197" s="114" t="n">
        <f aca="false">INDEX($F197:$AG197,1,MATCH(AI$7,$F$7:$AG$7,1))</f>
        <v>0</v>
      </c>
      <c r="AJ197" s="114" t="n">
        <f aca="false">INDEX($F197:$AG197,1,MATCH(AJ$7,$F$7:$AG$7,1))</f>
        <v>0</v>
      </c>
      <c r="AK197" s="114" t="n">
        <f aca="false">INDEX($F197:$AG197,1,MATCH(AK$7,$F$7:$AG$7,1))</f>
        <v>13.5</v>
      </c>
      <c r="AL197" s="114" t="n">
        <f aca="false">INDEX($F197:$AG197,1,MATCH(AL$7,$F$7:$AG$7,1))</f>
        <v>18</v>
      </c>
      <c r="AM197" s="114" t="n">
        <f aca="false">INDEX($F197:$AG197,1,MATCH(AM$7,$F$7:$AG$7,1))</f>
        <v>18</v>
      </c>
      <c r="AN197" s="114" t="n">
        <f aca="false">INDEX($F197:$AG197,1,MATCH(AN$7,$F$7:$AG$7,1))</f>
        <v>18</v>
      </c>
      <c r="AO197" s="114" t="n">
        <f aca="false">INDEX($F197:$AG197,1,MATCH(AO$7,$F$7:$AG$7,1))</f>
        <v>18</v>
      </c>
    </row>
    <row r="198" customFormat="false" ht="15" hidden="false" customHeight="false" outlineLevel="0" collapsed="false">
      <c r="A198" s="112" t="s">
        <v>1834</v>
      </c>
      <c r="B198" s="24" t="s">
        <v>857</v>
      </c>
      <c r="C198" s="24" t="s">
        <v>690</v>
      </c>
      <c r="D198" s="24" t="s">
        <v>1677</v>
      </c>
      <c r="F198" s="113" t="n">
        <v>0</v>
      </c>
      <c r="G198" s="113" t="n">
        <v>0</v>
      </c>
      <c r="H198" s="113" t="n">
        <v>0</v>
      </c>
      <c r="I198" s="113" t="n">
        <v>0</v>
      </c>
      <c r="J198" s="113" t="n">
        <v>0</v>
      </c>
      <c r="K198" s="113" t="n">
        <v>0</v>
      </c>
      <c r="L198" s="113" t="n">
        <v>0</v>
      </c>
      <c r="M198" s="113" t="n">
        <v>0</v>
      </c>
      <c r="N198" s="113" t="n">
        <v>0</v>
      </c>
      <c r="O198" s="113" t="n">
        <v>0</v>
      </c>
      <c r="P198" s="113" t="n">
        <v>7.5</v>
      </c>
      <c r="Q198" s="113" t="n">
        <v>13.5</v>
      </c>
      <c r="R198" s="113" t="n">
        <v>18</v>
      </c>
      <c r="S198" s="113" t="n">
        <v>18</v>
      </c>
      <c r="T198" s="113" t="n">
        <v>18</v>
      </c>
      <c r="U198" s="113" t="n">
        <v>18</v>
      </c>
      <c r="V198" s="113" t="n">
        <v>18</v>
      </c>
      <c r="W198" s="113" t="n">
        <v>18</v>
      </c>
      <c r="X198" s="113" t="n">
        <v>18</v>
      </c>
      <c r="Y198" s="113" t="n">
        <v>18</v>
      </c>
      <c r="Z198" s="113" t="n">
        <v>18</v>
      </c>
      <c r="AA198" s="113" t="n">
        <v>18</v>
      </c>
      <c r="AB198" s="113" t="n">
        <v>18</v>
      </c>
      <c r="AC198" s="113" t="n">
        <v>18</v>
      </c>
      <c r="AD198" s="113" t="n">
        <v>18</v>
      </c>
      <c r="AE198" s="113" t="n">
        <v>18</v>
      </c>
      <c r="AF198" s="113" t="n">
        <v>18</v>
      </c>
      <c r="AG198" s="113" t="n">
        <v>18</v>
      </c>
      <c r="AI198" s="114" t="n">
        <f aca="false">INDEX($F198:$AG198,1,MATCH(AI$7,$F$7:$AG$7,1))</f>
        <v>0</v>
      </c>
      <c r="AJ198" s="114" t="n">
        <f aca="false">INDEX($F198:$AG198,1,MATCH(AJ$7,$F$7:$AG$7,1))</f>
        <v>0</v>
      </c>
      <c r="AK198" s="114" t="n">
        <f aca="false">INDEX($F198:$AG198,1,MATCH(AK$7,$F$7:$AG$7,1))</f>
        <v>13.5</v>
      </c>
      <c r="AL198" s="114" t="n">
        <f aca="false">INDEX($F198:$AG198,1,MATCH(AL$7,$F$7:$AG$7,1))</f>
        <v>18</v>
      </c>
      <c r="AM198" s="114" t="n">
        <f aca="false">INDEX($F198:$AG198,1,MATCH(AM$7,$F$7:$AG$7,1))</f>
        <v>18</v>
      </c>
      <c r="AN198" s="114" t="n">
        <f aca="false">INDEX($F198:$AG198,1,MATCH(AN$7,$F$7:$AG$7,1))</f>
        <v>18</v>
      </c>
      <c r="AO198" s="114" t="n">
        <f aca="false">INDEX($F198:$AG198,1,MATCH(AO$7,$F$7:$AG$7,1))</f>
        <v>18</v>
      </c>
    </row>
    <row r="199" customFormat="false" ht="15" hidden="false" customHeight="false" outlineLevel="0" collapsed="false">
      <c r="A199" s="112" t="s">
        <v>1835</v>
      </c>
      <c r="B199" s="24" t="s">
        <v>857</v>
      </c>
      <c r="C199" s="24" t="s">
        <v>672</v>
      </c>
      <c r="D199" s="24" t="s">
        <v>1679</v>
      </c>
      <c r="F199" s="114" t="n">
        <f aca="false">IF(CapV=2,N(F198),N(F197))</f>
        <v>0</v>
      </c>
      <c r="G199" s="114" t="n">
        <f aca="false">IF(CapV=2,N(G198),N(G197))</f>
        <v>0</v>
      </c>
      <c r="H199" s="114" t="n">
        <f aca="false">IF(CapV=2,N(H198),N(H197))</f>
        <v>0</v>
      </c>
      <c r="I199" s="114" t="n">
        <f aca="false">IF(CapV=2,N(I198),N(I197))</f>
        <v>0</v>
      </c>
      <c r="J199" s="114" t="n">
        <f aca="false">IF(CapV=2,N(J198),N(J197))</f>
        <v>0</v>
      </c>
      <c r="K199" s="114" t="n">
        <f aca="false">IF(CapV=2,N(K198),N(K197))</f>
        <v>0</v>
      </c>
      <c r="L199" s="114" t="n">
        <f aca="false">IF(CapV=2,N(L198),N(L197))</f>
        <v>0</v>
      </c>
      <c r="M199" s="114" t="n">
        <f aca="false">IF(CapV=2,N(M198),N(M197))</f>
        <v>0</v>
      </c>
      <c r="N199" s="114" t="n">
        <f aca="false">IF(CapV=2,N(N198),N(N197))</f>
        <v>0</v>
      </c>
      <c r="O199" s="114" t="n">
        <f aca="false">IF(CapV=2,N(O198),N(O197))</f>
        <v>0</v>
      </c>
      <c r="P199" s="114" t="n">
        <f aca="false">IF(CapV=2,N(P198),N(P197))</f>
        <v>7.5</v>
      </c>
      <c r="Q199" s="114" t="n">
        <f aca="false">IF(CapV=2,N(Q198),N(Q197))</f>
        <v>13.5</v>
      </c>
      <c r="R199" s="114" t="n">
        <f aca="false">IF(CapV=2,N(R198),N(R197))</f>
        <v>18</v>
      </c>
      <c r="S199" s="114" t="n">
        <f aca="false">IF(CapV=2,N(S198),N(S197))</f>
        <v>18</v>
      </c>
      <c r="T199" s="114" t="n">
        <f aca="false">IF(CapV=2,N(T198),N(T197))</f>
        <v>18</v>
      </c>
      <c r="U199" s="114" t="n">
        <f aca="false">IF(CapV=2,N(U198),N(U197))</f>
        <v>18</v>
      </c>
      <c r="V199" s="114" t="n">
        <f aca="false">IF(CapV=2,N(V198),N(V197))</f>
        <v>18</v>
      </c>
      <c r="W199" s="114" t="n">
        <f aca="false">IF(CapV=2,N(W198),N(W197))</f>
        <v>18</v>
      </c>
      <c r="X199" s="114" t="n">
        <f aca="false">IF(CapV=2,N(X198),N(X197))</f>
        <v>18</v>
      </c>
      <c r="Y199" s="114" t="n">
        <f aca="false">IF(CapV=2,N(Y198),N(Y197))</f>
        <v>18</v>
      </c>
      <c r="Z199" s="114" t="n">
        <f aca="false">IF(CapV=2,N(Z198),N(Z197))</f>
        <v>18</v>
      </c>
      <c r="AA199" s="114" t="n">
        <f aca="false">IF(CapV=2,N(AA198),N(AA197))</f>
        <v>18</v>
      </c>
      <c r="AB199" s="114" t="n">
        <f aca="false">IF(CapV=2,N(AB198),N(AB197))</f>
        <v>18</v>
      </c>
      <c r="AC199" s="114" t="n">
        <f aca="false">IF(CapV=2,N(AC198),N(AC197))</f>
        <v>18</v>
      </c>
      <c r="AD199" s="114" t="n">
        <f aca="false">IF(CapV=2,N(AD198),N(AD197))</f>
        <v>18</v>
      </c>
      <c r="AE199" s="114" t="n">
        <f aca="false">IF(CapV=2,N(AE198),N(AE197))</f>
        <v>18</v>
      </c>
      <c r="AF199" s="114" t="n">
        <f aca="false">IF(CapV=2,N(AF198),N(AF197))</f>
        <v>18</v>
      </c>
      <c r="AG199" s="114" t="n">
        <f aca="false">IF(CapV=2,N(AG198),N(AG197))</f>
        <v>18</v>
      </c>
      <c r="AI199" s="114" t="n">
        <f aca="false">INDEX($F199:$AG199,1,MATCH(AI$7,$F$7:$AG$7,1))</f>
        <v>0</v>
      </c>
      <c r="AJ199" s="114" t="n">
        <f aca="false">INDEX($F199:$AG199,1,MATCH(AJ$7,$F$7:$AG$7,1))</f>
        <v>0</v>
      </c>
      <c r="AK199" s="114" t="n">
        <f aca="false">INDEX($F199:$AG199,1,MATCH(AK$7,$F$7:$AG$7,1))</f>
        <v>13.5</v>
      </c>
      <c r="AL199" s="114" t="n">
        <f aca="false">INDEX($F199:$AG199,1,MATCH(AL$7,$F$7:$AG$7,1))</f>
        <v>18</v>
      </c>
      <c r="AM199" s="114" t="n">
        <f aca="false">INDEX($F199:$AG199,1,MATCH(AM$7,$F$7:$AG$7,1))</f>
        <v>18</v>
      </c>
      <c r="AN199" s="114" t="n">
        <f aca="false">INDEX($F199:$AG199,1,MATCH(AN$7,$F$7:$AG$7,1))</f>
        <v>18</v>
      </c>
      <c r="AO199" s="114" t="n">
        <f aca="false">INDEX($F199:$AG199,1,MATCH(AO$7,$F$7:$AG$7,1))</f>
        <v>18</v>
      </c>
    </row>
    <row r="200" customFormat="false" ht="15" hidden="false" customHeight="false" outlineLevel="0" collapsed="false">
      <c r="A200" s="112" t="s">
        <v>1836</v>
      </c>
      <c r="B200" s="24" t="s">
        <v>857</v>
      </c>
      <c r="C200" s="24" t="s">
        <v>690</v>
      </c>
      <c r="D200" s="24" t="s">
        <v>1675</v>
      </c>
      <c r="F200" s="113" t="n">
        <v>0</v>
      </c>
      <c r="G200" s="113" t="n">
        <v>0</v>
      </c>
      <c r="H200" s="113" t="n">
        <v>0</v>
      </c>
      <c r="I200" s="113" t="n">
        <v>0</v>
      </c>
      <c r="J200" s="113" t="n">
        <v>0</v>
      </c>
      <c r="K200" s="113" t="n">
        <v>0</v>
      </c>
      <c r="L200" s="113" t="n">
        <v>0</v>
      </c>
      <c r="M200" s="113" t="n">
        <v>0</v>
      </c>
      <c r="N200" s="113" t="n">
        <v>0</v>
      </c>
      <c r="O200" s="113" t="n">
        <v>0</v>
      </c>
      <c r="P200" s="113" t="n">
        <v>9</v>
      </c>
      <c r="Q200" s="113" t="n">
        <v>18</v>
      </c>
      <c r="R200" s="113" t="n">
        <v>18</v>
      </c>
      <c r="S200" s="113" t="n">
        <v>18</v>
      </c>
      <c r="T200" s="113" t="n">
        <v>18</v>
      </c>
      <c r="U200" s="113" t="n">
        <v>18</v>
      </c>
      <c r="V200" s="113" t="n">
        <v>18</v>
      </c>
      <c r="W200" s="113" t="n">
        <v>18</v>
      </c>
      <c r="X200" s="113" t="n">
        <v>18</v>
      </c>
      <c r="Y200" s="113" t="n">
        <v>18</v>
      </c>
      <c r="Z200" s="113" t="n">
        <v>18</v>
      </c>
      <c r="AA200" s="113" t="n">
        <v>18</v>
      </c>
      <c r="AB200" s="113" t="n">
        <v>18</v>
      </c>
      <c r="AC200" s="113" t="n">
        <v>18</v>
      </c>
      <c r="AD200" s="113" t="n">
        <v>18</v>
      </c>
      <c r="AE200" s="113" t="n">
        <v>18</v>
      </c>
      <c r="AF200" s="113" t="n">
        <v>18</v>
      </c>
      <c r="AG200" s="113" t="n">
        <v>18</v>
      </c>
      <c r="AI200" s="114" t="n">
        <f aca="false">INDEX($F200:$AG200,1,MATCH(AI$7,$F$7:$AG$7,1))</f>
        <v>0</v>
      </c>
      <c r="AJ200" s="114" t="n">
        <f aca="false">INDEX($F200:$AG200,1,MATCH(AJ$7,$F$7:$AG$7,1))</f>
        <v>0</v>
      </c>
      <c r="AK200" s="114" t="n">
        <f aca="false">INDEX($F200:$AG200,1,MATCH(AK$7,$F$7:$AG$7,1))</f>
        <v>18</v>
      </c>
      <c r="AL200" s="114" t="n">
        <f aca="false">INDEX($F200:$AG200,1,MATCH(AL$7,$F$7:$AG$7,1))</f>
        <v>18</v>
      </c>
      <c r="AM200" s="114" t="n">
        <f aca="false">INDEX($F200:$AG200,1,MATCH(AM$7,$F$7:$AG$7,1))</f>
        <v>18</v>
      </c>
      <c r="AN200" s="114" t="n">
        <f aca="false">INDEX($F200:$AG200,1,MATCH(AN$7,$F$7:$AG$7,1))</f>
        <v>18</v>
      </c>
      <c r="AO200" s="114" t="n">
        <f aca="false">INDEX($F200:$AG200,1,MATCH(AO$7,$F$7:$AG$7,1))</f>
        <v>18</v>
      </c>
    </row>
    <row r="201" customFormat="false" ht="15" hidden="false" customHeight="false" outlineLevel="0" collapsed="false">
      <c r="A201" s="112" t="s">
        <v>1837</v>
      </c>
      <c r="B201" s="24" t="s">
        <v>857</v>
      </c>
      <c r="C201" s="24" t="s">
        <v>690</v>
      </c>
      <c r="D201" s="24" t="s">
        <v>1677</v>
      </c>
      <c r="F201" s="113" t="n">
        <v>0</v>
      </c>
      <c r="G201" s="113" t="n">
        <v>0</v>
      </c>
      <c r="H201" s="113" t="n">
        <v>0</v>
      </c>
      <c r="I201" s="113" t="n">
        <v>0</v>
      </c>
      <c r="J201" s="113" t="n">
        <v>0</v>
      </c>
      <c r="K201" s="113" t="n">
        <v>0</v>
      </c>
      <c r="L201" s="113" t="n">
        <v>0</v>
      </c>
      <c r="M201" s="113" t="n">
        <v>0</v>
      </c>
      <c r="N201" s="113" t="n">
        <v>0</v>
      </c>
      <c r="O201" s="113" t="n">
        <v>0</v>
      </c>
      <c r="P201" s="113" t="n">
        <v>9</v>
      </c>
      <c r="Q201" s="113" t="n">
        <v>18</v>
      </c>
      <c r="R201" s="113" t="n">
        <v>18</v>
      </c>
      <c r="S201" s="113" t="n">
        <v>18</v>
      </c>
      <c r="T201" s="113" t="n">
        <v>18</v>
      </c>
      <c r="U201" s="113" t="n">
        <v>18</v>
      </c>
      <c r="V201" s="113" t="n">
        <v>18</v>
      </c>
      <c r="W201" s="113" t="n">
        <v>18</v>
      </c>
      <c r="X201" s="113" t="n">
        <v>18</v>
      </c>
      <c r="Y201" s="113" t="n">
        <v>18</v>
      </c>
      <c r="Z201" s="113" t="n">
        <v>18</v>
      </c>
      <c r="AA201" s="113" t="n">
        <v>18</v>
      </c>
      <c r="AB201" s="113" t="n">
        <v>18</v>
      </c>
      <c r="AC201" s="113" t="n">
        <v>18</v>
      </c>
      <c r="AD201" s="113" t="n">
        <v>18</v>
      </c>
      <c r="AE201" s="113" t="n">
        <v>18</v>
      </c>
      <c r="AF201" s="113" t="n">
        <v>18</v>
      </c>
      <c r="AG201" s="113" t="n">
        <v>18</v>
      </c>
      <c r="AI201" s="114" t="n">
        <f aca="false">INDEX($F201:$AG201,1,MATCH(AI$7,$F$7:$AG$7,1))</f>
        <v>0</v>
      </c>
      <c r="AJ201" s="114" t="n">
        <f aca="false">INDEX($F201:$AG201,1,MATCH(AJ$7,$F$7:$AG$7,1))</f>
        <v>0</v>
      </c>
      <c r="AK201" s="114" t="n">
        <f aca="false">INDEX($F201:$AG201,1,MATCH(AK$7,$F$7:$AG$7,1))</f>
        <v>18</v>
      </c>
      <c r="AL201" s="114" t="n">
        <f aca="false">INDEX($F201:$AG201,1,MATCH(AL$7,$F$7:$AG$7,1))</f>
        <v>18</v>
      </c>
      <c r="AM201" s="114" t="n">
        <f aca="false">INDEX($F201:$AG201,1,MATCH(AM$7,$F$7:$AG$7,1))</f>
        <v>18</v>
      </c>
      <c r="AN201" s="114" t="n">
        <f aca="false">INDEX($F201:$AG201,1,MATCH(AN$7,$F$7:$AG$7,1))</f>
        <v>18</v>
      </c>
      <c r="AO201" s="114" t="n">
        <f aca="false">INDEX($F201:$AG201,1,MATCH(AO$7,$F$7:$AG$7,1))</f>
        <v>18</v>
      </c>
    </row>
    <row r="202" customFormat="false" ht="15" hidden="false" customHeight="false" outlineLevel="0" collapsed="false">
      <c r="A202" s="112" t="s">
        <v>1838</v>
      </c>
      <c r="B202" s="24" t="s">
        <v>857</v>
      </c>
      <c r="C202" s="24" t="s">
        <v>672</v>
      </c>
      <c r="D202" s="24" t="s">
        <v>1679</v>
      </c>
      <c r="F202" s="114" t="n">
        <f aca="false">IF(CapV=2,N(F201),N(F200))</f>
        <v>0</v>
      </c>
      <c r="G202" s="114" t="n">
        <f aca="false">IF(CapV=2,N(G201),N(G200))</f>
        <v>0</v>
      </c>
      <c r="H202" s="114" t="n">
        <f aca="false">IF(CapV=2,N(H201),N(H200))</f>
        <v>0</v>
      </c>
      <c r="I202" s="114" t="n">
        <f aca="false">IF(CapV=2,N(I201),N(I200))</f>
        <v>0</v>
      </c>
      <c r="J202" s="114" t="n">
        <f aca="false">IF(CapV=2,N(J201),N(J200))</f>
        <v>0</v>
      </c>
      <c r="K202" s="114" t="n">
        <f aca="false">IF(CapV=2,N(K201),N(K200))</f>
        <v>0</v>
      </c>
      <c r="L202" s="114" t="n">
        <f aca="false">IF(CapV=2,N(L201),N(L200))</f>
        <v>0</v>
      </c>
      <c r="M202" s="114" t="n">
        <f aca="false">IF(CapV=2,N(M201),N(M200))</f>
        <v>0</v>
      </c>
      <c r="N202" s="114" t="n">
        <f aca="false">IF(CapV=2,N(N201),N(N200))</f>
        <v>0</v>
      </c>
      <c r="O202" s="114" t="n">
        <f aca="false">IF(CapV=2,N(O201),N(O200))</f>
        <v>0</v>
      </c>
      <c r="P202" s="114" t="n">
        <f aca="false">IF(CapV=2,N(P201),N(P200))</f>
        <v>9</v>
      </c>
      <c r="Q202" s="114" t="n">
        <f aca="false">IF(CapV=2,N(Q201),N(Q200))</f>
        <v>18</v>
      </c>
      <c r="R202" s="114" t="n">
        <f aca="false">IF(CapV=2,N(R201),N(R200))</f>
        <v>18</v>
      </c>
      <c r="S202" s="114" t="n">
        <f aca="false">IF(CapV=2,N(S201),N(S200))</f>
        <v>18</v>
      </c>
      <c r="T202" s="114" t="n">
        <f aca="false">IF(CapV=2,N(T201),N(T200))</f>
        <v>18</v>
      </c>
      <c r="U202" s="114" t="n">
        <f aca="false">IF(CapV=2,N(U201),N(U200))</f>
        <v>18</v>
      </c>
      <c r="V202" s="114" t="n">
        <f aca="false">IF(CapV=2,N(V201),N(V200))</f>
        <v>18</v>
      </c>
      <c r="W202" s="114" t="n">
        <f aca="false">IF(CapV=2,N(W201),N(W200))</f>
        <v>18</v>
      </c>
      <c r="X202" s="114" t="n">
        <f aca="false">IF(CapV=2,N(X201),N(X200))</f>
        <v>18</v>
      </c>
      <c r="Y202" s="114" t="n">
        <f aca="false">IF(CapV=2,N(Y201),N(Y200))</f>
        <v>18</v>
      </c>
      <c r="Z202" s="114" t="n">
        <f aca="false">IF(CapV=2,N(Z201),N(Z200))</f>
        <v>18</v>
      </c>
      <c r="AA202" s="114" t="n">
        <f aca="false">IF(CapV=2,N(AA201),N(AA200))</f>
        <v>18</v>
      </c>
      <c r="AB202" s="114" t="n">
        <f aca="false">IF(CapV=2,N(AB201),N(AB200))</f>
        <v>18</v>
      </c>
      <c r="AC202" s="114" t="n">
        <f aca="false">IF(CapV=2,N(AC201),N(AC200))</f>
        <v>18</v>
      </c>
      <c r="AD202" s="114" t="n">
        <f aca="false">IF(CapV=2,N(AD201),N(AD200))</f>
        <v>18</v>
      </c>
      <c r="AE202" s="114" t="n">
        <f aca="false">IF(CapV=2,N(AE201),N(AE200))</f>
        <v>18</v>
      </c>
      <c r="AF202" s="114" t="n">
        <f aca="false">IF(CapV=2,N(AF201),N(AF200))</f>
        <v>18</v>
      </c>
      <c r="AG202" s="114" t="n">
        <f aca="false">IF(CapV=2,N(AG201),N(AG200))</f>
        <v>18</v>
      </c>
      <c r="AI202" s="114" t="n">
        <f aca="false">INDEX($F202:$AG202,1,MATCH(AI$7,$F$7:$AG$7,1))</f>
        <v>0</v>
      </c>
      <c r="AJ202" s="114" t="n">
        <f aca="false">INDEX($F202:$AG202,1,MATCH(AJ$7,$F$7:$AG$7,1))</f>
        <v>0</v>
      </c>
      <c r="AK202" s="114" t="n">
        <f aca="false">INDEX($F202:$AG202,1,MATCH(AK$7,$F$7:$AG$7,1))</f>
        <v>18</v>
      </c>
      <c r="AL202" s="114" t="n">
        <f aca="false">INDEX($F202:$AG202,1,MATCH(AL$7,$F$7:$AG$7,1))</f>
        <v>18</v>
      </c>
      <c r="AM202" s="114" t="n">
        <f aca="false">INDEX($F202:$AG202,1,MATCH(AM$7,$F$7:$AG$7,1))</f>
        <v>18</v>
      </c>
      <c r="AN202" s="114" t="n">
        <f aca="false">INDEX($F202:$AG202,1,MATCH(AN$7,$F$7:$AG$7,1))</f>
        <v>18</v>
      </c>
      <c r="AO202" s="114" t="n">
        <f aca="false">INDEX($F202:$AG202,1,MATCH(AO$7,$F$7:$AG$7,1))</f>
        <v>18</v>
      </c>
    </row>
    <row r="203" customFormat="false" ht="15" hidden="false" customHeight="false" outlineLevel="0" collapsed="false">
      <c r="A203" s="112" t="s">
        <v>1839</v>
      </c>
      <c r="B203" s="24" t="s">
        <v>857</v>
      </c>
      <c r="C203" s="24" t="s">
        <v>690</v>
      </c>
      <c r="D203" s="24" t="s">
        <v>1675</v>
      </c>
      <c r="F203" s="113" t="n">
        <v>0</v>
      </c>
      <c r="G203" s="113" t="n">
        <v>0</v>
      </c>
      <c r="H203" s="113" t="n">
        <v>0</v>
      </c>
      <c r="I203" s="113" t="n">
        <v>0</v>
      </c>
      <c r="J203" s="113" t="n">
        <v>0</v>
      </c>
      <c r="K203" s="113" t="n">
        <v>0</v>
      </c>
      <c r="L203" s="113" t="n">
        <v>0</v>
      </c>
      <c r="M203" s="113" t="n">
        <v>0</v>
      </c>
      <c r="N203" s="113" t="n">
        <v>0</v>
      </c>
      <c r="O203" s="113" t="n">
        <v>0</v>
      </c>
      <c r="P203" s="113" t="n">
        <v>0</v>
      </c>
      <c r="Q203" s="113" t="n">
        <v>0</v>
      </c>
      <c r="R203" s="113" t="n">
        <v>11</v>
      </c>
      <c r="S203" s="113" t="n">
        <v>22</v>
      </c>
      <c r="T203" s="113" t="n">
        <v>22</v>
      </c>
      <c r="U203" s="113" t="n">
        <v>22</v>
      </c>
      <c r="V203" s="113" t="n">
        <v>22</v>
      </c>
      <c r="W203" s="113" t="n">
        <v>22</v>
      </c>
      <c r="X203" s="113" t="n">
        <v>22</v>
      </c>
      <c r="Y203" s="113" t="n">
        <v>22</v>
      </c>
      <c r="Z203" s="113" t="n">
        <v>22</v>
      </c>
      <c r="AA203" s="113" t="n">
        <v>22</v>
      </c>
      <c r="AB203" s="113" t="n">
        <v>22</v>
      </c>
      <c r="AC203" s="113" t="n">
        <v>22</v>
      </c>
      <c r="AD203" s="113" t="n">
        <v>22</v>
      </c>
      <c r="AE203" s="113" t="n">
        <v>22</v>
      </c>
      <c r="AF203" s="113" t="n">
        <v>22</v>
      </c>
      <c r="AG203" s="113" t="n">
        <v>22</v>
      </c>
      <c r="AI203" s="114" t="n">
        <f aca="false">INDEX($F203:$AG203,1,MATCH(AI$7,$F$7:$AG$7,1))</f>
        <v>0</v>
      </c>
      <c r="AJ203" s="114" t="n">
        <f aca="false">INDEX($F203:$AG203,1,MATCH(AJ$7,$F$7:$AG$7,1))</f>
        <v>0</v>
      </c>
      <c r="AK203" s="114" t="n">
        <f aca="false">INDEX($F203:$AG203,1,MATCH(AK$7,$F$7:$AG$7,1))</f>
        <v>0</v>
      </c>
      <c r="AL203" s="114" t="n">
        <f aca="false">INDEX($F203:$AG203,1,MATCH(AL$7,$F$7:$AG$7,1))</f>
        <v>22</v>
      </c>
      <c r="AM203" s="114" t="n">
        <f aca="false">INDEX($F203:$AG203,1,MATCH(AM$7,$F$7:$AG$7,1))</f>
        <v>22</v>
      </c>
      <c r="AN203" s="114" t="n">
        <f aca="false">INDEX($F203:$AG203,1,MATCH(AN$7,$F$7:$AG$7,1))</f>
        <v>22</v>
      </c>
      <c r="AO203" s="114" t="n">
        <f aca="false">INDEX($F203:$AG203,1,MATCH(AO$7,$F$7:$AG$7,1))</f>
        <v>22</v>
      </c>
    </row>
    <row r="204" customFormat="false" ht="15" hidden="false" customHeight="false" outlineLevel="0" collapsed="false">
      <c r="A204" s="112" t="s">
        <v>1840</v>
      </c>
      <c r="B204" s="24" t="s">
        <v>857</v>
      </c>
      <c r="C204" s="24" t="s">
        <v>690</v>
      </c>
      <c r="D204" s="24" t="s">
        <v>1677</v>
      </c>
      <c r="F204" s="113" t="n">
        <v>0</v>
      </c>
      <c r="G204" s="113" t="n">
        <v>0</v>
      </c>
      <c r="H204" s="113" t="n">
        <v>0</v>
      </c>
      <c r="I204" s="113" t="n">
        <v>0</v>
      </c>
      <c r="J204" s="113" t="n">
        <v>0</v>
      </c>
      <c r="K204" s="113" t="n">
        <v>0</v>
      </c>
      <c r="L204" s="113" t="n">
        <v>0</v>
      </c>
      <c r="M204" s="113" t="n">
        <v>0</v>
      </c>
      <c r="N204" s="113" t="n">
        <v>0</v>
      </c>
      <c r="O204" s="113" t="n">
        <v>0</v>
      </c>
      <c r="P204" s="113" t="n">
        <v>0</v>
      </c>
      <c r="Q204" s="113" t="n">
        <v>0</v>
      </c>
      <c r="R204" s="113" t="n">
        <v>11</v>
      </c>
      <c r="S204" s="113" t="n">
        <v>22</v>
      </c>
      <c r="T204" s="113" t="n">
        <v>22</v>
      </c>
      <c r="U204" s="113" t="n">
        <v>22</v>
      </c>
      <c r="V204" s="113" t="n">
        <v>22</v>
      </c>
      <c r="W204" s="113" t="n">
        <v>22</v>
      </c>
      <c r="X204" s="113" t="n">
        <v>22</v>
      </c>
      <c r="Y204" s="113" t="n">
        <v>22</v>
      </c>
      <c r="Z204" s="113" t="n">
        <v>22</v>
      </c>
      <c r="AA204" s="113" t="n">
        <v>22</v>
      </c>
      <c r="AB204" s="113" t="n">
        <v>22</v>
      </c>
      <c r="AC204" s="113" t="n">
        <v>22</v>
      </c>
      <c r="AD204" s="113" t="n">
        <v>22</v>
      </c>
      <c r="AE204" s="113" t="n">
        <v>22</v>
      </c>
      <c r="AF204" s="113" t="n">
        <v>22</v>
      </c>
      <c r="AG204" s="113" t="n">
        <v>22</v>
      </c>
      <c r="AI204" s="114" t="n">
        <f aca="false">INDEX($F204:$AG204,1,MATCH(AI$7,$F$7:$AG$7,1))</f>
        <v>0</v>
      </c>
      <c r="AJ204" s="114" t="n">
        <f aca="false">INDEX($F204:$AG204,1,MATCH(AJ$7,$F$7:$AG$7,1))</f>
        <v>0</v>
      </c>
      <c r="AK204" s="114" t="n">
        <f aca="false">INDEX($F204:$AG204,1,MATCH(AK$7,$F$7:$AG$7,1))</f>
        <v>0</v>
      </c>
      <c r="AL204" s="114" t="n">
        <f aca="false">INDEX($F204:$AG204,1,MATCH(AL$7,$F$7:$AG$7,1))</f>
        <v>22</v>
      </c>
      <c r="AM204" s="114" t="n">
        <f aca="false">INDEX($F204:$AG204,1,MATCH(AM$7,$F$7:$AG$7,1))</f>
        <v>22</v>
      </c>
      <c r="AN204" s="114" t="n">
        <f aca="false">INDEX($F204:$AG204,1,MATCH(AN$7,$F$7:$AG$7,1))</f>
        <v>22</v>
      </c>
      <c r="AO204" s="114" t="n">
        <f aca="false">INDEX($F204:$AG204,1,MATCH(AO$7,$F$7:$AG$7,1))</f>
        <v>22</v>
      </c>
    </row>
    <row r="205" customFormat="false" ht="15" hidden="false" customHeight="false" outlineLevel="0" collapsed="false">
      <c r="A205" s="112" t="s">
        <v>1841</v>
      </c>
      <c r="B205" s="24" t="s">
        <v>857</v>
      </c>
      <c r="C205" s="24" t="s">
        <v>672</v>
      </c>
      <c r="D205" s="24" t="s">
        <v>1679</v>
      </c>
      <c r="F205" s="114" t="n">
        <f aca="false">IF(CapV=2,N(F204),N(F203))</f>
        <v>0</v>
      </c>
      <c r="G205" s="114" t="n">
        <f aca="false">IF(CapV=2,N(G204),N(G203))</f>
        <v>0</v>
      </c>
      <c r="H205" s="114" t="n">
        <f aca="false">IF(CapV=2,N(H204),N(H203))</f>
        <v>0</v>
      </c>
      <c r="I205" s="114" t="n">
        <f aca="false">IF(CapV=2,N(I204),N(I203))</f>
        <v>0</v>
      </c>
      <c r="J205" s="114" t="n">
        <f aca="false">IF(CapV=2,N(J204),N(J203))</f>
        <v>0</v>
      </c>
      <c r="K205" s="114" t="n">
        <f aca="false">IF(CapV=2,N(K204),N(K203))</f>
        <v>0</v>
      </c>
      <c r="L205" s="114" t="n">
        <f aca="false">IF(CapV=2,N(L204),N(L203))</f>
        <v>0</v>
      </c>
      <c r="M205" s="114" t="n">
        <f aca="false">IF(CapV=2,N(M204),N(M203))</f>
        <v>0</v>
      </c>
      <c r="N205" s="114" t="n">
        <f aca="false">IF(CapV=2,N(N204),N(N203))</f>
        <v>0</v>
      </c>
      <c r="O205" s="114" t="n">
        <f aca="false">IF(CapV=2,N(O204),N(O203))</f>
        <v>0</v>
      </c>
      <c r="P205" s="114" t="n">
        <f aca="false">IF(CapV=2,N(P204),N(P203))</f>
        <v>0</v>
      </c>
      <c r="Q205" s="114" t="n">
        <f aca="false">IF(CapV=2,N(Q204),N(Q203))</f>
        <v>0</v>
      </c>
      <c r="R205" s="114" t="n">
        <f aca="false">IF(CapV=2,N(R204),N(R203))</f>
        <v>11</v>
      </c>
      <c r="S205" s="114" t="n">
        <f aca="false">IF(CapV=2,N(S204),N(S203))</f>
        <v>22</v>
      </c>
      <c r="T205" s="114" t="n">
        <f aca="false">IF(CapV=2,N(T204),N(T203))</f>
        <v>22</v>
      </c>
      <c r="U205" s="114" t="n">
        <f aca="false">IF(CapV=2,N(U204),N(U203))</f>
        <v>22</v>
      </c>
      <c r="V205" s="114" t="n">
        <f aca="false">IF(CapV=2,N(V204),N(V203))</f>
        <v>22</v>
      </c>
      <c r="W205" s="114" t="n">
        <f aca="false">IF(CapV=2,N(W204),N(W203))</f>
        <v>22</v>
      </c>
      <c r="X205" s="114" t="n">
        <f aca="false">IF(CapV=2,N(X204),N(X203))</f>
        <v>22</v>
      </c>
      <c r="Y205" s="114" t="n">
        <f aca="false">IF(CapV=2,N(Y204),N(Y203))</f>
        <v>22</v>
      </c>
      <c r="Z205" s="114" t="n">
        <f aca="false">IF(CapV=2,N(Z204),N(Z203))</f>
        <v>22</v>
      </c>
      <c r="AA205" s="114" t="n">
        <f aca="false">IF(CapV=2,N(AA204),N(AA203))</f>
        <v>22</v>
      </c>
      <c r="AB205" s="114" t="n">
        <f aca="false">IF(CapV=2,N(AB204),N(AB203))</f>
        <v>22</v>
      </c>
      <c r="AC205" s="114" t="n">
        <f aca="false">IF(CapV=2,N(AC204),N(AC203))</f>
        <v>22</v>
      </c>
      <c r="AD205" s="114" t="n">
        <f aca="false">IF(CapV=2,N(AD204),N(AD203))</f>
        <v>22</v>
      </c>
      <c r="AE205" s="114" t="n">
        <f aca="false">IF(CapV=2,N(AE204),N(AE203))</f>
        <v>22</v>
      </c>
      <c r="AF205" s="114" t="n">
        <f aca="false">IF(CapV=2,N(AF204),N(AF203))</f>
        <v>22</v>
      </c>
      <c r="AG205" s="114" t="n">
        <f aca="false">IF(CapV=2,N(AG204),N(AG203))</f>
        <v>22</v>
      </c>
      <c r="AI205" s="114" t="n">
        <f aca="false">INDEX($F205:$AG205,1,MATCH(AI$7,$F$7:$AG$7,1))</f>
        <v>0</v>
      </c>
      <c r="AJ205" s="114" t="n">
        <f aca="false">INDEX($F205:$AG205,1,MATCH(AJ$7,$F$7:$AG$7,1))</f>
        <v>0</v>
      </c>
      <c r="AK205" s="114" t="n">
        <f aca="false">INDEX($F205:$AG205,1,MATCH(AK$7,$F$7:$AG$7,1))</f>
        <v>0</v>
      </c>
      <c r="AL205" s="114" t="n">
        <f aca="false">INDEX($F205:$AG205,1,MATCH(AL$7,$F$7:$AG$7,1))</f>
        <v>22</v>
      </c>
      <c r="AM205" s="114" t="n">
        <f aca="false">INDEX($F205:$AG205,1,MATCH(AM$7,$F$7:$AG$7,1))</f>
        <v>22</v>
      </c>
      <c r="AN205" s="114" t="n">
        <f aca="false">INDEX($F205:$AG205,1,MATCH(AN$7,$F$7:$AG$7,1))</f>
        <v>22</v>
      </c>
      <c r="AO205" s="114" t="n">
        <f aca="false">INDEX($F205:$AG205,1,MATCH(AO$7,$F$7:$AG$7,1))</f>
        <v>22</v>
      </c>
    </row>
    <row r="206" customFormat="false" ht="15" hidden="false" customHeight="false" outlineLevel="0" collapsed="false">
      <c r="A206" s="112" t="s">
        <v>1842</v>
      </c>
      <c r="B206" s="24" t="s">
        <v>857</v>
      </c>
      <c r="C206" s="24" t="s">
        <v>690</v>
      </c>
      <c r="D206" s="24" t="s">
        <v>1675</v>
      </c>
      <c r="F206" s="113" t="n">
        <v>0</v>
      </c>
      <c r="G206" s="113" t="n">
        <v>0</v>
      </c>
      <c r="H206" s="113" t="n">
        <v>0</v>
      </c>
      <c r="I206" s="113" t="n">
        <v>0</v>
      </c>
      <c r="J206" s="113" t="n">
        <v>0</v>
      </c>
      <c r="K206" s="113" t="n">
        <v>0</v>
      </c>
      <c r="L206" s="113" t="n">
        <v>0</v>
      </c>
      <c r="M206" s="113" t="n">
        <v>0</v>
      </c>
      <c r="N206" s="113" t="n">
        <v>0</v>
      </c>
      <c r="O206" s="113" t="n">
        <v>0</v>
      </c>
      <c r="P206" s="113" t="n">
        <v>0</v>
      </c>
      <c r="Q206" s="113" t="n">
        <v>11</v>
      </c>
      <c r="R206" s="113" t="n">
        <v>16.5</v>
      </c>
      <c r="S206" s="113" t="n">
        <v>22</v>
      </c>
      <c r="T206" s="113" t="n">
        <v>22</v>
      </c>
      <c r="U206" s="113" t="n">
        <v>22</v>
      </c>
      <c r="V206" s="113" t="n">
        <v>22</v>
      </c>
      <c r="W206" s="113" t="n">
        <v>22</v>
      </c>
      <c r="X206" s="113" t="n">
        <v>22</v>
      </c>
      <c r="Y206" s="113" t="n">
        <v>22</v>
      </c>
      <c r="Z206" s="113" t="n">
        <v>22</v>
      </c>
      <c r="AA206" s="113" t="n">
        <v>22</v>
      </c>
      <c r="AB206" s="113" t="n">
        <v>22</v>
      </c>
      <c r="AC206" s="113" t="n">
        <v>22</v>
      </c>
      <c r="AD206" s="113" t="n">
        <v>22</v>
      </c>
      <c r="AE206" s="113" t="n">
        <v>22</v>
      </c>
      <c r="AF206" s="113" t="n">
        <v>22</v>
      </c>
      <c r="AG206" s="113" t="n">
        <v>22</v>
      </c>
      <c r="AI206" s="114" t="n">
        <f aca="false">INDEX($F206:$AG206,1,MATCH(AI$7,$F$7:$AG$7,1))</f>
        <v>0</v>
      </c>
      <c r="AJ206" s="114" t="n">
        <f aca="false">INDEX($F206:$AG206,1,MATCH(AJ$7,$F$7:$AG$7,1))</f>
        <v>0</v>
      </c>
      <c r="AK206" s="114" t="n">
        <f aca="false">INDEX($F206:$AG206,1,MATCH(AK$7,$F$7:$AG$7,1))</f>
        <v>11</v>
      </c>
      <c r="AL206" s="114" t="n">
        <f aca="false">INDEX($F206:$AG206,1,MATCH(AL$7,$F$7:$AG$7,1))</f>
        <v>22</v>
      </c>
      <c r="AM206" s="114" t="n">
        <f aca="false">INDEX($F206:$AG206,1,MATCH(AM$7,$F$7:$AG$7,1))</f>
        <v>22</v>
      </c>
      <c r="AN206" s="114" t="n">
        <f aca="false">INDEX($F206:$AG206,1,MATCH(AN$7,$F$7:$AG$7,1))</f>
        <v>22</v>
      </c>
      <c r="AO206" s="114" t="n">
        <f aca="false">INDEX($F206:$AG206,1,MATCH(AO$7,$F$7:$AG$7,1))</f>
        <v>22</v>
      </c>
    </row>
    <row r="207" customFormat="false" ht="15" hidden="false" customHeight="false" outlineLevel="0" collapsed="false">
      <c r="A207" s="112" t="s">
        <v>1843</v>
      </c>
      <c r="B207" s="24" t="s">
        <v>857</v>
      </c>
      <c r="C207" s="24" t="s">
        <v>690</v>
      </c>
      <c r="D207" s="24" t="s">
        <v>1677</v>
      </c>
      <c r="F207" s="113" t="n">
        <v>0</v>
      </c>
      <c r="G207" s="113" t="n">
        <v>0</v>
      </c>
      <c r="H207" s="113" t="n">
        <v>0</v>
      </c>
      <c r="I207" s="113" t="n">
        <v>0</v>
      </c>
      <c r="J207" s="113" t="n">
        <v>0</v>
      </c>
      <c r="K207" s="113" t="n">
        <v>0</v>
      </c>
      <c r="L207" s="113" t="n">
        <v>0</v>
      </c>
      <c r="M207" s="113" t="n">
        <v>0</v>
      </c>
      <c r="N207" s="113" t="n">
        <v>0</v>
      </c>
      <c r="O207" s="113" t="n">
        <v>0</v>
      </c>
      <c r="P207" s="113" t="n">
        <v>0</v>
      </c>
      <c r="Q207" s="113" t="n">
        <v>11</v>
      </c>
      <c r="R207" s="113" t="n">
        <v>16.5</v>
      </c>
      <c r="S207" s="113" t="n">
        <v>22</v>
      </c>
      <c r="T207" s="113" t="n">
        <v>22</v>
      </c>
      <c r="U207" s="113" t="n">
        <v>22</v>
      </c>
      <c r="V207" s="113" t="n">
        <v>22</v>
      </c>
      <c r="W207" s="113" t="n">
        <v>22</v>
      </c>
      <c r="X207" s="113" t="n">
        <v>22</v>
      </c>
      <c r="Y207" s="113" t="n">
        <v>22</v>
      </c>
      <c r="Z207" s="113" t="n">
        <v>22</v>
      </c>
      <c r="AA207" s="113" t="n">
        <v>22</v>
      </c>
      <c r="AB207" s="113" t="n">
        <v>22</v>
      </c>
      <c r="AC207" s="113" t="n">
        <v>22</v>
      </c>
      <c r="AD207" s="113" t="n">
        <v>22</v>
      </c>
      <c r="AE207" s="113" t="n">
        <v>22</v>
      </c>
      <c r="AF207" s="113" t="n">
        <v>22</v>
      </c>
      <c r="AG207" s="113" t="n">
        <v>22</v>
      </c>
      <c r="AI207" s="114" t="n">
        <f aca="false">INDEX($F207:$AG207,1,MATCH(AI$7,$F$7:$AG$7,1))</f>
        <v>0</v>
      </c>
      <c r="AJ207" s="114" t="n">
        <f aca="false">INDEX($F207:$AG207,1,MATCH(AJ$7,$F$7:$AG$7,1))</f>
        <v>0</v>
      </c>
      <c r="AK207" s="114" t="n">
        <f aca="false">INDEX($F207:$AG207,1,MATCH(AK$7,$F$7:$AG$7,1))</f>
        <v>11</v>
      </c>
      <c r="AL207" s="114" t="n">
        <f aca="false">INDEX($F207:$AG207,1,MATCH(AL$7,$F$7:$AG$7,1))</f>
        <v>22</v>
      </c>
      <c r="AM207" s="114" t="n">
        <f aca="false">INDEX($F207:$AG207,1,MATCH(AM$7,$F$7:$AG$7,1))</f>
        <v>22</v>
      </c>
      <c r="AN207" s="114" t="n">
        <f aca="false">INDEX($F207:$AG207,1,MATCH(AN$7,$F$7:$AG$7,1))</f>
        <v>22</v>
      </c>
      <c r="AO207" s="114" t="n">
        <f aca="false">INDEX($F207:$AG207,1,MATCH(AO$7,$F$7:$AG$7,1))</f>
        <v>22</v>
      </c>
    </row>
    <row r="208" customFormat="false" ht="15" hidden="false" customHeight="false" outlineLevel="0" collapsed="false">
      <c r="A208" s="112" t="s">
        <v>1844</v>
      </c>
      <c r="B208" s="24" t="s">
        <v>857</v>
      </c>
      <c r="C208" s="24" t="s">
        <v>672</v>
      </c>
      <c r="D208" s="24" t="s">
        <v>1679</v>
      </c>
      <c r="F208" s="114" t="n">
        <f aca="false">IF(CapV=2,N(F207),N(F206))</f>
        <v>0</v>
      </c>
      <c r="G208" s="114" t="n">
        <f aca="false">IF(CapV=2,N(G207),N(G206))</f>
        <v>0</v>
      </c>
      <c r="H208" s="114" t="n">
        <f aca="false">IF(CapV=2,N(H207),N(H206))</f>
        <v>0</v>
      </c>
      <c r="I208" s="114" t="n">
        <f aca="false">IF(CapV=2,N(I207),N(I206))</f>
        <v>0</v>
      </c>
      <c r="J208" s="114" t="n">
        <f aca="false">IF(CapV=2,N(J207),N(J206))</f>
        <v>0</v>
      </c>
      <c r="K208" s="114" t="n">
        <f aca="false">IF(CapV=2,N(K207),N(K206))</f>
        <v>0</v>
      </c>
      <c r="L208" s="114" t="n">
        <f aca="false">IF(CapV=2,N(L207),N(L206))</f>
        <v>0</v>
      </c>
      <c r="M208" s="114" t="n">
        <f aca="false">IF(CapV=2,N(M207),N(M206))</f>
        <v>0</v>
      </c>
      <c r="N208" s="114" t="n">
        <f aca="false">IF(CapV=2,N(N207),N(N206))</f>
        <v>0</v>
      </c>
      <c r="O208" s="114" t="n">
        <f aca="false">IF(CapV=2,N(O207),N(O206))</f>
        <v>0</v>
      </c>
      <c r="P208" s="114" t="n">
        <f aca="false">IF(CapV=2,N(P207),N(P206))</f>
        <v>0</v>
      </c>
      <c r="Q208" s="114" t="n">
        <f aca="false">IF(CapV=2,N(Q207),N(Q206))</f>
        <v>11</v>
      </c>
      <c r="R208" s="114" t="n">
        <f aca="false">IF(CapV=2,N(R207),N(R206))</f>
        <v>16.5</v>
      </c>
      <c r="S208" s="114" t="n">
        <f aca="false">IF(CapV=2,N(S207),N(S206))</f>
        <v>22</v>
      </c>
      <c r="T208" s="114" t="n">
        <f aca="false">IF(CapV=2,N(T207),N(T206))</f>
        <v>22</v>
      </c>
      <c r="U208" s="114" t="n">
        <f aca="false">IF(CapV=2,N(U207),N(U206))</f>
        <v>22</v>
      </c>
      <c r="V208" s="114" t="n">
        <f aca="false">IF(CapV=2,N(V207),N(V206))</f>
        <v>22</v>
      </c>
      <c r="W208" s="114" t="n">
        <f aca="false">IF(CapV=2,N(W207),N(W206))</f>
        <v>22</v>
      </c>
      <c r="X208" s="114" t="n">
        <f aca="false">IF(CapV=2,N(X207),N(X206))</f>
        <v>22</v>
      </c>
      <c r="Y208" s="114" t="n">
        <f aca="false">IF(CapV=2,N(Y207),N(Y206))</f>
        <v>22</v>
      </c>
      <c r="Z208" s="114" t="n">
        <f aca="false">IF(CapV=2,N(Z207),N(Z206))</f>
        <v>22</v>
      </c>
      <c r="AA208" s="114" t="n">
        <f aca="false">IF(CapV=2,N(AA207),N(AA206))</f>
        <v>22</v>
      </c>
      <c r="AB208" s="114" t="n">
        <f aca="false">IF(CapV=2,N(AB207),N(AB206))</f>
        <v>22</v>
      </c>
      <c r="AC208" s="114" t="n">
        <f aca="false">IF(CapV=2,N(AC207),N(AC206))</f>
        <v>22</v>
      </c>
      <c r="AD208" s="114" t="n">
        <f aca="false">IF(CapV=2,N(AD207),N(AD206))</f>
        <v>22</v>
      </c>
      <c r="AE208" s="114" t="n">
        <f aca="false">IF(CapV=2,N(AE207),N(AE206))</f>
        <v>22</v>
      </c>
      <c r="AF208" s="114" t="n">
        <f aca="false">IF(CapV=2,N(AF207),N(AF206))</f>
        <v>22</v>
      </c>
      <c r="AG208" s="114" t="n">
        <f aca="false">IF(CapV=2,N(AG207),N(AG206))</f>
        <v>22</v>
      </c>
      <c r="AI208" s="114" t="n">
        <f aca="false">INDEX($F208:$AG208,1,MATCH(AI$7,$F$7:$AG$7,1))</f>
        <v>0</v>
      </c>
      <c r="AJ208" s="114" t="n">
        <f aca="false">INDEX($F208:$AG208,1,MATCH(AJ$7,$F$7:$AG$7,1))</f>
        <v>0</v>
      </c>
      <c r="AK208" s="114" t="n">
        <f aca="false">INDEX($F208:$AG208,1,MATCH(AK$7,$F$7:$AG$7,1))</f>
        <v>11</v>
      </c>
      <c r="AL208" s="114" t="n">
        <f aca="false">INDEX($F208:$AG208,1,MATCH(AL$7,$F$7:$AG$7,1))</f>
        <v>22</v>
      </c>
      <c r="AM208" s="114" t="n">
        <f aca="false">INDEX($F208:$AG208,1,MATCH(AM$7,$F$7:$AG$7,1))</f>
        <v>22</v>
      </c>
      <c r="AN208" s="114" t="n">
        <f aca="false">INDEX($F208:$AG208,1,MATCH(AN$7,$F$7:$AG$7,1))</f>
        <v>22</v>
      </c>
      <c r="AO208" s="114" t="n">
        <f aca="false">INDEX($F208:$AG208,1,MATCH(AO$7,$F$7:$AG$7,1))</f>
        <v>22</v>
      </c>
    </row>
    <row r="209" customFormat="false" ht="15" hidden="false" customHeight="false" outlineLevel="0" collapsed="false">
      <c r="A209" s="112" t="s">
        <v>1845</v>
      </c>
      <c r="B209" s="24" t="s">
        <v>857</v>
      </c>
      <c r="C209" s="24" t="s">
        <v>690</v>
      </c>
      <c r="D209" s="24" t="s">
        <v>1675</v>
      </c>
      <c r="F209" s="113" t="n">
        <v>0</v>
      </c>
      <c r="G209" s="113" t="n">
        <v>0</v>
      </c>
      <c r="H209" s="113" t="n">
        <v>0</v>
      </c>
      <c r="I209" s="113" t="n">
        <v>0</v>
      </c>
      <c r="J209" s="113" t="n">
        <v>0</v>
      </c>
      <c r="K209" s="113" t="n">
        <v>0</v>
      </c>
      <c r="L209" s="113" t="n">
        <v>0</v>
      </c>
      <c r="M209" s="113" t="n">
        <v>0</v>
      </c>
      <c r="N209" s="113" t="n">
        <v>0</v>
      </c>
      <c r="O209" s="113" t="n">
        <v>0</v>
      </c>
      <c r="P209" s="113" t="n">
        <v>0</v>
      </c>
      <c r="Q209" s="113" t="n">
        <v>22</v>
      </c>
      <c r="R209" s="113" t="n">
        <v>22</v>
      </c>
      <c r="S209" s="113" t="n">
        <v>22</v>
      </c>
      <c r="T209" s="113" t="n">
        <v>22</v>
      </c>
      <c r="U209" s="113" t="n">
        <v>22</v>
      </c>
      <c r="V209" s="113" t="n">
        <v>22</v>
      </c>
      <c r="W209" s="113" t="n">
        <v>22</v>
      </c>
      <c r="X209" s="113" t="n">
        <v>22</v>
      </c>
      <c r="Y209" s="113" t="n">
        <v>22</v>
      </c>
      <c r="Z209" s="113" t="n">
        <v>22</v>
      </c>
      <c r="AA209" s="113" t="n">
        <v>22</v>
      </c>
      <c r="AB209" s="113" t="n">
        <v>22</v>
      </c>
      <c r="AC209" s="113" t="n">
        <v>22</v>
      </c>
      <c r="AD209" s="113" t="n">
        <v>22</v>
      </c>
      <c r="AE209" s="113" t="n">
        <v>22</v>
      </c>
      <c r="AF209" s="113" t="n">
        <v>22</v>
      </c>
      <c r="AG209" s="113" t="n">
        <v>22</v>
      </c>
      <c r="AI209" s="114" t="n">
        <f aca="false">INDEX($F209:$AG209,1,MATCH(AI$7,$F$7:$AG$7,1))</f>
        <v>0</v>
      </c>
      <c r="AJ209" s="114" t="n">
        <f aca="false">INDEX($F209:$AG209,1,MATCH(AJ$7,$F$7:$AG$7,1))</f>
        <v>0</v>
      </c>
      <c r="AK209" s="114" t="n">
        <f aca="false">INDEX($F209:$AG209,1,MATCH(AK$7,$F$7:$AG$7,1))</f>
        <v>22</v>
      </c>
      <c r="AL209" s="114" t="n">
        <f aca="false">INDEX($F209:$AG209,1,MATCH(AL$7,$F$7:$AG$7,1))</f>
        <v>22</v>
      </c>
      <c r="AM209" s="114" t="n">
        <f aca="false">INDEX($F209:$AG209,1,MATCH(AM$7,$F$7:$AG$7,1))</f>
        <v>22</v>
      </c>
      <c r="AN209" s="114" t="n">
        <f aca="false">INDEX($F209:$AG209,1,MATCH(AN$7,$F$7:$AG$7,1))</f>
        <v>22</v>
      </c>
      <c r="AO209" s="114" t="n">
        <f aca="false">INDEX($F209:$AG209,1,MATCH(AO$7,$F$7:$AG$7,1))</f>
        <v>22</v>
      </c>
    </row>
    <row r="210" customFormat="false" ht="15" hidden="false" customHeight="false" outlineLevel="0" collapsed="false">
      <c r="A210" s="112" t="s">
        <v>1846</v>
      </c>
      <c r="B210" s="24" t="s">
        <v>857</v>
      </c>
      <c r="C210" s="24" t="s">
        <v>690</v>
      </c>
      <c r="D210" s="24" t="s">
        <v>1677</v>
      </c>
      <c r="F210" s="113" t="n">
        <v>0</v>
      </c>
      <c r="G210" s="113" t="n">
        <v>0</v>
      </c>
      <c r="H210" s="113" t="n">
        <v>0</v>
      </c>
      <c r="I210" s="113" t="n">
        <v>0</v>
      </c>
      <c r="J210" s="113" t="n">
        <v>0</v>
      </c>
      <c r="K210" s="113" t="n">
        <v>0</v>
      </c>
      <c r="L210" s="113" t="n">
        <v>0</v>
      </c>
      <c r="M210" s="113" t="n">
        <v>0</v>
      </c>
      <c r="N210" s="113" t="n">
        <v>0</v>
      </c>
      <c r="O210" s="113" t="n">
        <v>0</v>
      </c>
      <c r="P210" s="113" t="n">
        <v>0</v>
      </c>
      <c r="Q210" s="113" t="n">
        <v>22</v>
      </c>
      <c r="R210" s="113" t="n">
        <v>22</v>
      </c>
      <c r="S210" s="113" t="n">
        <v>22</v>
      </c>
      <c r="T210" s="113" t="n">
        <v>22</v>
      </c>
      <c r="U210" s="113" t="n">
        <v>22</v>
      </c>
      <c r="V210" s="113" t="n">
        <v>22</v>
      </c>
      <c r="W210" s="113" t="n">
        <v>22</v>
      </c>
      <c r="X210" s="113" t="n">
        <v>22</v>
      </c>
      <c r="Y210" s="113" t="n">
        <v>22</v>
      </c>
      <c r="Z210" s="113" t="n">
        <v>22</v>
      </c>
      <c r="AA210" s="113" t="n">
        <v>22</v>
      </c>
      <c r="AB210" s="113" t="n">
        <v>22</v>
      </c>
      <c r="AC210" s="113" t="n">
        <v>22</v>
      </c>
      <c r="AD210" s="113" t="n">
        <v>22</v>
      </c>
      <c r="AE210" s="113" t="n">
        <v>22</v>
      </c>
      <c r="AF210" s="113" t="n">
        <v>22</v>
      </c>
      <c r="AG210" s="113" t="n">
        <v>22</v>
      </c>
      <c r="AI210" s="114" t="n">
        <f aca="false">INDEX($F210:$AG210,1,MATCH(AI$7,$F$7:$AG$7,1))</f>
        <v>0</v>
      </c>
      <c r="AJ210" s="114" t="n">
        <f aca="false">INDEX($F210:$AG210,1,MATCH(AJ$7,$F$7:$AG$7,1))</f>
        <v>0</v>
      </c>
      <c r="AK210" s="114" t="n">
        <f aca="false">INDEX($F210:$AG210,1,MATCH(AK$7,$F$7:$AG$7,1))</f>
        <v>22</v>
      </c>
      <c r="AL210" s="114" t="n">
        <f aca="false">INDEX($F210:$AG210,1,MATCH(AL$7,$F$7:$AG$7,1))</f>
        <v>22</v>
      </c>
      <c r="AM210" s="114" t="n">
        <f aca="false">INDEX($F210:$AG210,1,MATCH(AM$7,$F$7:$AG$7,1))</f>
        <v>22</v>
      </c>
      <c r="AN210" s="114" t="n">
        <f aca="false">INDEX($F210:$AG210,1,MATCH(AN$7,$F$7:$AG$7,1))</f>
        <v>22</v>
      </c>
      <c r="AO210" s="114" t="n">
        <f aca="false">INDEX($F210:$AG210,1,MATCH(AO$7,$F$7:$AG$7,1))</f>
        <v>22</v>
      </c>
    </row>
    <row r="211" customFormat="false" ht="15" hidden="false" customHeight="false" outlineLevel="0" collapsed="false">
      <c r="A211" s="112" t="s">
        <v>1847</v>
      </c>
      <c r="B211" s="24" t="s">
        <v>857</v>
      </c>
      <c r="C211" s="24" t="s">
        <v>672</v>
      </c>
      <c r="D211" s="24" t="s">
        <v>1679</v>
      </c>
      <c r="F211" s="114" t="n">
        <f aca="false">IF(CapV=2,N(F210),N(F209))</f>
        <v>0</v>
      </c>
      <c r="G211" s="114" t="n">
        <f aca="false">IF(CapV=2,N(G210),N(G209))</f>
        <v>0</v>
      </c>
      <c r="H211" s="114" t="n">
        <f aca="false">IF(CapV=2,N(H210),N(H209))</f>
        <v>0</v>
      </c>
      <c r="I211" s="114" t="n">
        <f aca="false">IF(CapV=2,N(I210),N(I209))</f>
        <v>0</v>
      </c>
      <c r="J211" s="114" t="n">
        <f aca="false">IF(CapV=2,N(J210),N(J209))</f>
        <v>0</v>
      </c>
      <c r="K211" s="114" t="n">
        <f aca="false">IF(CapV=2,N(K210),N(K209))</f>
        <v>0</v>
      </c>
      <c r="L211" s="114" t="n">
        <f aca="false">IF(CapV=2,N(L210),N(L209))</f>
        <v>0</v>
      </c>
      <c r="M211" s="114" t="n">
        <f aca="false">IF(CapV=2,N(M210),N(M209))</f>
        <v>0</v>
      </c>
      <c r="N211" s="114" t="n">
        <f aca="false">IF(CapV=2,N(N210),N(N209))</f>
        <v>0</v>
      </c>
      <c r="O211" s="114" t="n">
        <f aca="false">IF(CapV=2,N(O210),N(O209))</f>
        <v>0</v>
      </c>
      <c r="P211" s="114" t="n">
        <f aca="false">IF(CapV=2,N(P210),N(P209))</f>
        <v>0</v>
      </c>
      <c r="Q211" s="114" t="n">
        <f aca="false">IF(CapV=2,N(Q210),N(Q209))</f>
        <v>22</v>
      </c>
      <c r="R211" s="114" t="n">
        <f aca="false">IF(CapV=2,N(R210),N(R209))</f>
        <v>22</v>
      </c>
      <c r="S211" s="114" t="n">
        <f aca="false">IF(CapV=2,N(S210),N(S209))</f>
        <v>22</v>
      </c>
      <c r="T211" s="114" t="n">
        <f aca="false">IF(CapV=2,N(T210),N(T209))</f>
        <v>22</v>
      </c>
      <c r="U211" s="114" t="n">
        <f aca="false">IF(CapV=2,N(U210),N(U209))</f>
        <v>22</v>
      </c>
      <c r="V211" s="114" t="n">
        <f aca="false">IF(CapV=2,N(V210),N(V209))</f>
        <v>22</v>
      </c>
      <c r="W211" s="114" t="n">
        <f aca="false">IF(CapV=2,N(W210),N(W209))</f>
        <v>22</v>
      </c>
      <c r="X211" s="114" t="n">
        <f aca="false">IF(CapV=2,N(X210),N(X209))</f>
        <v>22</v>
      </c>
      <c r="Y211" s="114" t="n">
        <f aca="false">IF(CapV=2,N(Y210),N(Y209))</f>
        <v>22</v>
      </c>
      <c r="Z211" s="114" t="n">
        <f aca="false">IF(CapV=2,N(Z210),N(Z209))</f>
        <v>22</v>
      </c>
      <c r="AA211" s="114" t="n">
        <f aca="false">IF(CapV=2,N(AA210),N(AA209))</f>
        <v>22</v>
      </c>
      <c r="AB211" s="114" t="n">
        <f aca="false">IF(CapV=2,N(AB210),N(AB209))</f>
        <v>22</v>
      </c>
      <c r="AC211" s="114" t="n">
        <f aca="false">IF(CapV=2,N(AC210),N(AC209))</f>
        <v>22</v>
      </c>
      <c r="AD211" s="114" t="n">
        <f aca="false">IF(CapV=2,N(AD210),N(AD209))</f>
        <v>22</v>
      </c>
      <c r="AE211" s="114" t="n">
        <f aca="false">IF(CapV=2,N(AE210),N(AE209))</f>
        <v>22</v>
      </c>
      <c r="AF211" s="114" t="n">
        <f aca="false">IF(CapV=2,N(AF210),N(AF209))</f>
        <v>22</v>
      </c>
      <c r="AG211" s="114" t="n">
        <f aca="false">IF(CapV=2,N(AG210),N(AG209))</f>
        <v>22</v>
      </c>
      <c r="AI211" s="114" t="n">
        <f aca="false">INDEX($F211:$AG211,1,MATCH(AI$7,$F$7:$AG$7,1))</f>
        <v>0</v>
      </c>
      <c r="AJ211" s="114" t="n">
        <f aca="false">INDEX($F211:$AG211,1,MATCH(AJ$7,$F$7:$AG$7,1))</f>
        <v>0</v>
      </c>
      <c r="AK211" s="114" t="n">
        <f aca="false">INDEX($F211:$AG211,1,MATCH(AK$7,$F$7:$AG$7,1))</f>
        <v>22</v>
      </c>
      <c r="AL211" s="114" t="n">
        <f aca="false">INDEX($F211:$AG211,1,MATCH(AL$7,$F$7:$AG$7,1))</f>
        <v>22</v>
      </c>
      <c r="AM211" s="114" t="n">
        <f aca="false">INDEX($F211:$AG211,1,MATCH(AM$7,$F$7:$AG$7,1))</f>
        <v>22</v>
      </c>
      <c r="AN211" s="114" t="n">
        <f aca="false">INDEX($F211:$AG211,1,MATCH(AN$7,$F$7:$AG$7,1))</f>
        <v>22</v>
      </c>
      <c r="AO211" s="114" t="n">
        <f aca="false">INDEX($F211:$AG211,1,MATCH(AO$7,$F$7:$AG$7,1))</f>
        <v>22</v>
      </c>
    </row>
    <row r="212" customFormat="false" ht="15" hidden="false" customHeight="false" outlineLevel="0" collapsed="false">
      <c r="A212" s="112" t="s">
        <v>1848</v>
      </c>
      <c r="B212" s="24" t="s">
        <v>857</v>
      </c>
      <c r="C212" s="24" t="s">
        <v>690</v>
      </c>
      <c r="D212" s="24" t="s">
        <v>1849</v>
      </c>
      <c r="F212" s="115" t="n">
        <f aca="false">IF(F$5&gt;=12,Inputs!$E$221,0)</f>
        <v>0</v>
      </c>
      <c r="G212" s="115" t="n">
        <f aca="false">IF(G$5&gt;=12,Inputs!$E$221,0)</f>
        <v>0</v>
      </c>
      <c r="H212" s="115" t="n">
        <f aca="false">IF(H$5&gt;=12,Inputs!$E$221,0)</f>
        <v>0</v>
      </c>
      <c r="I212" s="115" t="n">
        <f aca="false">IF(I$5&gt;=12,Inputs!$E$221,0)</f>
        <v>0</v>
      </c>
      <c r="J212" s="115" t="n">
        <f aca="false">IF(J$5&gt;=12,Inputs!$E$221,0)</f>
        <v>0</v>
      </c>
      <c r="K212" s="115" t="n">
        <f aca="false">IF(K$5&gt;=12,Inputs!$E$221,0)</f>
        <v>0</v>
      </c>
      <c r="L212" s="115" t="n">
        <f aca="false">IF(L$5&gt;=12,Inputs!$E$221,0)</f>
        <v>0</v>
      </c>
      <c r="M212" s="115" t="n">
        <f aca="false">IF(M$5&gt;=12,Inputs!$E$221,0)</f>
        <v>0</v>
      </c>
      <c r="N212" s="115" t="n">
        <f aca="false">IF(N$5&gt;=12,Inputs!$E$221,0)</f>
        <v>0</v>
      </c>
      <c r="O212" s="115" t="n">
        <f aca="false">IF(O$5&gt;=12,Inputs!$E$221,0)</f>
        <v>0</v>
      </c>
      <c r="P212" s="115" t="n">
        <f aca="false">IF(P$5&gt;=12,Inputs!$E$221,0)</f>
        <v>0</v>
      </c>
      <c r="Q212" s="115" t="n">
        <f aca="false">IF(Q$5&gt;=12,Inputs!$E$221,0)</f>
        <v>0</v>
      </c>
      <c r="R212" s="115" t="n">
        <f aca="false">IF(R$5&gt;=12,Inputs!$E$221,0)</f>
        <v>0</v>
      </c>
      <c r="S212" s="115" t="n">
        <f aca="false">IF(S$5&gt;=12,Inputs!$E$221,0)</f>
        <v>0</v>
      </c>
      <c r="T212" s="115" t="n">
        <f aca="false">IF(T$5&gt;=12,Inputs!$E$221,0)</f>
        <v>0</v>
      </c>
      <c r="U212" s="115" t="n">
        <f aca="false">IF(U$5&gt;=12,Inputs!$E$221,0)</f>
        <v>0</v>
      </c>
      <c r="V212" s="115" t="n">
        <f aca="false">IF(V$5&gt;=12,Inputs!$E$221,0)</f>
        <v>0</v>
      </c>
      <c r="W212" s="115" t="n">
        <f aca="false">IF(W$5&gt;=12,Inputs!$E$221,0)</f>
        <v>0</v>
      </c>
      <c r="X212" s="115" t="n">
        <f aca="false">IF(X$5&gt;=12,Inputs!$E$221,0)</f>
        <v>0</v>
      </c>
      <c r="Y212" s="115" t="n">
        <f aca="false">IF(Y$5&gt;=12,Inputs!$E$221,0)</f>
        <v>0</v>
      </c>
      <c r="Z212" s="115" t="n">
        <f aca="false">IF(Z$5&gt;=12,Inputs!$E$221,0)</f>
        <v>0</v>
      </c>
      <c r="AA212" s="115" t="n">
        <f aca="false">IF(AA$5&gt;=12,Inputs!$E$221,0)</f>
        <v>0</v>
      </c>
      <c r="AB212" s="115" t="n">
        <f aca="false">IF(AB$5&gt;=12,Inputs!$E$221,0)</f>
        <v>0</v>
      </c>
      <c r="AC212" s="115" t="n">
        <f aca="false">IF(AC$5&gt;=12,Inputs!$E$221,0)</f>
        <v>0</v>
      </c>
      <c r="AD212" s="115" t="n">
        <f aca="false">IF(AD$5&gt;=12,Inputs!$E$221,0)</f>
        <v>0</v>
      </c>
      <c r="AE212" s="115" t="n">
        <f aca="false">IF(AE$5&gt;=12,Inputs!$E$221,0)</f>
        <v>0</v>
      </c>
      <c r="AF212" s="115" t="n">
        <f aca="false">IF(AF$5&gt;=12,Inputs!$E$221,0)</f>
        <v>0</v>
      </c>
      <c r="AG212" s="115" t="n">
        <f aca="false">IF(AG$5&gt;=12,Inputs!$E$221,0)</f>
        <v>0</v>
      </c>
      <c r="AI212" s="114" t="n">
        <f aca="false">INDEX($F212:$AG212,1,MATCH(AI$7,$F$7:$AG$7,1))</f>
        <v>0</v>
      </c>
      <c r="AJ212" s="114" t="n">
        <f aca="false">INDEX($F212:$AG212,1,MATCH(AJ$7,$F$7:$AG$7,1))</f>
        <v>0</v>
      </c>
      <c r="AK212" s="114" t="n">
        <f aca="false">INDEX($F212:$AG212,1,MATCH(AK$7,$F$7:$AG$7,1))</f>
        <v>0</v>
      </c>
      <c r="AL212" s="114" t="n">
        <f aca="false">INDEX($F212:$AG212,1,MATCH(AL$7,$F$7:$AG$7,1))</f>
        <v>0</v>
      </c>
      <c r="AM212" s="114" t="n">
        <f aca="false">INDEX($F212:$AG212,1,MATCH(AM$7,$F$7:$AG$7,1))</f>
        <v>0</v>
      </c>
      <c r="AN212" s="114" t="n">
        <f aca="false">INDEX($F212:$AG212,1,MATCH(AN$7,$F$7:$AG$7,1))</f>
        <v>0</v>
      </c>
      <c r="AO212" s="114" t="n">
        <f aca="false">INDEX($F212:$AG212,1,MATCH(AO$7,$F$7:$AG$7,1))</f>
        <v>0</v>
      </c>
    </row>
    <row r="213" customFormat="false" ht="15" hidden="false" customHeight="false" outlineLevel="0" collapsed="false">
      <c r="A213" s="112" t="s">
        <v>1850</v>
      </c>
      <c r="B213" s="24" t="s">
        <v>857</v>
      </c>
      <c r="C213" s="24" t="s">
        <v>690</v>
      </c>
      <c r="D213" s="24" t="s">
        <v>1677</v>
      </c>
      <c r="F213" s="113" t="n">
        <v>0</v>
      </c>
      <c r="G213" s="113" t="n">
        <v>0</v>
      </c>
      <c r="H213" s="113" t="n">
        <v>0</v>
      </c>
      <c r="I213" s="113" t="n">
        <v>0</v>
      </c>
      <c r="J213" s="113" t="n">
        <v>0</v>
      </c>
      <c r="K213" s="113" t="n">
        <v>0</v>
      </c>
      <c r="L213" s="113" t="n">
        <v>0</v>
      </c>
      <c r="M213" s="113" t="n">
        <v>0</v>
      </c>
      <c r="N213" s="113" t="n">
        <v>5</v>
      </c>
      <c r="O213" s="113" t="n">
        <v>5</v>
      </c>
      <c r="P213" s="113" t="n">
        <v>5</v>
      </c>
      <c r="Q213" s="113" t="n">
        <v>5</v>
      </c>
      <c r="R213" s="113" t="n">
        <v>5</v>
      </c>
      <c r="S213" s="113" t="n">
        <v>5</v>
      </c>
      <c r="T213" s="113" t="n">
        <v>5</v>
      </c>
      <c r="U213" s="113" t="n">
        <v>5</v>
      </c>
      <c r="V213" s="113" t="n">
        <v>5</v>
      </c>
      <c r="W213" s="113" t="n">
        <v>5</v>
      </c>
      <c r="X213" s="113" t="n">
        <v>5</v>
      </c>
      <c r="Y213" s="113" t="n">
        <v>5</v>
      </c>
      <c r="Z213" s="113" t="n">
        <v>5</v>
      </c>
      <c r="AA213" s="113" t="n">
        <v>5</v>
      </c>
      <c r="AB213" s="113" t="n">
        <v>5</v>
      </c>
      <c r="AC213" s="113" t="n">
        <v>5</v>
      </c>
      <c r="AD213" s="113" t="n">
        <v>5</v>
      </c>
      <c r="AE213" s="113" t="n">
        <v>5</v>
      </c>
      <c r="AF213" s="113" t="n">
        <v>5</v>
      </c>
      <c r="AG213" s="113" t="n">
        <v>5</v>
      </c>
      <c r="AI213" s="114" t="n">
        <f aca="false">INDEX($F213:$AG213,1,MATCH(AI$7,$F$7:$AG$7,1))</f>
        <v>0</v>
      </c>
      <c r="AJ213" s="114" t="n">
        <f aca="false">INDEX($F213:$AG213,1,MATCH(AJ$7,$F$7:$AG$7,1))</f>
        <v>0</v>
      </c>
      <c r="AK213" s="114" t="n">
        <f aca="false">INDEX($F213:$AG213,1,MATCH(AK$7,$F$7:$AG$7,1))</f>
        <v>5</v>
      </c>
      <c r="AL213" s="114" t="n">
        <f aca="false">INDEX($F213:$AG213,1,MATCH(AL$7,$F$7:$AG$7,1))</f>
        <v>5</v>
      </c>
      <c r="AM213" s="114" t="n">
        <f aca="false">INDEX($F213:$AG213,1,MATCH(AM$7,$F$7:$AG$7,1))</f>
        <v>5</v>
      </c>
      <c r="AN213" s="114" t="n">
        <f aca="false">INDEX($F213:$AG213,1,MATCH(AN$7,$F$7:$AG$7,1))</f>
        <v>5</v>
      </c>
      <c r="AO213" s="114" t="n">
        <f aca="false">INDEX($F213:$AG213,1,MATCH(AO$7,$F$7:$AG$7,1))</f>
        <v>5</v>
      </c>
    </row>
    <row r="214" customFormat="false" ht="15" hidden="false" customHeight="false" outlineLevel="0" collapsed="false">
      <c r="A214" s="112" t="s">
        <v>1851</v>
      </c>
      <c r="B214" s="24" t="s">
        <v>857</v>
      </c>
      <c r="C214" s="24" t="s">
        <v>672</v>
      </c>
      <c r="D214" s="24" t="s">
        <v>1679</v>
      </c>
      <c r="F214" s="114" t="n">
        <f aca="false">IF(CapV=2,N(F213),N(F212))</f>
        <v>0</v>
      </c>
      <c r="G214" s="114" t="n">
        <f aca="false">IF(CapV=2,N(G213),N(G212))</f>
        <v>0</v>
      </c>
      <c r="H214" s="114" t="n">
        <f aca="false">IF(CapV=2,N(H213),N(H212))</f>
        <v>0</v>
      </c>
      <c r="I214" s="114" t="n">
        <f aca="false">IF(CapV=2,N(I213),N(I212))</f>
        <v>0</v>
      </c>
      <c r="J214" s="114" t="n">
        <f aca="false">IF(CapV=2,N(J213),N(J212))</f>
        <v>0</v>
      </c>
      <c r="K214" s="114" t="n">
        <f aca="false">IF(CapV=2,N(K213),N(K212))</f>
        <v>0</v>
      </c>
      <c r="L214" s="114" t="n">
        <f aca="false">IF(CapV=2,N(L213),N(L212))</f>
        <v>0</v>
      </c>
      <c r="M214" s="114" t="n">
        <f aca="false">IF(CapV=2,N(M213),N(M212))</f>
        <v>0</v>
      </c>
      <c r="N214" s="114" t="n">
        <f aca="false">IF(CapV=2,N(N213),N(N212))</f>
        <v>5</v>
      </c>
      <c r="O214" s="114" t="n">
        <f aca="false">IF(CapV=2,N(O213),N(O212))</f>
        <v>5</v>
      </c>
      <c r="P214" s="114" t="n">
        <f aca="false">IF(CapV=2,N(P213),N(P212))</f>
        <v>5</v>
      </c>
      <c r="Q214" s="114" t="n">
        <f aca="false">IF(CapV=2,N(Q213),N(Q212))</f>
        <v>5</v>
      </c>
      <c r="R214" s="114" t="n">
        <f aca="false">IF(CapV=2,N(R213),N(R212))</f>
        <v>5</v>
      </c>
      <c r="S214" s="114" t="n">
        <f aca="false">IF(CapV=2,N(S213),N(S212))</f>
        <v>5</v>
      </c>
      <c r="T214" s="114" t="n">
        <f aca="false">IF(CapV=2,N(T213),N(T212))</f>
        <v>5</v>
      </c>
      <c r="U214" s="114" t="n">
        <f aca="false">IF(CapV=2,N(U213),N(U212))</f>
        <v>5</v>
      </c>
      <c r="V214" s="114" t="n">
        <f aca="false">IF(CapV=2,N(V213),N(V212))</f>
        <v>5</v>
      </c>
      <c r="W214" s="114" t="n">
        <f aca="false">IF(CapV=2,N(W213),N(W212))</f>
        <v>5</v>
      </c>
      <c r="X214" s="114" t="n">
        <f aca="false">IF(CapV=2,N(X213),N(X212))</f>
        <v>5</v>
      </c>
      <c r="Y214" s="114" t="n">
        <f aca="false">IF(CapV=2,N(Y213),N(Y212))</f>
        <v>5</v>
      </c>
      <c r="Z214" s="114" t="n">
        <f aca="false">IF(CapV=2,N(Z213),N(Z212))</f>
        <v>5</v>
      </c>
      <c r="AA214" s="114" t="n">
        <f aca="false">IF(CapV=2,N(AA213),N(AA212))</f>
        <v>5</v>
      </c>
      <c r="AB214" s="114" t="n">
        <f aca="false">IF(CapV=2,N(AB213),N(AB212))</f>
        <v>5</v>
      </c>
      <c r="AC214" s="114" t="n">
        <f aca="false">IF(CapV=2,N(AC213),N(AC212))</f>
        <v>5</v>
      </c>
      <c r="AD214" s="114" t="n">
        <f aca="false">IF(CapV=2,N(AD213),N(AD212))</f>
        <v>5</v>
      </c>
      <c r="AE214" s="114" t="n">
        <f aca="false">IF(CapV=2,N(AE213),N(AE212))</f>
        <v>5</v>
      </c>
      <c r="AF214" s="114" t="n">
        <f aca="false">IF(CapV=2,N(AF213),N(AF212))</f>
        <v>5</v>
      </c>
      <c r="AG214" s="114" t="n">
        <f aca="false">IF(CapV=2,N(AG213),N(AG212))</f>
        <v>5</v>
      </c>
      <c r="AI214" s="114" t="n">
        <f aca="false">INDEX($F214:$AG214,1,MATCH(AI$7,$F$7:$AG$7,1))</f>
        <v>0</v>
      </c>
      <c r="AJ214" s="114" t="n">
        <f aca="false">INDEX($F214:$AG214,1,MATCH(AJ$7,$F$7:$AG$7,1))</f>
        <v>0</v>
      </c>
      <c r="AK214" s="114" t="n">
        <f aca="false">INDEX($F214:$AG214,1,MATCH(AK$7,$F$7:$AG$7,1))</f>
        <v>5</v>
      </c>
      <c r="AL214" s="114" t="n">
        <f aca="false">INDEX($F214:$AG214,1,MATCH(AL$7,$F$7:$AG$7,1))</f>
        <v>5</v>
      </c>
      <c r="AM214" s="114" t="n">
        <f aca="false">INDEX($F214:$AG214,1,MATCH(AM$7,$F$7:$AG$7,1))</f>
        <v>5</v>
      </c>
      <c r="AN214" s="114" t="n">
        <f aca="false">INDEX($F214:$AG214,1,MATCH(AN$7,$F$7:$AG$7,1))</f>
        <v>5</v>
      </c>
      <c r="AO214" s="114" t="n">
        <f aca="false">INDEX($F214:$AG214,1,MATCH(AO$7,$F$7:$AG$7,1))</f>
        <v>5</v>
      </c>
    </row>
    <row r="215" customFormat="false" ht="15" hidden="false" customHeight="false" outlineLevel="0" collapsed="false">
      <c r="A215" s="112" t="s">
        <v>1852</v>
      </c>
      <c r="B215" s="24" t="s">
        <v>857</v>
      </c>
      <c r="C215" s="24" t="s">
        <v>690</v>
      </c>
      <c r="D215" s="24" t="s">
        <v>1849</v>
      </c>
      <c r="F215" s="115" t="n">
        <f aca="false">IF(F$5&gt;=12,Inputs!$D$221,0)</f>
        <v>0</v>
      </c>
      <c r="G215" s="115" t="n">
        <f aca="false">IF(G$5&gt;=12,Inputs!$D$221,0)</f>
        <v>0</v>
      </c>
      <c r="H215" s="115" t="n">
        <f aca="false">IF(H$5&gt;=12,Inputs!$D$221,0)</f>
        <v>0</v>
      </c>
      <c r="I215" s="115" t="n">
        <f aca="false">IF(I$5&gt;=12,Inputs!$D$221,0)</f>
        <v>0</v>
      </c>
      <c r="J215" s="115" t="n">
        <f aca="false">IF(J$5&gt;=12,Inputs!$D$221,0)</f>
        <v>0</v>
      </c>
      <c r="K215" s="115" t="n">
        <f aca="false">IF(K$5&gt;=12,Inputs!$D$221,0)</f>
        <v>0</v>
      </c>
      <c r="L215" s="115" t="n">
        <f aca="false">IF(L$5&gt;=12,Inputs!$D$221,0)</f>
        <v>0</v>
      </c>
      <c r="M215" s="115" t="n">
        <f aca="false">IF(M$5&gt;=12,Inputs!$D$221,0)</f>
        <v>0</v>
      </c>
      <c r="N215" s="115" t="n">
        <f aca="false">IF(N$5&gt;=12,Inputs!$D$221,0)</f>
        <v>0</v>
      </c>
      <c r="O215" s="115" t="n">
        <f aca="false">IF(O$5&gt;=12,Inputs!$D$221,0)</f>
        <v>0</v>
      </c>
      <c r="P215" s="115" t="n">
        <f aca="false">IF(P$5&gt;=12,Inputs!$D$221,0)</f>
        <v>0</v>
      </c>
      <c r="Q215" s="115" t="n">
        <f aca="false">IF(Q$5&gt;=12,Inputs!$D$221,0)</f>
        <v>0</v>
      </c>
      <c r="R215" s="115" t="n">
        <f aca="false">IF(R$5&gt;=12,Inputs!$D$221,0)</f>
        <v>0</v>
      </c>
      <c r="S215" s="115" t="n">
        <f aca="false">IF(S$5&gt;=12,Inputs!$D$221,0)</f>
        <v>0</v>
      </c>
      <c r="T215" s="115" t="n">
        <f aca="false">IF(T$5&gt;=12,Inputs!$D$221,0)</f>
        <v>0</v>
      </c>
      <c r="U215" s="115" t="n">
        <f aca="false">IF(U$5&gt;=12,Inputs!$D$221,0)</f>
        <v>0</v>
      </c>
      <c r="V215" s="115" t="n">
        <f aca="false">IF(V$5&gt;=12,Inputs!$D$221,0)</f>
        <v>0</v>
      </c>
      <c r="W215" s="115" t="n">
        <f aca="false">IF(W$5&gt;=12,Inputs!$D$221,0)</f>
        <v>0</v>
      </c>
      <c r="X215" s="115" t="n">
        <f aca="false">IF(X$5&gt;=12,Inputs!$D$221,0)</f>
        <v>0</v>
      </c>
      <c r="Y215" s="115" t="n">
        <f aca="false">IF(Y$5&gt;=12,Inputs!$D$221,0)</f>
        <v>0</v>
      </c>
      <c r="Z215" s="115" t="n">
        <f aca="false">IF(Z$5&gt;=12,Inputs!$D$221,0)</f>
        <v>0</v>
      </c>
      <c r="AA215" s="115" t="n">
        <f aca="false">IF(AA$5&gt;=12,Inputs!$D$221,0)</f>
        <v>0</v>
      </c>
      <c r="AB215" s="115" t="n">
        <f aca="false">IF(AB$5&gt;=12,Inputs!$D$221,0)</f>
        <v>0</v>
      </c>
      <c r="AC215" s="115" t="n">
        <f aca="false">IF(AC$5&gt;=12,Inputs!$D$221,0)</f>
        <v>0</v>
      </c>
      <c r="AD215" s="115" t="n">
        <f aca="false">IF(AD$5&gt;=12,Inputs!$D$221,0)</f>
        <v>0</v>
      </c>
      <c r="AE215" s="115" t="n">
        <f aca="false">IF(AE$5&gt;=12,Inputs!$D$221,0)</f>
        <v>0</v>
      </c>
      <c r="AF215" s="115" t="n">
        <f aca="false">IF(AF$5&gt;=12,Inputs!$D$221,0)</f>
        <v>0</v>
      </c>
      <c r="AG215" s="115" t="n">
        <f aca="false">IF(AG$5&gt;=12,Inputs!$D$221,0)</f>
        <v>0</v>
      </c>
      <c r="AI215" s="114" t="n">
        <f aca="false">INDEX($F215:$AG215,1,MATCH(AI$7,$F$7:$AG$7,1))</f>
        <v>0</v>
      </c>
      <c r="AJ215" s="114" t="n">
        <f aca="false">INDEX($F215:$AG215,1,MATCH(AJ$7,$F$7:$AG$7,1))</f>
        <v>0</v>
      </c>
      <c r="AK215" s="114" t="n">
        <f aca="false">INDEX($F215:$AG215,1,MATCH(AK$7,$F$7:$AG$7,1))</f>
        <v>0</v>
      </c>
      <c r="AL215" s="114" t="n">
        <f aca="false">INDEX($F215:$AG215,1,MATCH(AL$7,$F$7:$AG$7,1))</f>
        <v>0</v>
      </c>
      <c r="AM215" s="114" t="n">
        <f aca="false">INDEX($F215:$AG215,1,MATCH(AM$7,$F$7:$AG$7,1))</f>
        <v>0</v>
      </c>
      <c r="AN215" s="114" t="n">
        <f aca="false">INDEX($F215:$AG215,1,MATCH(AN$7,$F$7:$AG$7,1))</f>
        <v>0</v>
      </c>
      <c r="AO215" s="114" t="n">
        <f aca="false">INDEX($F215:$AG215,1,MATCH(AO$7,$F$7:$AG$7,1))</f>
        <v>0</v>
      </c>
    </row>
    <row r="216" customFormat="false" ht="15" hidden="false" customHeight="false" outlineLevel="0" collapsed="false">
      <c r="A216" s="112" t="s">
        <v>1853</v>
      </c>
      <c r="B216" s="24" t="s">
        <v>857</v>
      </c>
      <c r="C216" s="24" t="s">
        <v>690</v>
      </c>
      <c r="D216" s="24" t="s">
        <v>1677</v>
      </c>
      <c r="F216" s="113" t="n">
        <v>0</v>
      </c>
      <c r="G216" s="113" t="n">
        <v>0</v>
      </c>
      <c r="H216" s="113" t="n">
        <v>0</v>
      </c>
      <c r="I216" s="113" t="n">
        <v>0</v>
      </c>
      <c r="J216" s="113" t="n">
        <v>0</v>
      </c>
      <c r="K216" s="113" t="n">
        <v>0</v>
      </c>
      <c r="L216" s="113" t="n">
        <v>0</v>
      </c>
      <c r="M216" s="113" t="n">
        <v>0</v>
      </c>
      <c r="N216" s="113" t="n">
        <v>10</v>
      </c>
      <c r="O216" s="113" t="n">
        <v>10</v>
      </c>
      <c r="P216" s="113" t="n">
        <v>10</v>
      </c>
      <c r="Q216" s="113" t="n">
        <v>10</v>
      </c>
      <c r="R216" s="113" t="n">
        <v>10</v>
      </c>
      <c r="S216" s="113" t="n">
        <v>10</v>
      </c>
      <c r="T216" s="113" t="n">
        <v>10</v>
      </c>
      <c r="U216" s="113" t="n">
        <v>10</v>
      </c>
      <c r="V216" s="113" t="n">
        <v>10</v>
      </c>
      <c r="W216" s="113" t="n">
        <v>10</v>
      </c>
      <c r="X216" s="113" t="n">
        <v>10</v>
      </c>
      <c r="Y216" s="113" t="n">
        <v>10</v>
      </c>
      <c r="Z216" s="113" t="n">
        <v>10</v>
      </c>
      <c r="AA216" s="113" t="n">
        <v>10</v>
      </c>
      <c r="AB216" s="113" t="n">
        <v>10</v>
      </c>
      <c r="AC216" s="113" t="n">
        <v>10</v>
      </c>
      <c r="AD216" s="113" t="n">
        <v>10</v>
      </c>
      <c r="AE216" s="113" t="n">
        <v>10</v>
      </c>
      <c r="AF216" s="113" t="n">
        <v>10</v>
      </c>
      <c r="AG216" s="113" t="n">
        <v>10</v>
      </c>
      <c r="AI216" s="114" t="n">
        <f aca="false">INDEX($F216:$AG216,1,MATCH(AI$7,$F$7:$AG$7,1))</f>
        <v>0</v>
      </c>
      <c r="AJ216" s="114" t="n">
        <f aca="false">INDEX($F216:$AG216,1,MATCH(AJ$7,$F$7:$AG$7,1))</f>
        <v>0</v>
      </c>
      <c r="AK216" s="114" t="n">
        <f aca="false">INDEX($F216:$AG216,1,MATCH(AK$7,$F$7:$AG$7,1))</f>
        <v>10</v>
      </c>
      <c r="AL216" s="114" t="n">
        <f aca="false">INDEX($F216:$AG216,1,MATCH(AL$7,$F$7:$AG$7,1))</f>
        <v>10</v>
      </c>
      <c r="AM216" s="114" t="n">
        <f aca="false">INDEX($F216:$AG216,1,MATCH(AM$7,$F$7:$AG$7,1))</f>
        <v>10</v>
      </c>
      <c r="AN216" s="114" t="n">
        <f aca="false">INDEX($F216:$AG216,1,MATCH(AN$7,$F$7:$AG$7,1))</f>
        <v>10</v>
      </c>
      <c r="AO216" s="114" t="n">
        <f aca="false">INDEX($F216:$AG216,1,MATCH(AO$7,$F$7:$AG$7,1))</f>
        <v>10</v>
      </c>
    </row>
    <row r="217" customFormat="false" ht="15" hidden="false" customHeight="false" outlineLevel="0" collapsed="false">
      <c r="A217" s="112" t="s">
        <v>1854</v>
      </c>
      <c r="B217" s="24" t="s">
        <v>857</v>
      </c>
      <c r="C217" s="24" t="s">
        <v>672</v>
      </c>
      <c r="D217" s="24" t="s">
        <v>1679</v>
      </c>
      <c r="F217" s="114" t="n">
        <f aca="false">IF(CapV=2,N(F216),N(F215))</f>
        <v>0</v>
      </c>
      <c r="G217" s="114" t="n">
        <f aca="false">IF(CapV=2,N(G216),N(G215))</f>
        <v>0</v>
      </c>
      <c r="H217" s="114" t="n">
        <f aca="false">IF(CapV=2,N(H216),N(H215))</f>
        <v>0</v>
      </c>
      <c r="I217" s="114" t="n">
        <f aca="false">IF(CapV=2,N(I216),N(I215))</f>
        <v>0</v>
      </c>
      <c r="J217" s="114" t="n">
        <f aca="false">IF(CapV=2,N(J216),N(J215))</f>
        <v>0</v>
      </c>
      <c r="K217" s="114" t="n">
        <f aca="false">IF(CapV=2,N(K216),N(K215))</f>
        <v>0</v>
      </c>
      <c r="L217" s="114" t="n">
        <f aca="false">IF(CapV=2,N(L216),N(L215))</f>
        <v>0</v>
      </c>
      <c r="M217" s="114" t="n">
        <f aca="false">IF(CapV=2,N(M216),N(M215))</f>
        <v>0</v>
      </c>
      <c r="N217" s="114" t="n">
        <f aca="false">IF(CapV=2,N(N216),N(N215))</f>
        <v>10</v>
      </c>
      <c r="O217" s="114" t="n">
        <f aca="false">IF(CapV=2,N(O216),N(O215))</f>
        <v>10</v>
      </c>
      <c r="P217" s="114" t="n">
        <f aca="false">IF(CapV=2,N(P216),N(P215))</f>
        <v>10</v>
      </c>
      <c r="Q217" s="114" t="n">
        <f aca="false">IF(CapV=2,N(Q216),N(Q215))</f>
        <v>10</v>
      </c>
      <c r="R217" s="114" t="n">
        <f aca="false">IF(CapV=2,N(R216),N(R215))</f>
        <v>10</v>
      </c>
      <c r="S217" s="114" t="n">
        <f aca="false">IF(CapV=2,N(S216),N(S215))</f>
        <v>10</v>
      </c>
      <c r="T217" s="114" t="n">
        <f aca="false">IF(CapV=2,N(T216),N(T215))</f>
        <v>10</v>
      </c>
      <c r="U217" s="114" t="n">
        <f aca="false">IF(CapV=2,N(U216),N(U215))</f>
        <v>10</v>
      </c>
      <c r="V217" s="114" t="n">
        <f aca="false">IF(CapV=2,N(V216),N(V215))</f>
        <v>10</v>
      </c>
      <c r="W217" s="114" t="n">
        <f aca="false">IF(CapV=2,N(W216),N(W215))</f>
        <v>10</v>
      </c>
      <c r="X217" s="114" t="n">
        <f aca="false">IF(CapV=2,N(X216),N(X215))</f>
        <v>10</v>
      </c>
      <c r="Y217" s="114" t="n">
        <f aca="false">IF(CapV=2,N(Y216),N(Y215))</f>
        <v>10</v>
      </c>
      <c r="Z217" s="114" t="n">
        <f aca="false">IF(CapV=2,N(Z216),N(Z215))</f>
        <v>10</v>
      </c>
      <c r="AA217" s="114" t="n">
        <f aca="false">IF(CapV=2,N(AA216),N(AA215))</f>
        <v>10</v>
      </c>
      <c r="AB217" s="114" t="n">
        <f aca="false">IF(CapV=2,N(AB216),N(AB215))</f>
        <v>10</v>
      </c>
      <c r="AC217" s="114" t="n">
        <f aca="false">IF(CapV=2,N(AC216),N(AC215))</f>
        <v>10</v>
      </c>
      <c r="AD217" s="114" t="n">
        <f aca="false">IF(CapV=2,N(AD216),N(AD215))</f>
        <v>10</v>
      </c>
      <c r="AE217" s="114" t="n">
        <f aca="false">IF(CapV=2,N(AE216),N(AE215))</f>
        <v>10</v>
      </c>
      <c r="AF217" s="114" t="n">
        <f aca="false">IF(CapV=2,N(AF216),N(AF215))</f>
        <v>10</v>
      </c>
      <c r="AG217" s="114" t="n">
        <f aca="false">IF(CapV=2,N(AG216),N(AG215))</f>
        <v>10</v>
      </c>
      <c r="AI217" s="114" t="n">
        <f aca="false">INDEX($F217:$AG217,1,MATCH(AI$7,$F$7:$AG$7,1))</f>
        <v>0</v>
      </c>
      <c r="AJ217" s="114" t="n">
        <f aca="false">INDEX($F217:$AG217,1,MATCH(AJ$7,$F$7:$AG$7,1))</f>
        <v>0</v>
      </c>
      <c r="AK217" s="114" t="n">
        <f aca="false">INDEX($F217:$AG217,1,MATCH(AK$7,$F$7:$AG$7,1))</f>
        <v>10</v>
      </c>
      <c r="AL217" s="114" t="n">
        <f aca="false">INDEX($F217:$AG217,1,MATCH(AL$7,$F$7:$AG$7,1))</f>
        <v>10</v>
      </c>
      <c r="AM217" s="114" t="n">
        <f aca="false">INDEX($F217:$AG217,1,MATCH(AM$7,$F$7:$AG$7,1))</f>
        <v>10</v>
      </c>
      <c r="AN217" s="114" t="n">
        <f aca="false">INDEX($F217:$AG217,1,MATCH(AN$7,$F$7:$AG$7,1))</f>
        <v>10</v>
      </c>
      <c r="AO217" s="114" t="n">
        <f aca="false">INDEX($F217:$AG217,1,MATCH(AO$7,$F$7:$AG$7,1))</f>
        <v>10</v>
      </c>
    </row>
    <row r="218" customFormat="false" ht="15" hidden="false" customHeight="false" outlineLevel="0" collapsed="false">
      <c r="A218" s="112" t="s">
        <v>1855</v>
      </c>
      <c r="B218" s="24" t="s">
        <v>857</v>
      </c>
      <c r="C218" s="24" t="s">
        <v>690</v>
      </c>
      <c r="D218" s="24" t="s">
        <v>1849</v>
      </c>
      <c r="F218" s="115" t="n">
        <f aca="false">IF(F$5&gt;=12,Inputs!$C$221,0)</f>
        <v>0</v>
      </c>
      <c r="G218" s="115" t="n">
        <f aca="false">IF(G$5&gt;=12,Inputs!$C$221,0)</f>
        <v>0</v>
      </c>
      <c r="H218" s="115" t="n">
        <f aca="false">IF(H$5&gt;=12,Inputs!$C$221,0)</f>
        <v>0</v>
      </c>
      <c r="I218" s="115" t="n">
        <f aca="false">IF(I$5&gt;=12,Inputs!$C$221,0)</f>
        <v>0</v>
      </c>
      <c r="J218" s="115" t="n">
        <f aca="false">IF(J$5&gt;=12,Inputs!$C$221,0)</f>
        <v>0</v>
      </c>
      <c r="K218" s="115" t="n">
        <f aca="false">IF(K$5&gt;=12,Inputs!$C$221,0)</f>
        <v>0</v>
      </c>
      <c r="L218" s="115" t="n">
        <f aca="false">IF(L$5&gt;=12,Inputs!$C$221,0)</f>
        <v>0</v>
      </c>
      <c r="M218" s="115" t="n">
        <f aca="false">IF(M$5&gt;=12,Inputs!$C$221,0)</f>
        <v>0</v>
      </c>
      <c r="N218" s="115" t="n">
        <f aca="false">IF(N$5&gt;=12,Inputs!$C$221,0)</f>
        <v>0</v>
      </c>
      <c r="O218" s="115" t="n">
        <f aca="false">IF(O$5&gt;=12,Inputs!$C$221,0)</f>
        <v>0</v>
      </c>
      <c r="P218" s="115" t="n">
        <f aca="false">IF(P$5&gt;=12,Inputs!$C$221,0)</f>
        <v>0</v>
      </c>
      <c r="Q218" s="115" t="n">
        <f aca="false">IF(Q$5&gt;=12,Inputs!$C$221,0)</f>
        <v>0</v>
      </c>
      <c r="R218" s="115" t="n">
        <f aca="false">IF(R$5&gt;=12,Inputs!$C$221,0)</f>
        <v>0</v>
      </c>
      <c r="S218" s="115" t="n">
        <f aca="false">IF(S$5&gt;=12,Inputs!$C$221,0)</f>
        <v>0</v>
      </c>
      <c r="T218" s="115" t="n">
        <f aca="false">IF(T$5&gt;=12,Inputs!$C$221,0)</f>
        <v>0</v>
      </c>
      <c r="U218" s="115" t="n">
        <f aca="false">IF(U$5&gt;=12,Inputs!$C$221,0)</f>
        <v>0</v>
      </c>
      <c r="V218" s="115" t="n">
        <f aca="false">IF(V$5&gt;=12,Inputs!$C$221,0)</f>
        <v>0</v>
      </c>
      <c r="W218" s="115" t="n">
        <f aca="false">IF(W$5&gt;=12,Inputs!$C$221,0)</f>
        <v>0</v>
      </c>
      <c r="X218" s="115" t="n">
        <f aca="false">IF(X$5&gt;=12,Inputs!$C$221,0)</f>
        <v>0</v>
      </c>
      <c r="Y218" s="115" t="n">
        <f aca="false">IF(Y$5&gt;=12,Inputs!$C$221,0)</f>
        <v>0</v>
      </c>
      <c r="Z218" s="115" t="n">
        <f aca="false">IF(Z$5&gt;=12,Inputs!$C$221,0)</f>
        <v>0</v>
      </c>
      <c r="AA218" s="115" t="n">
        <f aca="false">IF(AA$5&gt;=12,Inputs!$C$221,0)</f>
        <v>0</v>
      </c>
      <c r="AB218" s="115" t="n">
        <f aca="false">IF(AB$5&gt;=12,Inputs!$C$221,0)</f>
        <v>0</v>
      </c>
      <c r="AC218" s="115" t="n">
        <f aca="false">IF(AC$5&gt;=12,Inputs!$C$221,0)</f>
        <v>0</v>
      </c>
      <c r="AD218" s="115" t="n">
        <f aca="false">IF(AD$5&gt;=12,Inputs!$C$221,0)</f>
        <v>0</v>
      </c>
      <c r="AE218" s="115" t="n">
        <f aca="false">IF(AE$5&gt;=12,Inputs!$C$221,0)</f>
        <v>0</v>
      </c>
      <c r="AF218" s="115" t="n">
        <f aca="false">IF(AF$5&gt;=12,Inputs!$C$221,0)</f>
        <v>0</v>
      </c>
      <c r="AG218" s="115" t="n">
        <f aca="false">IF(AG$5&gt;=12,Inputs!$C$221,0)</f>
        <v>0</v>
      </c>
      <c r="AI218" s="114" t="n">
        <f aca="false">INDEX($F218:$AG218,1,MATCH(AI$7,$F$7:$AG$7,1))</f>
        <v>0</v>
      </c>
      <c r="AJ218" s="114" t="n">
        <f aca="false">INDEX($F218:$AG218,1,MATCH(AJ$7,$F$7:$AG$7,1))</f>
        <v>0</v>
      </c>
      <c r="AK218" s="114" t="n">
        <f aca="false">INDEX($F218:$AG218,1,MATCH(AK$7,$F$7:$AG$7,1))</f>
        <v>0</v>
      </c>
      <c r="AL218" s="114" t="n">
        <f aca="false">INDEX($F218:$AG218,1,MATCH(AL$7,$F$7:$AG$7,1))</f>
        <v>0</v>
      </c>
      <c r="AM218" s="114" t="n">
        <f aca="false">INDEX($F218:$AG218,1,MATCH(AM$7,$F$7:$AG$7,1))</f>
        <v>0</v>
      </c>
      <c r="AN218" s="114" t="n">
        <f aca="false">INDEX($F218:$AG218,1,MATCH(AN$7,$F$7:$AG$7,1))</f>
        <v>0</v>
      </c>
      <c r="AO218" s="114" t="n">
        <f aca="false">INDEX($F218:$AG218,1,MATCH(AO$7,$F$7:$AG$7,1))</f>
        <v>0</v>
      </c>
    </row>
    <row r="219" customFormat="false" ht="15" hidden="false" customHeight="false" outlineLevel="0" collapsed="false">
      <c r="A219" s="112" t="s">
        <v>1856</v>
      </c>
      <c r="B219" s="24" t="s">
        <v>857</v>
      </c>
      <c r="C219" s="24" t="s">
        <v>690</v>
      </c>
      <c r="D219" s="24" t="s">
        <v>1677</v>
      </c>
      <c r="F219" s="113" t="n">
        <v>0</v>
      </c>
      <c r="G219" s="113" t="n">
        <v>0</v>
      </c>
      <c r="H219" s="113" t="n">
        <v>0</v>
      </c>
      <c r="I219" s="113" t="n">
        <v>0</v>
      </c>
      <c r="J219" s="113" t="n">
        <v>0</v>
      </c>
      <c r="K219" s="113" t="n">
        <v>0</v>
      </c>
      <c r="L219" s="113" t="n">
        <v>0</v>
      </c>
      <c r="M219" s="113" t="n">
        <v>0</v>
      </c>
      <c r="N219" s="113" t="n">
        <v>15</v>
      </c>
      <c r="O219" s="113" t="n">
        <v>15</v>
      </c>
      <c r="P219" s="113" t="n">
        <v>15</v>
      </c>
      <c r="Q219" s="113" t="n">
        <v>15</v>
      </c>
      <c r="R219" s="113" t="n">
        <v>15</v>
      </c>
      <c r="S219" s="113" t="n">
        <v>15</v>
      </c>
      <c r="T219" s="113" t="n">
        <v>15</v>
      </c>
      <c r="U219" s="113" t="n">
        <v>15</v>
      </c>
      <c r="V219" s="113" t="n">
        <v>15</v>
      </c>
      <c r="W219" s="113" t="n">
        <v>15</v>
      </c>
      <c r="X219" s="113" t="n">
        <v>15</v>
      </c>
      <c r="Y219" s="113" t="n">
        <v>15</v>
      </c>
      <c r="Z219" s="113" t="n">
        <v>15</v>
      </c>
      <c r="AA219" s="113" t="n">
        <v>15</v>
      </c>
      <c r="AB219" s="113" t="n">
        <v>15</v>
      </c>
      <c r="AC219" s="113" t="n">
        <v>15</v>
      </c>
      <c r="AD219" s="113" t="n">
        <v>15</v>
      </c>
      <c r="AE219" s="113" t="n">
        <v>15</v>
      </c>
      <c r="AF219" s="113" t="n">
        <v>15</v>
      </c>
      <c r="AG219" s="113" t="n">
        <v>15</v>
      </c>
      <c r="AI219" s="114" t="n">
        <f aca="false">INDEX($F219:$AG219,1,MATCH(AI$7,$F$7:$AG$7,1))</f>
        <v>0</v>
      </c>
      <c r="AJ219" s="114" t="n">
        <f aca="false">INDEX($F219:$AG219,1,MATCH(AJ$7,$F$7:$AG$7,1))</f>
        <v>0</v>
      </c>
      <c r="AK219" s="114" t="n">
        <f aca="false">INDEX($F219:$AG219,1,MATCH(AK$7,$F$7:$AG$7,1))</f>
        <v>15</v>
      </c>
      <c r="AL219" s="114" t="n">
        <f aca="false">INDEX($F219:$AG219,1,MATCH(AL$7,$F$7:$AG$7,1))</f>
        <v>15</v>
      </c>
      <c r="AM219" s="114" t="n">
        <f aca="false">INDEX($F219:$AG219,1,MATCH(AM$7,$F$7:$AG$7,1))</f>
        <v>15</v>
      </c>
      <c r="AN219" s="114" t="n">
        <f aca="false">INDEX($F219:$AG219,1,MATCH(AN$7,$F$7:$AG$7,1))</f>
        <v>15</v>
      </c>
      <c r="AO219" s="114" t="n">
        <f aca="false">INDEX($F219:$AG219,1,MATCH(AO$7,$F$7:$AG$7,1))</f>
        <v>15</v>
      </c>
    </row>
    <row r="220" customFormat="false" ht="15" hidden="false" customHeight="false" outlineLevel="0" collapsed="false">
      <c r="A220" s="112" t="s">
        <v>1857</v>
      </c>
      <c r="B220" s="24" t="s">
        <v>857</v>
      </c>
      <c r="C220" s="24" t="s">
        <v>672</v>
      </c>
      <c r="D220" s="24" t="s">
        <v>1679</v>
      </c>
      <c r="F220" s="114" t="n">
        <f aca="false">IF(CapV=2,N(F219),N(F218))</f>
        <v>0</v>
      </c>
      <c r="G220" s="114" t="n">
        <f aca="false">IF(CapV=2,N(G219),N(G218))</f>
        <v>0</v>
      </c>
      <c r="H220" s="114" t="n">
        <f aca="false">IF(CapV=2,N(H219),N(H218))</f>
        <v>0</v>
      </c>
      <c r="I220" s="114" t="n">
        <f aca="false">IF(CapV=2,N(I219),N(I218))</f>
        <v>0</v>
      </c>
      <c r="J220" s="114" t="n">
        <f aca="false">IF(CapV=2,N(J219),N(J218))</f>
        <v>0</v>
      </c>
      <c r="K220" s="114" t="n">
        <f aca="false">IF(CapV=2,N(K219),N(K218))</f>
        <v>0</v>
      </c>
      <c r="L220" s="114" t="n">
        <f aca="false">IF(CapV=2,N(L219),N(L218))</f>
        <v>0</v>
      </c>
      <c r="M220" s="114" t="n">
        <f aca="false">IF(CapV=2,N(M219),N(M218))</f>
        <v>0</v>
      </c>
      <c r="N220" s="114" t="n">
        <f aca="false">IF(CapV=2,N(N219),N(N218))</f>
        <v>15</v>
      </c>
      <c r="O220" s="114" t="n">
        <f aca="false">IF(CapV=2,N(O219),N(O218))</f>
        <v>15</v>
      </c>
      <c r="P220" s="114" t="n">
        <f aca="false">IF(CapV=2,N(P219),N(P218))</f>
        <v>15</v>
      </c>
      <c r="Q220" s="114" t="n">
        <f aca="false">IF(CapV=2,N(Q219),N(Q218))</f>
        <v>15</v>
      </c>
      <c r="R220" s="114" t="n">
        <f aca="false">IF(CapV=2,N(R219),N(R218))</f>
        <v>15</v>
      </c>
      <c r="S220" s="114" t="n">
        <f aca="false">IF(CapV=2,N(S219),N(S218))</f>
        <v>15</v>
      </c>
      <c r="T220" s="114" t="n">
        <f aca="false">IF(CapV=2,N(T219),N(T218))</f>
        <v>15</v>
      </c>
      <c r="U220" s="114" t="n">
        <f aca="false">IF(CapV=2,N(U219),N(U218))</f>
        <v>15</v>
      </c>
      <c r="V220" s="114" t="n">
        <f aca="false">IF(CapV=2,N(V219),N(V218))</f>
        <v>15</v>
      </c>
      <c r="W220" s="114" t="n">
        <f aca="false">IF(CapV=2,N(W219),N(W218))</f>
        <v>15</v>
      </c>
      <c r="X220" s="114" t="n">
        <f aca="false">IF(CapV=2,N(X219),N(X218))</f>
        <v>15</v>
      </c>
      <c r="Y220" s="114" t="n">
        <f aca="false">IF(CapV=2,N(Y219),N(Y218))</f>
        <v>15</v>
      </c>
      <c r="Z220" s="114" t="n">
        <f aca="false">IF(CapV=2,N(Z219),N(Z218))</f>
        <v>15</v>
      </c>
      <c r="AA220" s="114" t="n">
        <f aca="false">IF(CapV=2,N(AA219),N(AA218))</f>
        <v>15</v>
      </c>
      <c r="AB220" s="114" t="n">
        <f aca="false">IF(CapV=2,N(AB219),N(AB218))</f>
        <v>15</v>
      </c>
      <c r="AC220" s="114" t="n">
        <f aca="false">IF(CapV=2,N(AC219),N(AC218))</f>
        <v>15</v>
      </c>
      <c r="AD220" s="114" t="n">
        <f aca="false">IF(CapV=2,N(AD219),N(AD218))</f>
        <v>15</v>
      </c>
      <c r="AE220" s="114" t="n">
        <f aca="false">IF(CapV=2,N(AE219),N(AE218))</f>
        <v>15</v>
      </c>
      <c r="AF220" s="114" t="n">
        <f aca="false">IF(CapV=2,N(AF219),N(AF218))</f>
        <v>15</v>
      </c>
      <c r="AG220" s="114" t="n">
        <f aca="false">IF(CapV=2,N(AG219),N(AG218))</f>
        <v>15</v>
      </c>
      <c r="AI220" s="114" t="n">
        <f aca="false">INDEX($F220:$AG220,1,MATCH(AI$7,$F$7:$AG$7,1))</f>
        <v>0</v>
      </c>
      <c r="AJ220" s="114" t="n">
        <f aca="false">INDEX($F220:$AG220,1,MATCH(AJ$7,$F$7:$AG$7,1))</f>
        <v>0</v>
      </c>
      <c r="AK220" s="114" t="n">
        <f aca="false">INDEX($F220:$AG220,1,MATCH(AK$7,$F$7:$AG$7,1))</f>
        <v>15</v>
      </c>
      <c r="AL220" s="114" t="n">
        <f aca="false">INDEX($F220:$AG220,1,MATCH(AL$7,$F$7:$AG$7,1))</f>
        <v>15</v>
      </c>
      <c r="AM220" s="114" t="n">
        <f aca="false">INDEX($F220:$AG220,1,MATCH(AM$7,$F$7:$AG$7,1))</f>
        <v>15</v>
      </c>
      <c r="AN220" s="114" t="n">
        <f aca="false">INDEX($F220:$AG220,1,MATCH(AN$7,$F$7:$AG$7,1))</f>
        <v>15</v>
      </c>
      <c r="AO220" s="114" t="n">
        <f aca="false">INDEX($F220:$AG220,1,MATCH(AO$7,$F$7:$AG$7,1))</f>
        <v>15</v>
      </c>
    </row>
    <row r="221" customFormat="false" ht="15" hidden="false" customHeight="false" outlineLevel="0" collapsed="false">
      <c r="A221" s="112" t="s">
        <v>1858</v>
      </c>
      <c r="B221" s="24" t="s">
        <v>857</v>
      </c>
      <c r="C221" s="24" t="s">
        <v>690</v>
      </c>
      <c r="D221" s="24" t="s">
        <v>1849</v>
      </c>
      <c r="F221" s="115" t="n">
        <f aca="false">IF(F$5&gt;=12,Inputs!$E$220,0)</f>
        <v>0</v>
      </c>
      <c r="G221" s="115" t="n">
        <f aca="false">IF(G$5&gt;=12,Inputs!$E$220,0)</f>
        <v>0</v>
      </c>
      <c r="H221" s="115" t="n">
        <f aca="false">IF(H$5&gt;=12,Inputs!$E$220,0)</f>
        <v>0</v>
      </c>
      <c r="I221" s="115" t="n">
        <f aca="false">IF(I$5&gt;=12,Inputs!$E$220,0)</f>
        <v>0</v>
      </c>
      <c r="J221" s="115" t="n">
        <f aca="false">IF(J$5&gt;=12,Inputs!$E$220,0)</f>
        <v>0</v>
      </c>
      <c r="K221" s="115" t="n">
        <f aca="false">IF(K$5&gt;=12,Inputs!$E$220,0)</f>
        <v>0</v>
      </c>
      <c r="L221" s="115" t="n">
        <f aca="false">IF(L$5&gt;=12,Inputs!$E$220,0)</f>
        <v>0</v>
      </c>
      <c r="M221" s="115" t="n">
        <f aca="false">IF(M$5&gt;=12,Inputs!$E$220,0)</f>
        <v>0</v>
      </c>
      <c r="N221" s="115" t="n">
        <f aca="false">IF(N$5&gt;=12,Inputs!$E$220,0)</f>
        <v>0</v>
      </c>
      <c r="O221" s="115" t="n">
        <f aca="false">IF(O$5&gt;=12,Inputs!$E$220,0)</f>
        <v>0</v>
      </c>
      <c r="P221" s="115" t="n">
        <f aca="false">IF(P$5&gt;=12,Inputs!$E$220,0)</f>
        <v>0</v>
      </c>
      <c r="Q221" s="115" t="n">
        <f aca="false">IF(Q$5&gt;=12,Inputs!$E$220,0)</f>
        <v>0</v>
      </c>
      <c r="R221" s="115" t="n">
        <f aca="false">IF(R$5&gt;=12,Inputs!$E$220,0)</f>
        <v>0</v>
      </c>
      <c r="S221" s="115" t="n">
        <f aca="false">IF(S$5&gt;=12,Inputs!$E$220,0)</f>
        <v>0</v>
      </c>
      <c r="T221" s="115" t="n">
        <f aca="false">IF(T$5&gt;=12,Inputs!$E$220,0)</f>
        <v>0</v>
      </c>
      <c r="U221" s="115" t="n">
        <f aca="false">IF(U$5&gt;=12,Inputs!$E$220,0)</f>
        <v>0</v>
      </c>
      <c r="V221" s="115" t="n">
        <f aca="false">IF(V$5&gt;=12,Inputs!$E$220,0)</f>
        <v>0</v>
      </c>
      <c r="W221" s="115" t="n">
        <f aca="false">IF(W$5&gt;=12,Inputs!$E$220,0)</f>
        <v>0</v>
      </c>
      <c r="X221" s="115" t="n">
        <f aca="false">IF(X$5&gt;=12,Inputs!$E$220,0)</f>
        <v>0</v>
      </c>
      <c r="Y221" s="115" t="n">
        <f aca="false">IF(Y$5&gt;=12,Inputs!$E$220,0)</f>
        <v>0</v>
      </c>
      <c r="Z221" s="115" t="n">
        <f aca="false">IF(Z$5&gt;=12,Inputs!$E$220,0)</f>
        <v>0</v>
      </c>
      <c r="AA221" s="115" t="n">
        <f aca="false">IF(AA$5&gt;=12,Inputs!$E$220,0)</f>
        <v>0</v>
      </c>
      <c r="AB221" s="115" t="n">
        <f aca="false">IF(AB$5&gt;=12,Inputs!$E$220,0)</f>
        <v>0</v>
      </c>
      <c r="AC221" s="115" t="n">
        <f aca="false">IF(AC$5&gt;=12,Inputs!$E$220,0)</f>
        <v>0</v>
      </c>
      <c r="AD221" s="115" t="n">
        <f aca="false">IF(AD$5&gt;=12,Inputs!$E$220,0)</f>
        <v>0</v>
      </c>
      <c r="AE221" s="115" t="n">
        <f aca="false">IF(AE$5&gt;=12,Inputs!$E$220,0)</f>
        <v>0</v>
      </c>
      <c r="AF221" s="115" t="n">
        <f aca="false">IF(AF$5&gt;=12,Inputs!$E$220,0)</f>
        <v>0</v>
      </c>
      <c r="AG221" s="115" t="n">
        <f aca="false">IF(AG$5&gt;=12,Inputs!$E$220,0)</f>
        <v>0</v>
      </c>
      <c r="AI221" s="114" t="n">
        <f aca="false">INDEX($F221:$AG221,1,MATCH(AI$7,$F$7:$AG$7,1))</f>
        <v>0</v>
      </c>
      <c r="AJ221" s="114" t="n">
        <f aca="false">INDEX($F221:$AG221,1,MATCH(AJ$7,$F$7:$AG$7,1))</f>
        <v>0</v>
      </c>
      <c r="AK221" s="114" t="n">
        <f aca="false">INDEX($F221:$AG221,1,MATCH(AK$7,$F$7:$AG$7,1))</f>
        <v>0</v>
      </c>
      <c r="AL221" s="114" t="n">
        <f aca="false">INDEX($F221:$AG221,1,MATCH(AL$7,$F$7:$AG$7,1))</f>
        <v>0</v>
      </c>
      <c r="AM221" s="114" t="n">
        <f aca="false">INDEX($F221:$AG221,1,MATCH(AM$7,$F$7:$AG$7,1))</f>
        <v>0</v>
      </c>
      <c r="AN221" s="114" t="n">
        <f aca="false">INDEX($F221:$AG221,1,MATCH(AN$7,$F$7:$AG$7,1))</f>
        <v>0</v>
      </c>
      <c r="AO221" s="114" t="n">
        <f aca="false">INDEX($F221:$AG221,1,MATCH(AO$7,$F$7:$AG$7,1))</f>
        <v>0</v>
      </c>
    </row>
    <row r="222" customFormat="false" ht="15" hidden="false" customHeight="false" outlineLevel="0" collapsed="false">
      <c r="A222" s="112" t="s">
        <v>1859</v>
      </c>
      <c r="B222" s="24" t="s">
        <v>857</v>
      </c>
      <c r="C222" s="24" t="s">
        <v>690</v>
      </c>
      <c r="D222" s="24" t="s">
        <v>1677</v>
      </c>
      <c r="F222" s="113" t="n">
        <v>0</v>
      </c>
      <c r="G222" s="113" t="n">
        <v>0</v>
      </c>
      <c r="H222" s="113" t="n">
        <v>0</v>
      </c>
      <c r="I222" s="113" t="n">
        <v>0</v>
      </c>
      <c r="J222" s="113" t="n">
        <v>0</v>
      </c>
      <c r="K222" s="113" t="n">
        <v>0</v>
      </c>
      <c r="L222" s="113" t="n">
        <v>0</v>
      </c>
      <c r="M222" s="113" t="n">
        <v>0</v>
      </c>
      <c r="N222" s="113" t="n">
        <v>0</v>
      </c>
      <c r="O222" s="113" t="n">
        <v>0</v>
      </c>
      <c r="P222" s="113" t="n">
        <v>5</v>
      </c>
      <c r="Q222" s="113" t="n">
        <v>10</v>
      </c>
      <c r="R222" s="113" t="n">
        <v>25</v>
      </c>
      <c r="S222" s="113" t="n">
        <v>50</v>
      </c>
      <c r="T222" s="113" t="n">
        <v>75</v>
      </c>
      <c r="U222" s="113" t="n">
        <v>75</v>
      </c>
      <c r="V222" s="113" t="n">
        <v>75</v>
      </c>
      <c r="W222" s="113" t="n">
        <v>75</v>
      </c>
      <c r="X222" s="113" t="n">
        <v>75</v>
      </c>
      <c r="Y222" s="113" t="n">
        <v>75</v>
      </c>
      <c r="Z222" s="113" t="n">
        <v>75</v>
      </c>
      <c r="AA222" s="113" t="n">
        <v>75</v>
      </c>
      <c r="AB222" s="113" t="n">
        <v>75</v>
      </c>
      <c r="AC222" s="113" t="n">
        <v>75</v>
      </c>
      <c r="AD222" s="113" t="n">
        <v>75</v>
      </c>
      <c r="AE222" s="113" t="n">
        <v>75</v>
      </c>
      <c r="AF222" s="113" t="n">
        <v>75</v>
      </c>
      <c r="AG222" s="113" t="n">
        <v>75</v>
      </c>
      <c r="AI222" s="114" t="n">
        <f aca="false">INDEX($F222:$AG222,1,MATCH(AI$7,$F$7:$AG$7,1))</f>
        <v>0</v>
      </c>
      <c r="AJ222" s="114" t="n">
        <f aca="false">INDEX($F222:$AG222,1,MATCH(AJ$7,$F$7:$AG$7,1))</f>
        <v>0</v>
      </c>
      <c r="AK222" s="114" t="n">
        <f aca="false">INDEX($F222:$AG222,1,MATCH(AK$7,$F$7:$AG$7,1))</f>
        <v>10</v>
      </c>
      <c r="AL222" s="114" t="n">
        <f aca="false">INDEX($F222:$AG222,1,MATCH(AL$7,$F$7:$AG$7,1))</f>
        <v>75</v>
      </c>
      <c r="AM222" s="114" t="n">
        <f aca="false">INDEX($F222:$AG222,1,MATCH(AM$7,$F$7:$AG$7,1))</f>
        <v>75</v>
      </c>
      <c r="AN222" s="114" t="n">
        <f aca="false">INDEX($F222:$AG222,1,MATCH(AN$7,$F$7:$AG$7,1))</f>
        <v>75</v>
      </c>
      <c r="AO222" s="114" t="n">
        <f aca="false">INDEX($F222:$AG222,1,MATCH(AO$7,$F$7:$AG$7,1))</f>
        <v>75</v>
      </c>
    </row>
    <row r="223" customFormat="false" ht="15" hidden="false" customHeight="false" outlineLevel="0" collapsed="false">
      <c r="A223" s="112" t="s">
        <v>1860</v>
      </c>
      <c r="B223" s="24" t="s">
        <v>857</v>
      </c>
      <c r="C223" s="24" t="s">
        <v>672</v>
      </c>
      <c r="D223" s="24" t="s">
        <v>1679</v>
      </c>
      <c r="F223" s="114" t="n">
        <f aca="false">IF(CapV=2,N(F222),N(F221))</f>
        <v>0</v>
      </c>
      <c r="G223" s="114" t="n">
        <f aca="false">IF(CapV=2,N(G222),N(G221))</f>
        <v>0</v>
      </c>
      <c r="H223" s="114" t="n">
        <f aca="false">IF(CapV=2,N(H222),N(H221))</f>
        <v>0</v>
      </c>
      <c r="I223" s="114" t="n">
        <f aca="false">IF(CapV=2,N(I222),N(I221))</f>
        <v>0</v>
      </c>
      <c r="J223" s="114" t="n">
        <f aca="false">IF(CapV=2,N(J222),N(J221))</f>
        <v>0</v>
      </c>
      <c r="K223" s="114" t="n">
        <f aca="false">IF(CapV=2,N(K222),N(K221))</f>
        <v>0</v>
      </c>
      <c r="L223" s="114" t="n">
        <f aca="false">IF(CapV=2,N(L222),N(L221))</f>
        <v>0</v>
      </c>
      <c r="M223" s="114" t="n">
        <f aca="false">IF(CapV=2,N(M222),N(M221))</f>
        <v>0</v>
      </c>
      <c r="N223" s="114" t="n">
        <f aca="false">IF(CapV=2,N(N222),N(N221))</f>
        <v>0</v>
      </c>
      <c r="O223" s="114" t="n">
        <f aca="false">IF(CapV=2,N(O222),N(O221))</f>
        <v>0</v>
      </c>
      <c r="P223" s="114" t="n">
        <f aca="false">IF(CapV=2,N(P222),N(P221))</f>
        <v>5</v>
      </c>
      <c r="Q223" s="114" t="n">
        <f aca="false">IF(CapV=2,N(Q222),N(Q221))</f>
        <v>10</v>
      </c>
      <c r="R223" s="114" t="n">
        <f aca="false">IF(CapV=2,N(R222),N(R221))</f>
        <v>25</v>
      </c>
      <c r="S223" s="114" t="n">
        <f aca="false">IF(CapV=2,N(S222),N(S221))</f>
        <v>50</v>
      </c>
      <c r="T223" s="114" t="n">
        <f aca="false">IF(CapV=2,N(T222),N(T221))</f>
        <v>75</v>
      </c>
      <c r="U223" s="114" t="n">
        <f aca="false">IF(CapV=2,N(U222),N(U221))</f>
        <v>75</v>
      </c>
      <c r="V223" s="114" t="n">
        <f aca="false">IF(CapV=2,N(V222),N(V221))</f>
        <v>75</v>
      </c>
      <c r="W223" s="114" t="n">
        <f aca="false">IF(CapV=2,N(W222),N(W221))</f>
        <v>75</v>
      </c>
      <c r="X223" s="114" t="n">
        <f aca="false">IF(CapV=2,N(X222),N(X221))</f>
        <v>75</v>
      </c>
      <c r="Y223" s="114" t="n">
        <f aca="false">IF(CapV=2,N(Y222),N(Y221))</f>
        <v>75</v>
      </c>
      <c r="Z223" s="114" t="n">
        <f aca="false">IF(CapV=2,N(Z222),N(Z221))</f>
        <v>75</v>
      </c>
      <c r="AA223" s="114" t="n">
        <f aca="false">IF(CapV=2,N(AA222),N(AA221))</f>
        <v>75</v>
      </c>
      <c r="AB223" s="114" t="n">
        <f aca="false">IF(CapV=2,N(AB222),N(AB221))</f>
        <v>75</v>
      </c>
      <c r="AC223" s="114" t="n">
        <f aca="false">IF(CapV=2,N(AC222),N(AC221))</f>
        <v>75</v>
      </c>
      <c r="AD223" s="114" t="n">
        <f aca="false">IF(CapV=2,N(AD222),N(AD221))</f>
        <v>75</v>
      </c>
      <c r="AE223" s="114" t="n">
        <f aca="false">IF(CapV=2,N(AE222),N(AE221))</f>
        <v>75</v>
      </c>
      <c r="AF223" s="114" t="n">
        <f aca="false">IF(CapV=2,N(AF222),N(AF221))</f>
        <v>75</v>
      </c>
      <c r="AG223" s="114" t="n">
        <f aca="false">IF(CapV=2,N(AG222),N(AG221))</f>
        <v>75</v>
      </c>
      <c r="AI223" s="114" t="n">
        <f aca="false">INDEX($F223:$AG223,1,MATCH(AI$7,$F$7:$AG$7,1))</f>
        <v>0</v>
      </c>
      <c r="AJ223" s="114" t="n">
        <f aca="false">INDEX($F223:$AG223,1,MATCH(AJ$7,$F$7:$AG$7,1))</f>
        <v>0</v>
      </c>
      <c r="AK223" s="114" t="n">
        <f aca="false">INDEX($F223:$AG223,1,MATCH(AK$7,$F$7:$AG$7,1))</f>
        <v>10</v>
      </c>
      <c r="AL223" s="114" t="n">
        <f aca="false">INDEX($F223:$AG223,1,MATCH(AL$7,$F$7:$AG$7,1))</f>
        <v>75</v>
      </c>
      <c r="AM223" s="114" t="n">
        <f aca="false">INDEX($F223:$AG223,1,MATCH(AM$7,$F$7:$AG$7,1))</f>
        <v>75</v>
      </c>
      <c r="AN223" s="114" t="n">
        <f aca="false">INDEX($F223:$AG223,1,MATCH(AN$7,$F$7:$AG$7,1))</f>
        <v>75</v>
      </c>
      <c r="AO223" s="114" t="n">
        <f aca="false">INDEX($F223:$AG223,1,MATCH(AO$7,$F$7:$AG$7,1))</f>
        <v>75</v>
      </c>
    </row>
    <row r="224" customFormat="false" ht="15" hidden="false" customHeight="false" outlineLevel="0" collapsed="false">
      <c r="A224" s="112" t="s">
        <v>1861</v>
      </c>
      <c r="B224" s="24" t="s">
        <v>857</v>
      </c>
      <c r="C224" s="24" t="s">
        <v>690</v>
      </c>
      <c r="D224" s="24" t="s">
        <v>1849</v>
      </c>
      <c r="F224" s="115" t="n">
        <f aca="false">IF(F$5&gt;=12,Inputs!$D$220,0)</f>
        <v>0</v>
      </c>
      <c r="G224" s="115" t="n">
        <f aca="false">IF(G$5&gt;=12,Inputs!$D$220,0)</f>
        <v>0</v>
      </c>
      <c r="H224" s="115" t="n">
        <f aca="false">IF(H$5&gt;=12,Inputs!$D$220,0)</f>
        <v>0</v>
      </c>
      <c r="I224" s="115" t="n">
        <f aca="false">IF(I$5&gt;=12,Inputs!$D$220,0)</f>
        <v>0</v>
      </c>
      <c r="J224" s="115" t="n">
        <f aca="false">IF(J$5&gt;=12,Inputs!$D$220,0)</f>
        <v>0</v>
      </c>
      <c r="K224" s="115" t="n">
        <f aca="false">IF(K$5&gt;=12,Inputs!$D$220,0)</f>
        <v>0</v>
      </c>
      <c r="L224" s="115" t="n">
        <f aca="false">IF(L$5&gt;=12,Inputs!$D$220,0)</f>
        <v>0</v>
      </c>
      <c r="M224" s="115" t="n">
        <f aca="false">IF(M$5&gt;=12,Inputs!$D$220,0)</f>
        <v>0</v>
      </c>
      <c r="N224" s="115" t="n">
        <f aca="false">IF(N$5&gt;=12,Inputs!$D$220,0)</f>
        <v>0</v>
      </c>
      <c r="O224" s="115" t="n">
        <f aca="false">IF(O$5&gt;=12,Inputs!$D$220,0)</f>
        <v>0</v>
      </c>
      <c r="P224" s="115" t="n">
        <f aca="false">IF(P$5&gt;=12,Inputs!$D$220,0)</f>
        <v>0</v>
      </c>
      <c r="Q224" s="115" t="n">
        <f aca="false">IF(Q$5&gt;=12,Inputs!$D$220,0)</f>
        <v>0</v>
      </c>
      <c r="R224" s="115" t="n">
        <f aca="false">IF(R$5&gt;=12,Inputs!$D$220,0)</f>
        <v>0</v>
      </c>
      <c r="S224" s="115" t="n">
        <f aca="false">IF(S$5&gt;=12,Inputs!$D$220,0)</f>
        <v>0</v>
      </c>
      <c r="T224" s="115" t="n">
        <f aca="false">IF(T$5&gt;=12,Inputs!$D$220,0)</f>
        <v>0</v>
      </c>
      <c r="U224" s="115" t="n">
        <f aca="false">IF(U$5&gt;=12,Inputs!$D$220,0)</f>
        <v>0</v>
      </c>
      <c r="V224" s="115" t="n">
        <f aca="false">IF(V$5&gt;=12,Inputs!$D$220,0)</f>
        <v>0</v>
      </c>
      <c r="W224" s="115" t="n">
        <f aca="false">IF(W$5&gt;=12,Inputs!$D$220,0)</f>
        <v>0</v>
      </c>
      <c r="X224" s="115" t="n">
        <f aca="false">IF(X$5&gt;=12,Inputs!$D$220,0)</f>
        <v>0</v>
      </c>
      <c r="Y224" s="115" t="n">
        <f aca="false">IF(Y$5&gt;=12,Inputs!$D$220,0)</f>
        <v>0</v>
      </c>
      <c r="Z224" s="115" t="n">
        <f aca="false">IF(Z$5&gt;=12,Inputs!$D$220,0)</f>
        <v>0</v>
      </c>
      <c r="AA224" s="115" t="n">
        <f aca="false">IF(AA$5&gt;=12,Inputs!$D$220,0)</f>
        <v>0</v>
      </c>
      <c r="AB224" s="115" t="n">
        <f aca="false">IF(AB$5&gt;=12,Inputs!$D$220,0)</f>
        <v>0</v>
      </c>
      <c r="AC224" s="115" t="n">
        <f aca="false">IF(AC$5&gt;=12,Inputs!$D$220,0)</f>
        <v>0</v>
      </c>
      <c r="AD224" s="115" t="n">
        <f aca="false">IF(AD$5&gt;=12,Inputs!$D$220,0)</f>
        <v>0</v>
      </c>
      <c r="AE224" s="115" t="n">
        <f aca="false">IF(AE$5&gt;=12,Inputs!$D$220,0)</f>
        <v>0</v>
      </c>
      <c r="AF224" s="115" t="n">
        <f aca="false">IF(AF$5&gt;=12,Inputs!$D$220,0)</f>
        <v>0</v>
      </c>
      <c r="AG224" s="115" t="n">
        <f aca="false">IF(AG$5&gt;=12,Inputs!$D$220,0)</f>
        <v>0</v>
      </c>
      <c r="AI224" s="114" t="n">
        <f aca="false">INDEX($F224:$AG224,1,MATCH(AI$7,$F$7:$AG$7,1))</f>
        <v>0</v>
      </c>
      <c r="AJ224" s="114" t="n">
        <f aca="false">INDEX($F224:$AG224,1,MATCH(AJ$7,$F$7:$AG$7,1))</f>
        <v>0</v>
      </c>
      <c r="AK224" s="114" t="n">
        <f aca="false">INDEX($F224:$AG224,1,MATCH(AK$7,$F$7:$AG$7,1))</f>
        <v>0</v>
      </c>
      <c r="AL224" s="114" t="n">
        <f aca="false">INDEX($F224:$AG224,1,MATCH(AL$7,$F$7:$AG$7,1))</f>
        <v>0</v>
      </c>
      <c r="AM224" s="114" t="n">
        <f aca="false">INDEX($F224:$AG224,1,MATCH(AM$7,$F$7:$AG$7,1))</f>
        <v>0</v>
      </c>
      <c r="AN224" s="114" t="n">
        <f aca="false">INDEX($F224:$AG224,1,MATCH(AN$7,$F$7:$AG$7,1))</f>
        <v>0</v>
      </c>
      <c r="AO224" s="114" t="n">
        <f aca="false">INDEX($F224:$AG224,1,MATCH(AO$7,$F$7:$AG$7,1))</f>
        <v>0</v>
      </c>
    </row>
    <row r="225" customFormat="false" ht="15" hidden="false" customHeight="false" outlineLevel="0" collapsed="false">
      <c r="A225" s="112" t="s">
        <v>1862</v>
      </c>
      <c r="B225" s="24" t="s">
        <v>857</v>
      </c>
      <c r="C225" s="24" t="s">
        <v>690</v>
      </c>
      <c r="D225" s="24" t="s">
        <v>1677</v>
      </c>
      <c r="F225" s="113" t="n">
        <v>0</v>
      </c>
      <c r="G225" s="113" t="n">
        <v>0</v>
      </c>
      <c r="H225" s="113" t="n">
        <v>0</v>
      </c>
      <c r="I225" s="113" t="n">
        <v>0</v>
      </c>
      <c r="J225" s="113" t="n">
        <v>0</v>
      </c>
      <c r="K225" s="113" t="n">
        <v>0</v>
      </c>
      <c r="L225" s="113" t="n">
        <v>0</v>
      </c>
      <c r="M225" s="113" t="n">
        <v>0</v>
      </c>
      <c r="N225" s="113" t="n">
        <v>0</v>
      </c>
      <c r="O225" s="113" t="n">
        <v>10</v>
      </c>
      <c r="P225" s="113" t="n">
        <v>10</v>
      </c>
      <c r="Q225" s="113" t="n">
        <v>25</v>
      </c>
      <c r="R225" s="113" t="n">
        <v>50</v>
      </c>
      <c r="S225" s="113" t="n">
        <v>75</v>
      </c>
      <c r="T225" s="113" t="n">
        <v>100</v>
      </c>
      <c r="U225" s="113" t="n">
        <v>100</v>
      </c>
      <c r="V225" s="113" t="n">
        <v>100</v>
      </c>
      <c r="W225" s="113" t="n">
        <v>100</v>
      </c>
      <c r="X225" s="113" t="n">
        <v>100</v>
      </c>
      <c r="Y225" s="113" t="n">
        <v>100</v>
      </c>
      <c r="Z225" s="113" t="n">
        <v>100</v>
      </c>
      <c r="AA225" s="113" t="n">
        <v>100</v>
      </c>
      <c r="AB225" s="113" t="n">
        <v>100</v>
      </c>
      <c r="AC225" s="113" t="n">
        <v>100</v>
      </c>
      <c r="AD225" s="113" t="n">
        <v>100</v>
      </c>
      <c r="AE225" s="113" t="n">
        <v>100</v>
      </c>
      <c r="AF225" s="113" t="n">
        <v>100</v>
      </c>
      <c r="AG225" s="113" t="n">
        <v>100</v>
      </c>
      <c r="AI225" s="114" t="n">
        <f aca="false">INDEX($F225:$AG225,1,MATCH(AI$7,$F$7:$AG$7,1))</f>
        <v>0</v>
      </c>
      <c r="AJ225" s="114" t="n">
        <f aca="false">INDEX($F225:$AG225,1,MATCH(AJ$7,$F$7:$AG$7,1))</f>
        <v>0</v>
      </c>
      <c r="AK225" s="114" t="n">
        <f aca="false">INDEX($F225:$AG225,1,MATCH(AK$7,$F$7:$AG$7,1))</f>
        <v>25</v>
      </c>
      <c r="AL225" s="114" t="n">
        <f aca="false">INDEX($F225:$AG225,1,MATCH(AL$7,$F$7:$AG$7,1))</f>
        <v>100</v>
      </c>
      <c r="AM225" s="114" t="n">
        <f aca="false">INDEX($F225:$AG225,1,MATCH(AM$7,$F$7:$AG$7,1))</f>
        <v>100</v>
      </c>
      <c r="AN225" s="114" t="n">
        <f aca="false">INDEX($F225:$AG225,1,MATCH(AN$7,$F$7:$AG$7,1))</f>
        <v>100</v>
      </c>
      <c r="AO225" s="114" t="n">
        <f aca="false">INDEX($F225:$AG225,1,MATCH(AO$7,$F$7:$AG$7,1))</f>
        <v>100</v>
      </c>
    </row>
    <row r="226" customFormat="false" ht="15" hidden="false" customHeight="false" outlineLevel="0" collapsed="false">
      <c r="A226" s="112" t="s">
        <v>1863</v>
      </c>
      <c r="B226" s="24" t="s">
        <v>857</v>
      </c>
      <c r="C226" s="24" t="s">
        <v>672</v>
      </c>
      <c r="D226" s="24" t="s">
        <v>1679</v>
      </c>
      <c r="F226" s="114" t="n">
        <f aca="false">IF(CapV=2,N(F225),N(F224))</f>
        <v>0</v>
      </c>
      <c r="G226" s="114" t="n">
        <f aca="false">IF(CapV=2,N(G225),N(G224))</f>
        <v>0</v>
      </c>
      <c r="H226" s="114" t="n">
        <f aca="false">IF(CapV=2,N(H225),N(H224))</f>
        <v>0</v>
      </c>
      <c r="I226" s="114" t="n">
        <f aca="false">IF(CapV=2,N(I225),N(I224))</f>
        <v>0</v>
      </c>
      <c r="J226" s="114" t="n">
        <f aca="false">IF(CapV=2,N(J225),N(J224))</f>
        <v>0</v>
      </c>
      <c r="K226" s="114" t="n">
        <f aca="false">IF(CapV=2,N(K225),N(K224))</f>
        <v>0</v>
      </c>
      <c r="L226" s="114" t="n">
        <f aca="false">IF(CapV=2,N(L225),N(L224))</f>
        <v>0</v>
      </c>
      <c r="M226" s="114" t="n">
        <f aca="false">IF(CapV=2,N(M225),N(M224))</f>
        <v>0</v>
      </c>
      <c r="N226" s="114" t="n">
        <f aca="false">IF(CapV=2,N(N225),N(N224))</f>
        <v>0</v>
      </c>
      <c r="O226" s="114" t="n">
        <f aca="false">IF(CapV=2,N(O225),N(O224))</f>
        <v>10</v>
      </c>
      <c r="P226" s="114" t="n">
        <f aca="false">IF(CapV=2,N(P225),N(P224))</f>
        <v>10</v>
      </c>
      <c r="Q226" s="114" t="n">
        <f aca="false">IF(CapV=2,N(Q225),N(Q224))</f>
        <v>25</v>
      </c>
      <c r="R226" s="114" t="n">
        <f aca="false">IF(CapV=2,N(R225),N(R224))</f>
        <v>50</v>
      </c>
      <c r="S226" s="114" t="n">
        <f aca="false">IF(CapV=2,N(S225),N(S224))</f>
        <v>75</v>
      </c>
      <c r="T226" s="114" t="n">
        <f aca="false">IF(CapV=2,N(T225),N(T224))</f>
        <v>100</v>
      </c>
      <c r="U226" s="114" t="n">
        <f aca="false">IF(CapV=2,N(U225),N(U224))</f>
        <v>100</v>
      </c>
      <c r="V226" s="114" t="n">
        <f aca="false">IF(CapV=2,N(V225),N(V224))</f>
        <v>100</v>
      </c>
      <c r="W226" s="114" t="n">
        <f aca="false">IF(CapV=2,N(W225),N(W224))</f>
        <v>100</v>
      </c>
      <c r="X226" s="114" t="n">
        <f aca="false">IF(CapV=2,N(X225),N(X224))</f>
        <v>100</v>
      </c>
      <c r="Y226" s="114" t="n">
        <f aca="false">IF(CapV=2,N(Y225),N(Y224))</f>
        <v>100</v>
      </c>
      <c r="Z226" s="114" t="n">
        <f aca="false">IF(CapV=2,N(Z225),N(Z224))</f>
        <v>100</v>
      </c>
      <c r="AA226" s="114" t="n">
        <f aca="false">IF(CapV=2,N(AA225),N(AA224))</f>
        <v>100</v>
      </c>
      <c r="AB226" s="114" t="n">
        <f aca="false">IF(CapV=2,N(AB225),N(AB224))</f>
        <v>100</v>
      </c>
      <c r="AC226" s="114" t="n">
        <f aca="false">IF(CapV=2,N(AC225),N(AC224))</f>
        <v>100</v>
      </c>
      <c r="AD226" s="114" t="n">
        <f aca="false">IF(CapV=2,N(AD225),N(AD224))</f>
        <v>100</v>
      </c>
      <c r="AE226" s="114" t="n">
        <f aca="false">IF(CapV=2,N(AE225),N(AE224))</f>
        <v>100</v>
      </c>
      <c r="AF226" s="114" t="n">
        <f aca="false">IF(CapV=2,N(AF225),N(AF224))</f>
        <v>100</v>
      </c>
      <c r="AG226" s="114" t="n">
        <f aca="false">IF(CapV=2,N(AG225),N(AG224))</f>
        <v>100</v>
      </c>
      <c r="AI226" s="114" t="n">
        <f aca="false">INDEX($F226:$AG226,1,MATCH(AI$7,$F$7:$AG$7,1))</f>
        <v>0</v>
      </c>
      <c r="AJ226" s="114" t="n">
        <f aca="false">INDEX($F226:$AG226,1,MATCH(AJ$7,$F$7:$AG$7,1))</f>
        <v>0</v>
      </c>
      <c r="AK226" s="114" t="n">
        <f aca="false">INDEX($F226:$AG226,1,MATCH(AK$7,$F$7:$AG$7,1))</f>
        <v>25</v>
      </c>
      <c r="AL226" s="114" t="n">
        <f aca="false">INDEX($F226:$AG226,1,MATCH(AL$7,$F$7:$AG$7,1))</f>
        <v>100</v>
      </c>
      <c r="AM226" s="114" t="n">
        <f aca="false">INDEX($F226:$AG226,1,MATCH(AM$7,$F$7:$AG$7,1))</f>
        <v>100</v>
      </c>
      <c r="AN226" s="114" t="n">
        <f aca="false">INDEX($F226:$AG226,1,MATCH(AN$7,$F$7:$AG$7,1))</f>
        <v>100</v>
      </c>
      <c r="AO226" s="114" t="n">
        <f aca="false">INDEX($F226:$AG226,1,MATCH(AO$7,$F$7:$AG$7,1))</f>
        <v>100</v>
      </c>
    </row>
    <row r="227" customFormat="false" ht="15" hidden="false" customHeight="false" outlineLevel="0" collapsed="false">
      <c r="A227" s="112" t="s">
        <v>1864</v>
      </c>
      <c r="B227" s="24" t="s">
        <v>857</v>
      </c>
      <c r="C227" s="24" t="s">
        <v>690</v>
      </c>
      <c r="D227" s="24" t="s">
        <v>1849</v>
      </c>
      <c r="F227" s="115" t="n">
        <f aca="false">IF(F$5&gt;=12,Inputs!$C$220,0)</f>
        <v>0</v>
      </c>
      <c r="G227" s="115" t="n">
        <f aca="false">IF(G$5&gt;=12,Inputs!$C$220,0)</f>
        <v>0</v>
      </c>
      <c r="H227" s="115" t="n">
        <f aca="false">IF(H$5&gt;=12,Inputs!$C$220,0)</f>
        <v>0</v>
      </c>
      <c r="I227" s="115" t="n">
        <f aca="false">IF(I$5&gt;=12,Inputs!$C$220,0)</f>
        <v>0</v>
      </c>
      <c r="J227" s="115" t="n">
        <f aca="false">IF(J$5&gt;=12,Inputs!$C$220,0)</f>
        <v>0</v>
      </c>
      <c r="K227" s="115" t="n">
        <f aca="false">IF(K$5&gt;=12,Inputs!$C$220,0)</f>
        <v>0</v>
      </c>
      <c r="L227" s="115" t="n">
        <f aca="false">IF(L$5&gt;=12,Inputs!$C$220,0)</f>
        <v>0</v>
      </c>
      <c r="M227" s="115" t="n">
        <f aca="false">IF(M$5&gt;=12,Inputs!$C$220,0)</f>
        <v>0</v>
      </c>
      <c r="N227" s="115" t="n">
        <f aca="false">IF(N$5&gt;=12,Inputs!$C$220,0)</f>
        <v>0</v>
      </c>
      <c r="O227" s="115" t="n">
        <f aca="false">IF(O$5&gt;=12,Inputs!$C$220,0)</f>
        <v>0</v>
      </c>
      <c r="P227" s="115" t="n">
        <f aca="false">IF(P$5&gt;=12,Inputs!$C$220,0)</f>
        <v>0</v>
      </c>
      <c r="Q227" s="115" t="n">
        <f aca="false">IF(Q$5&gt;=12,Inputs!$C$220,0)</f>
        <v>0</v>
      </c>
      <c r="R227" s="115" t="n">
        <f aca="false">IF(R$5&gt;=12,Inputs!$C$220,0)</f>
        <v>0</v>
      </c>
      <c r="S227" s="115" t="n">
        <f aca="false">IF(S$5&gt;=12,Inputs!$C$220,0)</f>
        <v>0</v>
      </c>
      <c r="T227" s="115" t="n">
        <f aca="false">IF(T$5&gt;=12,Inputs!$C$220,0)</f>
        <v>0</v>
      </c>
      <c r="U227" s="115" t="n">
        <f aca="false">IF(U$5&gt;=12,Inputs!$C$220,0)</f>
        <v>0</v>
      </c>
      <c r="V227" s="115" t="n">
        <f aca="false">IF(V$5&gt;=12,Inputs!$C$220,0)</f>
        <v>0</v>
      </c>
      <c r="W227" s="115" t="n">
        <f aca="false">IF(W$5&gt;=12,Inputs!$C$220,0)</f>
        <v>0</v>
      </c>
      <c r="X227" s="115" t="n">
        <f aca="false">IF(X$5&gt;=12,Inputs!$C$220,0)</f>
        <v>0</v>
      </c>
      <c r="Y227" s="115" t="n">
        <f aca="false">IF(Y$5&gt;=12,Inputs!$C$220,0)</f>
        <v>0</v>
      </c>
      <c r="Z227" s="115" t="n">
        <f aca="false">IF(Z$5&gt;=12,Inputs!$C$220,0)</f>
        <v>0</v>
      </c>
      <c r="AA227" s="115" t="n">
        <f aca="false">IF(AA$5&gt;=12,Inputs!$C$220,0)</f>
        <v>0</v>
      </c>
      <c r="AB227" s="115" t="n">
        <f aca="false">IF(AB$5&gt;=12,Inputs!$C$220,0)</f>
        <v>0</v>
      </c>
      <c r="AC227" s="115" t="n">
        <f aca="false">IF(AC$5&gt;=12,Inputs!$C$220,0)</f>
        <v>0</v>
      </c>
      <c r="AD227" s="115" t="n">
        <f aca="false">IF(AD$5&gt;=12,Inputs!$C$220,0)</f>
        <v>0</v>
      </c>
      <c r="AE227" s="115" t="n">
        <f aca="false">IF(AE$5&gt;=12,Inputs!$C$220,0)</f>
        <v>0</v>
      </c>
      <c r="AF227" s="115" t="n">
        <f aca="false">IF(AF$5&gt;=12,Inputs!$C$220,0)</f>
        <v>0</v>
      </c>
      <c r="AG227" s="115" t="n">
        <f aca="false">IF(AG$5&gt;=12,Inputs!$C$220,0)</f>
        <v>0</v>
      </c>
      <c r="AI227" s="114" t="n">
        <f aca="false">INDEX($F227:$AG227,1,MATCH(AI$7,$F$7:$AG$7,1))</f>
        <v>0</v>
      </c>
      <c r="AJ227" s="114" t="n">
        <f aca="false">INDEX($F227:$AG227,1,MATCH(AJ$7,$F$7:$AG$7,1))</f>
        <v>0</v>
      </c>
      <c r="AK227" s="114" t="n">
        <f aca="false">INDEX($F227:$AG227,1,MATCH(AK$7,$F$7:$AG$7,1))</f>
        <v>0</v>
      </c>
      <c r="AL227" s="114" t="n">
        <f aca="false">INDEX($F227:$AG227,1,MATCH(AL$7,$F$7:$AG$7,1))</f>
        <v>0</v>
      </c>
      <c r="AM227" s="114" t="n">
        <f aca="false">INDEX($F227:$AG227,1,MATCH(AM$7,$F$7:$AG$7,1))</f>
        <v>0</v>
      </c>
      <c r="AN227" s="114" t="n">
        <f aca="false">INDEX($F227:$AG227,1,MATCH(AN$7,$F$7:$AG$7,1))</f>
        <v>0</v>
      </c>
      <c r="AO227" s="114" t="n">
        <f aca="false">INDEX($F227:$AG227,1,MATCH(AO$7,$F$7:$AG$7,1))</f>
        <v>0</v>
      </c>
    </row>
    <row r="228" customFormat="false" ht="15" hidden="false" customHeight="false" outlineLevel="0" collapsed="false">
      <c r="A228" s="112" t="s">
        <v>1865</v>
      </c>
      <c r="B228" s="24" t="s">
        <v>857</v>
      </c>
      <c r="C228" s="24" t="s">
        <v>690</v>
      </c>
      <c r="D228" s="24" t="s">
        <v>1677</v>
      </c>
      <c r="F228" s="113" t="n">
        <v>0</v>
      </c>
      <c r="G228" s="113" t="n">
        <v>0</v>
      </c>
      <c r="H228" s="113" t="n">
        <v>0</v>
      </c>
      <c r="I228" s="113" t="n">
        <v>0</v>
      </c>
      <c r="J228" s="113" t="n">
        <v>0</v>
      </c>
      <c r="K228" s="113" t="n">
        <v>0</v>
      </c>
      <c r="L228" s="113" t="n">
        <v>0</v>
      </c>
      <c r="M228" s="113" t="n">
        <v>0</v>
      </c>
      <c r="N228" s="113" t="n">
        <v>0</v>
      </c>
      <c r="O228" s="113" t="n">
        <v>20</v>
      </c>
      <c r="P228" s="113" t="n">
        <v>15</v>
      </c>
      <c r="Q228" s="113" t="n">
        <v>40</v>
      </c>
      <c r="R228" s="113" t="n">
        <v>75</v>
      </c>
      <c r="S228" s="113" t="n">
        <v>100</v>
      </c>
      <c r="T228" s="113" t="n">
        <v>125</v>
      </c>
      <c r="U228" s="113" t="n">
        <v>125</v>
      </c>
      <c r="V228" s="113" t="n">
        <v>125</v>
      </c>
      <c r="W228" s="113" t="n">
        <v>125</v>
      </c>
      <c r="X228" s="113" t="n">
        <v>125</v>
      </c>
      <c r="Y228" s="113" t="n">
        <v>125</v>
      </c>
      <c r="Z228" s="113" t="n">
        <v>125</v>
      </c>
      <c r="AA228" s="113" t="n">
        <v>125</v>
      </c>
      <c r="AB228" s="113" t="n">
        <v>125</v>
      </c>
      <c r="AC228" s="113" t="n">
        <v>125</v>
      </c>
      <c r="AD228" s="113" t="n">
        <v>125</v>
      </c>
      <c r="AE228" s="113" t="n">
        <v>125</v>
      </c>
      <c r="AF228" s="113" t="n">
        <v>125</v>
      </c>
      <c r="AG228" s="113" t="n">
        <v>125</v>
      </c>
      <c r="AI228" s="114" t="n">
        <f aca="false">INDEX($F228:$AG228,1,MATCH(AI$7,$F$7:$AG$7,1))</f>
        <v>0</v>
      </c>
      <c r="AJ228" s="114" t="n">
        <f aca="false">INDEX($F228:$AG228,1,MATCH(AJ$7,$F$7:$AG$7,1))</f>
        <v>0</v>
      </c>
      <c r="AK228" s="114" t="n">
        <f aca="false">INDEX($F228:$AG228,1,MATCH(AK$7,$F$7:$AG$7,1))</f>
        <v>40</v>
      </c>
      <c r="AL228" s="114" t="n">
        <f aca="false">INDEX($F228:$AG228,1,MATCH(AL$7,$F$7:$AG$7,1))</f>
        <v>125</v>
      </c>
      <c r="AM228" s="114" t="n">
        <f aca="false">INDEX($F228:$AG228,1,MATCH(AM$7,$F$7:$AG$7,1))</f>
        <v>125</v>
      </c>
      <c r="AN228" s="114" t="n">
        <f aca="false">INDEX($F228:$AG228,1,MATCH(AN$7,$F$7:$AG$7,1))</f>
        <v>125</v>
      </c>
      <c r="AO228" s="114" t="n">
        <f aca="false">INDEX($F228:$AG228,1,MATCH(AO$7,$F$7:$AG$7,1))</f>
        <v>125</v>
      </c>
    </row>
    <row r="229" customFormat="false" ht="15" hidden="false" customHeight="false" outlineLevel="0" collapsed="false">
      <c r="A229" s="112" t="s">
        <v>1866</v>
      </c>
      <c r="B229" s="24" t="s">
        <v>857</v>
      </c>
      <c r="C229" s="24" t="s">
        <v>672</v>
      </c>
      <c r="D229" s="24" t="s">
        <v>1679</v>
      </c>
      <c r="F229" s="114" t="n">
        <f aca="false">IF(CapV=2,N(F228),N(F227))</f>
        <v>0</v>
      </c>
      <c r="G229" s="114" t="n">
        <f aca="false">IF(CapV=2,N(G228),N(G227))</f>
        <v>0</v>
      </c>
      <c r="H229" s="114" t="n">
        <f aca="false">IF(CapV=2,N(H228),N(H227))</f>
        <v>0</v>
      </c>
      <c r="I229" s="114" t="n">
        <f aca="false">IF(CapV=2,N(I228),N(I227))</f>
        <v>0</v>
      </c>
      <c r="J229" s="114" t="n">
        <f aca="false">IF(CapV=2,N(J228),N(J227))</f>
        <v>0</v>
      </c>
      <c r="K229" s="114" t="n">
        <f aca="false">IF(CapV=2,N(K228),N(K227))</f>
        <v>0</v>
      </c>
      <c r="L229" s="114" t="n">
        <f aca="false">IF(CapV=2,N(L228),N(L227))</f>
        <v>0</v>
      </c>
      <c r="M229" s="114" t="n">
        <f aca="false">IF(CapV=2,N(M228),N(M227))</f>
        <v>0</v>
      </c>
      <c r="N229" s="114" t="n">
        <f aca="false">IF(CapV=2,N(N228),N(N227))</f>
        <v>0</v>
      </c>
      <c r="O229" s="114" t="n">
        <f aca="false">IF(CapV=2,N(O228),N(O227))</f>
        <v>20</v>
      </c>
      <c r="P229" s="114" t="n">
        <f aca="false">IF(CapV=2,N(P228),N(P227))</f>
        <v>15</v>
      </c>
      <c r="Q229" s="114" t="n">
        <f aca="false">IF(CapV=2,N(Q228),N(Q227))</f>
        <v>40</v>
      </c>
      <c r="R229" s="114" t="n">
        <f aca="false">IF(CapV=2,N(R228),N(R227))</f>
        <v>75</v>
      </c>
      <c r="S229" s="114" t="n">
        <f aca="false">IF(CapV=2,N(S228),N(S227))</f>
        <v>100</v>
      </c>
      <c r="T229" s="114" t="n">
        <f aca="false">IF(CapV=2,N(T228),N(T227))</f>
        <v>125</v>
      </c>
      <c r="U229" s="114" t="n">
        <f aca="false">IF(CapV=2,N(U228),N(U227))</f>
        <v>125</v>
      </c>
      <c r="V229" s="114" t="n">
        <f aca="false">IF(CapV=2,N(V228),N(V227))</f>
        <v>125</v>
      </c>
      <c r="W229" s="114" t="n">
        <f aca="false">IF(CapV=2,N(W228),N(W227))</f>
        <v>125</v>
      </c>
      <c r="X229" s="114" t="n">
        <f aca="false">IF(CapV=2,N(X228),N(X227))</f>
        <v>125</v>
      </c>
      <c r="Y229" s="114" t="n">
        <f aca="false">IF(CapV=2,N(Y228),N(Y227))</f>
        <v>125</v>
      </c>
      <c r="Z229" s="114" t="n">
        <f aca="false">IF(CapV=2,N(Z228),N(Z227))</f>
        <v>125</v>
      </c>
      <c r="AA229" s="114" t="n">
        <f aca="false">IF(CapV=2,N(AA228),N(AA227))</f>
        <v>125</v>
      </c>
      <c r="AB229" s="114" t="n">
        <f aca="false">IF(CapV=2,N(AB228),N(AB227))</f>
        <v>125</v>
      </c>
      <c r="AC229" s="114" t="n">
        <f aca="false">IF(CapV=2,N(AC228),N(AC227))</f>
        <v>125</v>
      </c>
      <c r="AD229" s="114" t="n">
        <f aca="false">IF(CapV=2,N(AD228),N(AD227))</f>
        <v>125</v>
      </c>
      <c r="AE229" s="114" t="n">
        <f aca="false">IF(CapV=2,N(AE228),N(AE227))</f>
        <v>125</v>
      </c>
      <c r="AF229" s="114" t="n">
        <f aca="false">IF(CapV=2,N(AF228),N(AF227))</f>
        <v>125</v>
      </c>
      <c r="AG229" s="114" t="n">
        <f aca="false">IF(CapV=2,N(AG228),N(AG227))</f>
        <v>125</v>
      </c>
      <c r="AI229" s="114" t="n">
        <f aca="false">INDEX($F229:$AG229,1,MATCH(AI$7,$F$7:$AG$7,1))</f>
        <v>0</v>
      </c>
      <c r="AJ229" s="114" t="n">
        <f aca="false">INDEX($F229:$AG229,1,MATCH(AJ$7,$F$7:$AG$7,1))</f>
        <v>0</v>
      </c>
      <c r="AK229" s="114" t="n">
        <f aca="false">INDEX($F229:$AG229,1,MATCH(AK$7,$F$7:$AG$7,1))</f>
        <v>40</v>
      </c>
      <c r="AL229" s="114" t="n">
        <f aca="false">INDEX($F229:$AG229,1,MATCH(AL$7,$F$7:$AG$7,1))</f>
        <v>125</v>
      </c>
      <c r="AM229" s="114" t="n">
        <f aca="false">INDEX($F229:$AG229,1,MATCH(AM$7,$F$7:$AG$7,1))</f>
        <v>125</v>
      </c>
      <c r="AN229" s="114" t="n">
        <f aca="false">INDEX($F229:$AG229,1,MATCH(AN$7,$F$7:$AG$7,1))</f>
        <v>125</v>
      </c>
      <c r="AO229" s="114" t="n">
        <f aca="false">INDEX($F229:$AG229,1,MATCH(AO$7,$F$7:$AG$7,1))</f>
        <v>125</v>
      </c>
    </row>
    <row r="230" customFormat="false" ht="15" hidden="false" customHeight="false" outlineLevel="0" collapsed="false">
      <c r="A230" s="112" t="s">
        <v>1867</v>
      </c>
      <c r="B230" s="24" t="s">
        <v>857</v>
      </c>
      <c r="C230" s="24" t="s">
        <v>690</v>
      </c>
      <c r="D230" s="24" t="s">
        <v>1675</v>
      </c>
      <c r="AI230" s="114" t="n">
        <f aca="false">INDEX($F230:$AG230,1,MATCH(AI$7,$F$7:$AG$7,1))</f>
        <v>0</v>
      </c>
      <c r="AJ230" s="114" t="n">
        <f aca="false">INDEX($F230:$AG230,1,MATCH(AJ$7,$F$7:$AG$7,1))</f>
        <v>0</v>
      </c>
      <c r="AK230" s="114" t="n">
        <f aca="false">INDEX($F230:$AG230,1,MATCH(AK$7,$F$7:$AG$7,1))</f>
        <v>0</v>
      </c>
      <c r="AL230" s="114" t="n">
        <f aca="false">INDEX($F230:$AG230,1,MATCH(AL$7,$F$7:$AG$7,1))</f>
        <v>0</v>
      </c>
      <c r="AM230" s="114" t="n">
        <f aca="false">INDEX($F230:$AG230,1,MATCH(AM$7,$F$7:$AG$7,1))</f>
        <v>0</v>
      </c>
      <c r="AN230" s="114" t="n">
        <f aca="false">INDEX($F230:$AG230,1,MATCH(AN$7,$F$7:$AG$7,1))</f>
        <v>0</v>
      </c>
      <c r="AO230" s="114" t="n">
        <f aca="false">INDEX($F230:$AG230,1,MATCH(AO$7,$F$7:$AG$7,1))</f>
        <v>0</v>
      </c>
    </row>
    <row r="231" customFormat="false" ht="15" hidden="false" customHeight="false" outlineLevel="0" collapsed="false">
      <c r="A231" s="112" t="s">
        <v>1868</v>
      </c>
      <c r="B231" s="24" t="s">
        <v>857</v>
      </c>
      <c r="C231" s="24" t="s">
        <v>690</v>
      </c>
      <c r="D231" s="24" t="s">
        <v>1675</v>
      </c>
      <c r="AI231" s="114" t="n">
        <f aca="false">INDEX($F231:$AG231,1,MATCH(AI$7,$F$7:$AG$7,1))</f>
        <v>0</v>
      </c>
      <c r="AJ231" s="114" t="n">
        <f aca="false">INDEX($F231:$AG231,1,MATCH(AJ$7,$F$7:$AG$7,1))</f>
        <v>0</v>
      </c>
      <c r="AK231" s="114" t="n">
        <f aca="false">INDEX($F231:$AG231,1,MATCH(AK$7,$F$7:$AG$7,1))</f>
        <v>0</v>
      </c>
      <c r="AL231" s="114" t="n">
        <f aca="false">INDEX($F231:$AG231,1,MATCH(AL$7,$F$7:$AG$7,1))</f>
        <v>0</v>
      </c>
      <c r="AM231" s="114" t="n">
        <f aca="false">INDEX($F231:$AG231,1,MATCH(AM$7,$F$7:$AG$7,1))</f>
        <v>0</v>
      </c>
      <c r="AN231" s="114" t="n">
        <f aca="false">INDEX($F231:$AG231,1,MATCH(AN$7,$F$7:$AG$7,1))</f>
        <v>0</v>
      </c>
      <c r="AO231" s="114" t="n">
        <f aca="false">INDEX($F231:$AG231,1,MATCH(AO$7,$F$7:$AG$7,1))</f>
        <v>0</v>
      </c>
    </row>
    <row r="232" customFormat="false" ht="15" hidden="false" customHeight="false" outlineLevel="0" collapsed="false">
      <c r="A232" s="112" t="s">
        <v>1869</v>
      </c>
      <c r="B232" s="24" t="s">
        <v>857</v>
      </c>
      <c r="C232" s="24" t="s">
        <v>690</v>
      </c>
      <c r="D232" s="24" t="s">
        <v>1675</v>
      </c>
      <c r="AI232" s="114" t="n">
        <f aca="false">INDEX($F232:$AG232,1,MATCH(AI$7,$F$7:$AG$7,1))</f>
        <v>0</v>
      </c>
      <c r="AJ232" s="114" t="n">
        <f aca="false">INDEX($F232:$AG232,1,MATCH(AJ$7,$F$7:$AG$7,1))</f>
        <v>0</v>
      </c>
      <c r="AK232" s="114" t="n">
        <f aca="false">INDEX($F232:$AG232,1,MATCH(AK$7,$F$7:$AG$7,1))</f>
        <v>0</v>
      </c>
      <c r="AL232" s="114" t="n">
        <f aca="false">INDEX($F232:$AG232,1,MATCH(AL$7,$F$7:$AG$7,1))</f>
        <v>0</v>
      </c>
      <c r="AM232" s="114" t="n">
        <f aca="false">INDEX($F232:$AG232,1,MATCH(AM$7,$F$7:$AG$7,1))</f>
        <v>0</v>
      </c>
      <c r="AN232" s="114" t="n">
        <f aca="false">INDEX($F232:$AG232,1,MATCH(AN$7,$F$7:$AG$7,1))</f>
        <v>0</v>
      </c>
      <c r="AO232" s="114" t="n">
        <f aca="false">INDEX($F232:$AG232,1,MATCH(AO$7,$F$7:$AG$7,1))</f>
        <v>0</v>
      </c>
    </row>
    <row r="233" customFormat="false" ht="15" hidden="false" customHeight="false" outlineLevel="0" collapsed="false">
      <c r="A233" s="112" t="s">
        <v>1870</v>
      </c>
      <c r="B233" s="24" t="s">
        <v>857</v>
      </c>
      <c r="C233" s="24" t="s">
        <v>690</v>
      </c>
      <c r="D233" s="24" t="s">
        <v>1675</v>
      </c>
      <c r="F233" s="113" t="n">
        <v>0</v>
      </c>
      <c r="G233" s="113" t="n">
        <v>0</v>
      </c>
      <c r="H233" s="113" t="n">
        <v>0</v>
      </c>
      <c r="I233" s="113" t="n">
        <v>0</v>
      </c>
      <c r="J233" s="113" t="n">
        <v>0</v>
      </c>
      <c r="K233" s="113" t="n">
        <v>0</v>
      </c>
      <c r="L233" s="113" t="n">
        <v>0</v>
      </c>
      <c r="M233" s="113" t="n">
        <v>0</v>
      </c>
      <c r="N233" s="113" t="n">
        <v>0</v>
      </c>
      <c r="O233" s="113" t="n">
        <v>0</v>
      </c>
      <c r="P233" s="113" t="n">
        <v>0</v>
      </c>
      <c r="Q233" s="113" t="n">
        <v>0</v>
      </c>
      <c r="R233" s="113" t="n">
        <v>0</v>
      </c>
      <c r="S233" s="113" t="n">
        <v>0</v>
      </c>
      <c r="T233" s="113" t="n">
        <v>0</v>
      </c>
      <c r="U233" s="113" t="n">
        <v>0</v>
      </c>
      <c r="V233" s="113" t="n">
        <v>25</v>
      </c>
      <c r="W233" s="113" t="n">
        <v>25</v>
      </c>
      <c r="X233" s="113" t="n">
        <v>50</v>
      </c>
      <c r="Y233" s="113" t="n">
        <v>50</v>
      </c>
      <c r="Z233" s="113" t="n">
        <v>50</v>
      </c>
      <c r="AA233" s="113" t="n">
        <v>50</v>
      </c>
      <c r="AB233" s="113" t="n">
        <v>50</v>
      </c>
      <c r="AC233" s="113" t="n">
        <v>50</v>
      </c>
      <c r="AD233" s="113" t="n">
        <v>50</v>
      </c>
      <c r="AE233" s="113" t="n">
        <v>50</v>
      </c>
      <c r="AF233" s="113" t="n">
        <v>50</v>
      </c>
      <c r="AG233" s="113" t="n">
        <v>50</v>
      </c>
      <c r="AI233" s="114" t="n">
        <f aca="false">INDEX($F233:$AG233,1,MATCH(AI$7,$F$7:$AG$7,1))</f>
        <v>0</v>
      </c>
      <c r="AJ233" s="114" t="n">
        <f aca="false">INDEX($F233:$AG233,1,MATCH(AJ$7,$F$7:$AG$7,1))</f>
        <v>0</v>
      </c>
      <c r="AK233" s="114" t="n">
        <f aca="false">INDEX($F233:$AG233,1,MATCH(AK$7,$F$7:$AG$7,1))</f>
        <v>0</v>
      </c>
      <c r="AL233" s="114" t="n">
        <f aca="false">INDEX($F233:$AG233,1,MATCH(AL$7,$F$7:$AG$7,1))</f>
        <v>0</v>
      </c>
      <c r="AM233" s="114" t="n">
        <f aca="false">INDEX($F233:$AG233,1,MATCH(AM$7,$F$7:$AG$7,1))</f>
        <v>50</v>
      </c>
      <c r="AN233" s="114" t="n">
        <f aca="false">INDEX($F233:$AG233,1,MATCH(AN$7,$F$7:$AG$7,1))</f>
        <v>50</v>
      </c>
      <c r="AO233" s="114" t="n">
        <f aca="false">INDEX($F233:$AG233,1,MATCH(AO$7,$F$7:$AG$7,1))</f>
        <v>50</v>
      </c>
    </row>
    <row r="234" customFormat="false" ht="15" hidden="false" customHeight="false" outlineLevel="0" collapsed="false">
      <c r="A234" s="112" t="s">
        <v>1871</v>
      </c>
      <c r="B234" s="24" t="s">
        <v>857</v>
      </c>
      <c r="C234" s="24" t="s">
        <v>690</v>
      </c>
      <c r="D234" s="24" t="s">
        <v>1677</v>
      </c>
      <c r="F234" s="113" t="n">
        <v>0</v>
      </c>
      <c r="G234" s="113" t="n">
        <v>0</v>
      </c>
      <c r="H234" s="113" t="n">
        <v>0</v>
      </c>
      <c r="I234" s="113" t="n">
        <v>0</v>
      </c>
      <c r="J234" s="113" t="n">
        <v>0</v>
      </c>
      <c r="K234" s="113" t="n">
        <v>0</v>
      </c>
      <c r="L234" s="113" t="n">
        <v>0</v>
      </c>
      <c r="M234" s="113" t="n">
        <v>0</v>
      </c>
      <c r="N234" s="113" t="n">
        <v>0</v>
      </c>
      <c r="O234" s="113" t="n">
        <v>0</v>
      </c>
      <c r="P234" s="113" t="n">
        <v>0</v>
      </c>
      <c r="Q234" s="113" t="n">
        <v>0</v>
      </c>
      <c r="R234" s="113" t="n">
        <v>0</v>
      </c>
      <c r="S234" s="113" t="n">
        <v>0</v>
      </c>
      <c r="T234" s="113" t="n">
        <v>0</v>
      </c>
      <c r="U234" s="113" t="n">
        <v>0</v>
      </c>
      <c r="V234" s="113" t="n">
        <v>25</v>
      </c>
      <c r="W234" s="113" t="n">
        <v>25</v>
      </c>
      <c r="X234" s="113" t="n">
        <v>50</v>
      </c>
      <c r="Y234" s="113" t="n">
        <v>50</v>
      </c>
      <c r="Z234" s="113" t="n">
        <v>50</v>
      </c>
      <c r="AA234" s="113" t="n">
        <v>50</v>
      </c>
      <c r="AB234" s="113" t="n">
        <v>50</v>
      </c>
      <c r="AC234" s="113" t="n">
        <v>50</v>
      </c>
      <c r="AD234" s="113" t="n">
        <v>50</v>
      </c>
      <c r="AE234" s="113" t="n">
        <v>50</v>
      </c>
      <c r="AF234" s="113" t="n">
        <v>50</v>
      </c>
      <c r="AG234" s="113" t="n">
        <v>50</v>
      </c>
      <c r="AI234" s="114" t="n">
        <f aca="false">INDEX($F234:$AG234,1,MATCH(AI$7,$F$7:$AG$7,1))</f>
        <v>0</v>
      </c>
      <c r="AJ234" s="114" t="n">
        <f aca="false">INDEX($F234:$AG234,1,MATCH(AJ$7,$F$7:$AG$7,1))</f>
        <v>0</v>
      </c>
      <c r="AK234" s="114" t="n">
        <f aca="false">INDEX($F234:$AG234,1,MATCH(AK$7,$F$7:$AG$7,1))</f>
        <v>0</v>
      </c>
      <c r="AL234" s="114" t="n">
        <f aca="false">INDEX($F234:$AG234,1,MATCH(AL$7,$F$7:$AG$7,1))</f>
        <v>0</v>
      </c>
      <c r="AM234" s="114" t="n">
        <f aca="false">INDEX($F234:$AG234,1,MATCH(AM$7,$F$7:$AG$7,1))</f>
        <v>50</v>
      </c>
      <c r="AN234" s="114" t="n">
        <f aca="false">INDEX($F234:$AG234,1,MATCH(AN$7,$F$7:$AG$7,1))</f>
        <v>50</v>
      </c>
      <c r="AO234" s="114" t="n">
        <f aca="false">INDEX($F234:$AG234,1,MATCH(AO$7,$F$7:$AG$7,1))</f>
        <v>50</v>
      </c>
    </row>
    <row r="235" customFormat="false" ht="15" hidden="false" customHeight="false" outlineLevel="0" collapsed="false">
      <c r="A235" s="112" t="s">
        <v>1872</v>
      </c>
      <c r="B235" s="24" t="s">
        <v>857</v>
      </c>
      <c r="C235" s="24" t="s">
        <v>672</v>
      </c>
      <c r="D235" s="24" t="s">
        <v>1679</v>
      </c>
      <c r="F235" s="114" t="n">
        <f aca="false">IF(CapV=2,N(F234),N(F233))</f>
        <v>0</v>
      </c>
      <c r="G235" s="114" t="n">
        <f aca="false">IF(CapV=2,N(G234),N(G233))</f>
        <v>0</v>
      </c>
      <c r="H235" s="114" t="n">
        <f aca="false">IF(CapV=2,N(H234),N(H233))</f>
        <v>0</v>
      </c>
      <c r="I235" s="114" t="n">
        <f aca="false">IF(CapV=2,N(I234),N(I233))</f>
        <v>0</v>
      </c>
      <c r="J235" s="114" t="n">
        <f aca="false">IF(CapV=2,N(J234),N(J233))</f>
        <v>0</v>
      </c>
      <c r="K235" s="114" t="n">
        <f aca="false">IF(CapV=2,N(K234),N(K233))</f>
        <v>0</v>
      </c>
      <c r="L235" s="114" t="n">
        <f aca="false">IF(CapV=2,N(L234),N(L233))</f>
        <v>0</v>
      </c>
      <c r="M235" s="114" t="n">
        <f aca="false">IF(CapV=2,N(M234),N(M233))</f>
        <v>0</v>
      </c>
      <c r="N235" s="114" t="n">
        <f aca="false">IF(CapV=2,N(N234),N(N233))</f>
        <v>0</v>
      </c>
      <c r="O235" s="114" t="n">
        <f aca="false">IF(CapV=2,N(O234),N(O233))</f>
        <v>0</v>
      </c>
      <c r="P235" s="114" t="n">
        <f aca="false">IF(CapV=2,N(P234),N(P233))</f>
        <v>0</v>
      </c>
      <c r="Q235" s="114" t="n">
        <f aca="false">IF(CapV=2,N(Q234),N(Q233))</f>
        <v>0</v>
      </c>
      <c r="R235" s="114" t="n">
        <f aca="false">IF(CapV=2,N(R234),N(R233))</f>
        <v>0</v>
      </c>
      <c r="S235" s="114" t="n">
        <f aca="false">IF(CapV=2,N(S234),N(S233))</f>
        <v>0</v>
      </c>
      <c r="T235" s="114" t="n">
        <f aca="false">IF(CapV=2,N(T234),N(T233))</f>
        <v>0</v>
      </c>
      <c r="U235" s="114" t="n">
        <f aca="false">IF(CapV=2,N(U234),N(U233))</f>
        <v>0</v>
      </c>
      <c r="V235" s="114" t="n">
        <f aca="false">IF(CapV=2,N(V234),N(V233))</f>
        <v>25</v>
      </c>
      <c r="W235" s="114" t="n">
        <f aca="false">IF(CapV=2,N(W234),N(W233))</f>
        <v>25</v>
      </c>
      <c r="X235" s="114" t="n">
        <f aca="false">IF(CapV=2,N(X234),N(X233))</f>
        <v>50</v>
      </c>
      <c r="Y235" s="114" t="n">
        <f aca="false">IF(CapV=2,N(Y234),N(Y233))</f>
        <v>50</v>
      </c>
      <c r="Z235" s="114" t="n">
        <f aca="false">IF(CapV=2,N(Z234),N(Z233))</f>
        <v>50</v>
      </c>
      <c r="AA235" s="114" t="n">
        <f aca="false">IF(CapV=2,N(AA234),N(AA233))</f>
        <v>50</v>
      </c>
      <c r="AB235" s="114" t="n">
        <f aca="false">IF(CapV=2,N(AB234),N(AB233))</f>
        <v>50</v>
      </c>
      <c r="AC235" s="114" t="n">
        <f aca="false">IF(CapV=2,N(AC234),N(AC233))</f>
        <v>50</v>
      </c>
      <c r="AD235" s="114" t="n">
        <f aca="false">IF(CapV=2,N(AD234),N(AD233))</f>
        <v>50</v>
      </c>
      <c r="AE235" s="114" t="n">
        <f aca="false">IF(CapV=2,N(AE234),N(AE233))</f>
        <v>50</v>
      </c>
      <c r="AF235" s="114" t="n">
        <f aca="false">IF(CapV=2,N(AF234),N(AF233))</f>
        <v>50</v>
      </c>
      <c r="AG235" s="114" t="n">
        <f aca="false">IF(CapV=2,N(AG234),N(AG233))</f>
        <v>50</v>
      </c>
      <c r="AI235" s="114" t="n">
        <f aca="false">INDEX($F235:$AG235,1,MATCH(AI$7,$F$7:$AG$7,1))</f>
        <v>0</v>
      </c>
      <c r="AJ235" s="114" t="n">
        <f aca="false">INDEX($F235:$AG235,1,MATCH(AJ$7,$F$7:$AG$7,1))</f>
        <v>0</v>
      </c>
      <c r="AK235" s="114" t="n">
        <f aca="false">INDEX($F235:$AG235,1,MATCH(AK$7,$F$7:$AG$7,1))</f>
        <v>0</v>
      </c>
      <c r="AL235" s="114" t="n">
        <f aca="false">INDEX($F235:$AG235,1,MATCH(AL$7,$F$7:$AG$7,1))</f>
        <v>0</v>
      </c>
      <c r="AM235" s="114" t="n">
        <f aca="false">INDEX($F235:$AG235,1,MATCH(AM$7,$F$7:$AG$7,1))</f>
        <v>50</v>
      </c>
      <c r="AN235" s="114" t="n">
        <f aca="false">INDEX($F235:$AG235,1,MATCH(AN$7,$F$7:$AG$7,1))</f>
        <v>50</v>
      </c>
      <c r="AO235" s="114" t="n">
        <f aca="false">INDEX($F235:$AG235,1,MATCH(AO$7,$F$7:$AG$7,1))</f>
        <v>50</v>
      </c>
    </row>
    <row r="236" customFormat="false" ht="15" hidden="false" customHeight="false" outlineLevel="0" collapsed="false">
      <c r="A236" s="112" t="s">
        <v>1873</v>
      </c>
      <c r="B236" s="24" t="s">
        <v>857</v>
      </c>
      <c r="C236" s="24" t="s">
        <v>690</v>
      </c>
      <c r="D236" s="24" t="s">
        <v>1675</v>
      </c>
      <c r="F236" s="113" t="n">
        <v>0</v>
      </c>
      <c r="G236" s="113" t="n">
        <v>0</v>
      </c>
      <c r="H236" s="113" t="n">
        <v>0</v>
      </c>
      <c r="I236" s="113" t="n">
        <v>0</v>
      </c>
      <c r="J236" s="113" t="n">
        <v>0</v>
      </c>
      <c r="K236" s="113" t="n">
        <v>0</v>
      </c>
      <c r="L236" s="113" t="n">
        <v>0</v>
      </c>
      <c r="M236" s="113" t="n">
        <v>0</v>
      </c>
      <c r="N236" s="113" t="n">
        <v>0</v>
      </c>
      <c r="O236" s="113" t="n">
        <v>0</v>
      </c>
      <c r="P236" s="113" t="n">
        <v>0</v>
      </c>
      <c r="Q236" s="113" t="n">
        <v>0</v>
      </c>
      <c r="R236" s="113" t="n">
        <v>0</v>
      </c>
      <c r="S236" s="113" t="n">
        <v>0</v>
      </c>
      <c r="T236" s="113" t="n">
        <v>12.5</v>
      </c>
      <c r="U236" s="113" t="n">
        <v>25</v>
      </c>
      <c r="V236" s="113" t="n">
        <v>37.5</v>
      </c>
      <c r="W236" s="113" t="n">
        <v>37.5</v>
      </c>
      <c r="X236" s="113" t="n">
        <v>50</v>
      </c>
      <c r="Y236" s="113" t="n">
        <v>50</v>
      </c>
      <c r="Z236" s="113" t="n">
        <v>50</v>
      </c>
      <c r="AA236" s="113" t="n">
        <v>50</v>
      </c>
      <c r="AB236" s="113" t="n">
        <v>50</v>
      </c>
      <c r="AC236" s="113" t="n">
        <v>50</v>
      </c>
      <c r="AD236" s="113" t="n">
        <v>50</v>
      </c>
      <c r="AE236" s="113" t="n">
        <v>50</v>
      </c>
      <c r="AF236" s="113" t="n">
        <v>50</v>
      </c>
      <c r="AG236" s="113" t="n">
        <v>50</v>
      </c>
      <c r="AI236" s="114" t="n">
        <f aca="false">INDEX($F236:$AG236,1,MATCH(AI$7,$F$7:$AG$7,1))</f>
        <v>0</v>
      </c>
      <c r="AJ236" s="114" t="n">
        <f aca="false">INDEX($F236:$AG236,1,MATCH(AJ$7,$F$7:$AG$7,1))</f>
        <v>0</v>
      </c>
      <c r="AK236" s="114" t="n">
        <f aca="false">INDEX($F236:$AG236,1,MATCH(AK$7,$F$7:$AG$7,1))</f>
        <v>0</v>
      </c>
      <c r="AL236" s="114" t="n">
        <f aca="false">INDEX($F236:$AG236,1,MATCH(AL$7,$F$7:$AG$7,1))</f>
        <v>25</v>
      </c>
      <c r="AM236" s="114" t="n">
        <f aca="false">INDEX($F236:$AG236,1,MATCH(AM$7,$F$7:$AG$7,1))</f>
        <v>50</v>
      </c>
      <c r="AN236" s="114" t="n">
        <f aca="false">INDEX($F236:$AG236,1,MATCH(AN$7,$F$7:$AG$7,1))</f>
        <v>50</v>
      </c>
      <c r="AO236" s="114" t="n">
        <f aca="false">INDEX($F236:$AG236,1,MATCH(AO$7,$F$7:$AG$7,1))</f>
        <v>50</v>
      </c>
    </row>
    <row r="237" customFormat="false" ht="15" hidden="false" customHeight="false" outlineLevel="0" collapsed="false">
      <c r="A237" s="112" t="s">
        <v>1874</v>
      </c>
      <c r="B237" s="24" t="s">
        <v>857</v>
      </c>
      <c r="C237" s="24" t="s">
        <v>690</v>
      </c>
      <c r="D237" s="24" t="s">
        <v>1677</v>
      </c>
      <c r="F237" s="113" t="n">
        <v>0</v>
      </c>
      <c r="G237" s="113" t="n">
        <v>0</v>
      </c>
      <c r="H237" s="113" t="n">
        <v>0</v>
      </c>
      <c r="I237" s="113" t="n">
        <v>0</v>
      </c>
      <c r="J237" s="113" t="n">
        <v>0</v>
      </c>
      <c r="K237" s="113" t="n">
        <v>0</v>
      </c>
      <c r="L237" s="113" t="n">
        <v>0</v>
      </c>
      <c r="M237" s="113" t="n">
        <v>0</v>
      </c>
      <c r="N237" s="113" t="n">
        <v>0</v>
      </c>
      <c r="O237" s="113" t="n">
        <v>0</v>
      </c>
      <c r="P237" s="113" t="n">
        <v>0</v>
      </c>
      <c r="Q237" s="113" t="n">
        <v>0</v>
      </c>
      <c r="R237" s="113" t="n">
        <v>0</v>
      </c>
      <c r="S237" s="113" t="n">
        <v>0</v>
      </c>
      <c r="T237" s="113" t="n">
        <v>12.5</v>
      </c>
      <c r="U237" s="113" t="n">
        <v>25</v>
      </c>
      <c r="V237" s="113" t="n">
        <v>37.5</v>
      </c>
      <c r="W237" s="113" t="n">
        <v>37.5</v>
      </c>
      <c r="X237" s="113" t="n">
        <v>50</v>
      </c>
      <c r="Y237" s="113" t="n">
        <v>50</v>
      </c>
      <c r="Z237" s="113" t="n">
        <v>50</v>
      </c>
      <c r="AA237" s="113" t="n">
        <v>50</v>
      </c>
      <c r="AB237" s="113" t="n">
        <v>50</v>
      </c>
      <c r="AC237" s="113" t="n">
        <v>50</v>
      </c>
      <c r="AD237" s="113" t="n">
        <v>50</v>
      </c>
      <c r="AE237" s="113" t="n">
        <v>50</v>
      </c>
      <c r="AF237" s="113" t="n">
        <v>50</v>
      </c>
      <c r="AG237" s="113" t="n">
        <v>50</v>
      </c>
      <c r="AI237" s="114" t="n">
        <f aca="false">INDEX($F237:$AG237,1,MATCH(AI$7,$F$7:$AG$7,1))</f>
        <v>0</v>
      </c>
      <c r="AJ237" s="114" t="n">
        <f aca="false">INDEX($F237:$AG237,1,MATCH(AJ$7,$F$7:$AG$7,1))</f>
        <v>0</v>
      </c>
      <c r="AK237" s="114" t="n">
        <f aca="false">INDEX($F237:$AG237,1,MATCH(AK$7,$F$7:$AG$7,1))</f>
        <v>0</v>
      </c>
      <c r="AL237" s="114" t="n">
        <f aca="false">INDEX($F237:$AG237,1,MATCH(AL$7,$F$7:$AG$7,1))</f>
        <v>25</v>
      </c>
      <c r="AM237" s="114" t="n">
        <f aca="false">INDEX($F237:$AG237,1,MATCH(AM$7,$F$7:$AG$7,1))</f>
        <v>50</v>
      </c>
      <c r="AN237" s="114" t="n">
        <f aca="false">INDEX($F237:$AG237,1,MATCH(AN$7,$F$7:$AG$7,1))</f>
        <v>50</v>
      </c>
      <c r="AO237" s="114" t="n">
        <f aca="false">INDEX($F237:$AG237,1,MATCH(AO$7,$F$7:$AG$7,1))</f>
        <v>50</v>
      </c>
    </row>
    <row r="238" customFormat="false" ht="15" hidden="false" customHeight="false" outlineLevel="0" collapsed="false">
      <c r="A238" s="112" t="s">
        <v>1875</v>
      </c>
      <c r="B238" s="24" t="s">
        <v>857</v>
      </c>
      <c r="C238" s="24" t="s">
        <v>672</v>
      </c>
      <c r="D238" s="24" t="s">
        <v>1679</v>
      </c>
      <c r="F238" s="114" t="n">
        <f aca="false">IF(CapV=2,N(F237),N(F236))</f>
        <v>0</v>
      </c>
      <c r="G238" s="114" t="n">
        <f aca="false">IF(CapV=2,N(G237),N(G236))</f>
        <v>0</v>
      </c>
      <c r="H238" s="114" t="n">
        <f aca="false">IF(CapV=2,N(H237),N(H236))</f>
        <v>0</v>
      </c>
      <c r="I238" s="114" t="n">
        <f aca="false">IF(CapV=2,N(I237),N(I236))</f>
        <v>0</v>
      </c>
      <c r="J238" s="114" t="n">
        <f aca="false">IF(CapV=2,N(J237),N(J236))</f>
        <v>0</v>
      </c>
      <c r="K238" s="114" t="n">
        <f aca="false">IF(CapV=2,N(K237),N(K236))</f>
        <v>0</v>
      </c>
      <c r="L238" s="114" t="n">
        <f aca="false">IF(CapV=2,N(L237),N(L236))</f>
        <v>0</v>
      </c>
      <c r="M238" s="114" t="n">
        <f aca="false">IF(CapV=2,N(M237),N(M236))</f>
        <v>0</v>
      </c>
      <c r="N238" s="114" t="n">
        <f aca="false">IF(CapV=2,N(N237),N(N236))</f>
        <v>0</v>
      </c>
      <c r="O238" s="114" t="n">
        <f aca="false">IF(CapV=2,N(O237),N(O236))</f>
        <v>0</v>
      </c>
      <c r="P238" s="114" t="n">
        <f aca="false">IF(CapV=2,N(P237),N(P236))</f>
        <v>0</v>
      </c>
      <c r="Q238" s="114" t="n">
        <f aca="false">IF(CapV=2,N(Q237),N(Q236))</f>
        <v>0</v>
      </c>
      <c r="R238" s="114" t="n">
        <f aca="false">IF(CapV=2,N(R237),N(R236))</f>
        <v>0</v>
      </c>
      <c r="S238" s="114" t="n">
        <f aca="false">IF(CapV=2,N(S237),N(S236))</f>
        <v>0</v>
      </c>
      <c r="T238" s="114" t="n">
        <f aca="false">IF(CapV=2,N(T237),N(T236))</f>
        <v>12.5</v>
      </c>
      <c r="U238" s="114" t="n">
        <f aca="false">IF(CapV=2,N(U237),N(U236))</f>
        <v>25</v>
      </c>
      <c r="V238" s="114" t="n">
        <f aca="false">IF(CapV=2,N(V237),N(V236))</f>
        <v>37.5</v>
      </c>
      <c r="W238" s="114" t="n">
        <f aca="false">IF(CapV=2,N(W237),N(W236))</f>
        <v>37.5</v>
      </c>
      <c r="X238" s="114" t="n">
        <f aca="false">IF(CapV=2,N(X237),N(X236))</f>
        <v>50</v>
      </c>
      <c r="Y238" s="114" t="n">
        <f aca="false">IF(CapV=2,N(Y237),N(Y236))</f>
        <v>50</v>
      </c>
      <c r="Z238" s="114" t="n">
        <f aca="false">IF(CapV=2,N(Z237),N(Z236))</f>
        <v>50</v>
      </c>
      <c r="AA238" s="114" t="n">
        <f aca="false">IF(CapV=2,N(AA237),N(AA236))</f>
        <v>50</v>
      </c>
      <c r="AB238" s="114" t="n">
        <f aca="false">IF(CapV=2,N(AB237),N(AB236))</f>
        <v>50</v>
      </c>
      <c r="AC238" s="114" t="n">
        <f aca="false">IF(CapV=2,N(AC237),N(AC236))</f>
        <v>50</v>
      </c>
      <c r="AD238" s="114" t="n">
        <f aca="false">IF(CapV=2,N(AD237),N(AD236))</f>
        <v>50</v>
      </c>
      <c r="AE238" s="114" t="n">
        <f aca="false">IF(CapV=2,N(AE237),N(AE236))</f>
        <v>50</v>
      </c>
      <c r="AF238" s="114" t="n">
        <f aca="false">IF(CapV=2,N(AF237),N(AF236))</f>
        <v>50</v>
      </c>
      <c r="AG238" s="114" t="n">
        <f aca="false">IF(CapV=2,N(AG237),N(AG236))</f>
        <v>50</v>
      </c>
      <c r="AI238" s="114" t="n">
        <f aca="false">INDEX($F238:$AG238,1,MATCH(AI$7,$F$7:$AG$7,1))</f>
        <v>0</v>
      </c>
      <c r="AJ238" s="114" t="n">
        <f aca="false">INDEX($F238:$AG238,1,MATCH(AJ$7,$F$7:$AG$7,1))</f>
        <v>0</v>
      </c>
      <c r="AK238" s="114" t="n">
        <f aca="false">INDEX($F238:$AG238,1,MATCH(AK$7,$F$7:$AG$7,1))</f>
        <v>0</v>
      </c>
      <c r="AL238" s="114" t="n">
        <f aca="false">INDEX($F238:$AG238,1,MATCH(AL$7,$F$7:$AG$7,1))</f>
        <v>25</v>
      </c>
      <c r="AM238" s="114" t="n">
        <f aca="false">INDEX($F238:$AG238,1,MATCH(AM$7,$F$7:$AG$7,1))</f>
        <v>50</v>
      </c>
      <c r="AN238" s="114" t="n">
        <f aca="false">INDEX($F238:$AG238,1,MATCH(AN$7,$F$7:$AG$7,1))</f>
        <v>50</v>
      </c>
      <c r="AO238" s="114" t="n">
        <f aca="false">INDEX($F238:$AG238,1,MATCH(AO$7,$F$7:$AG$7,1))</f>
        <v>50</v>
      </c>
    </row>
    <row r="239" customFormat="false" ht="15" hidden="false" customHeight="false" outlineLevel="0" collapsed="false">
      <c r="A239" s="112" t="s">
        <v>1876</v>
      </c>
      <c r="B239" s="24" t="s">
        <v>857</v>
      </c>
      <c r="C239" s="24" t="s">
        <v>690</v>
      </c>
      <c r="D239" s="24" t="s">
        <v>1675</v>
      </c>
      <c r="F239" s="113" t="n">
        <v>0</v>
      </c>
      <c r="G239" s="113" t="n">
        <v>0</v>
      </c>
      <c r="H239" s="113" t="n">
        <v>0</v>
      </c>
      <c r="I239" s="113" t="n">
        <v>0</v>
      </c>
      <c r="J239" s="113" t="n">
        <v>0</v>
      </c>
      <c r="K239" s="113" t="n">
        <v>0</v>
      </c>
      <c r="L239" s="113" t="n">
        <v>0</v>
      </c>
      <c r="M239" s="113" t="n">
        <v>0</v>
      </c>
      <c r="N239" s="113" t="n">
        <v>0</v>
      </c>
      <c r="O239" s="113" t="n">
        <v>0</v>
      </c>
      <c r="P239" s="113" t="n">
        <v>0</v>
      </c>
      <c r="Q239" s="113" t="n">
        <v>0</v>
      </c>
      <c r="R239" s="113" t="n">
        <v>0</v>
      </c>
      <c r="S239" s="113" t="n">
        <v>0</v>
      </c>
      <c r="T239" s="113" t="n">
        <v>25</v>
      </c>
      <c r="U239" s="113" t="n">
        <v>50</v>
      </c>
      <c r="V239" s="113" t="n">
        <v>50</v>
      </c>
      <c r="W239" s="113" t="n">
        <v>50</v>
      </c>
      <c r="X239" s="113" t="n">
        <v>50</v>
      </c>
      <c r="Y239" s="113" t="n">
        <v>50</v>
      </c>
      <c r="Z239" s="113" t="n">
        <v>50</v>
      </c>
      <c r="AA239" s="113" t="n">
        <v>50</v>
      </c>
      <c r="AB239" s="113" t="n">
        <v>50</v>
      </c>
      <c r="AC239" s="113" t="n">
        <v>50</v>
      </c>
      <c r="AD239" s="113" t="n">
        <v>50</v>
      </c>
      <c r="AE239" s="113" t="n">
        <v>50</v>
      </c>
      <c r="AF239" s="113" t="n">
        <v>50</v>
      </c>
      <c r="AG239" s="113" t="n">
        <v>50</v>
      </c>
      <c r="AI239" s="114" t="n">
        <f aca="false">INDEX($F239:$AG239,1,MATCH(AI$7,$F$7:$AG$7,1))</f>
        <v>0</v>
      </c>
      <c r="AJ239" s="114" t="n">
        <f aca="false">INDEX($F239:$AG239,1,MATCH(AJ$7,$F$7:$AG$7,1))</f>
        <v>0</v>
      </c>
      <c r="AK239" s="114" t="n">
        <f aca="false">INDEX($F239:$AG239,1,MATCH(AK$7,$F$7:$AG$7,1))</f>
        <v>0</v>
      </c>
      <c r="AL239" s="114" t="n">
        <f aca="false">INDEX($F239:$AG239,1,MATCH(AL$7,$F$7:$AG$7,1))</f>
        <v>50</v>
      </c>
      <c r="AM239" s="114" t="n">
        <f aca="false">INDEX($F239:$AG239,1,MATCH(AM$7,$F$7:$AG$7,1))</f>
        <v>50</v>
      </c>
      <c r="AN239" s="114" t="n">
        <f aca="false">INDEX($F239:$AG239,1,MATCH(AN$7,$F$7:$AG$7,1))</f>
        <v>50</v>
      </c>
      <c r="AO239" s="114" t="n">
        <f aca="false">INDEX($F239:$AG239,1,MATCH(AO$7,$F$7:$AG$7,1))</f>
        <v>50</v>
      </c>
    </row>
    <row r="240" customFormat="false" ht="15" hidden="false" customHeight="false" outlineLevel="0" collapsed="false">
      <c r="A240" s="112" t="s">
        <v>1877</v>
      </c>
      <c r="B240" s="24" t="s">
        <v>857</v>
      </c>
      <c r="C240" s="24" t="s">
        <v>690</v>
      </c>
      <c r="D240" s="24" t="s">
        <v>1677</v>
      </c>
      <c r="F240" s="113" t="n">
        <v>0</v>
      </c>
      <c r="G240" s="113" t="n">
        <v>0</v>
      </c>
      <c r="H240" s="113" t="n">
        <v>0</v>
      </c>
      <c r="I240" s="113" t="n">
        <v>0</v>
      </c>
      <c r="J240" s="113" t="n">
        <v>0</v>
      </c>
      <c r="K240" s="113" t="n">
        <v>0</v>
      </c>
      <c r="L240" s="113" t="n">
        <v>0</v>
      </c>
      <c r="M240" s="113" t="n">
        <v>0</v>
      </c>
      <c r="N240" s="113" t="n">
        <v>0</v>
      </c>
      <c r="O240" s="113" t="n">
        <v>0</v>
      </c>
      <c r="P240" s="113" t="n">
        <v>0</v>
      </c>
      <c r="Q240" s="113" t="n">
        <v>0</v>
      </c>
      <c r="R240" s="113" t="n">
        <v>0</v>
      </c>
      <c r="S240" s="113" t="n">
        <v>0</v>
      </c>
      <c r="T240" s="113" t="n">
        <v>25</v>
      </c>
      <c r="U240" s="113" t="n">
        <v>50</v>
      </c>
      <c r="V240" s="113" t="n">
        <v>50</v>
      </c>
      <c r="W240" s="113" t="n">
        <v>50</v>
      </c>
      <c r="X240" s="113" t="n">
        <v>50</v>
      </c>
      <c r="Y240" s="113" t="n">
        <v>50</v>
      </c>
      <c r="Z240" s="113" t="n">
        <v>50</v>
      </c>
      <c r="AA240" s="113" t="n">
        <v>50</v>
      </c>
      <c r="AB240" s="113" t="n">
        <v>50</v>
      </c>
      <c r="AC240" s="113" t="n">
        <v>50</v>
      </c>
      <c r="AD240" s="113" t="n">
        <v>50</v>
      </c>
      <c r="AE240" s="113" t="n">
        <v>50</v>
      </c>
      <c r="AF240" s="113" t="n">
        <v>50</v>
      </c>
      <c r="AG240" s="113" t="n">
        <v>50</v>
      </c>
      <c r="AI240" s="114" t="n">
        <f aca="false">INDEX($F240:$AG240,1,MATCH(AI$7,$F$7:$AG$7,1))</f>
        <v>0</v>
      </c>
      <c r="AJ240" s="114" t="n">
        <f aca="false">INDEX($F240:$AG240,1,MATCH(AJ$7,$F$7:$AG$7,1))</f>
        <v>0</v>
      </c>
      <c r="AK240" s="114" t="n">
        <f aca="false">INDEX($F240:$AG240,1,MATCH(AK$7,$F$7:$AG$7,1))</f>
        <v>0</v>
      </c>
      <c r="AL240" s="114" t="n">
        <f aca="false">INDEX($F240:$AG240,1,MATCH(AL$7,$F$7:$AG$7,1))</f>
        <v>50</v>
      </c>
      <c r="AM240" s="114" t="n">
        <f aca="false">INDEX($F240:$AG240,1,MATCH(AM$7,$F$7:$AG$7,1))</f>
        <v>50</v>
      </c>
      <c r="AN240" s="114" t="n">
        <f aca="false">INDEX($F240:$AG240,1,MATCH(AN$7,$F$7:$AG$7,1))</f>
        <v>50</v>
      </c>
      <c r="AO240" s="114" t="n">
        <f aca="false">INDEX($F240:$AG240,1,MATCH(AO$7,$F$7:$AG$7,1))</f>
        <v>50</v>
      </c>
    </row>
    <row r="241" customFormat="false" ht="15" hidden="false" customHeight="false" outlineLevel="0" collapsed="false">
      <c r="A241" s="112" t="s">
        <v>1878</v>
      </c>
      <c r="B241" s="24" t="s">
        <v>857</v>
      </c>
      <c r="C241" s="24" t="s">
        <v>672</v>
      </c>
      <c r="D241" s="24" t="s">
        <v>1679</v>
      </c>
      <c r="F241" s="114" t="n">
        <f aca="false">IF(CapV=2,N(F240),N(F239))</f>
        <v>0</v>
      </c>
      <c r="G241" s="114" t="n">
        <f aca="false">IF(CapV=2,N(G240),N(G239))</f>
        <v>0</v>
      </c>
      <c r="H241" s="114" t="n">
        <f aca="false">IF(CapV=2,N(H240),N(H239))</f>
        <v>0</v>
      </c>
      <c r="I241" s="114" t="n">
        <f aca="false">IF(CapV=2,N(I240),N(I239))</f>
        <v>0</v>
      </c>
      <c r="J241" s="114" t="n">
        <f aca="false">IF(CapV=2,N(J240),N(J239))</f>
        <v>0</v>
      </c>
      <c r="K241" s="114" t="n">
        <f aca="false">IF(CapV=2,N(K240),N(K239))</f>
        <v>0</v>
      </c>
      <c r="L241" s="114" t="n">
        <f aca="false">IF(CapV=2,N(L240),N(L239))</f>
        <v>0</v>
      </c>
      <c r="M241" s="114" t="n">
        <f aca="false">IF(CapV=2,N(M240),N(M239))</f>
        <v>0</v>
      </c>
      <c r="N241" s="114" t="n">
        <f aca="false">IF(CapV=2,N(N240),N(N239))</f>
        <v>0</v>
      </c>
      <c r="O241" s="114" t="n">
        <f aca="false">IF(CapV=2,N(O240),N(O239))</f>
        <v>0</v>
      </c>
      <c r="P241" s="114" t="n">
        <f aca="false">IF(CapV=2,N(P240),N(P239))</f>
        <v>0</v>
      </c>
      <c r="Q241" s="114" t="n">
        <f aca="false">IF(CapV=2,N(Q240),N(Q239))</f>
        <v>0</v>
      </c>
      <c r="R241" s="114" t="n">
        <f aca="false">IF(CapV=2,N(R240),N(R239))</f>
        <v>0</v>
      </c>
      <c r="S241" s="114" t="n">
        <f aca="false">IF(CapV=2,N(S240),N(S239))</f>
        <v>0</v>
      </c>
      <c r="T241" s="114" t="n">
        <f aca="false">IF(CapV=2,N(T240),N(T239))</f>
        <v>25</v>
      </c>
      <c r="U241" s="114" t="n">
        <f aca="false">IF(CapV=2,N(U240),N(U239))</f>
        <v>50</v>
      </c>
      <c r="V241" s="114" t="n">
        <f aca="false">IF(CapV=2,N(V240),N(V239))</f>
        <v>50</v>
      </c>
      <c r="W241" s="114" t="n">
        <f aca="false">IF(CapV=2,N(W240),N(W239))</f>
        <v>50</v>
      </c>
      <c r="X241" s="114" t="n">
        <f aca="false">IF(CapV=2,N(X240),N(X239))</f>
        <v>50</v>
      </c>
      <c r="Y241" s="114" t="n">
        <f aca="false">IF(CapV=2,N(Y240),N(Y239))</f>
        <v>50</v>
      </c>
      <c r="Z241" s="114" t="n">
        <f aca="false">IF(CapV=2,N(Z240),N(Z239))</f>
        <v>50</v>
      </c>
      <c r="AA241" s="114" t="n">
        <f aca="false">IF(CapV=2,N(AA240),N(AA239))</f>
        <v>50</v>
      </c>
      <c r="AB241" s="114" t="n">
        <f aca="false">IF(CapV=2,N(AB240),N(AB239))</f>
        <v>50</v>
      </c>
      <c r="AC241" s="114" t="n">
        <f aca="false">IF(CapV=2,N(AC240),N(AC239))</f>
        <v>50</v>
      </c>
      <c r="AD241" s="114" t="n">
        <f aca="false">IF(CapV=2,N(AD240),N(AD239))</f>
        <v>50</v>
      </c>
      <c r="AE241" s="114" t="n">
        <f aca="false">IF(CapV=2,N(AE240),N(AE239))</f>
        <v>50</v>
      </c>
      <c r="AF241" s="114" t="n">
        <f aca="false">IF(CapV=2,N(AF240),N(AF239))</f>
        <v>50</v>
      </c>
      <c r="AG241" s="114" t="n">
        <f aca="false">IF(CapV=2,N(AG240),N(AG239))</f>
        <v>50</v>
      </c>
      <c r="AI241" s="114" t="n">
        <f aca="false">INDEX($F241:$AG241,1,MATCH(AI$7,$F$7:$AG$7,1))</f>
        <v>0</v>
      </c>
      <c r="AJ241" s="114" t="n">
        <f aca="false">INDEX($F241:$AG241,1,MATCH(AJ$7,$F$7:$AG$7,1))</f>
        <v>0</v>
      </c>
      <c r="AK241" s="114" t="n">
        <f aca="false">INDEX($F241:$AG241,1,MATCH(AK$7,$F$7:$AG$7,1))</f>
        <v>0</v>
      </c>
      <c r="AL241" s="114" t="n">
        <f aca="false">INDEX($F241:$AG241,1,MATCH(AL$7,$F$7:$AG$7,1))</f>
        <v>50</v>
      </c>
      <c r="AM241" s="114" t="n">
        <f aca="false">INDEX($F241:$AG241,1,MATCH(AM$7,$F$7:$AG$7,1))</f>
        <v>50</v>
      </c>
      <c r="AN241" s="114" t="n">
        <f aca="false">INDEX($F241:$AG241,1,MATCH(AN$7,$F$7:$AG$7,1))</f>
        <v>50</v>
      </c>
      <c r="AO241" s="114" t="n">
        <f aca="false">INDEX($F241:$AG241,1,MATCH(AO$7,$F$7:$AG$7,1))</f>
        <v>50</v>
      </c>
    </row>
    <row r="242" customFormat="false" ht="15" hidden="false" customHeight="false" outlineLevel="0" collapsed="false">
      <c r="A242" s="112" t="s">
        <v>1879</v>
      </c>
      <c r="B242" s="24" t="s">
        <v>857</v>
      </c>
      <c r="C242" s="24" t="s">
        <v>690</v>
      </c>
      <c r="D242" s="24" t="s">
        <v>1677</v>
      </c>
      <c r="F242" s="113" t="n">
        <v>0</v>
      </c>
      <c r="G242" s="113" t="n">
        <v>0</v>
      </c>
      <c r="H242" s="113" t="n">
        <v>0</v>
      </c>
      <c r="I242" s="113" t="n">
        <v>0</v>
      </c>
      <c r="J242" s="113" t="n">
        <v>0</v>
      </c>
      <c r="K242" s="113" t="n">
        <v>0</v>
      </c>
      <c r="L242" s="113" t="n">
        <v>0</v>
      </c>
      <c r="M242" s="113" t="n">
        <v>0</v>
      </c>
      <c r="N242" s="113" t="n">
        <v>0</v>
      </c>
      <c r="O242" s="113" t="n">
        <v>0</v>
      </c>
      <c r="P242" s="113" t="n">
        <v>0</v>
      </c>
      <c r="Q242" s="113" t="n">
        <v>0</v>
      </c>
      <c r="R242" s="113" t="n">
        <v>5</v>
      </c>
      <c r="S242" s="113" t="n">
        <v>10</v>
      </c>
      <c r="T242" s="113" t="n">
        <v>15</v>
      </c>
      <c r="U242" s="113" t="n">
        <v>20</v>
      </c>
      <c r="V242" s="113" t="n">
        <v>20</v>
      </c>
      <c r="W242" s="113" t="n">
        <v>20</v>
      </c>
      <c r="X242" s="113" t="n">
        <v>20</v>
      </c>
      <c r="Y242" s="113" t="n">
        <v>20</v>
      </c>
      <c r="Z242" s="113" t="n">
        <v>20</v>
      </c>
      <c r="AA242" s="113" t="n">
        <v>20</v>
      </c>
      <c r="AB242" s="113" t="n">
        <v>20</v>
      </c>
      <c r="AC242" s="113" t="n">
        <v>20</v>
      </c>
      <c r="AD242" s="113" t="n">
        <v>20</v>
      </c>
      <c r="AE242" s="113" t="n">
        <v>20</v>
      </c>
      <c r="AF242" s="113" t="n">
        <v>20</v>
      </c>
      <c r="AG242" s="113" t="n">
        <v>20</v>
      </c>
      <c r="AI242" s="114" t="n">
        <f aca="false">INDEX($F242:$AG242,1,MATCH(AI$7,$F$7:$AG$7,1))</f>
        <v>0</v>
      </c>
      <c r="AJ242" s="114" t="n">
        <f aca="false">INDEX($F242:$AG242,1,MATCH(AJ$7,$F$7:$AG$7,1))</f>
        <v>0</v>
      </c>
      <c r="AK242" s="114" t="n">
        <f aca="false">INDEX($F242:$AG242,1,MATCH(AK$7,$F$7:$AG$7,1))</f>
        <v>0</v>
      </c>
      <c r="AL242" s="114" t="n">
        <f aca="false">INDEX($F242:$AG242,1,MATCH(AL$7,$F$7:$AG$7,1))</f>
        <v>20</v>
      </c>
      <c r="AM242" s="114" t="n">
        <f aca="false">INDEX($F242:$AG242,1,MATCH(AM$7,$F$7:$AG$7,1))</f>
        <v>20</v>
      </c>
      <c r="AN242" s="114" t="n">
        <f aca="false">INDEX($F242:$AG242,1,MATCH(AN$7,$F$7:$AG$7,1))</f>
        <v>20</v>
      </c>
      <c r="AO242" s="114" t="n">
        <f aca="false">INDEX($F242:$AG242,1,MATCH(AO$7,$F$7:$AG$7,1))</f>
        <v>20</v>
      </c>
    </row>
    <row r="243" customFormat="false" ht="15" hidden="false" customHeight="false" outlineLevel="0" collapsed="false">
      <c r="A243" s="112" t="s">
        <v>1880</v>
      </c>
      <c r="B243" s="24" t="s">
        <v>857</v>
      </c>
      <c r="C243" s="24" t="s">
        <v>672</v>
      </c>
      <c r="D243" s="24" t="s">
        <v>1679</v>
      </c>
      <c r="F243" s="114" t="n">
        <f aca="false">IF(CapV=2,N(F242),0)</f>
        <v>0</v>
      </c>
      <c r="G243" s="114" t="n">
        <f aca="false">IF(CapV=2,N(G242),0)</f>
        <v>0</v>
      </c>
      <c r="H243" s="114" t="n">
        <f aca="false">IF(CapV=2,N(H242),0)</f>
        <v>0</v>
      </c>
      <c r="I243" s="114" t="n">
        <f aca="false">IF(CapV=2,N(I242),0)</f>
        <v>0</v>
      </c>
      <c r="J243" s="114" t="n">
        <f aca="false">IF(CapV=2,N(J242),0)</f>
        <v>0</v>
      </c>
      <c r="K243" s="114" t="n">
        <f aca="false">IF(CapV=2,N(K242),0)</f>
        <v>0</v>
      </c>
      <c r="L243" s="114" t="n">
        <f aca="false">IF(CapV=2,N(L242),0)</f>
        <v>0</v>
      </c>
      <c r="M243" s="114" t="n">
        <f aca="false">IF(CapV=2,N(M242),0)</f>
        <v>0</v>
      </c>
      <c r="N243" s="114" t="n">
        <f aca="false">IF(CapV=2,N(N242),0)</f>
        <v>0</v>
      </c>
      <c r="O243" s="114" t="n">
        <f aca="false">IF(CapV=2,N(O242),0)</f>
        <v>0</v>
      </c>
      <c r="P243" s="114" t="n">
        <f aca="false">IF(CapV=2,N(P242),0)</f>
        <v>0</v>
      </c>
      <c r="Q243" s="114" t="n">
        <f aca="false">IF(CapV=2,N(Q242),0)</f>
        <v>0</v>
      </c>
      <c r="R243" s="114" t="n">
        <f aca="false">IF(CapV=2,N(R242),0)</f>
        <v>5</v>
      </c>
      <c r="S243" s="114" t="n">
        <f aca="false">IF(CapV=2,N(S242),0)</f>
        <v>10</v>
      </c>
      <c r="T243" s="114" t="n">
        <f aca="false">IF(CapV=2,N(T242),0)</f>
        <v>15</v>
      </c>
      <c r="U243" s="114" t="n">
        <f aca="false">IF(CapV=2,N(U242),0)</f>
        <v>20</v>
      </c>
      <c r="V243" s="114" t="n">
        <f aca="false">IF(CapV=2,N(V242),0)</f>
        <v>20</v>
      </c>
      <c r="W243" s="114" t="n">
        <f aca="false">IF(CapV=2,N(W242),0)</f>
        <v>20</v>
      </c>
      <c r="X243" s="114" t="n">
        <f aca="false">IF(CapV=2,N(X242),0)</f>
        <v>20</v>
      </c>
      <c r="Y243" s="114" t="n">
        <f aca="false">IF(CapV=2,N(Y242),0)</f>
        <v>20</v>
      </c>
      <c r="Z243" s="114" t="n">
        <f aca="false">IF(CapV=2,N(Z242),0)</f>
        <v>20</v>
      </c>
      <c r="AA243" s="114" t="n">
        <f aca="false">IF(CapV=2,N(AA242),0)</f>
        <v>20</v>
      </c>
      <c r="AB243" s="114" t="n">
        <f aca="false">IF(CapV=2,N(AB242),0)</f>
        <v>20</v>
      </c>
      <c r="AC243" s="114" t="n">
        <f aca="false">IF(CapV=2,N(AC242),0)</f>
        <v>20</v>
      </c>
      <c r="AD243" s="114" t="n">
        <f aca="false">IF(CapV=2,N(AD242),0)</f>
        <v>20</v>
      </c>
      <c r="AE243" s="114" t="n">
        <f aca="false">IF(CapV=2,N(AE242),0)</f>
        <v>20</v>
      </c>
      <c r="AF243" s="114" t="n">
        <f aca="false">IF(CapV=2,N(AF242),0)</f>
        <v>20</v>
      </c>
      <c r="AG243" s="114" t="n">
        <f aca="false">IF(CapV=2,N(AG242),0)</f>
        <v>20</v>
      </c>
      <c r="AI243" s="114" t="n">
        <f aca="false">INDEX($F243:$AG243,1,MATCH(AI$7,$F$7:$AG$7,1))</f>
        <v>0</v>
      </c>
      <c r="AJ243" s="114" t="n">
        <f aca="false">INDEX($F243:$AG243,1,MATCH(AJ$7,$F$7:$AG$7,1))</f>
        <v>0</v>
      </c>
      <c r="AK243" s="114" t="n">
        <f aca="false">INDEX($F243:$AG243,1,MATCH(AK$7,$F$7:$AG$7,1))</f>
        <v>0</v>
      </c>
      <c r="AL243" s="114" t="n">
        <f aca="false">INDEX($F243:$AG243,1,MATCH(AL$7,$F$7:$AG$7,1))</f>
        <v>20</v>
      </c>
      <c r="AM243" s="114" t="n">
        <f aca="false">INDEX($F243:$AG243,1,MATCH(AM$7,$F$7:$AG$7,1))</f>
        <v>20</v>
      </c>
      <c r="AN243" s="114" t="n">
        <f aca="false">INDEX($F243:$AG243,1,MATCH(AN$7,$F$7:$AG$7,1))</f>
        <v>20</v>
      </c>
      <c r="AO243" s="114" t="n">
        <f aca="false">INDEX($F243:$AG243,1,MATCH(AO$7,$F$7:$AG$7,1))</f>
        <v>20</v>
      </c>
    </row>
    <row r="244" customFormat="false" ht="15" hidden="false" customHeight="false" outlineLevel="0" collapsed="false">
      <c r="A244" s="112" t="s">
        <v>1881</v>
      </c>
      <c r="B244" s="24" t="s">
        <v>857</v>
      </c>
      <c r="C244" s="24" t="s">
        <v>690</v>
      </c>
      <c r="D244" s="24" t="s">
        <v>1677</v>
      </c>
      <c r="F244" s="113" t="n">
        <v>0</v>
      </c>
      <c r="G244" s="113" t="n">
        <v>0</v>
      </c>
      <c r="H244" s="113" t="n">
        <v>0</v>
      </c>
      <c r="I244" s="113" t="n">
        <v>0</v>
      </c>
      <c r="J244" s="113" t="n">
        <v>0</v>
      </c>
      <c r="K244" s="113" t="n">
        <v>0</v>
      </c>
      <c r="L244" s="113" t="n">
        <v>0</v>
      </c>
      <c r="M244" s="113" t="n">
        <v>0</v>
      </c>
      <c r="N244" s="113" t="n">
        <v>0</v>
      </c>
      <c r="O244" s="113" t="n">
        <v>0</v>
      </c>
      <c r="P244" s="113" t="n">
        <v>0</v>
      </c>
      <c r="Q244" s="113" t="n">
        <v>5</v>
      </c>
      <c r="R244" s="113" t="n">
        <v>15</v>
      </c>
      <c r="S244" s="113" t="n">
        <v>22.5</v>
      </c>
      <c r="T244" s="113" t="n">
        <v>29</v>
      </c>
      <c r="U244" s="113" t="n">
        <v>31.5</v>
      </c>
      <c r="V244" s="113" t="n">
        <v>31.5</v>
      </c>
      <c r="W244" s="113" t="n">
        <v>31.5</v>
      </c>
      <c r="X244" s="113" t="n">
        <v>31.5</v>
      </c>
      <c r="Y244" s="113" t="n">
        <v>31.5</v>
      </c>
      <c r="Z244" s="113" t="n">
        <v>31.5</v>
      </c>
      <c r="AA244" s="113" t="n">
        <v>31.5</v>
      </c>
      <c r="AB244" s="113" t="n">
        <v>31.5</v>
      </c>
      <c r="AC244" s="113" t="n">
        <v>31.5</v>
      </c>
      <c r="AD244" s="113" t="n">
        <v>31.5</v>
      </c>
      <c r="AE244" s="113" t="n">
        <v>31.5</v>
      </c>
      <c r="AF244" s="113" t="n">
        <v>31.5</v>
      </c>
      <c r="AG244" s="113" t="n">
        <v>31.5</v>
      </c>
      <c r="AI244" s="114" t="n">
        <f aca="false">INDEX($F244:$AG244,1,MATCH(AI$7,$F$7:$AG$7,1))</f>
        <v>0</v>
      </c>
      <c r="AJ244" s="114" t="n">
        <f aca="false">INDEX($F244:$AG244,1,MATCH(AJ$7,$F$7:$AG$7,1))</f>
        <v>0</v>
      </c>
      <c r="AK244" s="114" t="n">
        <f aca="false">INDEX($F244:$AG244,1,MATCH(AK$7,$F$7:$AG$7,1))</f>
        <v>5</v>
      </c>
      <c r="AL244" s="114" t="n">
        <f aca="false">INDEX($F244:$AG244,1,MATCH(AL$7,$F$7:$AG$7,1))</f>
        <v>31.5</v>
      </c>
      <c r="AM244" s="114" t="n">
        <f aca="false">INDEX($F244:$AG244,1,MATCH(AM$7,$F$7:$AG$7,1))</f>
        <v>31.5</v>
      </c>
      <c r="AN244" s="114" t="n">
        <f aca="false">INDEX($F244:$AG244,1,MATCH(AN$7,$F$7:$AG$7,1))</f>
        <v>31.5</v>
      </c>
      <c r="AO244" s="114" t="n">
        <f aca="false">INDEX($F244:$AG244,1,MATCH(AO$7,$F$7:$AG$7,1))</f>
        <v>31.5</v>
      </c>
    </row>
    <row r="245" customFormat="false" ht="15" hidden="false" customHeight="false" outlineLevel="0" collapsed="false">
      <c r="A245" s="112" t="s">
        <v>1882</v>
      </c>
      <c r="B245" s="24" t="s">
        <v>857</v>
      </c>
      <c r="C245" s="24" t="s">
        <v>672</v>
      </c>
      <c r="D245" s="24" t="s">
        <v>1679</v>
      </c>
      <c r="F245" s="114" t="n">
        <f aca="false">IF(CapV=2,N(F244),0)</f>
        <v>0</v>
      </c>
      <c r="G245" s="114" t="n">
        <f aca="false">IF(CapV=2,N(G244),0)</f>
        <v>0</v>
      </c>
      <c r="H245" s="114" t="n">
        <f aca="false">IF(CapV=2,N(H244),0)</f>
        <v>0</v>
      </c>
      <c r="I245" s="114" t="n">
        <f aca="false">IF(CapV=2,N(I244),0)</f>
        <v>0</v>
      </c>
      <c r="J245" s="114" t="n">
        <f aca="false">IF(CapV=2,N(J244),0)</f>
        <v>0</v>
      </c>
      <c r="K245" s="114" t="n">
        <f aca="false">IF(CapV=2,N(K244),0)</f>
        <v>0</v>
      </c>
      <c r="L245" s="114" t="n">
        <f aca="false">IF(CapV=2,N(L244),0)</f>
        <v>0</v>
      </c>
      <c r="M245" s="114" t="n">
        <f aca="false">IF(CapV=2,N(M244),0)</f>
        <v>0</v>
      </c>
      <c r="N245" s="114" t="n">
        <f aca="false">IF(CapV=2,N(N244),0)</f>
        <v>0</v>
      </c>
      <c r="O245" s="114" t="n">
        <f aca="false">IF(CapV=2,N(O244),0)</f>
        <v>0</v>
      </c>
      <c r="P245" s="114" t="n">
        <f aca="false">IF(CapV=2,N(P244),0)</f>
        <v>0</v>
      </c>
      <c r="Q245" s="114" t="n">
        <f aca="false">IF(CapV=2,N(Q244),0)</f>
        <v>5</v>
      </c>
      <c r="R245" s="114" t="n">
        <f aca="false">IF(CapV=2,N(R244),0)</f>
        <v>15</v>
      </c>
      <c r="S245" s="114" t="n">
        <f aca="false">IF(CapV=2,N(S244),0)</f>
        <v>22.5</v>
      </c>
      <c r="T245" s="114" t="n">
        <f aca="false">IF(CapV=2,N(T244),0)</f>
        <v>29</v>
      </c>
      <c r="U245" s="114" t="n">
        <f aca="false">IF(CapV=2,N(U244),0)</f>
        <v>31.5</v>
      </c>
      <c r="V245" s="114" t="n">
        <f aca="false">IF(CapV=2,N(V244),0)</f>
        <v>31.5</v>
      </c>
      <c r="W245" s="114" t="n">
        <f aca="false">IF(CapV=2,N(W244),0)</f>
        <v>31.5</v>
      </c>
      <c r="X245" s="114" t="n">
        <f aca="false">IF(CapV=2,N(X244),0)</f>
        <v>31.5</v>
      </c>
      <c r="Y245" s="114" t="n">
        <f aca="false">IF(CapV=2,N(Y244),0)</f>
        <v>31.5</v>
      </c>
      <c r="Z245" s="114" t="n">
        <f aca="false">IF(CapV=2,N(Z244),0)</f>
        <v>31.5</v>
      </c>
      <c r="AA245" s="114" t="n">
        <f aca="false">IF(CapV=2,N(AA244),0)</f>
        <v>31.5</v>
      </c>
      <c r="AB245" s="114" t="n">
        <f aca="false">IF(CapV=2,N(AB244),0)</f>
        <v>31.5</v>
      </c>
      <c r="AC245" s="114" t="n">
        <f aca="false">IF(CapV=2,N(AC244),0)</f>
        <v>31.5</v>
      </c>
      <c r="AD245" s="114" t="n">
        <f aca="false">IF(CapV=2,N(AD244),0)</f>
        <v>31.5</v>
      </c>
      <c r="AE245" s="114" t="n">
        <f aca="false">IF(CapV=2,N(AE244),0)</f>
        <v>31.5</v>
      </c>
      <c r="AF245" s="114" t="n">
        <f aca="false">IF(CapV=2,N(AF244),0)</f>
        <v>31.5</v>
      </c>
      <c r="AG245" s="114" t="n">
        <f aca="false">IF(CapV=2,N(AG244),0)</f>
        <v>31.5</v>
      </c>
      <c r="AI245" s="114" t="n">
        <f aca="false">INDEX($F245:$AG245,1,MATCH(AI$7,$F$7:$AG$7,1))</f>
        <v>0</v>
      </c>
      <c r="AJ245" s="114" t="n">
        <f aca="false">INDEX($F245:$AG245,1,MATCH(AJ$7,$F$7:$AG$7,1))</f>
        <v>0</v>
      </c>
      <c r="AK245" s="114" t="n">
        <f aca="false">INDEX($F245:$AG245,1,MATCH(AK$7,$F$7:$AG$7,1))</f>
        <v>5</v>
      </c>
      <c r="AL245" s="114" t="n">
        <f aca="false">INDEX($F245:$AG245,1,MATCH(AL$7,$F$7:$AG$7,1))</f>
        <v>31.5</v>
      </c>
      <c r="AM245" s="114" t="n">
        <f aca="false">INDEX($F245:$AG245,1,MATCH(AM$7,$F$7:$AG$7,1))</f>
        <v>31.5</v>
      </c>
      <c r="AN245" s="114" t="n">
        <f aca="false">INDEX($F245:$AG245,1,MATCH(AN$7,$F$7:$AG$7,1))</f>
        <v>31.5</v>
      </c>
      <c r="AO245" s="114" t="n">
        <f aca="false">INDEX($F245:$AG245,1,MATCH(AO$7,$F$7:$AG$7,1))</f>
        <v>31.5</v>
      </c>
    </row>
    <row r="246" customFormat="false" ht="15" hidden="false" customHeight="false" outlineLevel="0" collapsed="false">
      <c r="A246" s="112" t="s">
        <v>1883</v>
      </c>
      <c r="B246" s="24" t="s">
        <v>857</v>
      </c>
      <c r="C246" s="24" t="s">
        <v>690</v>
      </c>
      <c r="D246" s="24" t="s">
        <v>1677</v>
      </c>
      <c r="F246" s="113" t="n">
        <v>0</v>
      </c>
      <c r="G246" s="113" t="n">
        <v>0</v>
      </c>
      <c r="H246" s="113" t="n">
        <v>0</v>
      </c>
      <c r="I246" s="113" t="n">
        <v>0</v>
      </c>
      <c r="J246" s="113" t="n">
        <v>0</v>
      </c>
      <c r="K246" s="113" t="n">
        <v>0</v>
      </c>
      <c r="L246" s="113" t="n">
        <v>0</v>
      </c>
      <c r="M246" s="113" t="n">
        <v>0</v>
      </c>
      <c r="N246" s="113" t="n">
        <v>0</v>
      </c>
      <c r="O246" s="113" t="n">
        <v>0</v>
      </c>
      <c r="P246" s="113" t="n">
        <v>0</v>
      </c>
      <c r="Q246" s="113" t="n">
        <v>10</v>
      </c>
      <c r="R246" s="113" t="n">
        <v>25</v>
      </c>
      <c r="S246" s="113" t="n">
        <v>35</v>
      </c>
      <c r="T246" s="113" t="n">
        <v>43</v>
      </c>
      <c r="U246" s="113" t="n">
        <v>43</v>
      </c>
      <c r="V246" s="113" t="n">
        <v>43</v>
      </c>
      <c r="W246" s="113" t="n">
        <v>43</v>
      </c>
      <c r="X246" s="113" t="n">
        <v>43</v>
      </c>
      <c r="Y246" s="113" t="n">
        <v>43</v>
      </c>
      <c r="Z246" s="113" t="n">
        <v>43</v>
      </c>
      <c r="AA246" s="113" t="n">
        <v>43</v>
      </c>
      <c r="AB246" s="113" t="n">
        <v>43</v>
      </c>
      <c r="AC246" s="113" t="n">
        <v>43</v>
      </c>
      <c r="AD246" s="113" t="n">
        <v>43</v>
      </c>
      <c r="AE246" s="113" t="n">
        <v>43</v>
      </c>
      <c r="AF246" s="113" t="n">
        <v>43</v>
      </c>
      <c r="AG246" s="113" t="n">
        <v>43</v>
      </c>
      <c r="AI246" s="114" t="n">
        <f aca="false">INDEX($F246:$AG246,1,MATCH(AI$7,$F$7:$AG$7,1))</f>
        <v>0</v>
      </c>
      <c r="AJ246" s="114" t="n">
        <f aca="false">INDEX($F246:$AG246,1,MATCH(AJ$7,$F$7:$AG$7,1))</f>
        <v>0</v>
      </c>
      <c r="AK246" s="114" t="n">
        <f aca="false">INDEX($F246:$AG246,1,MATCH(AK$7,$F$7:$AG$7,1))</f>
        <v>10</v>
      </c>
      <c r="AL246" s="114" t="n">
        <f aca="false">INDEX($F246:$AG246,1,MATCH(AL$7,$F$7:$AG$7,1))</f>
        <v>43</v>
      </c>
      <c r="AM246" s="114" t="n">
        <f aca="false">INDEX($F246:$AG246,1,MATCH(AM$7,$F$7:$AG$7,1))</f>
        <v>43</v>
      </c>
      <c r="AN246" s="114" t="n">
        <f aca="false">INDEX($F246:$AG246,1,MATCH(AN$7,$F$7:$AG$7,1))</f>
        <v>43</v>
      </c>
      <c r="AO246" s="114" t="n">
        <f aca="false">INDEX($F246:$AG246,1,MATCH(AO$7,$F$7:$AG$7,1))</f>
        <v>43</v>
      </c>
    </row>
    <row r="247" customFormat="false" ht="15" hidden="false" customHeight="false" outlineLevel="0" collapsed="false">
      <c r="A247" s="112" t="s">
        <v>1884</v>
      </c>
      <c r="B247" s="24" t="s">
        <v>857</v>
      </c>
      <c r="C247" s="24" t="s">
        <v>672</v>
      </c>
      <c r="D247" s="24" t="s">
        <v>1679</v>
      </c>
      <c r="F247" s="114" t="n">
        <f aca="false">IF(CapV=2,N(F246),0)</f>
        <v>0</v>
      </c>
      <c r="G247" s="114" t="n">
        <f aca="false">IF(CapV=2,N(G246),0)</f>
        <v>0</v>
      </c>
      <c r="H247" s="114" t="n">
        <f aca="false">IF(CapV=2,N(H246),0)</f>
        <v>0</v>
      </c>
      <c r="I247" s="114" t="n">
        <f aca="false">IF(CapV=2,N(I246),0)</f>
        <v>0</v>
      </c>
      <c r="J247" s="114" t="n">
        <f aca="false">IF(CapV=2,N(J246),0)</f>
        <v>0</v>
      </c>
      <c r="K247" s="114" t="n">
        <f aca="false">IF(CapV=2,N(K246),0)</f>
        <v>0</v>
      </c>
      <c r="L247" s="114" t="n">
        <f aca="false">IF(CapV=2,N(L246),0)</f>
        <v>0</v>
      </c>
      <c r="M247" s="114" t="n">
        <f aca="false">IF(CapV=2,N(M246),0)</f>
        <v>0</v>
      </c>
      <c r="N247" s="114" t="n">
        <f aca="false">IF(CapV=2,N(N246),0)</f>
        <v>0</v>
      </c>
      <c r="O247" s="114" t="n">
        <f aca="false">IF(CapV=2,N(O246),0)</f>
        <v>0</v>
      </c>
      <c r="P247" s="114" t="n">
        <f aca="false">IF(CapV=2,N(P246),0)</f>
        <v>0</v>
      </c>
      <c r="Q247" s="114" t="n">
        <f aca="false">IF(CapV=2,N(Q246),0)</f>
        <v>10</v>
      </c>
      <c r="R247" s="114" t="n">
        <f aca="false">IF(CapV=2,N(R246),0)</f>
        <v>25</v>
      </c>
      <c r="S247" s="114" t="n">
        <f aca="false">IF(CapV=2,N(S246),0)</f>
        <v>35</v>
      </c>
      <c r="T247" s="114" t="n">
        <f aca="false">IF(CapV=2,N(T246),0)</f>
        <v>43</v>
      </c>
      <c r="U247" s="114" t="n">
        <f aca="false">IF(CapV=2,N(U246),0)</f>
        <v>43</v>
      </c>
      <c r="V247" s="114" t="n">
        <f aca="false">IF(CapV=2,N(V246),0)</f>
        <v>43</v>
      </c>
      <c r="W247" s="114" t="n">
        <f aca="false">IF(CapV=2,N(W246),0)</f>
        <v>43</v>
      </c>
      <c r="X247" s="114" t="n">
        <f aca="false">IF(CapV=2,N(X246),0)</f>
        <v>43</v>
      </c>
      <c r="Y247" s="114" t="n">
        <f aca="false">IF(CapV=2,N(Y246),0)</f>
        <v>43</v>
      </c>
      <c r="Z247" s="114" t="n">
        <f aca="false">IF(CapV=2,N(Z246),0)</f>
        <v>43</v>
      </c>
      <c r="AA247" s="114" t="n">
        <f aca="false">IF(CapV=2,N(AA246),0)</f>
        <v>43</v>
      </c>
      <c r="AB247" s="114" t="n">
        <f aca="false">IF(CapV=2,N(AB246),0)</f>
        <v>43</v>
      </c>
      <c r="AC247" s="114" t="n">
        <f aca="false">IF(CapV=2,N(AC246),0)</f>
        <v>43</v>
      </c>
      <c r="AD247" s="114" t="n">
        <f aca="false">IF(CapV=2,N(AD246),0)</f>
        <v>43</v>
      </c>
      <c r="AE247" s="114" t="n">
        <f aca="false">IF(CapV=2,N(AE246),0)</f>
        <v>43</v>
      </c>
      <c r="AF247" s="114" t="n">
        <f aca="false">IF(CapV=2,N(AF246),0)</f>
        <v>43</v>
      </c>
      <c r="AG247" s="114" t="n">
        <f aca="false">IF(CapV=2,N(AG246),0)</f>
        <v>43</v>
      </c>
      <c r="AI247" s="114" t="n">
        <f aca="false">INDEX($F247:$AG247,1,MATCH(AI$7,$F$7:$AG$7,1))</f>
        <v>0</v>
      </c>
      <c r="AJ247" s="114" t="n">
        <f aca="false">INDEX($F247:$AG247,1,MATCH(AJ$7,$F$7:$AG$7,1))</f>
        <v>0</v>
      </c>
      <c r="AK247" s="114" t="n">
        <f aca="false">INDEX($F247:$AG247,1,MATCH(AK$7,$F$7:$AG$7,1))</f>
        <v>10</v>
      </c>
      <c r="AL247" s="114" t="n">
        <f aca="false">INDEX($F247:$AG247,1,MATCH(AL$7,$F$7:$AG$7,1))</f>
        <v>43</v>
      </c>
      <c r="AM247" s="114" t="n">
        <f aca="false">INDEX($F247:$AG247,1,MATCH(AM$7,$F$7:$AG$7,1))</f>
        <v>43</v>
      </c>
      <c r="AN247" s="114" t="n">
        <f aca="false">INDEX($F247:$AG247,1,MATCH(AN$7,$F$7:$AG$7,1))</f>
        <v>43</v>
      </c>
      <c r="AO247" s="114" t="n">
        <f aca="false">INDEX($F247:$AG247,1,MATCH(AO$7,$F$7:$AG$7,1))</f>
        <v>43</v>
      </c>
    </row>
    <row r="248" customFormat="false" ht="15" hidden="false" customHeight="false" outlineLevel="0" collapsed="false">
      <c r="A248" s="112" t="s">
        <v>1885</v>
      </c>
      <c r="B248" s="24" t="s">
        <v>857</v>
      </c>
      <c r="C248" s="24" t="s">
        <v>690</v>
      </c>
      <c r="D248" s="24" t="s">
        <v>1849</v>
      </c>
      <c r="F248" s="115" t="n">
        <f aca="false">IF(F$5&gt;=12,Inputs!$E$222,0)</f>
        <v>0</v>
      </c>
      <c r="G248" s="115" t="n">
        <f aca="false">IF(G$5&gt;=12,Inputs!$E$222,0)</f>
        <v>0</v>
      </c>
      <c r="H248" s="115" t="n">
        <f aca="false">IF(H$5&gt;=12,Inputs!$E$222,0)</f>
        <v>0</v>
      </c>
      <c r="I248" s="115" t="n">
        <f aca="false">IF(I$5&gt;=12,Inputs!$E$222,0)</f>
        <v>0</v>
      </c>
      <c r="J248" s="115" t="n">
        <f aca="false">IF(J$5&gt;=12,Inputs!$E$222,0)</f>
        <v>0</v>
      </c>
      <c r="K248" s="115" t="n">
        <f aca="false">IF(K$5&gt;=12,Inputs!$E$222,0)</f>
        <v>0</v>
      </c>
      <c r="L248" s="115" t="n">
        <f aca="false">IF(L$5&gt;=12,Inputs!$E$222,0)</f>
        <v>0</v>
      </c>
      <c r="M248" s="115" t="n">
        <f aca="false">IF(M$5&gt;=12,Inputs!$E$222,0)</f>
        <v>0</v>
      </c>
      <c r="N248" s="115" t="n">
        <f aca="false">IF(N$5&gt;=12,Inputs!$E$222,0)</f>
        <v>0</v>
      </c>
      <c r="O248" s="115" t="n">
        <f aca="false">IF(O$5&gt;=12,Inputs!$E$222,0)</f>
        <v>0</v>
      </c>
      <c r="P248" s="115" t="n">
        <f aca="false">IF(P$5&gt;=12,Inputs!$E$222,0)</f>
        <v>0</v>
      </c>
      <c r="Q248" s="115" t="n">
        <f aca="false">IF(Q$5&gt;=12,Inputs!$E$222,0)</f>
        <v>0</v>
      </c>
      <c r="R248" s="115" t="n">
        <f aca="false">IF(R$5&gt;=12,Inputs!$E$222,0)</f>
        <v>0</v>
      </c>
      <c r="S248" s="115" t="n">
        <f aca="false">IF(S$5&gt;=12,Inputs!$E$222,0)</f>
        <v>0</v>
      </c>
      <c r="T248" s="115" t="n">
        <f aca="false">IF(T$5&gt;=12,Inputs!$E$222,0)</f>
        <v>0</v>
      </c>
      <c r="U248" s="115" t="n">
        <f aca="false">IF(U$5&gt;=12,Inputs!$E$222,0)</f>
        <v>0</v>
      </c>
      <c r="V248" s="115" t="n">
        <f aca="false">IF(V$5&gt;=12,Inputs!$E$222,0)</f>
        <v>0</v>
      </c>
      <c r="W248" s="115" t="n">
        <f aca="false">IF(W$5&gt;=12,Inputs!$E$222,0)</f>
        <v>0</v>
      </c>
      <c r="X248" s="115" t="n">
        <f aca="false">IF(X$5&gt;=12,Inputs!$E$222,0)</f>
        <v>0</v>
      </c>
      <c r="Y248" s="115" t="n">
        <f aca="false">IF(Y$5&gt;=12,Inputs!$E$222,0)</f>
        <v>0</v>
      </c>
      <c r="Z248" s="115" t="n">
        <f aca="false">IF(Z$5&gt;=12,Inputs!$E$222,0)</f>
        <v>0</v>
      </c>
      <c r="AA248" s="115" t="n">
        <f aca="false">IF(AA$5&gt;=12,Inputs!$E$222,0)</f>
        <v>0</v>
      </c>
      <c r="AB248" s="115" t="n">
        <f aca="false">IF(AB$5&gt;=12,Inputs!$E$222,0)</f>
        <v>0</v>
      </c>
      <c r="AC248" s="115" t="n">
        <f aca="false">IF(AC$5&gt;=12,Inputs!$E$222,0)</f>
        <v>0</v>
      </c>
      <c r="AD248" s="115" t="n">
        <f aca="false">IF(AD$5&gt;=12,Inputs!$E$222,0)</f>
        <v>0</v>
      </c>
      <c r="AE248" s="115" t="n">
        <f aca="false">IF(AE$5&gt;=12,Inputs!$E$222,0)</f>
        <v>0</v>
      </c>
      <c r="AF248" s="115" t="n">
        <f aca="false">IF(AF$5&gt;=12,Inputs!$E$222,0)</f>
        <v>0</v>
      </c>
      <c r="AG248" s="115" t="n">
        <f aca="false">IF(AG$5&gt;=12,Inputs!$E$222,0)</f>
        <v>0</v>
      </c>
      <c r="AI248" s="114" t="n">
        <f aca="false">INDEX($F248:$AG248,1,MATCH(AI$7,$F$7:$AG$7,1))</f>
        <v>0</v>
      </c>
      <c r="AJ248" s="114" t="n">
        <f aca="false">INDEX($F248:$AG248,1,MATCH(AJ$7,$F$7:$AG$7,1))</f>
        <v>0</v>
      </c>
      <c r="AK248" s="114" t="n">
        <f aca="false">INDEX($F248:$AG248,1,MATCH(AK$7,$F$7:$AG$7,1))</f>
        <v>0</v>
      </c>
      <c r="AL248" s="114" t="n">
        <f aca="false">INDEX($F248:$AG248,1,MATCH(AL$7,$F$7:$AG$7,1))</f>
        <v>0</v>
      </c>
      <c r="AM248" s="114" t="n">
        <f aca="false">INDEX($F248:$AG248,1,MATCH(AM$7,$F$7:$AG$7,1))</f>
        <v>0</v>
      </c>
      <c r="AN248" s="114" t="n">
        <f aca="false">INDEX($F248:$AG248,1,MATCH(AN$7,$F$7:$AG$7,1))</f>
        <v>0</v>
      </c>
      <c r="AO248" s="114" t="n">
        <f aca="false">INDEX($F248:$AG248,1,MATCH(AO$7,$F$7:$AG$7,1))</f>
        <v>0</v>
      </c>
    </row>
    <row r="249" customFormat="false" ht="15" hidden="false" customHeight="false" outlineLevel="0" collapsed="false">
      <c r="A249" s="112" t="s">
        <v>1886</v>
      </c>
      <c r="B249" s="24" t="s">
        <v>857</v>
      </c>
      <c r="C249" s="24" t="s">
        <v>690</v>
      </c>
      <c r="D249" s="24" t="s">
        <v>1849</v>
      </c>
      <c r="F249" s="115" t="n">
        <f aca="false">IF(F$5&gt;=12,Inputs!$D$222,0)</f>
        <v>0</v>
      </c>
      <c r="G249" s="115" t="n">
        <f aca="false">IF(G$5&gt;=12,Inputs!$D$222,0)</f>
        <v>0</v>
      </c>
      <c r="H249" s="115" t="n">
        <f aca="false">IF(H$5&gt;=12,Inputs!$D$222,0)</f>
        <v>0</v>
      </c>
      <c r="I249" s="115" t="n">
        <f aca="false">IF(I$5&gt;=12,Inputs!$D$222,0)</f>
        <v>0</v>
      </c>
      <c r="J249" s="115" t="n">
        <f aca="false">IF(J$5&gt;=12,Inputs!$D$222,0)</f>
        <v>0</v>
      </c>
      <c r="K249" s="115" t="n">
        <f aca="false">IF(K$5&gt;=12,Inputs!$D$222,0)</f>
        <v>0</v>
      </c>
      <c r="L249" s="115" t="n">
        <f aca="false">IF(L$5&gt;=12,Inputs!$D$222,0)</f>
        <v>0</v>
      </c>
      <c r="M249" s="115" t="n">
        <f aca="false">IF(M$5&gt;=12,Inputs!$D$222,0)</f>
        <v>0</v>
      </c>
      <c r="N249" s="115" t="n">
        <f aca="false">IF(N$5&gt;=12,Inputs!$D$222,0)</f>
        <v>0</v>
      </c>
      <c r="O249" s="115" t="n">
        <f aca="false">IF(O$5&gt;=12,Inputs!$D$222,0)</f>
        <v>0</v>
      </c>
      <c r="P249" s="115" t="n">
        <f aca="false">IF(P$5&gt;=12,Inputs!$D$222,0)</f>
        <v>0</v>
      </c>
      <c r="Q249" s="115" t="n">
        <f aca="false">IF(Q$5&gt;=12,Inputs!$D$222,0)</f>
        <v>0</v>
      </c>
      <c r="R249" s="115" t="n">
        <f aca="false">IF(R$5&gt;=12,Inputs!$D$222,0)</f>
        <v>0</v>
      </c>
      <c r="S249" s="115" t="n">
        <f aca="false">IF(S$5&gt;=12,Inputs!$D$222,0)</f>
        <v>0</v>
      </c>
      <c r="T249" s="115" t="n">
        <f aca="false">IF(T$5&gt;=12,Inputs!$D$222,0)</f>
        <v>0</v>
      </c>
      <c r="U249" s="115" t="n">
        <f aca="false">IF(U$5&gt;=12,Inputs!$D$222,0)</f>
        <v>0</v>
      </c>
      <c r="V249" s="115" t="n">
        <f aca="false">IF(V$5&gt;=12,Inputs!$D$222,0)</f>
        <v>0</v>
      </c>
      <c r="W249" s="115" t="n">
        <f aca="false">IF(W$5&gt;=12,Inputs!$D$222,0)</f>
        <v>0</v>
      </c>
      <c r="X249" s="115" t="n">
        <f aca="false">IF(X$5&gt;=12,Inputs!$D$222,0)</f>
        <v>0</v>
      </c>
      <c r="Y249" s="115" t="n">
        <f aca="false">IF(Y$5&gt;=12,Inputs!$D$222,0)</f>
        <v>0</v>
      </c>
      <c r="Z249" s="115" t="n">
        <f aca="false">IF(Z$5&gt;=12,Inputs!$D$222,0)</f>
        <v>0</v>
      </c>
      <c r="AA249" s="115" t="n">
        <f aca="false">IF(AA$5&gt;=12,Inputs!$D$222,0)</f>
        <v>0</v>
      </c>
      <c r="AB249" s="115" t="n">
        <f aca="false">IF(AB$5&gt;=12,Inputs!$D$222,0)</f>
        <v>0</v>
      </c>
      <c r="AC249" s="115" t="n">
        <f aca="false">IF(AC$5&gt;=12,Inputs!$D$222,0)</f>
        <v>0</v>
      </c>
      <c r="AD249" s="115" t="n">
        <f aca="false">IF(AD$5&gt;=12,Inputs!$D$222,0)</f>
        <v>0</v>
      </c>
      <c r="AE249" s="115" t="n">
        <f aca="false">IF(AE$5&gt;=12,Inputs!$D$222,0)</f>
        <v>0</v>
      </c>
      <c r="AF249" s="115" t="n">
        <f aca="false">IF(AF$5&gt;=12,Inputs!$D$222,0)</f>
        <v>0</v>
      </c>
      <c r="AG249" s="115" t="n">
        <f aca="false">IF(AG$5&gt;=12,Inputs!$D$222,0)</f>
        <v>0</v>
      </c>
      <c r="AI249" s="114" t="n">
        <f aca="false">INDEX($F249:$AG249,1,MATCH(AI$7,$F$7:$AG$7,1))</f>
        <v>0</v>
      </c>
      <c r="AJ249" s="114" t="n">
        <f aca="false">INDEX($F249:$AG249,1,MATCH(AJ$7,$F$7:$AG$7,1))</f>
        <v>0</v>
      </c>
      <c r="AK249" s="114" t="n">
        <f aca="false">INDEX($F249:$AG249,1,MATCH(AK$7,$F$7:$AG$7,1))</f>
        <v>0</v>
      </c>
      <c r="AL249" s="114" t="n">
        <f aca="false">INDEX($F249:$AG249,1,MATCH(AL$7,$F$7:$AG$7,1))</f>
        <v>0</v>
      </c>
      <c r="AM249" s="114" t="n">
        <f aca="false">INDEX($F249:$AG249,1,MATCH(AM$7,$F$7:$AG$7,1))</f>
        <v>0</v>
      </c>
      <c r="AN249" s="114" t="n">
        <f aca="false">INDEX($F249:$AG249,1,MATCH(AN$7,$F$7:$AG$7,1))</f>
        <v>0</v>
      </c>
      <c r="AO249" s="114" t="n">
        <f aca="false">INDEX($F249:$AG249,1,MATCH(AO$7,$F$7:$AG$7,1))</f>
        <v>0</v>
      </c>
    </row>
    <row r="250" customFormat="false" ht="15" hidden="false" customHeight="false" outlineLevel="0" collapsed="false">
      <c r="A250" s="112" t="s">
        <v>1887</v>
      </c>
      <c r="B250" s="24" t="s">
        <v>857</v>
      </c>
      <c r="C250" s="24" t="s">
        <v>690</v>
      </c>
      <c r="D250" s="24" t="s">
        <v>1849</v>
      </c>
      <c r="F250" s="115" t="n">
        <f aca="false">IF(F$5&gt;=12,Inputs!$C$222,0)</f>
        <v>0</v>
      </c>
      <c r="G250" s="115" t="n">
        <f aca="false">IF(G$5&gt;=12,Inputs!$C$222,0)</f>
        <v>0</v>
      </c>
      <c r="H250" s="115" t="n">
        <f aca="false">IF(H$5&gt;=12,Inputs!$C$222,0)</f>
        <v>0</v>
      </c>
      <c r="I250" s="115" t="n">
        <f aca="false">IF(I$5&gt;=12,Inputs!$C$222,0)</f>
        <v>0</v>
      </c>
      <c r="J250" s="115" t="n">
        <f aca="false">IF(J$5&gt;=12,Inputs!$C$222,0)</f>
        <v>0</v>
      </c>
      <c r="K250" s="115" t="n">
        <f aca="false">IF(K$5&gt;=12,Inputs!$C$222,0)</f>
        <v>0</v>
      </c>
      <c r="L250" s="115" t="n">
        <f aca="false">IF(L$5&gt;=12,Inputs!$C$222,0)</f>
        <v>0</v>
      </c>
      <c r="M250" s="115" t="n">
        <f aca="false">IF(M$5&gt;=12,Inputs!$C$222,0)</f>
        <v>0</v>
      </c>
      <c r="N250" s="115" t="n">
        <f aca="false">IF(N$5&gt;=12,Inputs!$C$222,0)</f>
        <v>0</v>
      </c>
      <c r="O250" s="115" t="n">
        <f aca="false">IF(O$5&gt;=12,Inputs!$C$222,0)</f>
        <v>0</v>
      </c>
      <c r="P250" s="115" t="n">
        <f aca="false">IF(P$5&gt;=12,Inputs!$C$222,0)</f>
        <v>0</v>
      </c>
      <c r="Q250" s="115" t="n">
        <f aca="false">IF(Q$5&gt;=12,Inputs!$C$222,0)</f>
        <v>0</v>
      </c>
      <c r="R250" s="115" t="n">
        <f aca="false">IF(R$5&gt;=12,Inputs!$C$222,0)</f>
        <v>0</v>
      </c>
      <c r="S250" s="115" t="n">
        <f aca="false">IF(S$5&gt;=12,Inputs!$C$222,0)</f>
        <v>0</v>
      </c>
      <c r="T250" s="115" t="n">
        <f aca="false">IF(T$5&gt;=12,Inputs!$C$222,0)</f>
        <v>0</v>
      </c>
      <c r="U250" s="115" t="n">
        <f aca="false">IF(U$5&gt;=12,Inputs!$C$222,0)</f>
        <v>0</v>
      </c>
      <c r="V250" s="115" t="n">
        <f aca="false">IF(V$5&gt;=12,Inputs!$C$222,0)</f>
        <v>0</v>
      </c>
      <c r="W250" s="115" t="n">
        <f aca="false">IF(W$5&gt;=12,Inputs!$C$222,0)</f>
        <v>0</v>
      </c>
      <c r="X250" s="115" t="n">
        <f aca="false">IF(X$5&gt;=12,Inputs!$C$222,0)</f>
        <v>0</v>
      </c>
      <c r="Y250" s="115" t="n">
        <f aca="false">IF(Y$5&gt;=12,Inputs!$C$222,0)</f>
        <v>0</v>
      </c>
      <c r="Z250" s="115" t="n">
        <f aca="false">IF(Z$5&gt;=12,Inputs!$C$222,0)</f>
        <v>0</v>
      </c>
      <c r="AA250" s="115" t="n">
        <f aca="false">IF(AA$5&gt;=12,Inputs!$C$222,0)</f>
        <v>0</v>
      </c>
      <c r="AB250" s="115" t="n">
        <f aca="false">IF(AB$5&gt;=12,Inputs!$C$222,0)</f>
        <v>0</v>
      </c>
      <c r="AC250" s="115" t="n">
        <f aca="false">IF(AC$5&gt;=12,Inputs!$C$222,0)</f>
        <v>0</v>
      </c>
      <c r="AD250" s="115" t="n">
        <f aca="false">IF(AD$5&gt;=12,Inputs!$C$222,0)</f>
        <v>0</v>
      </c>
      <c r="AE250" s="115" t="n">
        <f aca="false">IF(AE$5&gt;=12,Inputs!$C$222,0)</f>
        <v>0</v>
      </c>
      <c r="AF250" s="115" t="n">
        <f aca="false">IF(AF$5&gt;=12,Inputs!$C$222,0)</f>
        <v>0</v>
      </c>
      <c r="AG250" s="115" t="n">
        <f aca="false">IF(AG$5&gt;=12,Inputs!$C$222,0)</f>
        <v>0</v>
      </c>
      <c r="AI250" s="114" t="n">
        <f aca="false">INDEX($F250:$AG250,1,MATCH(AI$7,$F$7:$AG$7,1))</f>
        <v>0</v>
      </c>
      <c r="AJ250" s="114" t="n">
        <f aca="false">INDEX($F250:$AG250,1,MATCH(AJ$7,$F$7:$AG$7,1))</f>
        <v>0</v>
      </c>
      <c r="AK250" s="114" t="n">
        <f aca="false">INDEX($F250:$AG250,1,MATCH(AK$7,$F$7:$AG$7,1))</f>
        <v>0</v>
      </c>
      <c r="AL250" s="114" t="n">
        <f aca="false">INDEX($F250:$AG250,1,MATCH(AL$7,$F$7:$AG$7,1))</f>
        <v>0</v>
      </c>
      <c r="AM250" s="114" t="n">
        <f aca="false">INDEX($F250:$AG250,1,MATCH(AM$7,$F$7:$AG$7,1))</f>
        <v>0</v>
      </c>
      <c r="AN250" s="114" t="n">
        <f aca="false">INDEX($F250:$AG250,1,MATCH(AN$7,$F$7:$AG$7,1))</f>
        <v>0</v>
      </c>
      <c r="AO250" s="114" t="n">
        <f aca="false">INDEX($F250:$AG250,1,MATCH(AO$7,$F$7:$AG$7,1))</f>
        <v>0</v>
      </c>
    </row>
    <row r="251" customFormat="false" ht="15" hidden="false" customHeight="false" outlineLevel="0" collapsed="false">
      <c r="A251" s="112" t="s">
        <v>1888</v>
      </c>
      <c r="B251" s="24" t="s">
        <v>857</v>
      </c>
      <c r="C251" s="24" t="s">
        <v>690</v>
      </c>
      <c r="D251" s="24" t="s">
        <v>1889</v>
      </c>
      <c r="F251" s="83" t="n">
        <v>25</v>
      </c>
      <c r="G251" s="83" t="n">
        <v>25</v>
      </c>
      <c r="H251" s="83" t="n">
        <v>25</v>
      </c>
      <c r="I251" s="83" t="n">
        <v>30</v>
      </c>
      <c r="J251" s="83" t="n">
        <v>40</v>
      </c>
      <c r="K251" s="83" t="n">
        <v>45</v>
      </c>
      <c r="L251" s="83" t="n">
        <v>62.5</v>
      </c>
      <c r="M251" s="83" t="n">
        <v>147.7</v>
      </c>
      <c r="N251" s="83" t="n">
        <v>171.5</v>
      </c>
      <c r="O251" s="83" t="n">
        <v>173</v>
      </c>
      <c r="P251" s="83" t="n">
        <v>207.5</v>
      </c>
      <c r="Q251" s="83" t="n">
        <v>304.5</v>
      </c>
      <c r="R251" s="83" t="n">
        <v>444.7</v>
      </c>
      <c r="S251" s="83" t="n">
        <v>591.7</v>
      </c>
      <c r="T251" s="83" t="n">
        <v>751.5</v>
      </c>
      <c r="U251" s="83" t="n">
        <v>1069</v>
      </c>
      <c r="V251" s="83" t="n">
        <v>1181.5</v>
      </c>
      <c r="W251" s="83" t="n">
        <v>1376.5</v>
      </c>
      <c r="X251" s="83" t="n">
        <v>1389</v>
      </c>
      <c r="Y251" s="83" t="n">
        <v>1799</v>
      </c>
      <c r="Z251" s="83" t="n">
        <v>1799</v>
      </c>
      <c r="AA251" s="83" t="n">
        <v>2219</v>
      </c>
      <c r="AB251" s="83" t="n">
        <v>2219</v>
      </c>
      <c r="AC251" s="83" t="n">
        <v>2804</v>
      </c>
      <c r="AD251" s="83" t="n">
        <v>2804</v>
      </c>
      <c r="AE251" s="83" t="n">
        <v>2804</v>
      </c>
      <c r="AF251" s="83" t="n">
        <v>2804</v>
      </c>
      <c r="AG251" s="83" t="n">
        <v>3379</v>
      </c>
      <c r="AI251" s="35" t="n">
        <f aca="false">INDEX($F251:$AG251,1,MATCH(AI$7,$F$7:$AG$7,1))</f>
        <v>30</v>
      </c>
      <c r="AJ251" s="35" t="n">
        <f aca="false">INDEX($F251:$AG251,1,MATCH(AJ$7,$F$7:$AG$7,1))</f>
        <v>147.7</v>
      </c>
      <c r="AK251" s="35" t="n">
        <f aca="false">INDEX($F251:$AG251,1,MATCH(AK$7,$F$7:$AG$7,1))</f>
        <v>304.5</v>
      </c>
      <c r="AL251" s="35" t="n">
        <f aca="false">INDEX($F251:$AG251,1,MATCH(AL$7,$F$7:$AG$7,1))</f>
        <v>1069</v>
      </c>
      <c r="AM251" s="35" t="n">
        <f aca="false">INDEX($F251:$AG251,1,MATCH(AM$7,$F$7:$AG$7,1))</f>
        <v>1799</v>
      </c>
      <c r="AN251" s="35" t="n">
        <f aca="false">INDEX($F251:$AG251,1,MATCH(AN$7,$F$7:$AG$7,1))</f>
        <v>2804</v>
      </c>
      <c r="AO251" s="35" t="n">
        <f aca="false">INDEX($F251:$AG251,1,MATCH(AO$7,$F$7:$AG$7,1))</f>
        <v>3379</v>
      </c>
    </row>
    <row r="252" customFormat="false" ht="15" hidden="false" customHeight="false" outlineLevel="0" collapsed="false">
      <c r="A252" s="112" t="s">
        <v>1890</v>
      </c>
      <c r="B252" s="24" t="s">
        <v>857</v>
      </c>
      <c r="C252" s="24" t="s">
        <v>690</v>
      </c>
      <c r="D252" s="24" t="s">
        <v>1889</v>
      </c>
      <c r="F252" s="83" t="n">
        <v>25</v>
      </c>
      <c r="G252" s="83" t="n">
        <v>25</v>
      </c>
      <c r="H252" s="83" t="n">
        <v>25</v>
      </c>
      <c r="I252" s="83" t="n">
        <v>30</v>
      </c>
      <c r="J252" s="83" t="n">
        <v>50</v>
      </c>
      <c r="K252" s="83" t="n">
        <v>50</v>
      </c>
      <c r="L252" s="83" t="n">
        <v>62.5</v>
      </c>
      <c r="M252" s="83" t="n">
        <v>147.7</v>
      </c>
      <c r="N252" s="83" t="n">
        <v>181.5</v>
      </c>
      <c r="O252" s="83" t="n">
        <v>193</v>
      </c>
      <c r="P252" s="83" t="n">
        <v>227.5</v>
      </c>
      <c r="Q252" s="83" t="n">
        <v>319.5</v>
      </c>
      <c r="R252" s="83" t="n">
        <v>485.2</v>
      </c>
      <c r="S252" s="83" t="n">
        <v>677.2</v>
      </c>
      <c r="T252" s="83" t="n">
        <v>882</v>
      </c>
      <c r="U252" s="83" t="n">
        <v>1212.5</v>
      </c>
      <c r="V252" s="83" t="n">
        <v>1325</v>
      </c>
      <c r="W252" s="83" t="n">
        <v>1520</v>
      </c>
      <c r="X252" s="83" t="n">
        <v>1532.5</v>
      </c>
      <c r="Y252" s="83" t="n">
        <v>1942.5</v>
      </c>
      <c r="Z252" s="83" t="n">
        <v>1942.5</v>
      </c>
      <c r="AA252" s="83" t="n">
        <v>2362.5</v>
      </c>
      <c r="AB252" s="83" t="n">
        <v>2362.5</v>
      </c>
      <c r="AC252" s="83" t="n">
        <v>2947.5</v>
      </c>
      <c r="AD252" s="83" t="n">
        <v>2947.5</v>
      </c>
      <c r="AE252" s="83" t="n">
        <v>2947.5</v>
      </c>
      <c r="AF252" s="83" t="n">
        <v>2947.5</v>
      </c>
      <c r="AG252" s="83" t="n">
        <v>3522.5</v>
      </c>
      <c r="AI252" s="35" t="n">
        <f aca="false">INDEX($F252:$AG252,1,MATCH(AI$7,$F$7:$AG$7,1))</f>
        <v>30</v>
      </c>
      <c r="AJ252" s="35" t="n">
        <f aca="false">INDEX($F252:$AG252,1,MATCH(AJ$7,$F$7:$AG$7,1))</f>
        <v>147.7</v>
      </c>
      <c r="AK252" s="35" t="n">
        <f aca="false">INDEX($F252:$AG252,1,MATCH(AK$7,$F$7:$AG$7,1))</f>
        <v>319.5</v>
      </c>
      <c r="AL252" s="35" t="n">
        <f aca="false">INDEX($F252:$AG252,1,MATCH(AL$7,$F$7:$AG$7,1))</f>
        <v>1212.5</v>
      </c>
      <c r="AM252" s="35" t="n">
        <f aca="false">INDEX($F252:$AG252,1,MATCH(AM$7,$F$7:$AG$7,1))</f>
        <v>1942.5</v>
      </c>
      <c r="AN252" s="35" t="n">
        <f aca="false">INDEX($F252:$AG252,1,MATCH(AN$7,$F$7:$AG$7,1))</f>
        <v>2947.5</v>
      </c>
      <c r="AO252" s="35" t="n">
        <f aca="false">INDEX($F252:$AG252,1,MATCH(AO$7,$F$7:$AG$7,1))</f>
        <v>3522.5</v>
      </c>
    </row>
    <row r="253" customFormat="false" ht="15" hidden="false" customHeight="false" outlineLevel="0" collapsed="false">
      <c r="A253" s="112" t="s">
        <v>1891</v>
      </c>
      <c r="B253" s="24" t="s">
        <v>857</v>
      </c>
      <c r="C253" s="24" t="s">
        <v>672</v>
      </c>
      <c r="D253" s="24"/>
      <c r="F253" s="35" t="n">
        <f aca="false">IF(CapV=2,N(F252),N(F251))</f>
        <v>25</v>
      </c>
      <c r="G253" s="35" t="n">
        <f aca="false">IF(CapV=2,N(G252),N(G251))</f>
        <v>25</v>
      </c>
      <c r="H253" s="35" t="n">
        <f aca="false">IF(CapV=2,N(H252),N(H251))</f>
        <v>25</v>
      </c>
      <c r="I253" s="35" t="n">
        <f aca="false">IF(CapV=2,N(I252),N(I251))</f>
        <v>30</v>
      </c>
      <c r="J253" s="35" t="n">
        <f aca="false">IF(CapV=2,N(J252),N(J251))</f>
        <v>50</v>
      </c>
      <c r="K253" s="35" t="n">
        <f aca="false">IF(CapV=2,N(K252),N(K251))</f>
        <v>50</v>
      </c>
      <c r="L253" s="35" t="n">
        <f aca="false">IF(CapV=2,N(L252),N(L251))</f>
        <v>62.5</v>
      </c>
      <c r="M253" s="35" t="n">
        <f aca="false">IF(CapV=2,N(M252),N(M251))</f>
        <v>147.7</v>
      </c>
      <c r="N253" s="35" t="n">
        <f aca="false">IF(CapV=2,N(N252),N(N251))</f>
        <v>181.5</v>
      </c>
      <c r="O253" s="35" t="n">
        <f aca="false">IF(CapV=2,N(O252),N(O251))</f>
        <v>193</v>
      </c>
      <c r="P253" s="35" t="n">
        <f aca="false">IF(CapV=2,N(P252),N(P251))</f>
        <v>227.5</v>
      </c>
      <c r="Q253" s="35" t="n">
        <f aca="false">IF(CapV=2,N(Q252),N(Q251))</f>
        <v>319.5</v>
      </c>
      <c r="R253" s="35" t="n">
        <f aca="false">IF(CapV=2,N(R252),N(R251))</f>
        <v>485.2</v>
      </c>
      <c r="S253" s="35" t="n">
        <f aca="false">IF(CapV=2,N(S252),N(S251))</f>
        <v>677.2</v>
      </c>
      <c r="T253" s="35" t="n">
        <f aca="false">IF(CapV=2,N(T252),N(T251))</f>
        <v>882</v>
      </c>
      <c r="U253" s="35" t="n">
        <f aca="false">IF(CapV=2,N(U252),N(U251))</f>
        <v>1212.5</v>
      </c>
      <c r="V253" s="35" t="n">
        <f aca="false">IF(CapV=2,N(V252),N(V251))</f>
        <v>1325</v>
      </c>
      <c r="W253" s="35" t="n">
        <f aca="false">IF(CapV=2,N(W252),N(W251))</f>
        <v>1520</v>
      </c>
      <c r="X253" s="35" t="n">
        <f aca="false">IF(CapV=2,N(X252),N(X251))</f>
        <v>1532.5</v>
      </c>
      <c r="Y253" s="35" t="n">
        <f aca="false">IF(CapV=2,N(Y252),N(Y251))</f>
        <v>1942.5</v>
      </c>
      <c r="Z253" s="35" t="n">
        <f aca="false">IF(CapV=2,N(Z252),N(Z251))</f>
        <v>1942.5</v>
      </c>
      <c r="AA253" s="35" t="n">
        <f aca="false">IF(CapV=2,N(AA252),N(AA251))</f>
        <v>2362.5</v>
      </c>
      <c r="AB253" s="35" t="n">
        <f aca="false">IF(CapV=2,N(AB252),N(AB251))</f>
        <v>2362.5</v>
      </c>
      <c r="AC253" s="35" t="n">
        <f aca="false">IF(CapV=2,N(AC252),N(AC251))</f>
        <v>2947.5</v>
      </c>
      <c r="AD253" s="35" t="n">
        <f aca="false">IF(CapV=2,N(AD252),N(AD251))</f>
        <v>2947.5</v>
      </c>
      <c r="AE253" s="35" t="n">
        <f aca="false">IF(CapV=2,N(AE252),N(AE251))</f>
        <v>2947.5</v>
      </c>
      <c r="AF253" s="35" t="n">
        <f aca="false">IF(CapV=2,N(AF252),N(AF251))</f>
        <v>2947.5</v>
      </c>
      <c r="AG253" s="35" t="n">
        <f aca="false">IF(CapV=2,N(AG252),N(AG251))</f>
        <v>3522.5</v>
      </c>
      <c r="AI253" s="35" t="n">
        <f aca="false">INDEX($F253:$AG253,1,MATCH(AI$7,$F$7:$AG$7,1))</f>
        <v>30</v>
      </c>
      <c r="AJ253" s="35" t="n">
        <f aca="false">INDEX($F253:$AG253,1,MATCH(AJ$7,$F$7:$AG$7,1))</f>
        <v>147.7</v>
      </c>
      <c r="AK253" s="35" t="n">
        <f aca="false">INDEX($F253:$AG253,1,MATCH(AK$7,$F$7:$AG$7,1))</f>
        <v>319.5</v>
      </c>
      <c r="AL253" s="35" t="n">
        <f aca="false">INDEX($F253:$AG253,1,MATCH(AL$7,$F$7:$AG$7,1))</f>
        <v>1212.5</v>
      </c>
      <c r="AM253" s="35" t="n">
        <f aca="false">INDEX($F253:$AG253,1,MATCH(AM$7,$F$7:$AG$7,1))</f>
        <v>1942.5</v>
      </c>
      <c r="AN253" s="35" t="n">
        <f aca="false">INDEX($F253:$AG253,1,MATCH(AN$7,$F$7:$AG$7,1))</f>
        <v>2947.5</v>
      </c>
      <c r="AO253" s="35" t="n">
        <f aca="false">INDEX($F253:$AG253,1,MATCH(AO$7,$F$7:$AG$7,1))</f>
        <v>3522.5</v>
      </c>
    </row>
    <row r="254" customFormat="false" ht="15" hidden="false" customHeight="false" outlineLevel="0" collapsed="false">
      <c r="A254" s="112" t="s">
        <v>1892</v>
      </c>
      <c r="B254" s="24" t="s">
        <v>857</v>
      </c>
      <c r="C254" s="24" t="s">
        <v>672</v>
      </c>
      <c r="D254" s="24"/>
      <c r="F254" s="116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16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16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16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16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16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16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16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16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16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35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35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35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35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35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35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35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35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35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35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35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35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35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35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35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35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35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35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35" t="n">
        <f aca="false">INDEX($F254:$AG254,1,MATCH(AI$7,$F$7:$AG$7,1))</f>
        <v>30</v>
      </c>
      <c r="AJ254" s="35" t="n">
        <f aca="false">INDEX($F254:$AG254,1,MATCH(AJ$7,$F$7:$AG$7,1))</f>
        <v>147.7</v>
      </c>
      <c r="AK254" s="35" t="n">
        <f aca="false">INDEX($F254:$AG254,1,MATCH(AK$7,$F$7:$AG$7,1))</f>
        <v>319.5</v>
      </c>
      <c r="AL254" s="35" t="n">
        <f aca="false">INDEX($F254:$AG254,1,MATCH(AL$7,$F$7:$AG$7,1))</f>
        <v>1212.5</v>
      </c>
      <c r="AM254" s="35" t="n">
        <f aca="false">INDEX($F254:$AG254,1,MATCH(AM$7,$F$7:$AG$7,1))</f>
        <v>1942.5</v>
      </c>
      <c r="AN254" s="35" t="n">
        <f aca="false">INDEX($F254:$AG254,1,MATCH(AN$7,$F$7:$AG$7,1))</f>
        <v>2947.5</v>
      </c>
      <c r="AO254" s="35" t="n">
        <f aca="false">INDEX($F254:$AG254,1,MATCH(AO$7,$F$7:$AG$7,1))</f>
        <v>3522.5</v>
      </c>
    </row>
    <row r="255" customFormat="false" ht="15" hidden="false" customHeight="false" outlineLevel="0" collapsed="false">
      <c r="A255" s="112" t="s">
        <v>1893</v>
      </c>
      <c r="B255" s="24" t="s">
        <v>857</v>
      </c>
      <c r="C255" s="24" t="s">
        <v>672</v>
      </c>
      <c r="D255" s="24"/>
      <c r="F255" s="117" t="n">
        <f aca="false">F254-F253</f>
        <v>0</v>
      </c>
      <c r="G255" s="117" t="n">
        <f aca="false">G254-G253</f>
        <v>0</v>
      </c>
      <c r="H255" s="117" t="n">
        <f aca="false">H254-H253</f>
        <v>0</v>
      </c>
      <c r="I255" s="117" t="n">
        <f aca="false">I254-I253</f>
        <v>0</v>
      </c>
      <c r="J255" s="117" t="n">
        <f aca="false">J254-J253</f>
        <v>0</v>
      </c>
      <c r="K255" s="117" t="n">
        <f aca="false">K254-K253</f>
        <v>0</v>
      </c>
      <c r="L255" s="117" t="n">
        <f aca="false">L254-L253</f>
        <v>0</v>
      </c>
      <c r="M255" s="117" t="n">
        <f aca="false">M254-M253</f>
        <v>0</v>
      </c>
      <c r="N255" s="117" t="n">
        <f aca="false">N254-N253</f>
        <v>0</v>
      </c>
      <c r="O255" s="117" t="n">
        <f aca="false">O254-O253</f>
        <v>0</v>
      </c>
      <c r="P255" s="114" t="n">
        <f aca="false">P254-P253</f>
        <v>0</v>
      </c>
      <c r="Q255" s="114" t="n">
        <f aca="false">Q254-Q253</f>
        <v>0</v>
      </c>
      <c r="R255" s="114" t="n">
        <f aca="false">R254-R253</f>
        <v>0</v>
      </c>
      <c r="S255" s="114" t="n">
        <f aca="false">S254-S253</f>
        <v>0</v>
      </c>
      <c r="T255" s="114" t="n">
        <f aca="false">T254-T253</f>
        <v>0</v>
      </c>
      <c r="U255" s="114" t="n">
        <f aca="false">U254-U253</f>
        <v>0</v>
      </c>
      <c r="V255" s="114" t="n">
        <f aca="false">V254-V253</f>
        <v>0</v>
      </c>
      <c r="W255" s="114" t="n">
        <f aca="false">W254-W253</f>
        <v>0</v>
      </c>
      <c r="X255" s="114" t="n">
        <f aca="false">X254-X253</f>
        <v>0</v>
      </c>
      <c r="Y255" s="114" t="n">
        <f aca="false">Y254-Y253</f>
        <v>0</v>
      </c>
      <c r="Z255" s="114" t="n">
        <f aca="false">Z254-Z253</f>
        <v>0</v>
      </c>
      <c r="AA255" s="114" t="n">
        <f aca="false">AA254-AA253</f>
        <v>0</v>
      </c>
      <c r="AB255" s="114" t="n">
        <f aca="false">AB254-AB253</f>
        <v>0</v>
      </c>
      <c r="AC255" s="114" t="n">
        <f aca="false">AC254-AC253</f>
        <v>0</v>
      </c>
      <c r="AD255" s="114" t="n">
        <f aca="false">AD254-AD253</f>
        <v>0</v>
      </c>
      <c r="AE255" s="114" t="n">
        <f aca="false">AE254-AE253</f>
        <v>0</v>
      </c>
      <c r="AF255" s="114" t="n">
        <f aca="false">AF254-AF253</f>
        <v>0</v>
      </c>
      <c r="AG255" s="114" t="n">
        <f aca="false">AG254-AG253</f>
        <v>0</v>
      </c>
      <c r="AI255" s="114" t="n">
        <f aca="false">INDEX($F255:$AG255,1,MATCH(AI$7,$F$7:$AG$7,1))</f>
        <v>0</v>
      </c>
      <c r="AJ255" s="114" t="n">
        <f aca="false">INDEX($F255:$AG255,1,MATCH(AJ$7,$F$7:$AG$7,1))</f>
        <v>0</v>
      </c>
      <c r="AK255" s="114" t="n">
        <f aca="false">INDEX($F255:$AG255,1,MATCH(AK$7,$F$7:$AG$7,1))</f>
        <v>0</v>
      </c>
      <c r="AL255" s="114" t="n">
        <f aca="false">INDEX($F255:$AG255,1,MATCH(AL$7,$F$7:$AG$7,1))</f>
        <v>0</v>
      </c>
      <c r="AM255" s="114" t="n">
        <f aca="false">INDEX($F255:$AG255,1,MATCH(AM$7,$F$7:$AG$7,1))</f>
        <v>0</v>
      </c>
      <c r="AN255" s="114" t="n">
        <f aca="false">INDEX($F255:$AG255,1,MATCH(AN$7,$F$7:$AG$7,1))</f>
        <v>0</v>
      </c>
      <c r="AO255" s="114" t="n">
        <f aca="false">INDEX($F255:$AG255,1,MATCH(AO$7,$F$7:$AG$7,1))</f>
        <v>0</v>
      </c>
    </row>
    <row r="257" customFormat="false" ht="15" hidden="false" customHeight="false" outlineLevel="0" collapsed="false">
      <c r="A257" s="64" t="s">
        <v>1894</v>
      </c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</row>
    <row r="258" customFormat="false" ht="15" hidden="false" customHeight="false" outlineLevel="0" collapsed="false">
      <c r="A258" s="112" t="s">
        <v>1623</v>
      </c>
      <c r="B258" s="24" t="s">
        <v>857</v>
      </c>
      <c r="C258" s="24" t="s">
        <v>690</v>
      </c>
      <c r="D258" s="24"/>
      <c r="J258" s="113" t="n">
        <v>300</v>
      </c>
      <c r="K258" s="113" t="n">
        <v>300</v>
      </c>
      <c r="L258" s="113" t="n">
        <v>300</v>
      </c>
      <c r="M258" s="113" t="n">
        <v>300</v>
      </c>
      <c r="N258" s="113" t="n">
        <v>300</v>
      </c>
      <c r="O258" s="113" t="n">
        <v>300</v>
      </c>
      <c r="P258" s="113" t="n">
        <v>300</v>
      </c>
      <c r="Q258" s="113" t="n">
        <v>300</v>
      </c>
      <c r="R258" s="113" t="n">
        <v>300</v>
      </c>
      <c r="S258" s="113" t="n">
        <v>300</v>
      </c>
      <c r="T258" s="113" t="n">
        <v>300</v>
      </c>
      <c r="U258" s="113" t="n">
        <v>300</v>
      </c>
      <c r="V258" s="113" t="n">
        <v>300</v>
      </c>
      <c r="W258" s="113" t="n">
        <v>300</v>
      </c>
      <c r="X258" s="113" t="n">
        <v>300</v>
      </c>
      <c r="Y258" s="113" t="n">
        <v>300</v>
      </c>
      <c r="Z258" s="113" t="n">
        <v>300</v>
      </c>
      <c r="AA258" s="113" t="n">
        <v>300</v>
      </c>
      <c r="AB258" s="113" t="n">
        <v>300</v>
      </c>
      <c r="AC258" s="113" t="n">
        <v>300</v>
      </c>
      <c r="AD258" s="113" t="n">
        <v>300</v>
      </c>
      <c r="AE258" s="113" t="n">
        <v>300</v>
      </c>
      <c r="AF258" s="113" t="n">
        <v>300</v>
      </c>
      <c r="AG258" s="113" t="n">
        <v>300</v>
      </c>
      <c r="AI258" s="114" t="n">
        <f aca="false">INDEX($F258:$AG258,1,MATCH(AI$7,$F$7:$AG$7,1))</f>
        <v>0</v>
      </c>
      <c r="AJ258" s="114" t="n">
        <f aca="false">INDEX($F258:$AG258,1,MATCH(AJ$7,$F$7:$AG$7,1))</f>
        <v>300</v>
      </c>
      <c r="AK258" s="114" t="n">
        <f aca="false">INDEX($F258:$AG258,1,MATCH(AK$7,$F$7:$AG$7,1))</f>
        <v>300</v>
      </c>
      <c r="AL258" s="114" t="n">
        <f aca="false">INDEX($F258:$AG258,1,MATCH(AL$7,$F$7:$AG$7,1))</f>
        <v>300</v>
      </c>
      <c r="AM258" s="114" t="n">
        <f aca="false">INDEX($F258:$AG258,1,MATCH(AM$7,$F$7:$AG$7,1))</f>
        <v>300</v>
      </c>
      <c r="AN258" s="114" t="n">
        <f aca="false">INDEX($F258:$AG258,1,MATCH(AN$7,$F$7:$AG$7,1))</f>
        <v>300</v>
      </c>
      <c r="AO258" s="114" t="n">
        <f aca="false">INDEX($F258:$AG258,1,MATCH(AO$7,$F$7:$AG$7,1))</f>
        <v>300</v>
      </c>
    </row>
    <row r="259" customFormat="false" ht="15" hidden="false" customHeight="false" outlineLevel="0" collapsed="false">
      <c r="A259" s="112" t="s">
        <v>1630</v>
      </c>
      <c r="B259" s="24" t="s">
        <v>857</v>
      </c>
      <c r="C259" s="24" t="s">
        <v>690</v>
      </c>
      <c r="D259" s="24"/>
      <c r="M259" s="113" t="n">
        <v>1200</v>
      </c>
      <c r="N259" s="113" t="n">
        <v>1200</v>
      </c>
      <c r="O259" s="113" t="n">
        <v>1200</v>
      </c>
      <c r="P259" s="113" t="n">
        <v>1200</v>
      </c>
      <c r="Q259" s="113" t="n">
        <v>1200</v>
      </c>
      <c r="R259" s="113" t="n">
        <v>1200</v>
      </c>
      <c r="S259" s="113" t="n">
        <v>1200</v>
      </c>
      <c r="T259" s="113" t="n">
        <v>1200</v>
      </c>
      <c r="U259" s="113" t="n">
        <v>1200</v>
      </c>
      <c r="V259" s="113" t="n">
        <v>1200</v>
      </c>
      <c r="W259" s="113" t="n">
        <v>1200</v>
      </c>
      <c r="X259" s="113" t="n">
        <v>1200</v>
      </c>
      <c r="Y259" s="113" t="n">
        <v>1200</v>
      </c>
      <c r="Z259" s="113" t="n">
        <v>1200</v>
      </c>
      <c r="AA259" s="113" t="n">
        <v>1200</v>
      </c>
      <c r="AB259" s="113" t="n">
        <v>1200</v>
      </c>
      <c r="AC259" s="113" t="n">
        <v>1200</v>
      </c>
      <c r="AD259" s="113" t="n">
        <v>1200</v>
      </c>
      <c r="AE259" s="113" t="n">
        <v>1200</v>
      </c>
      <c r="AF259" s="113" t="n">
        <v>1200</v>
      </c>
      <c r="AG259" s="113" t="n">
        <v>1200</v>
      </c>
      <c r="AI259" s="114" t="n">
        <f aca="false">INDEX($F259:$AG259,1,MATCH(AI$7,$F$7:$AG$7,1))</f>
        <v>0</v>
      </c>
      <c r="AJ259" s="114" t="n">
        <f aca="false">INDEX($F259:$AG259,1,MATCH(AJ$7,$F$7:$AG$7,1))</f>
        <v>1200</v>
      </c>
      <c r="AK259" s="114" t="n">
        <f aca="false">INDEX($F259:$AG259,1,MATCH(AK$7,$F$7:$AG$7,1))</f>
        <v>1200</v>
      </c>
      <c r="AL259" s="114" t="n">
        <f aca="false">INDEX($F259:$AG259,1,MATCH(AL$7,$F$7:$AG$7,1))</f>
        <v>1200</v>
      </c>
      <c r="AM259" s="114" t="n">
        <f aca="false">INDEX($F259:$AG259,1,MATCH(AM$7,$F$7:$AG$7,1))</f>
        <v>1200</v>
      </c>
      <c r="AN259" s="114" t="n">
        <f aca="false">INDEX($F259:$AG259,1,MATCH(AN$7,$F$7:$AG$7,1))</f>
        <v>1200</v>
      </c>
      <c r="AO259" s="114" t="n">
        <f aca="false">INDEX($F259:$AG259,1,MATCH(AO$7,$F$7:$AG$7,1))</f>
        <v>1200</v>
      </c>
    </row>
    <row r="260" customFormat="false" ht="15" hidden="false" customHeight="false" outlineLevel="0" collapsed="false">
      <c r="A260" s="112" t="s">
        <v>1636</v>
      </c>
      <c r="B260" s="24" t="s">
        <v>857</v>
      </c>
      <c r="C260" s="24" t="s">
        <v>690</v>
      </c>
      <c r="D260" s="24"/>
      <c r="O260" s="113" t="n">
        <v>1200</v>
      </c>
      <c r="P260" s="113" t="n">
        <v>1200</v>
      </c>
      <c r="Q260" s="113" t="n">
        <v>1200</v>
      </c>
      <c r="R260" s="113" t="n">
        <v>1200</v>
      </c>
      <c r="S260" s="113" t="n">
        <v>1200</v>
      </c>
      <c r="T260" s="113" t="n">
        <v>1200</v>
      </c>
      <c r="U260" s="113" t="n">
        <v>1200</v>
      </c>
      <c r="V260" s="113" t="n">
        <v>1200</v>
      </c>
      <c r="W260" s="113" t="n">
        <v>1200</v>
      </c>
      <c r="X260" s="113" t="n">
        <v>1200</v>
      </c>
      <c r="Y260" s="113" t="n">
        <v>1200</v>
      </c>
      <c r="Z260" s="113" t="n">
        <v>1200</v>
      </c>
      <c r="AA260" s="113" t="n">
        <v>1200</v>
      </c>
      <c r="AB260" s="113" t="n">
        <v>1200</v>
      </c>
      <c r="AC260" s="113" t="n">
        <v>1200</v>
      </c>
      <c r="AD260" s="113" t="n">
        <v>1200</v>
      </c>
      <c r="AE260" s="113" t="n">
        <v>1200</v>
      </c>
      <c r="AF260" s="113" t="n">
        <v>1200</v>
      </c>
      <c r="AG260" s="113" t="n">
        <v>1200</v>
      </c>
      <c r="AI260" s="114" t="n">
        <f aca="false">INDEX($F260:$AG260,1,MATCH(AI$7,$F$7:$AG$7,1))</f>
        <v>0</v>
      </c>
      <c r="AJ260" s="114" t="n">
        <f aca="false">INDEX($F260:$AG260,1,MATCH(AJ$7,$F$7:$AG$7,1))</f>
        <v>0</v>
      </c>
      <c r="AK260" s="114" t="n">
        <f aca="false">INDEX($F260:$AG260,1,MATCH(AK$7,$F$7:$AG$7,1))</f>
        <v>1200</v>
      </c>
      <c r="AL260" s="114" t="n">
        <f aca="false">INDEX($F260:$AG260,1,MATCH(AL$7,$F$7:$AG$7,1))</f>
        <v>1200</v>
      </c>
      <c r="AM260" s="114" t="n">
        <f aca="false">INDEX($F260:$AG260,1,MATCH(AM$7,$F$7:$AG$7,1))</f>
        <v>1200</v>
      </c>
      <c r="AN260" s="114" t="n">
        <f aca="false">INDEX($F260:$AG260,1,MATCH(AN$7,$F$7:$AG$7,1))</f>
        <v>1200</v>
      </c>
      <c r="AO260" s="114" t="n">
        <f aca="false">INDEX($F260:$AG260,1,MATCH(AO$7,$F$7:$AG$7,1))</f>
        <v>1200</v>
      </c>
    </row>
    <row r="261" customFormat="false" ht="15" hidden="false" customHeight="false" outlineLevel="0" collapsed="false">
      <c r="A261" s="112" t="s">
        <v>1637</v>
      </c>
      <c r="B261" s="24" t="s">
        <v>857</v>
      </c>
      <c r="C261" s="24" t="s">
        <v>690</v>
      </c>
      <c r="D261" s="24"/>
      <c r="L261" s="113" t="n">
        <v>300</v>
      </c>
      <c r="M261" s="113" t="n">
        <v>300</v>
      </c>
      <c r="N261" s="113" t="n">
        <v>300</v>
      </c>
      <c r="O261" s="113" t="n">
        <v>300</v>
      </c>
      <c r="P261" s="113" t="n">
        <v>300</v>
      </c>
      <c r="Q261" s="113" t="n">
        <v>300</v>
      </c>
      <c r="R261" s="113" t="n">
        <v>300</v>
      </c>
      <c r="S261" s="113" t="n">
        <v>300</v>
      </c>
      <c r="T261" s="113" t="n">
        <v>300</v>
      </c>
      <c r="U261" s="113" t="n">
        <v>300</v>
      </c>
      <c r="V261" s="113" t="n">
        <v>300</v>
      </c>
      <c r="W261" s="113" t="n">
        <v>300</v>
      </c>
      <c r="X261" s="113" t="n">
        <v>300</v>
      </c>
      <c r="Y261" s="113" t="n">
        <v>300</v>
      </c>
      <c r="Z261" s="113" t="n">
        <v>300</v>
      </c>
      <c r="AA261" s="113" t="n">
        <v>300</v>
      </c>
      <c r="AB261" s="113" t="n">
        <v>300</v>
      </c>
      <c r="AC261" s="113" t="n">
        <v>300</v>
      </c>
      <c r="AD261" s="113" t="n">
        <v>300</v>
      </c>
      <c r="AE261" s="113" t="n">
        <v>300</v>
      </c>
      <c r="AF261" s="113" t="n">
        <v>300</v>
      </c>
      <c r="AG261" s="113" t="n">
        <v>300</v>
      </c>
      <c r="AI261" s="114" t="n">
        <f aca="false">INDEX($F261:$AG261,1,MATCH(AI$7,$F$7:$AG$7,1))</f>
        <v>0</v>
      </c>
      <c r="AJ261" s="114" t="n">
        <f aca="false">INDEX($F261:$AG261,1,MATCH(AJ$7,$F$7:$AG$7,1))</f>
        <v>300</v>
      </c>
      <c r="AK261" s="114" t="n">
        <f aca="false">INDEX($F261:$AG261,1,MATCH(AK$7,$F$7:$AG$7,1))</f>
        <v>300</v>
      </c>
      <c r="AL261" s="114" t="n">
        <f aca="false">INDEX($F261:$AG261,1,MATCH(AL$7,$F$7:$AG$7,1))</f>
        <v>300</v>
      </c>
      <c r="AM261" s="114" t="n">
        <f aca="false">INDEX($F261:$AG261,1,MATCH(AM$7,$F$7:$AG$7,1))</f>
        <v>300</v>
      </c>
      <c r="AN261" s="114" t="n">
        <f aca="false">INDEX($F261:$AG261,1,MATCH(AN$7,$F$7:$AG$7,1))</f>
        <v>300</v>
      </c>
      <c r="AO261" s="114" t="n">
        <f aca="false">INDEX($F261:$AG261,1,MATCH(AO$7,$F$7:$AG$7,1))</f>
        <v>300</v>
      </c>
    </row>
    <row r="262" customFormat="false" ht="15" hidden="false" customHeight="false" outlineLevel="0" collapsed="false">
      <c r="A262" s="112" t="s">
        <v>1639</v>
      </c>
      <c r="B262" s="24" t="s">
        <v>857</v>
      </c>
      <c r="C262" s="24" t="s">
        <v>690</v>
      </c>
      <c r="D262" s="24"/>
      <c r="N262" s="113" t="n">
        <v>240</v>
      </c>
      <c r="O262" s="113" t="n">
        <v>240</v>
      </c>
      <c r="P262" s="113" t="n">
        <v>240</v>
      </c>
      <c r="Q262" s="113" t="n">
        <v>240</v>
      </c>
      <c r="R262" s="113" t="n">
        <v>240</v>
      </c>
      <c r="S262" s="113" t="n">
        <v>240</v>
      </c>
      <c r="T262" s="113" t="n">
        <v>240</v>
      </c>
      <c r="U262" s="113" t="n">
        <v>240</v>
      </c>
      <c r="V262" s="113" t="n">
        <v>240</v>
      </c>
      <c r="W262" s="113" t="n">
        <v>240</v>
      </c>
      <c r="X262" s="113" t="n">
        <v>240</v>
      </c>
      <c r="Y262" s="113" t="n">
        <v>240</v>
      </c>
      <c r="Z262" s="113" t="n">
        <v>240</v>
      </c>
      <c r="AA262" s="113" t="n">
        <v>240</v>
      </c>
      <c r="AB262" s="113" t="n">
        <v>240</v>
      </c>
      <c r="AC262" s="113" t="n">
        <v>240</v>
      </c>
      <c r="AD262" s="113" t="n">
        <v>240</v>
      </c>
      <c r="AE262" s="113" t="n">
        <v>240</v>
      </c>
      <c r="AF262" s="113" t="n">
        <v>240</v>
      </c>
      <c r="AG262" s="113" t="n">
        <v>240</v>
      </c>
      <c r="AI262" s="114" t="n">
        <f aca="false">INDEX($F262:$AG262,1,MATCH(AI$7,$F$7:$AG$7,1))</f>
        <v>0</v>
      </c>
      <c r="AJ262" s="114" t="n">
        <f aca="false">INDEX($F262:$AG262,1,MATCH(AJ$7,$F$7:$AG$7,1))</f>
        <v>0</v>
      </c>
      <c r="AK262" s="114" t="n">
        <f aca="false">INDEX($F262:$AG262,1,MATCH(AK$7,$F$7:$AG$7,1))</f>
        <v>240</v>
      </c>
      <c r="AL262" s="114" t="n">
        <f aca="false">INDEX($F262:$AG262,1,MATCH(AL$7,$F$7:$AG$7,1))</f>
        <v>240</v>
      </c>
      <c r="AM262" s="114" t="n">
        <f aca="false">INDEX($F262:$AG262,1,MATCH(AM$7,$F$7:$AG$7,1))</f>
        <v>240</v>
      </c>
      <c r="AN262" s="114" t="n">
        <f aca="false">INDEX($F262:$AG262,1,MATCH(AN$7,$F$7:$AG$7,1))</f>
        <v>240</v>
      </c>
      <c r="AO262" s="114" t="n">
        <f aca="false">INDEX($F262:$AG262,1,MATCH(AO$7,$F$7:$AG$7,1))</f>
        <v>240</v>
      </c>
    </row>
    <row r="263" customFormat="false" ht="15" hidden="false" customHeight="false" outlineLevel="0" collapsed="false">
      <c r="A263" s="112" t="s">
        <v>1642</v>
      </c>
      <c r="B263" s="24" t="s">
        <v>857</v>
      </c>
      <c r="C263" s="24" t="s">
        <v>690</v>
      </c>
      <c r="D263" s="24"/>
      <c r="N263" s="113" t="n">
        <v>310</v>
      </c>
      <c r="O263" s="113" t="n">
        <v>310</v>
      </c>
      <c r="P263" s="113" t="n">
        <v>310</v>
      </c>
      <c r="Q263" s="113" t="n">
        <v>310</v>
      </c>
      <c r="R263" s="113" t="n">
        <v>310</v>
      </c>
      <c r="S263" s="113" t="n">
        <v>310</v>
      </c>
      <c r="T263" s="113" t="n">
        <v>310</v>
      </c>
      <c r="U263" s="113" t="n">
        <v>310</v>
      </c>
      <c r="V263" s="113" t="n">
        <v>310</v>
      </c>
      <c r="W263" s="113" t="n">
        <v>310</v>
      </c>
      <c r="X263" s="113" t="n">
        <v>310</v>
      </c>
      <c r="Y263" s="113" t="n">
        <v>310</v>
      </c>
      <c r="Z263" s="113" t="n">
        <v>310</v>
      </c>
      <c r="AA263" s="113" t="n">
        <v>310</v>
      </c>
      <c r="AB263" s="113" t="n">
        <v>310</v>
      </c>
      <c r="AC263" s="113" t="n">
        <v>310</v>
      </c>
      <c r="AD263" s="113" t="n">
        <v>310</v>
      </c>
      <c r="AE263" s="113" t="n">
        <v>310</v>
      </c>
      <c r="AF263" s="113" t="n">
        <v>310</v>
      </c>
      <c r="AG263" s="113" t="n">
        <v>310</v>
      </c>
      <c r="AI263" s="114" t="n">
        <f aca="false">INDEX($F263:$AG263,1,MATCH(AI$7,$F$7:$AG$7,1))</f>
        <v>0</v>
      </c>
      <c r="AJ263" s="114" t="n">
        <f aca="false">INDEX($F263:$AG263,1,MATCH(AJ$7,$F$7:$AG$7,1))</f>
        <v>0</v>
      </c>
      <c r="AK263" s="114" t="n">
        <f aca="false">INDEX($F263:$AG263,1,MATCH(AK$7,$F$7:$AG$7,1))</f>
        <v>310</v>
      </c>
      <c r="AL263" s="114" t="n">
        <f aca="false">INDEX($F263:$AG263,1,MATCH(AL$7,$F$7:$AG$7,1))</f>
        <v>310</v>
      </c>
      <c r="AM263" s="114" t="n">
        <f aca="false">INDEX($F263:$AG263,1,MATCH(AM$7,$F$7:$AG$7,1))</f>
        <v>310</v>
      </c>
      <c r="AN263" s="114" t="n">
        <f aca="false">INDEX($F263:$AG263,1,MATCH(AN$7,$F$7:$AG$7,1))</f>
        <v>310</v>
      </c>
      <c r="AO263" s="114" t="n">
        <f aca="false">INDEX($F263:$AG263,1,MATCH(AO$7,$F$7:$AG$7,1))</f>
        <v>310</v>
      </c>
    </row>
    <row r="264" customFormat="false" ht="15" hidden="false" customHeight="false" outlineLevel="0" collapsed="false">
      <c r="A264" s="112" t="s">
        <v>1643</v>
      </c>
      <c r="B264" s="24" t="s">
        <v>857</v>
      </c>
      <c r="C264" s="24" t="s">
        <v>690</v>
      </c>
      <c r="D264" s="24"/>
      <c r="I264" s="113" t="n">
        <v>75</v>
      </c>
      <c r="J264" s="113" t="n">
        <v>75</v>
      </c>
      <c r="K264" s="113" t="n">
        <v>75</v>
      </c>
      <c r="L264" s="113" t="n">
        <v>75</v>
      </c>
      <c r="M264" s="113" t="n">
        <v>75</v>
      </c>
      <c r="N264" s="113" t="n">
        <v>75</v>
      </c>
      <c r="O264" s="113" t="n">
        <v>75</v>
      </c>
      <c r="P264" s="113" t="n">
        <v>75</v>
      </c>
      <c r="Q264" s="113" t="n">
        <v>75</v>
      </c>
      <c r="R264" s="113" t="n">
        <v>75</v>
      </c>
      <c r="S264" s="113" t="n">
        <v>75</v>
      </c>
      <c r="T264" s="113" t="n">
        <v>75</v>
      </c>
      <c r="U264" s="113" t="n">
        <v>75</v>
      </c>
      <c r="V264" s="113" t="n">
        <v>75</v>
      </c>
      <c r="W264" s="113" t="n">
        <v>75</v>
      </c>
      <c r="X264" s="113" t="n">
        <v>75</v>
      </c>
      <c r="Y264" s="113" t="n">
        <v>75</v>
      </c>
      <c r="Z264" s="113" t="n">
        <v>75</v>
      </c>
      <c r="AA264" s="113" t="n">
        <v>75</v>
      </c>
      <c r="AB264" s="113" t="n">
        <v>75</v>
      </c>
      <c r="AC264" s="113" t="n">
        <v>75</v>
      </c>
      <c r="AD264" s="113" t="n">
        <v>75</v>
      </c>
      <c r="AE264" s="113" t="n">
        <v>75</v>
      </c>
      <c r="AF264" s="113" t="n">
        <v>75</v>
      </c>
      <c r="AG264" s="113" t="n">
        <v>75</v>
      </c>
      <c r="AI264" s="114" t="n">
        <f aca="false">INDEX($F264:$AG264,1,MATCH(AI$7,$F$7:$AG$7,1))</f>
        <v>75</v>
      </c>
      <c r="AJ264" s="114" t="n">
        <f aca="false">INDEX($F264:$AG264,1,MATCH(AJ$7,$F$7:$AG$7,1))</f>
        <v>75</v>
      </c>
      <c r="AK264" s="114" t="n">
        <f aca="false">INDEX($F264:$AG264,1,MATCH(AK$7,$F$7:$AG$7,1))</f>
        <v>75</v>
      </c>
      <c r="AL264" s="114" t="n">
        <f aca="false">INDEX($F264:$AG264,1,MATCH(AL$7,$F$7:$AG$7,1))</f>
        <v>75</v>
      </c>
      <c r="AM264" s="114" t="n">
        <f aca="false">INDEX($F264:$AG264,1,MATCH(AM$7,$F$7:$AG$7,1))</f>
        <v>75</v>
      </c>
      <c r="AN264" s="114" t="n">
        <f aca="false">INDEX($F264:$AG264,1,MATCH(AN$7,$F$7:$AG$7,1))</f>
        <v>75</v>
      </c>
      <c r="AO264" s="114" t="n">
        <f aca="false">INDEX($F264:$AG264,1,MATCH(AO$7,$F$7:$AG$7,1))</f>
        <v>75</v>
      </c>
    </row>
    <row r="265" customFormat="false" ht="15" hidden="false" customHeight="false" outlineLevel="0" collapsed="false">
      <c r="A265" s="112" t="s">
        <v>1644</v>
      </c>
      <c r="B265" s="24" t="s">
        <v>857</v>
      </c>
      <c r="C265" s="24" t="s">
        <v>690</v>
      </c>
      <c r="D265" s="24"/>
      <c r="O265" s="113" t="n">
        <v>70</v>
      </c>
      <c r="P265" s="113" t="n">
        <v>70</v>
      </c>
      <c r="Q265" s="113" t="n">
        <v>70</v>
      </c>
      <c r="R265" s="113" t="n">
        <v>70</v>
      </c>
      <c r="S265" s="113" t="n">
        <v>70</v>
      </c>
      <c r="T265" s="113" t="n">
        <v>70</v>
      </c>
      <c r="U265" s="113" t="n">
        <v>70</v>
      </c>
      <c r="V265" s="113" t="n">
        <v>70</v>
      </c>
      <c r="W265" s="113" t="n">
        <v>70</v>
      </c>
      <c r="X265" s="113" t="n">
        <v>70</v>
      </c>
      <c r="Y265" s="113" t="n">
        <v>70</v>
      </c>
      <c r="Z265" s="113" t="n">
        <v>70</v>
      </c>
      <c r="AA265" s="113" t="n">
        <v>70</v>
      </c>
      <c r="AB265" s="113" t="n">
        <v>70</v>
      </c>
      <c r="AC265" s="113" t="n">
        <v>70</v>
      </c>
      <c r="AD265" s="113" t="n">
        <v>70</v>
      </c>
      <c r="AE265" s="113" t="n">
        <v>70</v>
      </c>
      <c r="AF265" s="113" t="n">
        <v>70</v>
      </c>
      <c r="AG265" s="113" t="n">
        <v>70</v>
      </c>
      <c r="AI265" s="114" t="n">
        <f aca="false">INDEX($F265:$AG265,1,MATCH(AI$7,$F$7:$AG$7,1))</f>
        <v>0</v>
      </c>
      <c r="AJ265" s="114" t="n">
        <f aca="false">INDEX($F265:$AG265,1,MATCH(AJ$7,$F$7:$AG$7,1))</f>
        <v>0</v>
      </c>
      <c r="AK265" s="114" t="n">
        <f aca="false">INDEX($F265:$AG265,1,MATCH(AK$7,$F$7:$AG$7,1))</f>
        <v>70</v>
      </c>
      <c r="AL265" s="114" t="n">
        <f aca="false">INDEX($F265:$AG265,1,MATCH(AL$7,$F$7:$AG$7,1))</f>
        <v>70</v>
      </c>
      <c r="AM265" s="114" t="n">
        <f aca="false">INDEX($F265:$AG265,1,MATCH(AM$7,$F$7:$AG$7,1))</f>
        <v>70</v>
      </c>
      <c r="AN265" s="114" t="n">
        <f aca="false">INDEX($F265:$AG265,1,MATCH(AN$7,$F$7:$AG$7,1))</f>
        <v>70</v>
      </c>
      <c r="AO265" s="114" t="n">
        <f aca="false">INDEX($F265:$AG265,1,MATCH(AO$7,$F$7:$AG$7,1))</f>
        <v>70</v>
      </c>
    </row>
    <row r="266" customFormat="false" ht="15" hidden="false" customHeight="false" outlineLevel="0" collapsed="false">
      <c r="A266" s="112" t="s">
        <v>1645</v>
      </c>
      <c r="B266" s="24" t="s">
        <v>857</v>
      </c>
      <c r="C266" s="24" t="s">
        <v>690</v>
      </c>
      <c r="D266" s="24"/>
      <c r="I266" s="113" t="n">
        <v>40</v>
      </c>
      <c r="J266" s="113" t="n">
        <v>40</v>
      </c>
      <c r="K266" s="113" t="n">
        <v>40</v>
      </c>
      <c r="L266" s="113" t="n">
        <v>40</v>
      </c>
      <c r="M266" s="113" t="n">
        <v>40</v>
      </c>
      <c r="N266" s="113" t="n">
        <v>40</v>
      </c>
      <c r="O266" s="113" t="n">
        <v>40</v>
      </c>
      <c r="P266" s="113" t="n">
        <v>40</v>
      </c>
      <c r="Q266" s="113" t="n">
        <v>40</v>
      </c>
      <c r="R266" s="113" t="n">
        <v>40</v>
      </c>
      <c r="S266" s="113" t="n">
        <v>40</v>
      </c>
      <c r="T266" s="113" t="n">
        <v>40</v>
      </c>
      <c r="U266" s="113" t="n">
        <v>40</v>
      </c>
      <c r="V266" s="113" t="n">
        <v>40</v>
      </c>
      <c r="W266" s="113" t="n">
        <v>40</v>
      </c>
      <c r="X266" s="113" t="n">
        <v>40</v>
      </c>
      <c r="Y266" s="113" t="n">
        <v>40</v>
      </c>
      <c r="Z266" s="113" t="n">
        <v>40</v>
      </c>
      <c r="AA266" s="113" t="n">
        <v>40</v>
      </c>
      <c r="AB266" s="113" t="n">
        <v>40</v>
      </c>
      <c r="AC266" s="113" t="n">
        <v>40</v>
      </c>
      <c r="AD266" s="113" t="n">
        <v>40</v>
      </c>
      <c r="AE266" s="113" t="n">
        <v>40</v>
      </c>
      <c r="AF266" s="113" t="n">
        <v>40</v>
      </c>
      <c r="AG266" s="113" t="n">
        <v>40</v>
      </c>
      <c r="AI266" s="114" t="n">
        <f aca="false">INDEX($F266:$AG266,1,MATCH(AI$7,$F$7:$AG$7,1))</f>
        <v>40</v>
      </c>
      <c r="AJ266" s="114" t="n">
        <f aca="false">INDEX($F266:$AG266,1,MATCH(AJ$7,$F$7:$AG$7,1))</f>
        <v>40</v>
      </c>
      <c r="AK266" s="114" t="n">
        <f aca="false">INDEX($F266:$AG266,1,MATCH(AK$7,$F$7:$AG$7,1))</f>
        <v>40</v>
      </c>
      <c r="AL266" s="114" t="n">
        <f aca="false">INDEX($F266:$AG266,1,MATCH(AL$7,$F$7:$AG$7,1))</f>
        <v>40</v>
      </c>
      <c r="AM266" s="114" t="n">
        <f aca="false">INDEX($F266:$AG266,1,MATCH(AM$7,$F$7:$AG$7,1))</f>
        <v>40</v>
      </c>
      <c r="AN266" s="114" t="n">
        <f aca="false">INDEX($F266:$AG266,1,MATCH(AN$7,$F$7:$AG$7,1))</f>
        <v>40</v>
      </c>
      <c r="AO266" s="114" t="n">
        <f aca="false">INDEX($F266:$AG266,1,MATCH(AO$7,$F$7:$AG$7,1))</f>
        <v>40</v>
      </c>
    </row>
    <row r="267" customFormat="false" ht="15" hidden="false" customHeight="false" outlineLevel="0" collapsed="false">
      <c r="A267" s="112" t="s">
        <v>1647</v>
      </c>
      <c r="B267" s="24" t="s">
        <v>857</v>
      </c>
      <c r="C267" s="24" t="s">
        <v>690</v>
      </c>
      <c r="D267" s="24"/>
      <c r="H267" s="113" t="n">
        <v>5</v>
      </c>
      <c r="I267" s="113" t="n">
        <v>5</v>
      </c>
      <c r="J267" s="113" t="n">
        <v>5</v>
      </c>
      <c r="K267" s="113" t="n">
        <v>5</v>
      </c>
      <c r="L267" s="113" t="n">
        <v>5</v>
      </c>
      <c r="M267" s="113" t="n">
        <v>5</v>
      </c>
      <c r="N267" s="113" t="n">
        <v>5</v>
      </c>
      <c r="O267" s="113" t="n">
        <v>5</v>
      </c>
      <c r="P267" s="113" t="n">
        <v>5</v>
      </c>
      <c r="Q267" s="113" t="n">
        <v>5</v>
      </c>
      <c r="R267" s="113" t="n">
        <v>5</v>
      </c>
      <c r="S267" s="113" t="n">
        <v>5</v>
      </c>
      <c r="T267" s="113" t="n">
        <v>5</v>
      </c>
      <c r="U267" s="113" t="n">
        <v>5</v>
      </c>
      <c r="V267" s="113" t="n">
        <v>5</v>
      </c>
      <c r="W267" s="113" t="n">
        <v>5</v>
      </c>
      <c r="X267" s="113" t="n">
        <v>5</v>
      </c>
      <c r="Y267" s="113" t="n">
        <v>5</v>
      </c>
      <c r="Z267" s="113" t="n">
        <v>5</v>
      </c>
      <c r="AA267" s="113" t="n">
        <v>5</v>
      </c>
      <c r="AB267" s="113" t="n">
        <v>5</v>
      </c>
      <c r="AC267" s="113" t="n">
        <v>5</v>
      </c>
      <c r="AD267" s="113" t="n">
        <v>5</v>
      </c>
      <c r="AE267" s="113" t="n">
        <v>5</v>
      </c>
      <c r="AF267" s="113" t="n">
        <v>5</v>
      </c>
      <c r="AG267" s="113" t="n">
        <v>5</v>
      </c>
      <c r="AI267" s="114" t="n">
        <f aca="false">INDEX($F267:$AG267,1,MATCH(AI$7,$F$7:$AG$7,1))</f>
        <v>5</v>
      </c>
      <c r="AJ267" s="114" t="n">
        <f aca="false">INDEX($F267:$AG267,1,MATCH(AJ$7,$F$7:$AG$7,1))</f>
        <v>5</v>
      </c>
      <c r="AK267" s="114" t="n">
        <f aca="false">INDEX($F267:$AG267,1,MATCH(AK$7,$F$7:$AG$7,1))</f>
        <v>5</v>
      </c>
      <c r="AL267" s="114" t="n">
        <f aca="false">INDEX($F267:$AG267,1,MATCH(AL$7,$F$7:$AG$7,1))</f>
        <v>5</v>
      </c>
      <c r="AM267" s="114" t="n">
        <f aca="false">INDEX($F267:$AG267,1,MATCH(AM$7,$F$7:$AG$7,1))</f>
        <v>5</v>
      </c>
      <c r="AN267" s="114" t="n">
        <f aca="false">INDEX($F267:$AG267,1,MATCH(AN$7,$F$7:$AG$7,1))</f>
        <v>5</v>
      </c>
      <c r="AO267" s="114" t="n">
        <f aca="false">INDEX($F267:$AG267,1,MATCH(AO$7,$F$7:$AG$7,1))</f>
        <v>5</v>
      </c>
    </row>
    <row r="268" customFormat="false" ht="15" hidden="false" customHeight="false" outlineLevel="0" collapsed="false">
      <c r="A268" s="112" t="s">
        <v>1649</v>
      </c>
      <c r="B268" s="24" t="s">
        <v>857</v>
      </c>
      <c r="C268" s="24" t="s">
        <v>690</v>
      </c>
      <c r="D268" s="24"/>
      <c r="I268" s="113" t="n">
        <v>10</v>
      </c>
      <c r="J268" s="113" t="n">
        <v>10</v>
      </c>
      <c r="K268" s="113" t="n">
        <v>10</v>
      </c>
      <c r="L268" s="113" t="n">
        <v>10</v>
      </c>
      <c r="M268" s="113" t="n">
        <v>10</v>
      </c>
      <c r="N268" s="113" t="n">
        <v>10</v>
      </c>
      <c r="O268" s="113" t="n">
        <v>10</v>
      </c>
      <c r="P268" s="113" t="n">
        <v>10</v>
      </c>
      <c r="Q268" s="113" t="n">
        <v>10</v>
      </c>
      <c r="R268" s="113" t="n">
        <v>10</v>
      </c>
      <c r="S268" s="113" t="n">
        <v>10</v>
      </c>
      <c r="T268" s="113" t="n">
        <v>10</v>
      </c>
      <c r="U268" s="113" t="n">
        <v>10</v>
      </c>
      <c r="V268" s="113" t="n">
        <v>10</v>
      </c>
      <c r="W268" s="113" t="n">
        <v>10</v>
      </c>
      <c r="X268" s="113" t="n">
        <v>10</v>
      </c>
      <c r="Y268" s="113" t="n">
        <v>10</v>
      </c>
      <c r="Z268" s="113" t="n">
        <v>10</v>
      </c>
      <c r="AA268" s="113" t="n">
        <v>10</v>
      </c>
      <c r="AB268" s="113" t="n">
        <v>10</v>
      </c>
      <c r="AC268" s="113" t="n">
        <v>10</v>
      </c>
      <c r="AD268" s="113" t="n">
        <v>10</v>
      </c>
      <c r="AE268" s="113" t="n">
        <v>10</v>
      </c>
      <c r="AF268" s="113" t="n">
        <v>10</v>
      </c>
      <c r="AG268" s="113" t="n">
        <v>10</v>
      </c>
      <c r="AI268" s="114" t="n">
        <f aca="false">INDEX($F268:$AG268,1,MATCH(AI$7,$F$7:$AG$7,1))</f>
        <v>10</v>
      </c>
      <c r="AJ268" s="114" t="n">
        <f aca="false">INDEX($F268:$AG268,1,MATCH(AJ$7,$F$7:$AG$7,1))</f>
        <v>10</v>
      </c>
      <c r="AK268" s="114" t="n">
        <f aca="false">INDEX($F268:$AG268,1,MATCH(AK$7,$F$7:$AG$7,1))</f>
        <v>10</v>
      </c>
      <c r="AL268" s="114" t="n">
        <f aca="false">INDEX($F268:$AG268,1,MATCH(AL$7,$F$7:$AG$7,1))</f>
        <v>10</v>
      </c>
      <c r="AM268" s="114" t="n">
        <f aca="false">INDEX($F268:$AG268,1,MATCH(AM$7,$F$7:$AG$7,1))</f>
        <v>10</v>
      </c>
      <c r="AN268" s="114" t="n">
        <f aca="false">INDEX($F268:$AG268,1,MATCH(AN$7,$F$7:$AG$7,1))</f>
        <v>10</v>
      </c>
      <c r="AO268" s="114" t="n">
        <f aca="false">INDEX($F268:$AG268,1,MATCH(AO$7,$F$7:$AG$7,1))</f>
        <v>10</v>
      </c>
    </row>
    <row r="269" customFormat="false" ht="15" hidden="false" customHeight="false" outlineLevel="0" collapsed="false">
      <c r="A269" s="112" t="s">
        <v>1650</v>
      </c>
      <c r="B269" s="24" t="s">
        <v>857</v>
      </c>
      <c r="C269" s="24" t="s">
        <v>690</v>
      </c>
      <c r="D269" s="24"/>
      <c r="K269" s="113" t="n">
        <v>16</v>
      </c>
      <c r="L269" s="113" t="n">
        <v>16</v>
      </c>
      <c r="M269" s="113" t="n">
        <v>16</v>
      </c>
      <c r="N269" s="113" t="n">
        <v>16</v>
      </c>
      <c r="O269" s="113" t="n">
        <v>19</v>
      </c>
      <c r="P269" s="113" t="n">
        <v>19</v>
      </c>
      <c r="Q269" s="113" t="n">
        <v>19</v>
      </c>
      <c r="R269" s="113" t="n">
        <v>19</v>
      </c>
      <c r="S269" s="113" t="n">
        <v>19</v>
      </c>
      <c r="T269" s="113" t="n">
        <v>19</v>
      </c>
      <c r="U269" s="113" t="n">
        <v>19</v>
      </c>
      <c r="V269" s="113" t="n">
        <v>19</v>
      </c>
      <c r="W269" s="113" t="n">
        <v>19</v>
      </c>
      <c r="X269" s="113" t="n">
        <v>19</v>
      </c>
      <c r="Y269" s="113" t="n">
        <v>19</v>
      </c>
      <c r="Z269" s="113" t="n">
        <v>19</v>
      </c>
      <c r="AA269" s="113" t="n">
        <v>19</v>
      </c>
      <c r="AB269" s="113" t="n">
        <v>19</v>
      </c>
      <c r="AC269" s="113" t="n">
        <v>19</v>
      </c>
      <c r="AD269" s="113" t="n">
        <v>19</v>
      </c>
      <c r="AE269" s="113" t="n">
        <v>19</v>
      </c>
      <c r="AF269" s="113" t="n">
        <v>19</v>
      </c>
      <c r="AG269" s="113" t="n">
        <v>19</v>
      </c>
      <c r="AI269" s="114" t="n">
        <f aca="false">INDEX($F269:$AG269,1,MATCH(AI$7,$F$7:$AG$7,1))</f>
        <v>0</v>
      </c>
      <c r="AJ269" s="114" t="n">
        <f aca="false">INDEX($F269:$AG269,1,MATCH(AJ$7,$F$7:$AG$7,1))</f>
        <v>16</v>
      </c>
      <c r="AK269" s="114" t="n">
        <f aca="false">INDEX($F269:$AG269,1,MATCH(AK$7,$F$7:$AG$7,1))</f>
        <v>19</v>
      </c>
      <c r="AL269" s="114" t="n">
        <f aca="false">INDEX($F269:$AG269,1,MATCH(AL$7,$F$7:$AG$7,1))</f>
        <v>19</v>
      </c>
      <c r="AM269" s="114" t="n">
        <f aca="false">INDEX($F269:$AG269,1,MATCH(AM$7,$F$7:$AG$7,1))</f>
        <v>19</v>
      </c>
      <c r="AN269" s="114" t="n">
        <f aca="false">INDEX($F269:$AG269,1,MATCH(AN$7,$F$7:$AG$7,1))</f>
        <v>19</v>
      </c>
      <c r="AO269" s="114" t="n">
        <f aca="false">INDEX($F269:$AG269,1,MATCH(AO$7,$F$7:$AG$7,1))</f>
        <v>19</v>
      </c>
    </row>
    <row r="270" customFormat="false" ht="15" hidden="false" customHeight="false" outlineLevel="0" collapsed="false">
      <c r="A270" s="112" t="s">
        <v>1652</v>
      </c>
      <c r="B270" s="24" t="s">
        <v>857</v>
      </c>
      <c r="C270" s="24" t="s">
        <v>690</v>
      </c>
      <c r="D270" s="24"/>
      <c r="O270" s="113" t="n">
        <v>22</v>
      </c>
      <c r="P270" s="113" t="n">
        <v>22</v>
      </c>
      <c r="Q270" s="113" t="n">
        <v>22</v>
      </c>
      <c r="R270" s="113" t="n">
        <v>22</v>
      </c>
      <c r="S270" s="113" t="n">
        <v>22</v>
      </c>
      <c r="T270" s="113" t="n">
        <v>22</v>
      </c>
      <c r="U270" s="113" t="n">
        <v>22</v>
      </c>
      <c r="V270" s="113" t="n">
        <v>22</v>
      </c>
      <c r="W270" s="113" t="n">
        <v>22</v>
      </c>
      <c r="X270" s="113" t="n">
        <v>22</v>
      </c>
      <c r="Y270" s="113" t="n">
        <v>22</v>
      </c>
      <c r="Z270" s="113" t="n">
        <v>22</v>
      </c>
      <c r="AA270" s="113" t="n">
        <v>22</v>
      </c>
      <c r="AB270" s="113" t="n">
        <v>22</v>
      </c>
      <c r="AC270" s="113" t="n">
        <v>22</v>
      </c>
      <c r="AD270" s="113" t="n">
        <v>22</v>
      </c>
      <c r="AE270" s="113" t="n">
        <v>22</v>
      </c>
      <c r="AF270" s="113" t="n">
        <v>22</v>
      </c>
      <c r="AG270" s="113" t="n">
        <v>22</v>
      </c>
      <c r="AI270" s="114" t="n">
        <f aca="false">INDEX($F270:$AG270,1,MATCH(AI$7,$F$7:$AG$7,1))</f>
        <v>0</v>
      </c>
      <c r="AJ270" s="114" t="n">
        <f aca="false">INDEX($F270:$AG270,1,MATCH(AJ$7,$F$7:$AG$7,1))</f>
        <v>0</v>
      </c>
      <c r="AK270" s="114" t="n">
        <f aca="false">INDEX($F270:$AG270,1,MATCH(AK$7,$F$7:$AG$7,1))</f>
        <v>22</v>
      </c>
      <c r="AL270" s="114" t="n">
        <f aca="false">INDEX($F270:$AG270,1,MATCH(AL$7,$F$7:$AG$7,1))</f>
        <v>22</v>
      </c>
      <c r="AM270" s="114" t="n">
        <f aca="false">INDEX($F270:$AG270,1,MATCH(AM$7,$F$7:$AG$7,1))</f>
        <v>22</v>
      </c>
      <c r="AN270" s="114" t="n">
        <f aca="false">INDEX($F270:$AG270,1,MATCH(AN$7,$F$7:$AG$7,1))</f>
        <v>22</v>
      </c>
      <c r="AO270" s="114" t="n">
        <f aca="false">INDEX($F270:$AG270,1,MATCH(AO$7,$F$7:$AG$7,1))</f>
        <v>22</v>
      </c>
    </row>
    <row r="271" customFormat="false" ht="15" hidden="false" customHeight="false" outlineLevel="0" collapsed="false">
      <c r="A271" s="112" t="s">
        <v>1653</v>
      </c>
      <c r="B271" s="24" t="s">
        <v>857</v>
      </c>
      <c r="C271" s="24" t="s">
        <v>690</v>
      </c>
      <c r="D271" s="24"/>
      <c r="AI271" s="114" t="n">
        <f aca="false">INDEX($F271:$AG271,1,MATCH(AI$7,$F$7:$AG$7,1))</f>
        <v>0</v>
      </c>
      <c r="AJ271" s="114" t="n">
        <f aca="false">INDEX($F271:$AG271,1,MATCH(AJ$7,$F$7:$AG$7,1))</f>
        <v>0</v>
      </c>
      <c r="AK271" s="114" t="n">
        <f aca="false">INDEX($F271:$AG271,1,MATCH(AK$7,$F$7:$AG$7,1))</f>
        <v>0</v>
      </c>
      <c r="AL271" s="114" t="n">
        <f aca="false">INDEX($F271:$AG271,1,MATCH(AL$7,$F$7:$AG$7,1))</f>
        <v>0</v>
      </c>
      <c r="AM271" s="114" t="n">
        <f aca="false">INDEX($F271:$AG271,1,MATCH(AM$7,$F$7:$AG$7,1))</f>
        <v>0</v>
      </c>
      <c r="AN271" s="114" t="n">
        <f aca="false">INDEX($F271:$AG271,1,MATCH(AN$7,$F$7:$AG$7,1))</f>
        <v>0</v>
      </c>
      <c r="AO271" s="114" t="n">
        <f aca="false">INDEX($F271:$AG271,1,MATCH(AO$7,$F$7:$AG$7,1))</f>
        <v>0</v>
      </c>
    </row>
    <row r="272" customFormat="false" ht="15" hidden="false" customHeight="false" outlineLevel="0" collapsed="false">
      <c r="A272" s="112" t="s">
        <v>1654</v>
      </c>
      <c r="B272" s="24" t="s">
        <v>857</v>
      </c>
      <c r="C272" s="24" t="s">
        <v>690</v>
      </c>
      <c r="D272" s="24"/>
      <c r="K272" s="113" t="n">
        <v>8</v>
      </c>
      <c r="L272" s="113" t="n">
        <v>8</v>
      </c>
      <c r="M272" s="113" t="n">
        <v>8</v>
      </c>
      <c r="N272" s="113" t="n">
        <v>8</v>
      </c>
      <c r="O272" s="113" t="n">
        <v>8</v>
      </c>
      <c r="P272" s="113" t="n">
        <v>8</v>
      </c>
      <c r="Q272" s="113" t="n">
        <v>8</v>
      </c>
      <c r="R272" s="113" t="n">
        <v>8</v>
      </c>
      <c r="S272" s="113" t="n">
        <v>8</v>
      </c>
      <c r="T272" s="113" t="n">
        <v>8</v>
      </c>
      <c r="U272" s="113" t="n">
        <v>8</v>
      </c>
      <c r="V272" s="113" t="n">
        <v>8</v>
      </c>
      <c r="W272" s="113" t="n">
        <v>8</v>
      </c>
      <c r="X272" s="113" t="n">
        <v>8</v>
      </c>
      <c r="Y272" s="113" t="n">
        <v>8</v>
      </c>
      <c r="Z272" s="113" t="n">
        <v>8</v>
      </c>
      <c r="AA272" s="113" t="n">
        <v>8</v>
      </c>
      <c r="AB272" s="113" t="n">
        <v>8</v>
      </c>
      <c r="AC272" s="113" t="n">
        <v>8</v>
      </c>
      <c r="AD272" s="113" t="n">
        <v>8</v>
      </c>
      <c r="AE272" s="113" t="n">
        <v>8</v>
      </c>
      <c r="AF272" s="113" t="n">
        <v>8</v>
      </c>
      <c r="AG272" s="113" t="n">
        <v>8</v>
      </c>
      <c r="AI272" s="114" t="n">
        <f aca="false">INDEX($F272:$AG272,1,MATCH(AI$7,$F$7:$AG$7,1))</f>
        <v>0</v>
      </c>
      <c r="AJ272" s="114" t="n">
        <f aca="false">INDEX($F272:$AG272,1,MATCH(AJ$7,$F$7:$AG$7,1))</f>
        <v>8</v>
      </c>
      <c r="AK272" s="114" t="n">
        <f aca="false">INDEX($F272:$AG272,1,MATCH(AK$7,$F$7:$AG$7,1))</f>
        <v>8</v>
      </c>
      <c r="AL272" s="114" t="n">
        <f aca="false">INDEX($F272:$AG272,1,MATCH(AL$7,$F$7:$AG$7,1))</f>
        <v>8</v>
      </c>
      <c r="AM272" s="114" t="n">
        <f aca="false">INDEX($F272:$AG272,1,MATCH(AM$7,$F$7:$AG$7,1))</f>
        <v>8</v>
      </c>
      <c r="AN272" s="114" t="n">
        <f aca="false">INDEX($F272:$AG272,1,MATCH(AN$7,$F$7:$AG$7,1))</f>
        <v>8</v>
      </c>
      <c r="AO272" s="114" t="n">
        <f aca="false">INDEX($F272:$AG272,1,MATCH(AO$7,$F$7:$AG$7,1))</f>
        <v>8</v>
      </c>
    </row>
    <row r="273" customFormat="false" ht="15" hidden="false" customHeight="false" outlineLevel="0" collapsed="false">
      <c r="A273" s="112" t="s">
        <v>1656</v>
      </c>
      <c r="B273" s="24" t="s">
        <v>857</v>
      </c>
      <c r="C273" s="24" t="s">
        <v>690</v>
      </c>
      <c r="D273" s="24"/>
      <c r="N273" s="113" t="n">
        <v>22</v>
      </c>
      <c r="O273" s="113" t="n">
        <v>22</v>
      </c>
      <c r="P273" s="113" t="n">
        <v>22</v>
      </c>
      <c r="Q273" s="113" t="n">
        <v>22</v>
      </c>
      <c r="R273" s="113" t="n">
        <v>22</v>
      </c>
      <c r="S273" s="113" t="n">
        <v>22</v>
      </c>
      <c r="T273" s="113" t="n">
        <v>22</v>
      </c>
      <c r="U273" s="113" t="n">
        <v>22</v>
      </c>
      <c r="V273" s="113" t="n">
        <v>22</v>
      </c>
      <c r="W273" s="113" t="n">
        <v>22</v>
      </c>
      <c r="X273" s="113" t="n">
        <v>22</v>
      </c>
      <c r="Y273" s="113" t="n">
        <v>22</v>
      </c>
      <c r="Z273" s="113" t="n">
        <v>22</v>
      </c>
      <c r="AA273" s="113" t="n">
        <v>22</v>
      </c>
      <c r="AB273" s="113" t="n">
        <v>22</v>
      </c>
      <c r="AC273" s="113" t="n">
        <v>22</v>
      </c>
      <c r="AD273" s="113" t="n">
        <v>22</v>
      </c>
      <c r="AE273" s="113" t="n">
        <v>22</v>
      </c>
      <c r="AF273" s="113" t="n">
        <v>22</v>
      </c>
      <c r="AG273" s="113" t="n">
        <v>22</v>
      </c>
      <c r="AI273" s="114" t="n">
        <f aca="false">INDEX($F273:$AG273,1,MATCH(AI$7,$F$7:$AG$7,1))</f>
        <v>0</v>
      </c>
      <c r="AJ273" s="114" t="n">
        <f aca="false">INDEX($F273:$AG273,1,MATCH(AJ$7,$F$7:$AG$7,1))</f>
        <v>0</v>
      </c>
      <c r="AK273" s="114" t="n">
        <f aca="false">INDEX($F273:$AG273,1,MATCH(AK$7,$F$7:$AG$7,1))</f>
        <v>22</v>
      </c>
      <c r="AL273" s="114" t="n">
        <f aca="false">INDEX($F273:$AG273,1,MATCH(AL$7,$F$7:$AG$7,1))</f>
        <v>22</v>
      </c>
      <c r="AM273" s="114" t="n">
        <f aca="false">INDEX($F273:$AG273,1,MATCH(AM$7,$F$7:$AG$7,1))</f>
        <v>22</v>
      </c>
      <c r="AN273" s="114" t="n">
        <f aca="false">INDEX($F273:$AG273,1,MATCH(AN$7,$F$7:$AG$7,1))</f>
        <v>22</v>
      </c>
      <c r="AO273" s="114" t="n">
        <f aca="false">INDEX($F273:$AG273,1,MATCH(AO$7,$F$7:$AG$7,1))</f>
        <v>22</v>
      </c>
    </row>
    <row r="274" customFormat="false" ht="15" hidden="false" customHeight="false" outlineLevel="0" collapsed="false">
      <c r="A274" s="112" t="s">
        <v>1657</v>
      </c>
      <c r="B274" s="24" t="s">
        <v>857</v>
      </c>
      <c r="C274" s="24" t="s">
        <v>690</v>
      </c>
      <c r="D274" s="24"/>
      <c r="N274" s="113" t="n">
        <v>58</v>
      </c>
      <c r="O274" s="113" t="n">
        <v>58</v>
      </c>
      <c r="P274" s="113" t="n">
        <v>58</v>
      </c>
      <c r="Q274" s="113" t="n">
        <v>58</v>
      </c>
      <c r="R274" s="113" t="n">
        <v>58</v>
      </c>
      <c r="S274" s="113" t="n">
        <v>58</v>
      </c>
      <c r="T274" s="113" t="n">
        <v>58</v>
      </c>
      <c r="U274" s="113" t="n">
        <v>58</v>
      </c>
      <c r="V274" s="113" t="n">
        <v>58</v>
      </c>
      <c r="W274" s="113" t="n">
        <v>58</v>
      </c>
      <c r="X274" s="113" t="n">
        <v>58</v>
      </c>
      <c r="Y274" s="113" t="n">
        <v>58</v>
      </c>
      <c r="Z274" s="113" t="n">
        <v>58</v>
      </c>
      <c r="AA274" s="113" t="n">
        <v>58</v>
      </c>
      <c r="AB274" s="113" t="n">
        <v>58</v>
      </c>
      <c r="AC274" s="113" t="n">
        <v>58</v>
      </c>
      <c r="AD274" s="113" t="n">
        <v>58</v>
      </c>
      <c r="AE274" s="113" t="n">
        <v>58</v>
      </c>
      <c r="AF274" s="113" t="n">
        <v>58</v>
      </c>
      <c r="AG274" s="113" t="n">
        <v>58</v>
      </c>
      <c r="AI274" s="114" t="n">
        <f aca="false">INDEX($F274:$AG274,1,MATCH(AI$7,$F$7:$AG$7,1))</f>
        <v>0</v>
      </c>
      <c r="AJ274" s="114" t="n">
        <f aca="false">INDEX($F274:$AG274,1,MATCH(AJ$7,$F$7:$AG$7,1))</f>
        <v>0</v>
      </c>
      <c r="AK274" s="114" t="n">
        <f aca="false">INDEX($F274:$AG274,1,MATCH(AK$7,$F$7:$AG$7,1))</f>
        <v>58</v>
      </c>
      <c r="AL274" s="114" t="n">
        <f aca="false">INDEX($F274:$AG274,1,MATCH(AL$7,$F$7:$AG$7,1))</f>
        <v>58</v>
      </c>
      <c r="AM274" s="114" t="n">
        <f aca="false">INDEX($F274:$AG274,1,MATCH(AM$7,$F$7:$AG$7,1))</f>
        <v>58</v>
      </c>
      <c r="AN274" s="114" t="n">
        <f aca="false">INDEX($F274:$AG274,1,MATCH(AN$7,$F$7:$AG$7,1))</f>
        <v>58</v>
      </c>
      <c r="AO274" s="114" t="n">
        <f aca="false">INDEX($F274:$AG274,1,MATCH(AO$7,$F$7:$AG$7,1))</f>
        <v>58</v>
      </c>
    </row>
    <row r="275" customFormat="false" ht="15" hidden="false" customHeight="false" outlineLevel="0" collapsed="false">
      <c r="A275" s="112" t="s">
        <v>1658</v>
      </c>
      <c r="B275" s="24" t="s">
        <v>857</v>
      </c>
      <c r="C275" s="24" t="s">
        <v>690</v>
      </c>
      <c r="D275" s="24"/>
      <c r="O275" s="113" t="n">
        <v>18</v>
      </c>
      <c r="P275" s="113" t="n">
        <v>18</v>
      </c>
      <c r="Q275" s="113" t="n">
        <v>18</v>
      </c>
      <c r="R275" s="113" t="n">
        <v>18</v>
      </c>
      <c r="S275" s="113" t="n">
        <v>18</v>
      </c>
      <c r="T275" s="113" t="n">
        <v>18</v>
      </c>
      <c r="U275" s="113" t="n">
        <v>18</v>
      </c>
      <c r="V275" s="113" t="n">
        <v>18</v>
      </c>
      <c r="W275" s="113" t="n">
        <v>18</v>
      </c>
      <c r="X275" s="113" t="n">
        <v>18</v>
      </c>
      <c r="Y275" s="113" t="n">
        <v>18</v>
      </c>
      <c r="Z275" s="113" t="n">
        <v>18</v>
      </c>
      <c r="AA275" s="113" t="n">
        <v>18</v>
      </c>
      <c r="AB275" s="113" t="n">
        <v>18</v>
      </c>
      <c r="AC275" s="113" t="n">
        <v>18</v>
      </c>
      <c r="AD275" s="113" t="n">
        <v>18</v>
      </c>
      <c r="AE275" s="113" t="n">
        <v>18</v>
      </c>
      <c r="AF275" s="113" t="n">
        <v>18</v>
      </c>
      <c r="AG275" s="113" t="n">
        <v>18</v>
      </c>
      <c r="AI275" s="114" t="n">
        <f aca="false">INDEX($F275:$AG275,1,MATCH(AI$7,$F$7:$AG$7,1))</f>
        <v>0</v>
      </c>
      <c r="AJ275" s="114" t="n">
        <f aca="false">INDEX($F275:$AG275,1,MATCH(AJ$7,$F$7:$AG$7,1))</f>
        <v>0</v>
      </c>
      <c r="AK275" s="114" t="n">
        <f aca="false">INDEX($F275:$AG275,1,MATCH(AK$7,$F$7:$AG$7,1))</f>
        <v>18</v>
      </c>
      <c r="AL275" s="114" t="n">
        <f aca="false">INDEX($F275:$AG275,1,MATCH(AL$7,$F$7:$AG$7,1))</f>
        <v>18</v>
      </c>
      <c r="AM275" s="114" t="n">
        <f aca="false">INDEX($F275:$AG275,1,MATCH(AM$7,$F$7:$AG$7,1))</f>
        <v>18</v>
      </c>
      <c r="AN275" s="114" t="n">
        <f aca="false">INDEX($F275:$AG275,1,MATCH(AN$7,$F$7:$AG$7,1))</f>
        <v>18</v>
      </c>
      <c r="AO275" s="114" t="n">
        <f aca="false">INDEX($F275:$AG275,1,MATCH(AO$7,$F$7:$AG$7,1))</f>
        <v>18</v>
      </c>
    </row>
    <row r="276" customFormat="false" ht="15" hidden="false" customHeight="false" outlineLevel="0" collapsed="false">
      <c r="A276" s="112" t="s">
        <v>1659</v>
      </c>
      <c r="B276" s="24" t="s">
        <v>857</v>
      </c>
      <c r="C276" s="24" t="s">
        <v>690</v>
      </c>
      <c r="D276" s="24"/>
      <c r="O276" s="113" t="n">
        <v>22</v>
      </c>
      <c r="P276" s="113" t="n">
        <v>22</v>
      </c>
      <c r="Q276" s="113" t="n">
        <v>22</v>
      </c>
      <c r="R276" s="113" t="n">
        <v>22</v>
      </c>
      <c r="S276" s="113" t="n">
        <v>22</v>
      </c>
      <c r="T276" s="113" t="n">
        <v>22</v>
      </c>
      <c r="U276" s="113" t="n">
        <v>22</v>
      </c>
      <c r="V276" s="113" t="n">
        <v>22</v>
      </c>
      <c r="W276" s="113" t="n">
        <v>22</v>
      </c>
      <c r="X276" s="113" t="n">
        <v>22</v>
      </c>
      <c r="Y276" s="113" t="n">
        <v>22</v>
      </c>
      <c r="Z276" s="113" t="n">
        <v>22</v>
      </c>
      <c r="AA276" s="113" t="n">
        <v>22</v>
      </c>
      <c r="AB276" s="113" t="n">
        <v>22</v>
      </c>
      <c r="AC276" s="113" t="n">
        <v>22</v>
      </c>
      <c r="AD276" s="113" t="n">
        <v>22</v>
      </c>
      <c r="AE276" s="113" t="n">
        <v>22</v>
      </c>
      <c r="AF276" s="113" t="n">
        <v>22</v>
      </c>
      <c r="AG276" s="113" t="n">
        <v>22</v>
      </c>
      <c r="AI276" s="114" t="n">
        <f aca="false">INDEX($F276:$AG276,1,MATCH(AI$7,$F$7:$AG$7,1))</f>
        <v>0</v>
      </c>
      <c r="AJ276" s="114" t="n">
        <f aca="false">INDEX($F276:$AG276,1,MATCH(AJ$7,$F$7:$AG$7,1))</f>
        <v>0</v>
      </c>
      <c r="AK276" s="114" t="n">
        <f aca="false">INDEX($F276:$AG276,1,MATCH(AK$7,$F$7:$AG$7,1))</f>
        <v>22</v>
      </c>
      <c r="AL276" s="114" t="n">
        <f aca="false">INDEX($F276:$AG276,1,MATCH(AL$7,$F$7:$AG$7,1))</f>
        <v>22</v>
      </c>
      <c r="AM276" s="114" t="n">
        <f aca="false">INDEX($F276:$AG276,1,MATCH(AM$7,$F$7:$AG$7,1))</f>
        <v>22</v>
      </c>
      <c r="AN276" s="114" t="n">
        <f aca="false">INDEX($F276:$AG276,1,MATCH(AN$7,$F$7:$AG$7,1))</f>
        <v>22</v>
      </c>
      <c r="AO276" s="114" t="n">
        <f aca="false">INDEX($F276:$AG276,1,MATCH(AO$7,$F$7:$AG$7,1))</f>
        <v>22</v>
      </c>
    </row>
    <row r="277" customFormat="false" ht="15" hidden="false" customHeight="false" outlineLevel="0" collapsed="false">
      <c r="A277" s="112" t="s">
        <v>1660</v>
      </c>
      <c r="B277" s="24" t="s">
        <v>857</v>
      </c>
      <c r="C277" s="24" t="s">
        <v>690</v>
      </c>
      <c r="D277" s="24"/>
      <c r="AI277" s="114" t="n">
        <f aca="false">INDEX($F277:$AG277,1,MATCH(AI$7,$F$7:$AG$7,1))</f>
        <v>0</v>
      </c>
      <c r="AJ277" s="114" t="n">
        <f aca="false">INDEX($F277:$AG277,1,MATCH(AJ$7,$F$7:$AG$7,1))</f>
        <v>0</v>
      </c>
      <c r="AK277" s="114" t="n">
        <f aca="false">INDEX($F277:$AG277,1,MATCH(AK$7,$F$7:$AG$7,1))</f>
        <v>0</v>
      </c>
      <c r="AL277" s="114" t="n">
        <f aca="false">INDEX($F277:$AG277,1,MATCH(AL$7,$F$7:$AG$7,1))</f>
        <v>0</v>
      </c>
      <c r="AM277" s="114" t="n">
        <f aca="false">INDEX($F277:$AG277,1,MATCH(AM$7,$F$7:$AG$7,1))</f>
        <v>0</v>
      </c>
      <c r="AN277" s="114" t="n">
        <f aca="false">INDEX($F277:$AG277,1,MATCH(AN$7,$F$7:$AG$7,1))</f>
        <v>0</v>
      </c>
      <c r="AO277" s="114" t="n">
        <f aca="false">INDEX($F277:$AG277,1,MATCH(AO$7,$F$7:$AG$7,1))</f>
        <v>0</v>
      </c>
    </row>
    <row r="278" customFormat="false" ht="15" hidden="false" customHeight="false" outlineLevel="0" collapsed="false">
      <c r="A278" s="112" t="s">
        <v>1662</v>
      </c>
      <c r="B278" s="24" t="s">
        <v>857</v>
      </c>
      <c r="C278" s="24" t="s">
        <v>690</v>
      </c>
      <c r="D278" s="24"/>
      <c r="AI278" s="114" t="n">
        <f aca="false">INDEX($F278:$AG278,1,MATCH(AI$7,$F$7:$AG$7,1))</f>
        <v>0</v>
      </c>
      <c r="AJ278" s="114" t="n">
        <f aca="false">INDEX($F278:$AG278,1,MATCH(AJ$7,$F$7:$AG$7,1))</f>
        <v>0</v>
      </c>
      <c r="AK278" s="114" t="n">
        <f aca="false">INDEX($F278:$AG278,1,MATCH(AK$7,$F$7:$AG$7,1))</f>
        <v>0</v>
      </c>
      <c r="AL278" s="114" t="n">
        <f aca="false">INDEX($F278:$AG278,1,MATCH(AL$7,$F$7:$AG$7,1))</f>
        <v>0</v>
      </c>
      <c r="AM278" s="114" t="n">
        <f aca="false">INDEX($F278:$AG278,1,MATCH(AM$7,$F$7:$AG$7,1))</f>
        <v>0</v>
      </c>
      <c r="AN278" s="114" t="n">
        <f aca="false">INDEX($F278:$AG278,1,MATCH(AN$7,$F$7:$AG$7,1))</f>
        <v>0</v>
      </c>
      <c r="AO278" s="114" t="n">
        <f aca="false">INDEX($F278:$AG278,1,MATCH(AO$7,$F$7:$AG$7,1))</f>
        <v>0</v>
      </c>
    </row>
    <row r="279" customFormat="false" ht="15" hidden="false" customHeight="false" outlineLevel="0" collapsed="false">
      <c r="A279" s="112" t="s">
        <v>1663</v>
      </c>
      <c r="B279" s="24" t="s">
        <v>857</v>
      </c>
      <c r="C279" s="24" t="s">
        <v>690</v>
      </c>
      <c r="D279" s="24"/>
      <c r="AI279" s="114" t="n">
        <f aca="false">INDEX($F279:$AG279,1,MATCH(AI$7,$F$7:$AG$7,1))</f>
        <v>0</v>
      </c>
      <c r="AJ279" s="114" t="n">
        <f aca="false">INDEX($F279:$AG279,1,MATCH(AJ$7,$F$7:$AG$7,1))</f>
        <v>0</v>
      </c>
      <c r="AK279" s="114" t="n">
        <f aca="false">INDEX($F279:$AG279,1,MATCH(AK$7,$F$7:$AG$7,1))</f>
        <v>0</v>
      </c>
      <c r="AL279" s="114" t="n">
        <f aca="false">INDEX($F279:$AG279,1,MATCH(AL$7,$F$7:$AG$7,1))</f>
        <v>0</v>
      </c>
      <c r="AM279" s="114" t="n">
        <f aca="false">INDEX($F279:$AG279,1,MATCH(AM$7,$F$7:$AG$7,1))</f>
        <v>0</v>
      </c>
      <c r="AN279" s="114" t="n">
        <f aca="false">INDEX($F279:$AG279,1,MATCH(AN$7,$F$7:$AG$7,1))</f>
        <v>0</v>
      </c>
      <c r="AO279" s="114" t="n">
        <f aca="false">INDEX($F279:$AG279,1,MATCH(AO$7,$F$7:$AG$7,1))</f>
        <v>0</v>
      </c>
    </row>
    <row r="280" customFormat="false" ht="15" hidden="false" customHeight="false" outlineLevel="0" collapsed="false">
      <c r="A280" s="112" t="s">
        <v>1665</v>
      </c>
      <c r="B280" s="24" t="s">
        <v>857</v>
      </c>
      <c r="C280" s="24" t="s">
        <v>690</v>
      </c>
      <c r="D280" s="24"/>
      <c r="P280" s="113" t="n">
        <v>50</v>
      </c>
      <c r="Q280" s="113" t="n">
        <v>50</v>
      </c>
      <c r="R280" s="113" t="n">
        <v>50</v>
      </c>
      <c r="S280" s="113" t="n">
        <v>50</v>
      </c>
      <c r="T280" s="113" t="n">
        <v>50</v>
      </c>
      <c r="U280" s="113" t="n">
        <v>50</v>
      </c>
      <c r="V280" s="113" t="n">
        <v>50</v>
      </c>
      <c r="W280" s="113" t="n">
        <v>50</v>
      </c>
      <c r="X280" s="113" t="n">
        <v>50</v>
      </c>
      <c r="Y280" s="113" t="n">
        <v>50</v>
      </c>
      <c r="Z280" s="113" t="n">
        <v>50</v>
      </c>
      <c r="AA280" s="113" t="n">
        <v>50</v>
      </c>
      <c r="AB280" s="113" t="n">
        <v>50</v>
      </c>
      <c r="AC280" s="113" t="n">
        <v>50</v>
      </c>
      <c r="AD280" s="113" t="n">
        <v>50</v>
      </c>
      <c r="AE280" s="113" t="n">
        <v>50</v>
      </c>
      <c r="AF280" s="113" t="n">
        <v>50</v>
      </c>
      <c r="AG280" s="113" t="n">
        <v>50</v>
      </c>
      <c r="AI280" s="114" t="n">
        <f aca="false">INDEX($F280:$AG280,1,MATCH(AI$7,$F$7:$AG$7,1))</f>
        <v>0</v>
      </c>
      <c r="AJ280" s="114" t="n">
        <f aca="false">INDEX($F280:$AG280,1,MATCH(AJ$7,$F$7:$AG$7,1))</f>
        <v>0</v>
      </c>
      <c r="AK280" s="114" t="n">
        <f aca="false">INDEX($F280:$AG280,1,MATCH(AK$7,$F$7:$AG$7,1))</f>
        <v>50</v>
      </c>
      <c r="AL280" s="114" t="n">
        <f aca="false">INDEX($F280:$AG280,1,MATCH(AL$7,$F$7:$AG$7,1))</f>
        <v>50</v>
      </c>
      <c r="AM280" s="114" t="n">
        <f aca="false">INDEX($F280:$AG280,1,MATCH(AM$7,$F$7:$AG$7,1))</f>
        <v>50</v>
      </c>
      <c r="AN280" s="114" t="n">
        <f aca="false">INDEX($F280:$AG280,1,MATCH(AN$7,$F$7:$AG$7,1))</f>
        <v>50</v>
      </c>
      <c r="AO280" s="114" t="n">
        <f aca="false">INDEX($F280:$AG280,1,MATCH(AO$7,$F$7:$AG$7,1))</f>
        <v>50</v>
      </c>
    </row>
    <row r="281" customFormat="false" ht="15" hidden="false" customHeight="false" outlineLevel="0" collapsed="false">
      <c r="A281" s="112" t="s">
        <v>1666</v>
      </c>
      <c r="B281" s="24" t="s">
        <v>857</v>
      </c>
      <c r="C281" s="24" t="s">
        <v>690</v>
      </c>
      <c r="D281" s="24"/>
      <c r="AI281" s="114" t="n">
        <f aca="false">INDEX($F281:$AG281,1,MATCH(AI$7,$F$7:$AG$7,1))</f>
        <v>0</v>
      </c>
      <c r="AJ281" s="114" t="n">
        <f aca="false">INDEX($F281:$AG281,1,MATCH(AJ$7,$F$7:$AG$7,1))</f>
        <v>0</v>
      </c>
      <c r="AK281" s="114" t="n">
        <f aca="false">INDEX($F281:$AG281,1,MATCH(AK$7,$F$7:$AG$7,1))</f>
        <v>0</v>
      </c>
      <c r="AL281" s="114" t="n">
        <f aca="false">INDEX($F281:$AG281,1,MATCH(AL$7,$F$7:$AG$7,1))</f>
        <v>0</v>
      </c>
      <c r="AM281" s="114" t="n">
        <f aca="false">INDEX($F281:$AG281,1,MATCH(AM$7,$F$7:$AG$7,1))</f>
        <v>0</v>
      </c>
      <c r="AN281" s="114" t="n">
        <f aca="false">INDEX($F281:$AG281,1,MATCH(AN$7,$F$7:$AG$7,1))</f>
        <v>0</v>
      </c>
      <c r="AO281" s="114" t="n">
        <f aca="false">INDEX($F281:$AG281,1,MATCH(AO$7,$F$7:$AG$7,1))</f>
        <v>0</v>
      </c>
    </row>
    <row r="282" customFormat="false" ht="15" hidden="false" customHeight="false" outlineLevel="0" collapsed="false">
      <c r="A282" s="112" t="s">
        <v>1668</v>
      </c>
      <c r="B282" s="24" t="s">
        <v>857</v>
      </c>
      <c r="C282" s="24" t="s">
        <v>690</v>
      </c>
      <c r="D282" s="24"/>
      <c r="AI282" s="114" t="n">
        <f aca="false">INDEX($F282:$AG282,1,MATCH(AI$7,$F$7:$AG$7,1))</f>
        <v>0</v>
      </c>
      <c r="AJ282" s="114" t="n">
        <f aca="false">INDEX($F282:$AG282,1,MATCH(AJ$7,$F$7:$AG$7,1))</f>
        <v>0</v>
      </c>
      <c r="AK282" s="114" t="n">
        <f aca="false">INDEX($F282:$AG282,1,MATCH(AK$7,$F$7:$AG$7,1))</f>
        <v>0</v>
      </c>
      <c r="AL282" s="114" t="n">
        <f aca="false">INDEX($F282:$AG282,1,MATCH(AL$7,$F$7:$AG$7,1))</f>
        <v>0</v>
      </c>
      <c r="AM282" s="114" t="n">
        <f aca="false">INDEX($F282:$AG282,1,MATCH(AM$7,$F$7:$AG$7,1))</f>
        <v>0</v>
      </c>
      <c r="AN282" s="114" t="n">
        <f aca="false">INDEX($F282:$AG282,1,MATCH(AN$7,$F$7:$AG$7,1))</f>
        <v>0</v>
      </c>
      <c r="AO282" s="114" t="n">
        <f aca="false">INDEX($F282:$AG282,1,MATCH(AO$7,$F$7:$AG$7,1))</f>
        <v>0</v>
      </c>
    </row>
    <row r="283" customFormat="false" ht="15" hidden="false" customHeight="false" outlineLevel="0" collapsed="false">
      <c r="A283" s="112" t="s">
        <v>1895</v>
      </c>
      <c r="B283" s="24" t="s">
        <v>857</v>
      </c>
      <c r="C283" s="24" t="s">
        <v>690</v>
      </c>
      <c r="D283" s="24" t="s">
        <v>1896</v>
      </c>
      <c r="E283" s="0" t="s">
        <v>1632</v>
      </c>
      <c r="M283" s="118" t="n">
        <v>2000</v>
      </c>
      <c r="N283" s="113" t="n">
        <v>2750</v>
      </c>
      <c r="O283" s="118" t="n">
        <v>3500</v>
      </c>
      <c r="P283" s="113" t="n">
        <v>4250</v>
      </c>
      <c r="Q283" s="118" t="n">
        <v>5000</v>
      </c>
      <c r="R283" s="113" t="n">
        <v>5000</v>
      </c>
      <c r="S283" s="113" t="n">
        <v>5000</v>
      </c>
      <c r="T283" s="113" t="n">
        <v>5000</v>
      </c>
      <c r="U283" s="113" t="n">
        <v>5000</v>
      </c>
      <c r="V283" s="113" t="n">
        <v>5000</v>
      </c>
      <c r="W283" s="113" t="n">
        <v>5000</v>
      </c>
      <c r="X283" s="113" t="n">
        <v>5000</v>
      </c>
      <c r="Y283" s="113" t="n">
        <v>5000</v>
      </c>
      <c r="Z283" s="113" t="n">
        <v>5000</v>
      </c>
      <c r="AA283" s="113" t="n">
        <v>5000</v>
      </c>
      <c r="AB283" s="113" t="n">
        <v>5000</v>
      </c>
      <c r="AC283" s="113" t="n">
        <v>5000</v>
      </c>
      <c r="AD283" s="113" t="n">
        <v>5000</v>
      </c>
      <c r="AE283" s="113" t="n">
        <v>5000</v>
      </c>
      <c r="AF283" s="113" t="n">
        <v>5000</v>
      </c>
      <c r="AG283" s="113" t="n">
        <v>5000</v>
      </c>
      <c r="AI283" s="114" t="n">
        <f aca="false">INDEX($F283:$AG283,1,MATCH(AI$7,$F$7:$AG$7,1))</f>
        <v>0</v>
      </c>
      <c r="AJ283" s="114" t="n">
        <f aca="false">INDEX($F283:$AG283,1,MATCH(AJ$7,$F$7:$AG$7,1))</f>
        <v>2000</v>
      </c>
      <c r="AK283" s="114" t="n">
        <f aca="false">INDEX($F283:$AG283,1,MATCH(AK$7,$F$7:$AG$7,1))</f>
        <v>5000</v>
      </c>
      <c r="AL283" s="114" t="n">
        <f aca="false">INDEX($F283:$AG283,1,MATCH(AL$7,$F$7:$AG$7,1))</f>
        <v>5000</v>
      </c>
      <c r="AM283" s="114" t="n">
        <f aca="false">INDEX($F283:$AG283,1,MATCH(AM$7,$F$7:$AG$7,1))</f>
        <v>5000</v>
      </c>
      <c r="AN283" s="114" t="n">
        <f aca="false">INDEX($F283:$AG283,1,MATCH(AN$7,$F$7:$AG$7,1))</f>
        <v>5000</v>
      </c>
      <c r="AO283" s="114" t="n">
        <f aca="false">INDEX($F283:$AG283,1,MATCH(AO$7,$F$7:$AG$7,1))</f>
        <v>5000</v>
      </c>
    </row>
    <row r="284" customFormat="false" ht="15" hidden="false" customHeight="false" outlineLevel="0" collapsed="false">
      <c r="A284" s="112" t="s">
        <v>1897</v>
      </c>
      <c r="B284" s="24" t="s">
        <v>857</v>
      </c>
      <c r="C284" s="24" t="s">
        <v>672</v>
      </c>
      <c r="D284" s="24" t="s">
        <v>1898</v>
      </c>
      <c r="F284" s="117" t="n">
        <f aca="false">MAX(0,N(F283)*(1/PUE)-SUMPRODUCT(F258:F282,$F$12:$F$36))</f>
        <v>0</v>
      </c>
      <c r="G284" s="117" t="n">
        <f aca="false">MAX(0,N(G283)*(1/PUE)-SUMPRODUCT(G258:G282,$F$12:$F$36))</f>
        <v>0</v>
      </c>
      <c r="H284" s="117" t="n">
        <f aca="false">MAX(0,N(H283)*(1/PUE)-SUMPRODUCT(H258:H282,$F$12:$F$36))</f>
        <v>0</v>
      </c>
      <c r="I284" s="117" t="n">
        <f aca="false">MAX(0,N(I283)*(1/PUE)-SUMPRODUCT(I258:I282,$F$12:$F$36))</f>
        <v>0</v>
      </c>
      <c r="J284" s="117" t="n">
        <f aca="false">MAX(0,N(J283)*(1/PUE)-SUMPRODUCT(J258:J282,$F$12:$F$36))</f>
        <v>0</v>
      </c>
      <c r="K284" s="117" t="n">
        <f aca="false">MAX(0,N(K283)*(1/PUE)-SUMPRODUCT(K258:K282,$F$12:$F$36))</f>
        <v>0</v>
      </c>
      <c r="L284" s="117" t="n">
        <f aca="false">MAX(0,N(L283)*(1/PUE)-SUMPRODUCT(L258:L282,$F$12:$F$36))</f>
        <v>0</v>
      </c>
      <c r="M284" s="117" t="n">
        <f aca="false">MAX(0,N(M283)*(1/PUE)-SUMPRODUCT(M258:M282,$F$12:$F$36))</f>
        <v>45.4603</v>
      </c>
      <c r="N284" s="117" t="n">
        <f aca="false">MAX(0,N(N283)*(1/PUE)-SUMPRODUCT(N258:N282,$F$12:$F$36))</f>
        <v>111.2763</v>
      </c>
      <c r="O284" s="117" t="n">
        <f aca="false">MAX(0,N(O283)*(1/PUE)-SUMPRODUCT(O258:O282,$F$12:$F$36))</f>
        <v>0</v>
      </c>
      <c r="P284" s="114" t="n">
        <f aca="false">MAX(0,N(P283)*(1/PUE)-SUMPRODUCT(P258:P282,$F$12:$F$36))</f>
        <v>247.2567</v>
      </c>
      <c r="Q284" s="114" t="n">
        <f aca="false">MAX(0,N(Q283)*(1/PUE)-SUMPRODUCT(Q258:Q282,$F$12:$F$36))</f>
        <v>847.2567</v>
      </c>
      <c r="R284" s="114" t="n">
        <f aca="false">MAX(0,N(R283)*(1/PUE)-SUMPRODUCT(R258:R282,$F$12:$F$36))</f>
        <v>847.2567</v>
      </c>
      <c r="S284" s="114" t="n">
        <f aca="false">MAX(0,N(S283)*(1/PUE)-SUMPRODUCT(S258:S282,$F$12:$F$36))</f>
        <v>847.2567</v>
      </c>
      <c r="T284" s="114" t="n">
        <f aca="false">MAX(0,N(T283)*(1/PUE)-SUMPRODUCT(T258:T282,$F$12:$F$36))</f>
        <v>847.2567</v>
      </c>
      <c r="U284" s="114" t="n">
        <f aca="false">MAX(0,N(U283)*(1/PUE)-SUMPRODUCT(U258:U282,$F$12:$F$36))</f>
        <v>847.2567</v>
      </c>
      <c r="V284" s="114" t="n">
        <f aca="false">MAX(0,N(V283)*(1/PUE)-SUMPRODUCT(V258:V282,$F$12:$F$36))</f>
        <v>847.2567</v>
      </c>
      <c r="W284" s="114" t="n">
        <f aca="false">MAX(0,N(W283)*(1/PUE)-SUMPRODUCT(W258:W282,$F$12:$F$36))</f>
        <v>847.2567</v>
      </c>
      <c r="X284" s="114" t="n">
        <f aca="false">MAX(0,N(X283)*(1/PUE)-SUMPRODUCT(X258:X282,$F$12:$F$36))</f>
        <v>847.2567</v>
      </c>
      <c r="Y284" s="114" t="n">
        <f aca="false">MAX(0,N(Y283)*(1/PUE)-SUMPRODUCT(Y258:Y282,$F$12:$F$36))</f>
        <v>847.2567</v>
      </c>
      <c r="Z284" s="114" t="n">
        <f aca="false">MAX(0,N(Z283)*(1/PUE)-SUMPRODUCT(Z258:Z282,$F$12:$F$36))</f>
        <v>847.2567</v>
      </c>
      <c r="AA284" s="114" t="n">
        <f aca="false">MAX(0,N(AA283)*(1/PUE)-SUMPRODUCT(AA258:AA282,$F$12:$F$36))</f>
        <v>847.2567</v>
      </c>
      <c r="AB284" s="114" t="n">
        <f aca="false">MAX(0,N(AB283)*(1/PUE)-SUMPRODUCT(AB258:AB282,$F$12:$F$36))</f>
        <v>847.2567</v>
      </c>
      <c r="AC284" s="114" t="n">
        <f aca="false">MAX(0,N(AC283)*(1/PUE)-SUMPRODUCT(AC258:AC282,$F$12:$F$36))</f>
        <v>847.2567</v>
      </c>
      <c r="AD284" s="114" t="n">
        <f aca="false">MAX(0,N(AD283)*(1/PUE)-SUMPRODUCT(AD258:AD282,$F$12:$F$36))</f>
        <v>847.2567</v>
      </c>
      <c r="AE284" s="114" t="n">
        <f aca="false">MAX(0,N(AE283)*(1/PUE)-SUMPRODUCT(AE258:AE282,$F$12:$F$36))</f>
        <v>847.2567</v>
      </c>
      <c r="AF284" s="114" t="n">
        <f aca="false">MAX(0,N(AF283)*(1/PUE)-SUMPRODUCT(AF258:AF282,$F$12:$F$36))</f>
        <v>847.2567</v>
      </c>
      <c r="AG284" s="114" t="n">
        <f aca="false">MAX(0,N(AG283)*(1/PUE)-SUMPRODUCT(AG258:AG282,$F$12:$F$36))</f>
        <v>847.2567</v>
      </c>
      <c r="AI284" s="114" t="n">
        <f aca="false">INDEX($F284:$AG284,1,MATCH(AI$7,$F$7:$AG$7,1))</f>
        <v>0</v>
      </c>
      <c r="AJ284" s="114" t="n">
        <f aca="false">INDEX($F284:$AG284,1,MATCH(AJ$7,$F$7:$AG$7,1))</f>
        <v>45.4603</v>
      </c>
      <c r="AK284" s="114" t="n">
        <f aca="false">INDEX($F284:$AG284,1,MATCH(AK$7,$F$7:$AG$7,1))</f>
        <v>847.2567</v>
      </c>
      <c r="AL284" s="114" t="n">
        <f aca="false">INDEX($F284:$AG284,1,MATCH(AL$7,$F$7:$AG$7,1))</f>
        <v>847.2567</v>
      </c>
      <c r="AM284" s="114" t="n">
        <f aca="false">INDEX($F284:$AG284,1,MATCH(AM$7,$F$7:$AG$7,1))</f>
        <v>847.2567</v>
      </c>
      <c r="AN284" s="114" t="n">
        <f aca="false">INDEX($F284:$AG284,1,MATCH(AN$7,$F$7:$AG$7,1))</f>
        <v>847.2567</v>
      </c>
      <c r="AO284" s="114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1899</v>
      </c>
      <c r="B285" s="24" t="s">
        <v>857</v>
      </c>
      <c r="C285" s="24" t="s">
        <v>672</v>
      </c>
      <c r="D285" s="24" t="s">
        <v>1900</v>
      </c>
      <c r="F285" s="119" t="n">
        <f aca="false">SUMPRODUCT(F258:F282,$F$12:$F$36)+F284</f>
        <v>0</v>
      </c>
      <c r="G285" s="119" t="n">
        <f aca="false">SUMPRODUCT(G258:G282,$F$12:$F$36)+G284</f>
        <v>0</v>
      </c>
      <c r="H285" s="119" t="n">
        <f aca="false">SUMPRODUCT(H258:H282,$F$12:$F$36)+H284</f>
        <v>5</v>
      </c>
      <c r="I285" s="119" t="n">
        <f aca="false">SUMPRODUCT(I258:I282,$F$12:$F$36)+I284</f>
        <v>123.1825</v>
      </c>
      <c r="J285" s="119" t="n">
        <f aca="false">SUMPRODUCT(J258:J282,$F$12:$F$36)+J284</f>
        <v>423.1825</v>
      </c>
      <c r="K285" s="119" t="n">
        <f aca="false">SUMPRODUCT(K258:K282,$F$12:$F$36)+K284</f>
        <v>443.4897</v>
      </c>
      <c r="L285" s="119" t="n">
        <f aca="false">SUMPRODUCT(L258:L282,$F$12:$F$36)+L284</f>
        <v>665.6997</v>
      </c>
      <c r="M285" s="119" t="n">
        <f aca="false">SUMPRODUCT(M258:M282,$F$12:$F$36)+M284</f>
        <v>1600</v>
      </c>
      <c r="N285" s="119" t="n">
        <f aca="false">SUMPRODUCT(N258:N282,$F$12:$F$36)+N284</f>
        <v>2200</v>
      </c>
      <c r="O285" s="119" t="n">
        <f aca="false">SUMPRODUCT(O258:O282,$F$12:$F$36)+O284</f>
        <v>3102.7433</v>
      </c>
      <c r="P285" s="120" t="n">
        <f aca="false">SUMPRODUCT(P258:P282,$F$12:$F$36)+P284</f>
        <v>3400</v>
      </c>
      <c r="Q285" s="120" t="n">
        <f aca="false">SUMPRODUCT(Q258:Q282,$F$12:$F$36)+Q284</f>
        <v>4000</v>
      </c>
      <c r="R285" s="120" t="n">
        <f aca="false">SUMPRODUCT(R258:R282,$F$12:$F$36)+R284</f>
        <v>4000</v>
      </c>
      <c r="S285" s="120" t="n">
        <f aca="false">SUMPRODUCT(S258:S282,$F$12:$F$36)+S284</f>
        <v>4000</v>
      </c>
      <c r="T285" s="120" t="n">
        <f aca="false">SUMPRODUCT(T258:T282,$F$12:$F$36)+T284</f>
        <v>4000</v>
      </c>
      <c r="U285" s="120" t="n">
        <f aca="false">SUMPRODUCT(U258:U282,$F$12:$F$36)+U284</f>
        <v>4000</v>
      </c>
      <c r="V285" s="120" t="n">
        <f aca="false">SUMPRODUCT(V258:V282,$F$12:$F$36)+V284</f>
        <v>4000</v>
      </c>
      <c r="W285" s="120" t="n">
        <f aca="false">SUMPRODUCT(W258:W282,$F$12:$F$36)+W284</f>
        <v>4000</v>
      </c>
      <c r="X285" s="120" t="n">
        <f aca="false">SUMPRODUCT(X258:X282,$F$12:$F$36)+X284</f>
        <v>4000</v>
      </c>
      <c r="Y285" s="120" t="n">
        <f aca="false">SUMPRODUCT(Y258:Y282,$F$12:$F$36)+Y284</f>
        <v>4000</v>
      </c>
      <c r="Z285" s="120" t="n">
        <f aca="false">SUMPRODUCT(Z258:Z282,$F$12:$F$36)+Z284</f>
        <v>4000</v>
      </c>
      <c r="AA285" s="120" t="n">
        <f aca="false">SUMPRODUCT(AA258:AA282,$F$12:$F$36)+AA284</f>
        <v>4000</v>
      </c>
      <c r="AB285" s="120" t="n">
        <f aca="false">SUMPRODUCT(AB258:AB282,$F$12:$F$36)+AB284</f>
        <v>4000</v>
      </c>
      <c r="AC285" s="120" t="n">
        <f aca="false">SUMPRODUCT(AC258:AC282,$F$12:$F$36)+AC284</f>
        <v>4000</v>
      </c>
      <c r="AD285" s="120" t="n">
        <f aca="false">SUMPRODUCT(AD258:AD282,$F$12:$F$36)+AD284</f>
        <v>4000</v>
      </c>
      <c r="AE285" s="120" t="n">
        <f aca="false">SUMPRODUCT(AE258:AE282,$F$12:$F$36)+AE284</f>
        <v>4000</v>
      </c>
      <c r="AF285" s="120" t="n">
        <f aca="false">SUMPRODUCT(AF258:AF282,$F$12:$F$36)+AF284</f>
        <v>4000</v>
      </c>
      <c r="AG285" s="120" t="n">
        <f aca="false">SUMPRODUCT(AG258:AG282,$F$12:$F$36)+AG284</f>
        <v>4000</v>
      </c>
      <c r="AI285" s="120" t="n">
        <f aca="false">INDEX($F285:$AG285,1,MATCH(AI$7,$F$7:$AG$7,1))</f>
        <v>123.1825</v>
      </c>
      <c r="AJ285" s="120" t="n">
        <f aca="false">INDEX($F285:$AG285,1,MATCH(AJ$7,$F$7:$AG$7,1))</f>
        <v>1600</v>
      </c>
      <c r="AK285" s="120" t="n">
        <f aca="false">INDEX($F285:$AG285,1,MATCH(AK$7,$F$7:$AG$7,1))</f>
        <v>4000</v>
      </c>
      <c r="AL285" s="120" t="n">
        <f aca="false">INDEX($F285:$AG285,1,MATCH(AL$7,$F$7:$AG$7,1))</f>
        <v>4000</v>
      </c>
      <c r="AM285" s="120" t="n">
        <f aca="false">INDEX($F285:$AG285,1,MATCH(AM$7,$F$7:$AG$7,1))</f>
        <v>4000</v>
      </c>
      <c r="AN285" s="120" t="n">
        <f aca="false">INDEX($F285:$AG285,1,MATCH(AN$7,$F$7:$AG$7,1))</f>
        <v>4000</v>
      </c>
      <c r="AO285" s="120" t="n">
        <f aca="false">INDEX($F285:$AG285,1,MATCH(AO$7,$F$7:$AG$7,1))</f>
        <v>4000</v>
      </c>
    </row>
    <row r="286" customFormat="false" ht="15" hidden="false" customHeight="false" outlineLevel="0" collapsed="false">
      <c r="A286" s="112" t="s">
        <v>1901</v>
      </c>
      <c r="B286" s="24" t="s">
        <v>857</v>
      </c>
      <c r="C286" s="24" t="s">
        <v>672</v>
      </c>
      <c r="D286" s="24"/>
      <c r="F286" s="117" t="n">
        <f aca="false">SUMPRODUCT(F258:F282,$F$12:$F$36,$G$12:$G$36)+F284*INDEX(OwnedSh,1,F$7-FYBase)</f>
        <v>0</v>
      </c>
      <c r="G286" s="117" t="n">
        <f aca="false">SUMPRODUCT(G258:G282,$F$12:$F$36,$G$12:$G$36)+G284*INDEX(OwnedSh,1,G$7-FYBase)</f>
        <v>0</v>
      </c>
      <c r="H286" s="117" t="n">
        <f aca="false">SUMPRODUCT(H258:H282,$F$12:$F$36,$G$12:$G$36)+H284*INDEX(OwnedSh,1,H$7-FYBase)</f>
        <v>0</v>
      </c>
      <c r="I286" s="117" t="n">
        <f aca="false">SUMPRODUCT(I258:I282,$F$12:$F$36,$G$12:$G$36)+I284*INDEX(OwnedSh,1,I$7-FYBase)</f>
        <v>68.1825</v>
      </c>
      <c r="J286" s="117" t="n">
        <f aca="false">SUMPRODUCT(J258:J282,$F$12:$F$36,$G$12:$G$36)+J284*INDEX(OwnedSh,1,J$7-FYBase)</f>
        <v>68.1825</v>
      </c>
      <c r="K286" s="117" t="n">
        <f aca="false">SUMPRODUCT(K258:K282,$F$12:$F$36,$G$12:$G$36)+K284*INDEX(OwnedSh,1,K$7-FYBase)</f>
        <v>68.1825</v>
      </c>
      <c r="L286" s="117" t="n">
        <f aca="false">SUMPRODUCT(L258:L282,$F$12:$F$36,$G$12:$G$36)+L284*INDEX(OwnedSh,1,L$7-FYBase)</f>
        <v>290.3925</v>
      </c>
      <c r="M286" s="117" t="n">
        <f aca="false">SUMPRODUCT(M258:M282,$F$12:$F$36,$G$12:$G$36)+M284*INDEX(OwnedSh,1,M$7-FYBase)</f>
        <v>1192.87059</v>
      </c>
      <c r="N286" s="117" t="n">
        <f aca="false">SUMPRODUCT(N258:N282,$F$12:$F$36,$G$12:$G$36)+N284*INDEX(OwnedSh,1,N$7-FYBase)</f>
        <v>1482.19139</v>
      </c>
      <c r="O286" s="117" t="n">
        <f aca="false">SUMPRODUCT(O258:O282,$F$12:$F$36,$G$12:$G$36)+O284*INDEX(OwnedSh,1,O$7-FYBase)</f>
        <v>2398.5205</v>
      </c>
      <c r="P286" s="114" t="n">
        <f aca="false">SUMPRODUCT(P258:P282,$F$12:$F$36,$G$12:$G$36)+P284*INDEX(OwnedSh,1,P$7-FYBase)</f>
        <v>2472.69751</v>
      </c>
      <c r="Q286" s="114" t="n">
        <f aca="false">SUMPRODUCT(Q258:Q282,$F$12:$F$36,$G$12:$G$36)+Q284*INDEX(OwnedSh,1,Q$7-FYBase)</f>
        <v>2652.69751</v>
      </c>
      <c r="R286" s="114" t="n">
        <f aca="false">SUMPRODUCT(R258:R282,$F$12:$F$36,$G$12:$G$36)+R284*INDEX(OwnedSh,1,R$7-FYBase)</f>
        <v>2822.14885</v>
      </c>
      <c r="S286" s="114" t="n">
        <f aca="false">SUMPRODUCT(S258:S282,$F$12:$F$36,$G$12:$G$36)+S284*INDEX(OwnedSh,1,S$7-FYBase)</f>
        <v>2822.14885</v>
      </c>
      <c r="T286" s="114" t="n">
        <f aca="false">SUMPRODUCT(T258:T282,$F$12:$F$36,$G$12:$G$36)+T284*INDEX(OwnedSh,1,T$7-FYBase)</f>
        <v>2822.14885</v>
      </c>
      <c r="U286" s="114" t="n">
        <f aca="false">SUMPRODUCT(U258:U282,$F$12:$F$36,$G$12:$G$36)+U284*INDEX(OwnedSh,1,U$7-FYBase)</f>
        <v>2822.14885</v>
      </c>
      <c r="V286" s="114" t="n">
        <f aca="false">SUMPRODUCT(V258:V282,$F$12:$F$36,$G$12:$G$36)+V284*INDEX(OwnedSh,1,V$7-FYBase)</f>
        <v>2949.237355</v>
      </c>
      <c r="W286" s="114" t="n">
        <f aca="false">SUMPRODUCT(W258:W282,$F$12:$F$36,$G$12:$G$36)+W284*INDEX(OwnedSh,1,W$7-FYBase)</f>
        <v>2949.237355</v>
      </c>
      <c r="X286" s="114" t="n">
        <f aca="false">SUMPRODUCT(X258:X282,$F$12:$F$36,$G$12:$G$36)+X284*INDEX(OwnedSh,1,X$7-FYBase)</f>
        <v>2949.237355</v>
      </c>
      <c r="Y286" s="114" t="n">
        <f aca="false">SUMPRODUCT(Y258:Y282,$F$12:$F$36,$G$12:$G$36)+Y284*INDEX(OwnedSh,1,Y$7-FYBase)</f>
        <v>2949.237355</v>
      </c>
      <c r="Z286" s="114" t="n">
        <f aca="false">SUMPRODUCT(Z258:Z282,$F$12:$F$36,$G$12:$G$36)+Z284*INDEX(OwnedSh,1,Z$7-FYBase)</f>
        <v>2991.60019</v>
      </c>
      <c r="AA286" s="114" t="n">
        <f aca="false">SUMPRODUCT(AA258:AA282,$F$12:$F$36,$G$12:$G$36)+AA284*INDEX(OwnedSh,1,AA$7-FYBase)</f>
        <v>2991.60019</v>
      </c>
      <c r="AB286" s="114" t="n">
        <f aca="false">SUMPRODUCT(AB258:AB282,$F$12:$F$36,$G$12:$G$36)+AB284*INDEX(OwnedSh,1,AB$7-FYBase)</f>
        <v>2991.60019</v>
      </c>
      <c r="AC286" s="114" t="n">
        <f aca="false">SUMPRODUCT(AC258:AC282,$F$12:$F$36,$G$12:$G$36)+AC284*INDEX(OwnedSh,1,AC$7-FYBase)</f>
        <v>2991.60019</v>
      </c>
      <c r="AD286" s="114" t="n">
        <f aca="false">SUMPRODUCT(AD258:AD282,$F$12:$F$36,$G$12:$G$36)+AD284*INDEX(OwnedSh,1,AD$7-FYBase)</f>
        <v>3033.963025</v>
      </c>
      <c r="AE286" s="114" t="n">
        <f aca="false">SUMPRODUCT(AE258:AE282,$F$12:$F$36,$G$12:$G$36)+AE284*INDEX(OwnedSh,1,AE$7-FYBase)</f>
        <v>3033.963025</v>
      </c>
      <c r="AF286" s="114" t="n">
        <f aca="false">SUMPRODUCT(AF258:AF282,$F$12:$F$36,$G$12:$G$36)+AF284*INDEX(OwnedSh,1,AF$7-FYBase)</f>
        <v>3033.963025</v>
      </c>
      <c r="AG286" s="114" t="n">
        <f aca="false">SUMPRODUCT(AG258:AG282,$F$12:$F$36,$G$12:$G$36)+AG284*INDEX(OwnedSh,1,AG$7-FYBase)</f>
        <v>3033.963025</v>
      </c>
      <c r="AI286" s="114" t="n">
        <f aca="false">INDEX($F286:$AG286,1,MATCH(AI$7,$F$7:$AG$7,1))</f>
        <v>68.1825</v>
      </c>
      <c r="AJ286" s="114" t="n">
        <f aca="false">INDEX($F286:$AG286,1,MATCH(AJ$7,$F$7:$AG$7,1))</f>
        <v>1192.87059</v>
      </c>
      <c r="AK286" s="114" t="n">
        <f aca="false">INDEX($F286:$AG286,1,MATCH(AK$7,$F$7:$AG$7,1))</f>
        <v>2652.69751</v>
      </c>
      <c r="AL286" s="114" t="n">
        <f aca="false">INDEX($F286:$AG286,1,MATCH(AL$7,$F$7:$AG$7,1))</f>
        <v>2822.14885</v>
      </c>
      <c r="AM286" s="114" t="n">
        <f aca="false">INDEX($F286:$AG286,1,MATCH(AM$7,$F$7:$AG$7,1))</f>
        <v>2949.237355</v>
      </c>
      <c r="AN286" s="114" t="n">
        <f aca="false">INDEX($F286:$AG286,1,MATCH(AN$7,$F$7:$AG$7,1))</f>
        <v>2991.60019</v>
      </c>
      <c r="AO286" s="114" t="n">
        <f aca="false">INDEX($F286:$AG286,1,MATCH(AO$7,$F$7:$AG$7,1))</f>
        <v>3033.963025</v>
      </c>
    </row>
    <row r="288" customFormat="false" ht="15" hidden="false" customHeight="false" outlineLevel="0" collapsed="false">
      <c r="A288" s="64" t="s">
        <v>1902</v>
      </c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customFormat="false" ht="15" hidden="false" customHeight="false" outlineLevel="0" collapsed="false">
      <c r="A289" s="112" t="s">
        <v>1623</v>
      </c>
      <c r="B289" s="24" t="s">
        <v>857</v>
      </c>
      <c r="C289" s="24" t="s">
        <v>690</v>
      </c>
      <c r="D289" s="24"/>
      <c r="F289" s="114" t="n">
        <f aca="false">IF(F$5&lt;=LastHist,F46,CHOOSE(Scen,F49,F46,F43))</f>
        <v>0</v>
      </c>
      <c r="G289" s="114" t="n">
        <f aca="false">IF(G$5&lt;=LastHist,G46,CHOOSE(Scen,G49,G46,G43))</f>
        <v>0</v>
      </c>
      <c r="H289" s="114" t="n">
        <f aca="false">IF(H$5&lt;=LastHist,H46,CHOOSE(Scen,H49,H46,H43))</f>
        <v>0</v>
      </c>
      <c r="I289" s="114" t="n">
        <f aca="false">IF(I$5&lt;=LastHist,I46,CHOOSE(Scen,I49,I46,I43))</f>
        <v>0</v>
      </c>
      <c r="J289" s="114" t="n">
        <f aca="false">IF(J$5&lt;=LastHist,J46,CHOOSE(Scen,J49,J46,J43))</f>
        <v>0</v>
      </c>
      <c r="K289" s="114" t="n">
        <f aca="false">IF(K$5&lt;=LastHist,K46,CHOOSE(Scen,K49,K46,K43))</f>
        <v>0</v>
      </c>
      <c r="L289" s="114" t="n">
        <f aca="false">IF(L$5&lt;=LastHist,L46,CHOOSE(Scen,L49,L46,L43))</f>
        <v>0</v>
      </c>
      <c r="M289" s="114" t="n">
        <f aca="false">IF(M$5&lt;=LastHist,M46,CHOOSE(Scen,M49,M46,M43))</f>
        <v>26.2</v>
      </c>
      <c r="N289" s="114" t="n">
        <f aca="false">IF(N$5&lt;=LastHist,N46,CHOOSE(Scen,N49,N46,N43))</f>
        <v>37.5</v>
      </c>
      <c r="O289" s="114" t="n">
        <f aca="false">IF(O$5&lt;=LastHist,O46,CHOOSE(Scen,O49,O46,O43))</f>
        <v>39</v>
      </c>
      <c r="P289" s="114" t="n">
        <f aca="false">IF(P$5&lt;=LastHist,P46,CHOOSE(Scen,P49,P46,P43))</f>
        <v>66</v>
      </c>
      <c r="Q289" s="114" t="n">
        <f aca="false">IF(Q$5&lt;=LastHist,Q46,CHOOSE(Scen,Q49,Q46,Q43))</f>
        <v>81.8</v>
      </c>
      <c r="R289" s="114" t="n">
        <f aca="false">IF(R$5&lt;=LastHist,R46,CHOOSE(Scen,R49,R46,R43))</f>
        <v>118.5</v>
      </c>
      <c r="S289" s="114" t="n">
        <f aca="false">IF(S$5&lt;=LastHist,S46,CHOOSE(Scen,S49,S46,S43))</f>
        <v>168.5</v>
      </c>
      <c r="T289" s="114" t="n">
        <f aca="false">IF(T$5&lt;=LastHist,T46,CHOOSE(Scen,T49,T46,T43))</f>
        <v>200</v>
      </c>
      <c r="U289" s="114" t="n">
        <f aca="false">IF(U$5&lt;=LastHist,U46,CHOOSE(Scen,U49,U46,U43))</f>
        <v>235</v>
      </c>
      <c r="V289" s="114" t="n">
        <f aca="false">IF(V$5&lt;=LastHist,V46,CHOOSE(Scen,V49,V46,V43))</f>
        <v>235</v>
      </c>
      <c r="W289" s="114" t="n">
        <f aca="false">IF(W$5&lt;=LastHist,W46,CHOOSE(Scen,W49,W46,W43))</f>
        <v>235</v>
      </c>
      <c r="X289" s="114" t="n">
        <f aca="false">IF(X$5&lt;=LastHist,X46,CHOOSE(Scen,X49,X46,X43))</f>
        <v>235</v>
      </c>
      <c r="Y289" s="114" t="n">
        <f aca="false">IF(Y$5&lt;=LastHist,Y46,CHOOSE(Scen,Y49,Y46,Y43))</f>
        <v>235</v>
      </c>
      <c r="Z289" s="114" t="n">
        <f aca="false">IF(Z$5&lt;=LastHist,Z46,CHOOSE(Scen,Z49,Z46,Z43))</f>
        <v>235</v>
      </c>
      <c r="AA289" s="114" t="n">
        <f aca="false">IF(AA$5&lt;=LastHist,AA46,CHOOSE(Scen,AA49,AA46,AA43))</f>
        <v>235</v>
      </c>
      <c r="AB289" s="114" t="n">
        <f aca="false">IF(AB$5&lt;=LastHist,AB46,CHOOSE(Scen,AB49,AB46,AB43))</f>
        <v>235</v>
      </c>
      <c r="AC289" s="114" t="n">
        <f aca="false">IF(AC$5&lt;=LastHist,AC46,CHOOSE(Scen,AC49,AC46,AC43))</f>
        <v>235</v>
      </c>
      <c r="AD289" s="114" t="n">
        <f aca="false">IF(AD$5&lt;=LastHist,AD46,CHOOSE(Scen,AD49,AD46,AD43))</f>
        <v>235</v>
      </c>
      <c r="AE289" s="114" t="n">
        <f aca="false">IF(AE$5&lt;=LastHist,AE46,CHOOSE(Scen,AE49,AE46,AE43))</f>
        <v>235</v>
      </c>
      <c r="AF289" s="114" t="n">
        <f aca="false">IF(AF$5&lt;=LastHist,AF46,CHOOSE(Scen,AF49,AF46,AF43))</f>
        <v>235</v>
      </c>
      <c r="AG289" s="114" t="n">
        <f aca="false">IF(AG$5&lt;=LastHist,AG46,CHOOSE(Scen,AG49,AG46,AG43))</f>
        <v>235</v>
      </c>
      <c r="AI289" s="114" t="n">
        <f aca="false">INDEX($F289:$AG289,1,MATCH(AI$7,$F$7:$AG$7,1))</f>
        <v>0</v>
      </c>
      <c r="AJ289" s="114" t="n">
        <f aca="false">INDEX($F289:$AG289,1,MATCH(AJ$7,$F$7:$AG$7,1))</f>
        <v>26.2</v>
      </c>
      <c r="AK289" s="114" t="n">
        <f aca="false">INDEX($F289:$AG289,1,MATCH(AK$7,$F$7:$AG$7,1))</f>
        <v>81.8</v>
      </c>
      <c r="AL289" s="114" t="n">
        <f aca="false">INDEX($F289:$AG289,1,MATCH(AL$7,$F$7:$AG$7,1))</f>
        <v>235</v>
      </c>
      <c r="AM289" s="114" t="n">
        <f aca="false">INDEX($F289:$AG289,1,MATCH(AM$7,$F$7:$AG$7,1))</f>
        <v>235</v>
      </c>
      <c r="AN289" s="114" t="n">
        <f aca="false">INDEX($F289:$AG289,1,MATCH(AN$7,$F$7:$AG$7,1))</f>
        <v>235</v>
      </c>
      <c r="AO289" s="114" t="n">
        <f aca="false">INDEX($F289:$AG289,1,MATCH(AO$7,$F$7:$AG$7,1))</f>
        <v>235</v>
      </c>
    </row>
    <row r="290" customFormat="false" ht="15" hidden="false" customHeight="false" outlineLevel="0" collapsed="false">
      <c r="A290" s="112" t="s">
        <v>1630</v>
      </c>
      <c r="B290" s="24" t="s">
        <v>857</v>
      </c>
      <c r="C290" s="24" t="s">
        <v>690</v>
      </c>
      <c r="D290" s="24"/>
      <c r="F290" s="114" t="n">
        <f aca="false">IF(F$5&lt;=LastHist,F55,CHOOSE(Scen,F58,F55,F52))</f>
        <v>0</v>
      </c>
      <c r="G290" s="114" t="n">
        <f aca="false">IF(G$5&lt;=LastHist,G55,CHOOSE(Scen,G58,G55,G52))</f>
        <v>0</v>
      </c>
      <c r="H290" s="114" t="n">
        <f aca="false">IF(H$5&lt;=LastHist,H55,CHOOSE(Scen,H58,H55,H52))</f>
        <v>0</v>
      </c>
      <c r="I290" s="114" t="n">
        <f aca="false">IF(I$5&lt;=LastHist,I55,CHOOSE(Scen,I58,I55,I52))</f>
        <v>0</v>
      </c>
      <c r="J290" s="114" t="n">
        <f aca="false">IF(J$5&lt;=LastHist,J55,CHOOSE(Scen,J58,J55,J52))</f>
        <v>0</v>
      </c>
      <c r="K290" s="114" t="n">
        <f aca="false">IF(K$5&lt;=LastHist,K55,CHOOSE(Scen,K58,K55,K52))</f>
        <v>0</v>
      </c>
      <c r="L290" s="114" t="n">
        <f aca="false">IF(L$5&lt;=LastHist,L55,CHOOSE(Scen,L58,L55,L52))</f>
        <v>0</v>
      </c>
      <c r="M290" s="114" t="n">
        <f aca="false">IF(M$5&lt;=LastHist,M55,CHOOSE(Scen,M58,M55,M52))</f>
        <v>0</v>
      </c>
      <c r="N290" s="114" t="n">
        <f aca="false">IF(N$5&lt;=LastHist,N55,CHOOSE(Scen,N58,N55,N52))</f>
        <v>0</v>
      </c>
      <c r="O290" s="114" t="n">
        <f aca="false">IF(O$5&lt;=LastHist,O55,CHOOSE(Scen,O58,O55,O52))</f>
        <v>0</v>
      </c>
      <c r="P290" s="114" t="n">
        <f aca="false">IF(P$5&lt;=LastHist,P55,CHOOSE(Scen,P58,P55,P52))</f>
        <v>0</v>
      </c>
      <c r="Q290" s="114" t="n">
        <f aca="false">IF(Q$5&lt;=LastHist,Q55,CHOOSE(Scen,Q58,Q55,Q52))</f>
        <v>0</v>
      </c>
      <c r="R290" s="114" t="n">
        <f aca="false">IF(R$5&lt;=LastHist,R55,CHOOSE(Scen,R58,R55,R52))</f>
        <v>0</v>
      </c>
      <c r="S290" s="114" t="n">
        <f aca="false">IF(S$5&lt;=LastHist,S55,CHOOSE(Scen,S58,S55,S52))</f>
        <v>0</v>
      </c>
      <c r="T290" s="114" t="n">
        <f aca="false">IF(T$5&lt;=LastHist,T55,CHOOSE(Scen,T58,T55,T52))</f>
        <v>50</v>
      </c>
      <c r="U290" s="114" t="n">
        <f aca="false">IF(U$5&lt;=LastHist,U55,CHOOSE(Scen,U58,U55,U52))</f>
        <v>125</v>
      </c>
      <c r="V290" s="114" t="n">
        <f aca="false">IF(V$5&lt;=LastHist,V55,CHOOSE(Scen,V58,V55,V52))</f>
        <v>125</v>
      </c>
      <c r="W290" s="114" t="n">
        <f aca="false">IF(W$5&lt;=LastHist,W55,CHOOSE(Scen,W58,W55,W52))</f>
        <v>175</v>
      </c>
      <c r="X290" s="114" t="n">
        <f aca="false">IF(X$5&lt;=LastHist,X55,CHOOSE(Scen,X58,X55,X52))</f>
        <v>175</v>
      </c>
      <c r="Y290" s="114" t="n">
        <f aca="false">IF(Y$5&lt;=LastHist,Y55,CHOOSE(Scen,Y58,Y55,Y52))</f>
        <v>225</v>
      </c>
      <c r="Z290" s="114" t="n">
        <f aca="false">IF(Z$5&lt;=LastHist,Z55,CHOOSE(Scen,Z58,Z55,Z52))</f>
        <v>225</v>
      </c>
      <c r="AA290" s="114" t="n">
        <f aca="false">IF(AA$5&lt;=LastHist,AA55,CHOOSE(Scen,AA58,AA55,AA52))</f>
        <v>450</v>
      </c>
      <c r="AB290" s="114" t="n">
        <f aca="false">IF(AB$5&lt;=LastHist,AB55,CHOOSE(Scen,AB58,AB55,AB52))</f>
        <v>450</v>
      </c>
      <c r="AC290" s="114" t="n">
        <f aca="false">IF(AC$5&lt;=LastHist,AC55,CHOOSE(Scen,AC58,AC55,AC52))</f>
        <v>650</v>
      </c>
      <c r="AD290" s="114" t="n">
        <f aca="false">IF(AD$5&lt;=LastHist,AD55,CHOOSE(Scen,AD58,AD55,AD52))</f>
        <v>650</v>
      </c>
      <c r="AE290" s="114" t="n">
        <f aca="false">IF(AE$5&lt;=LastHist,AE55,CHOOSE(Scen,AE58,AE55,AE52))</f>
        <v>650</v>
      </c>
      <c r="AF290" s="114" t="n">
        <f aca="false">IF(AF$5&lt;=LastHist,AF55,CHOOSE(Scen,AF58,AF55,AF52))</f>
        <v>650</v>
      </c>
      <c r="AG290" s="114" t="n">
        <f aca="false">IF(AG$5&lt;=LastHist,AG55,CHOOSE(Scen,AG58,AG55,AG52))</f>
        <v>950</v>
      </c>
      <c r="AI290" s="114" t="n">
        <f aca="false">INDEX($F290:$AG290,1,MATCH(AI$7,$F$7:$AG$7,1))</f>
        <v>0</v>
      </c>
      <c r="AJ290" s="114" t="n">
        <f aca="false">INDEX($F290:$AG290,1,MATCH(AJ$7,$F$7:$AG$7,1))</f>
        <v>0</v>
      </c>
      <c r="AK290" s="114" t="n">
        <f aca="false">INDEX($F290:$AG290,1,MATCH(AK$7,$F$7:$AG$7,1))</f>
        <v>0</v>
      </c>
      <c r="AL290" s="114" t="n">
        <f aca="false">INDEX($F290:$AG290,1,MATCH(AL$7,$F$7:$AG$7,1))</f>
        <v>125</v>
      </c>
      <c r="AM290" s="114" t="n">
        <f aca="false">INDEX($F290:$AG290,1,MATCH(AM$7,$F$7:$AG$7,1))</f>
        <v>225</v>
      </c>
      <c r="AN290" s="114" t="n">
        <f aca="false">INDEX($F290:$AG290,1,MATCH(AN$7,$F$7:$AG$7,1))</f>
        <v>650</v>
      </c>
      <c r="AO290" s="114" t="n">
        <f aca="false">INDEX($F290:$AG290,1,MATCH(AO$7,$F$7:$AG$7,1))</f>
        <v>950</v>
      </c>
    </row>
    <row r="291" customFormat="false" ht="15" hidden="false" customHeight="false" outlineLevel="0" collapsed="false">
      <c r="A291" s="112" t="s">
        <v>1636</v>
      </c>
      <c r="B291" s="24" t="s">
        <v>857</v>
      </c>
      <c r="C291" s="24" t="s">
        <v>690</v>
      </c>
      <c r="D291" s="24"/>
      <c r="F291" s="114" t="n">
        <f aca="false">IF(F$5&lt;=LastHist,F64,CHOOSE(Scen,F67,F64,F61))</f>
        <v>0</v>
      </c>
      <c r="G291" s="114" t="n">
        <f aca="false">IF(G$5&lt;=LastHist,G64,CHOOSE(Scen,G67,G64,G61))</f>
        <v>0</v>
      </c>
      <c r="H291" s="114" t="n">
        <f aca="false">IF(H$5&lt;=LastHist,H64,CHOOSE(Scen,H67,H64,H61))</f>
        <v>0</v>
      </c>
      <c r="I291" s="114" t="n">
        <f aca="false">IF(I$5&lt;=LastHist,I64,CHOOSE(Scen,I67,I64,I61))</f>
        <v>0</v>
      </c>
      <c r="J291" s="114" t="n">
        <f aca="false">IF(J$5&lt;=LastHist,J64,CHOOSE(Scen,J67,J64,J61))</f>
        <v>0</v>
      </c>
      <c r="K291" s="114" t="n">
        <f aca="false">IF(K$5&lt;=LastHist,K64,CHOOSE(Scen,K67,K64,K61))</f>
        <v>0</v>
      </c>
      <c r="L291" s="114" t="n">
        <f aca="false">IF(L$5&lt;=LastHist,L64,CHOOSE(Scen,L67,L64,L61))</f>
        <v>0</v>
      </c>
      <c r="M291" s="114" t="n">
        <f aca="false">IF(M$5&lt;=LastHist,M64,CHOOSE(Scen,M67,M64,M61))</f>
        <v>0</v>
      </c>
      <c r="N291" s="114" t="n">
        <f aca="false">IF(N$5&lt;=LastHist,N64,CHOOSE(Scen,N67,N64,N61))</f>
        <v>0</v>
      </c>
      <c r="O291" s="114" t="n">
        <f aca="false">IF(O$5&lt;=LastHist,O64,CHOOSE(Scen,O67,O64,O61))</f>
        <v>0</v>
      </c>
      <c r="P291" s="114" t="n">
        <f aca="false">IF(P$5&lt;=LastHist,P64,CHOOSE(Scen,P67,P64,P61))</f>
        <v>0</v>
      </c>
      <c r="Q291" s="114" t="n">
        <f aca="false">IF(Q$5&lt;=LastHist,Q64,CHOOSE(Scen,Q67,Q64,Q61))</f>
        <v>0</v>
      </c>
      <c r="R291" s="114" t="n">
        <f aca="false">IF(R$5&lt;=LastHist,R64,CHOOSE(Scen,R67,R64,R61))</f>
        <v>0</v>
      </c>
      <c r="S291" s="114" t="n">
        <f aca="false">IF(S$5&lt;=LastHist,S64,CHOOSE(Scen,S67,S64,S61))</f>
        <v>0</v>
      </c>
      <c r="T291" s="114" t="n">
        <f aca="false">IF(T$5&lt;=LastHist,T64,CHOOSE(Scen,T67,T64,T61))</f>
        <v>0</v>
      </c>
      <c r="U291" s="114" t="n">
        <f aca="false">IF(U$5&lt;=LastHist,U64,CHOOSE(Scen,U67,U64,U61))</f>
        <v>65</v>
      </c>
      <c r="V291" s="114" t="n">
        <f aca="false">IF(V$5&lt;=LastHist,V64,CHOOSE(Scen,V67,V64,V61))</f>
        <v>130</v>
      </c>
      <c r="W291" s="114" t="n">
        <f aca="false">IF(W$5&lt;=LastHist,W64,CHOOSE(Scen,W67,W64,W61))</f>
        <v>130</v>
      </c>
      <c r="X291" s="114" t="n">
        <f aca="false">IF(X$5&lt;=LastHist,X64,CHOOSE(Scen,X67,X64,X61))</f>
        <v>130</v>
      </c>
      <c r="Y291" s="114" t="n">
        <f aca="false">IF(Y$5&lt;=LastHist,Y64,CHOOSE(Scen,Y67,Y64,Y61))</f>
        <v>265</v>
      </c>
      <c r="Z291" s="114" t="n">
        <f aca="false">IF(Z$5&lt;=LastHist,Z64,CHOOSE(Scen,Z67,Z64,Z61))</f>
        <v>265</v>
      </c>
      <c r="AA291" s="114" t="n">
        <f aca="false">IF(AA$5&lt;=LastHist,AA64,CHOOSE(Scen,AA67,AA64,AA61))</f>
        <v>460</v>
      </c>
      <c r="AB291" s="114" t="n">
        <f aca="false">IF(AB$5&lt;=LastHist,AB64,CHOOSE(Scen,AB67,AB64,AB61))</f>
        <v>460</v>
      </c>
      <c r="AC291" s="114" t="n">
        <f aca="false">IF(AC$5&lt;=LastHist,AC64,CHOOSE(Scen,AC67,AC64,AC61))</f>
        <v>700</v>
      </c>
      <c r="AD291" s="114" t="n">
        <f aca="false">IF(AD$5&lt;=LastHist,AD64,CHOOSE(Scen,AD67,AD64,AD61))</f>
        <v>700</v>
      </c>
      <c r="AE291" s="114" t="n">
        <f aca="false">IF(AE$5&lt;=LastHist,AE64,CHOOSE(Scen,AE67,AE64,AE61))</f>
        <v>700</v>
      </c>
      <c r="AF291" s="114" t="n">
        <f aca="false">IF(AF$5&lt;=LastHist,AF64,CHOOSE(Scen,AF67,AF64,AF61))</f>
        <v>700</v>
      </c>
      <c r="AG291" s="114" t="n">
        <f aca="false">IF(AG$5&lt;=LastHist,AG64,CHOOSE(Scen,AG67,AG64,AG61))</f>
        <v>930</v>
      </c>
      <c r="AI291" s="114" t="n">
        <f aca="false">INDEX($F291:$AG291,1,MATCH(AI$7,$F$7:$AG$7,1))</f>
        <v>0</v>
      </c>
      <c r="AJ291" s="114" t="n">
        <f aca="false">INDEX($F291:$AG291,1,MATCH(AJ$7,$F$7:$AG$7,1))</f>
        <v>0</v>
      </c>
      <c r="AK291" s="114" t="n">
        <f aca="false">INDEX($F291:$AG291,1,MATCH(AK$7,$F$7:$AG$7,1))</f>
        <v>0</v>
      </c>
      <c r="AL291" s="114" t="n">
        <f aca="false">INDEX($F291:$AG291,1,MATCH(AL$7,$F$7:$AG$7,1))</f>
        <v>65</v>
      </c>
      <c r="AM291" s="114" t="n">
        <f aca="false">INDEX($F291:$AG291,1,MATCH(AM$7,$F$7:$AG$7,1))</f>
        <v>265</v>
      </c>
      <c r="AN291" s="114" t="n">
        <f aca="false">INDEX($F291:$AG291,1,MATCH(AN$7,$F$7:$AG$7,1))</f>
        <v>700</v>
      </c>
      <c r="AO291" s="114" t="n">
        <f aca="false">INDEX($F291:$AG291,1,MATCH(AO$7,$F$7:$AG$7,1))</f>
        <v>930</v>
      </c>
    </row>
    <row r="292" customFormat="false" ht="15" hidden="false" customHeight="false" outlineLevel="0" collapsed="false">
      <c r="A292" s="112" t="s">
        <v>1637</v>
      </c>
      <c r="B292" s="24" t="s">
        <v>857</v>
      </c>
      <c r="C292" s="24" t="s">
        <v>690</v>
      </c>
      <c r="D292" s="24"/>
      <c r="F292" s="114" t="n">
        <f aca="false">IF(F$5&lt;=LastHist,F73,CHOOSE(Scen,F76,F73,F70))</f>
        <v>0</v>
      </c>
      <c r="G292" s="114" t="n">
        <f aca="false">IF(G$5&lt;=LastHist,G73,CHOOSE(Scen,G76,G73,G70))</f>
        <v>0</v>
      </c>
      <c r="H292" s="114" t="n">
        <f aca="false">IF(H$5&lt;=LastHist,H73,CHOOSE(Scen,H76,H73,H70))</f>
        <v>0</v>
      </c>
      <c r="I292" s="114" t="n">
        <f aca="false">IF(I$5&lt;=LastHist,I73,CHOOSE(Scen,I76,I73,I70))</f>
        <v>0</v>
      </c>
      <c r="J292" s="114" t="n">
        <f aca="false">IF(J$5&lt;=LastHist,J73,CHOOSE(Scen,J76,J73,J70))</f>
        <v>0</v>
      </c>
      <c r="K292" s="114" t="n">
        <f aca="false">IF(K$5&lt;=LastHist,K73,CHOOSE(Scen,K76,K73,K70))</f>
        <v>0</v>
      </c>
      <c r="L292" s="114" t="n">
        <f aca="false">IF(L$5&lt;=LastHist,L73,CHOOSE(Scen,L76,L73,L70))</f>
        <v>0</v>
      </c>
      <c r="M292" s="114" t="n">
        <f aca="false">IF(M$5&lt;=LastHist,M73,CHOOSE(Scen,M76,M73,M70))</f>
        <v>0</v>
      </c>
      <c r="N292" s="114" t="n">
        <f aca="false">IF(N$5&lt;=LastHist,N73,CHOOSE(Scen,N76,N73,N70))</f>
        <v>0</v>
      </c>
      <c r="O292" s="114" t="n">
        <f aca="false">IF(O$5&lt;=LastHist,O73,CHOOSE(Scen,O76,O73,O70))</f>
        <v>0</v>
      </c>
      <c r="P292" s="114" t="n">
        <f aca="false">IF(P$5&lt;=LastHist,P73,CHOOSE(Scen,P76,P73,P70))</f>
        <v>0</v>
      </c>
      <c r="Q292" s="114" t="n">
        <f aca="false">IF(Q$5&lt;=LastHist,Q73,CHOOSE(Scen,Q76,Q73,Q70))</f>
        <v>0</v>
      </c>
      <c r="R292" s="114" t="n">
        <f aca="false">IF(R$5&lt;=LastHist,R73,CHOOSE(Scen,R76,R73,R70))</f>
        <v>12.5</v>
      </c>
      <c r="S292" s="114" t="n">
        <f aca="false">IF(S$5&lt;=LastHist,S73,CHOOSE(Scen,S76,S73,S70))</f>
        <v>25</v>
      </c>
      <c r="T292" s="114" t="n">
        <f aca="false">IF(T$5&lt;=LastHist,T73,CHOOSE(Scen,T76,T73,T70))</f>
        <v>50</v>
      </c>
      <c r="U292" s="114" t="n">
        <f aca="false">IF(U$5&lt;=LastHist,U73,CHOOSE(Scen,U76,U73,U70))</f>
        <v>75</v>
      </c>
      <c r="V292" s="114" t="n">
        <f aca="false">IF(V$5&lt;=LastHist,V73,CHOOSE(Scen,V76,V73,V70))</f>
        <v>75</v>
      </c>
      <c r="W292" s="114" t="n">
        <f aca="false">IF(W$5&lt;=LastHist,W73,CHOOSE(Scen,W76,W73,W70))</f>
        <v>150</v>
      </c>
      <c r="X292" s="114" t="n">
        <f aca="false">IF(X$5&lt;=LastHist,X73,CHOOSE(Scen,X76,X73,X70))</f>
        <v>150</v>
      </c>
      <c r="Y292" s="114" t="n">
        <f aca="false">IF(Y$5&lt;=LastHist,Y73,CHOOSE(Scen,Y76,Y73,Y70))</f>
        <v>250</v>
      </c>
      <c r="Z292" s="114" t="n">
        <f aca="false">IF(Z$5&lt;=LastHist,Z73,CHOOSE(Scen,Z76,Z73,Z70))</f>
        <v>250</v>
      </c>
      <c r="AA292" s="114" t="n">
        <f aca="false">IF(AA$5&lt;=LastHist,AA73,CHOOSE(Scen,AA76,AA73,AA70))</f>
        <v>250</v>
      </c>
      <c r="AB292" s="114" t="n">
        <f aca="false">IF(AB$5&lt;=LastHist,AB73,CHOOSE(Scen,AB76,AB73,AB70))</f>
        <v>250</v>
      </c>
      <c r="AC292" s="114" t="n">
        <f aca="false">IF(AC$5&lt;=LastHist,AC73,CHOOSE(Scen,AC76,AC73,AC70))</f>
        <v>300</v>
      </c>
      <c r="AD292" s="114" t="n">
        <f aca="false">IF(AD$5&lt;=LastHist,AD73,CHOOSE(Scen,AD76,AD73,AD70))</f>
        <v>300</v>
      </c>
      <c r="AE292" s="114" t="n">
        <f aca="false">IF(AE$5&lt;=LastHist,AE73,CHOOSE(Scen,AE76,AE73,AE70))</f>
        <v>300</v>
      </c>
      <c r="AF292" s="114" t="n">
        <f aca="false">IF(AF$5&lt;=LastHist,AF73,CHOOSE(Scen,AF76,AF73,AF70))</f>
        <v>300</v>
      </c>
      <c r="AG292" s="114" t="n">
        <f aca="false">IF(AG$5&lt;=LastHist,AG73,CHOOSE(Scen,AG76,AG73,AG70))</f>
        <v>300</v>
      </c>
      <c r="AI292" s="114" t="n">
        <f aca="false">INDEX($F292:$AG292,1,MATCH(AI$7,$F$7:$AG$7,1))</f>
        <v>0</v>
      </c>
      <c r="AJ292" s="114" t="n">
        <f aca="false">INDEX($F292:$AG292,1,MATCH(AJ$7,$F$7:$AG$7,1))</f>
        <v>0</v>
      </c>
      <c r="AK292" s="114" t="n">
        <f aca="false">INDEX($F292:$AG292,1,MATCH(AK$7,$F$7:$AG$7,1))</f>
        <v>0</v>
      </c>
      <c r="AL292" s="114" t="n">
        <f aca="false">INDEX($F292:$AG292,1,MATCH(AL$7,$F$7:$AG$7,1))</f>
        <v>75</v>
      </c>
      <c r="AM292" s="114" t="n">
        <f aca="false">INDEX($F292:$AG292,1,MATCH(AM$7,$F$7:$AG$7,1))</f>
        <v>250</v>
      </c>
      <c r="AN292" s="114" t="n">
        <f aca="false">INDEX($F292:$AG292,1,MATCH(AN$7,$F$7:$AG$7,1))</f>
        <v>300</v>
      </c>
      <c r="AO292" s="114" t="n">
        <f aca="false">INDEX($F292:$AG292,1,MATCH(AO$7,$F$7:$AG$7,1))</f>
        <v>300</v>
      </c>
    </row>
    <row r="293" customFormat="false" ht="15" hidden="false" customHeight="false" outlineLevel="0" collapsed="false">
      <c r="A293" s="112" t="s">
        <v>1639</v>
      </c>
      <c r="B293" s="24" t="s">
        <v>857</v>
      </c>
      <c r="C293" s="24" t="s">
        <v>690</v>
      </c>
      <c r="D293" s="24"/>
      <c r="F293" s="114" t="n">
        <f aca="false">IF(F$5&lt;=LastHist,F82,CHOOSE(Scen,F85,F82,F79))</f>
        <v>0</v>
      </c>
      <c r="G293" s="114" t="n">
        <f aca="false">IF(G$5&lt;=LastHist,G82,CHOOSE(Scen,G85,G82,G79))</f>
        <v>0</v>
      </c>
      <c r="H293" s="114" t="n">
        <f aca="false">IF(H$5&lt;=LastHist,H82,CHOOSE(Scen,H85,H82,H79))</f>
        <v>0</v>
      </c>
      <c r="I293" s="114" t="n">
        <f aca="false">IF(I$5&lt;=LastHist,I82,CHOOSE(Scen,I85,I82,I79))</f>
        <v>0</v>
      </c>
      <c r="J293" s="114" t="n">
        <f aca="false">IF(J$5&lt;=LastHist,J82,CHOOSE(Scen,J85,J82,J79))</f>
        <v>0</v>
      </c>
      <c r="K293" s="114" t="n">
        <f aca="false">IF(K$5&lt;=LastHist,K82,CHOOSE(Scen,K85,K82,K79))</f>
        <v>0</v>
      </c>
      <c r="L293" s="114" t="n">
        <f aca="false">IF(L$5&lt;=LastHist,L82,CHOOSE(Scen,L85,L82,L79))</f>
        <v>0</v>
      </c>
      <c r="M293" s="114" t="n">
        <f aca="false">IF(M$5&lt;=LastHist,M82,CHOOSE(Scen,M85,M82,M79))</f>
        <v>0</v>
      </c>
      <c r="N293" s="114" t="n">
        <f aca="false">IF(N$5&lt;=LastHist,N82,CHOOSE(Scen,N85,N82,N79))</f>
        <v>0</v>
      </c>
      <c r="O293" s="114" t="n">
        <f aca="false">IF(O$5&lt;=LastHist,O82,CHOOSE(Scen,O85,O82,O79))</f>
        <v>0</v>
      </c>
      <c r="P293" s="114" t="n">
        <f aca="false">IF(P$5&lt;=LastHist,P82,CHOOSE(Scen,P85,P82,P79))</f>
        <v>0</v>
      </c>
      <c r="Q293" s="114" t="n">
        <f aca="false">IF(Q$5&lt;=LastHist,Q82,CHOOSE(Scen,Q85,Q82,Q79))</f>
        <v>30</v>
      </c>
      <c r="R293" s="114" t="n">
        <f aca="false">IF(R$5&lt;=LastHist,R82,CHOOSE(Scen,R85,R82,R79))</f>
        <v>73.5</v>
      </c>
      <c r="S293" s="114" t="n">
        <f aca="false">IF(S$5&lt;=LastHist,S82,CHOOSE(Scen,S85,S82,S79))</f>
        <v>120</v>
      </c>
      <c r="T293" s="114" t="n">
        <f aca="false">IF(T$5&lt;=LastHist,T82,CHOOSE(Scen,T85,T82,T79))</f>
        <v>120</v>
      </c>
      <c r="U293" s="114" t="n">
        <f aca="false">IF(U$5&lt;=LastHist,U82,CHOOSE(Scen,U85,U82,U79))</f>
        <v>180</v>
      </c>
      <c r="V293" s="114" t="n">
        <f aca="false">IF(V$5&lt;=LastHist,V82,CHOOSE(Scen,V85,V82,V79))</f>
        <v>180</v>
      </c>
      <c r="W293" s="114" t="n">
        <f aca="false">IF(W$5&lt;=LastHist,W82,CHOOSE(Scen,W85,W82,W79))</f>
        <v>180</v>
      </c>
      <c r="X293" s="114" t="n">
        <f aca="false">IF(X$5&lt;=LastHist,X82,CHOOSE(Scen,X85,X82,X79))</f>
        <v>180</v>
      </c>
      <c r="Y293" s="114" t="n">
        <f aca="false">IF(Y$5&lt;=LastHist,Y82,CHOOSE(Scen,Y85,Y82,Y79))</f>
        <v>240</v>
      </c>
      <c r="Z293" s="114" t="n">
        <f aca="false">IF(Z$5&lt;=LastHist,Z82,CHOOSE(Scen,Z85,Z82,Z79))</f>
        <v>240</v>
      </c>
      <c r="AA293" s="114" t="n">
        <f aca="false">IF(AA$5&lt;=LastHist,AA82,CHOOSE(Scen,AA85,AA82,AA79))</f>
        <v>240</v>
      </c>
      <c r="AB293" s="114" t="n">
        <f aca="false">IF(AB$5&lt;=LastHist,AB82,CHOOSE(Scen,AB85,AB82,AB79))</f>
        <v>240</v>
      </c>
      <c r="AC293" s="114" t="n">
        <f aca="false">IF(AC$5&lt;=LastHist,AC82,CHOOSE(Scen,AC85,AC82,AC79))</f>
        <v>240</v>
      </c>
      <c r="AD293" s="114" t="n">
        <f aca="false">IF(AD$5&lt;=LastHist,AD82,CHOOSE(Scen,AD85,AD82,AD79))</f>
        <v>240</v>
      </c>
      <c r="AE293" s="114" t="n">
        <f aca="false">IF(AE$5&lt;=LastHist,AE82,CHOOSE(Scen,AE85,AE82,AE79))</f>
        <v>240</v>
      </c>
      <c r="AF293" s="114" t="n">
        <f aca="false">IF(AF$5&lt;=LastHist,AF82,CHOOSE(Scen,AF85,AF82,AF79))</f>
        <v>240</v>
      </c>
      <c r="AG293" s="114" t="n">
        <f aca="false">IF(AG$5&lt;=LastHist,AG82,CHOOSE(Scen,AG85,AG82,AG79))</f>
        <v>240</v>
      </c>
      <c r="AI293" s="114" t="n">
        <f aca="false">INDEX($F293:$AG293,1,MATCH(AI$7,$F$7:$AG$7,1))</f>
        <v>0</v>
      </c>
      <c r="AJ293" s="114" t="n">
        <f aca="false">INDEX($F293:$AG293,1,MATCH(AJ$7,$F$7:$AG$7,1))</f>
        <v>0</v>
      </c>
      <c r="AK293" s="114" t="n">
        <f aca="false">INDEX($F293:$AG293,1,MATCH(AK$7,$F$7:$AG$7,1))</f>
        <v>30</v>
      </c>
      <c r="AL293" s="114" t="n">
        <f aca="false">INDEX($F293:$AG293,1,MATCH(AL$7,$F$7:$AG$7,1))</f>
        <v>180</v>
      </c>
      <c r="AM293" s="114" t="n">
        <f aca="false">INDEX($F293:$AG293,1,MATCH(AM$7,$F$7:$AG$7,1))</f>
        <v>240</v>
      </c>
      <c r="AN293" s="114" t="n">
        <f aca="false">INDEX($F293:$AG293,1,MATCH(AN$7,$F$7:$AG$7,1))</f>
        <v>240</v>
      </c>
      <c r="AO293" s="114" t="n">
        <f aca="false">INDEX($F293:$AG293,1,MATCH(AO$7,$F$7:$AG$7,1))</f>
        <v>240</v>
      </c>
    </row>
    <row r="294" customFormat="false" ht="15" hidden="false" customHeight="false" outlineLevel="0" collapsed="false">
      <c r="A294" s="112" t="s">
        <v>1642</v>
      </c>
      <c r="B294" s="24" t="s">
        <v>857</v>
      </c>
      <c r="C294" s="24" t="s">
        <v>690</v>
      </c>
      <c r="D294" s="24"/>
      <c r="F294" s="114" t="n">
        <f aca="false">IF(F$5&lt;=LastHist,F91,CHOOSE(Scen,F94,F91,F88))</f>
        <v>0</v>
      </c>
      <c r="G294" s="114" t="n">
        <f aca="false">IF(G$5&lt;=LastHist,G91,CHOOSE(Scen,G94,G91,G88))</f>
        <v>0</v>
      </c>
      <c r="H294" s="114" t="n">
        <f aca="false">IF(H$5&lt;=LastHist,H91,CHOOSE(Scen,H94,H91,H88))</f>
        <v>0</v>
      </c>
      <c r="I294" s="114" t="n">
        <f aca="false">IF(I$5&lt;=LastHist,I91,CHOOSE(Scen,I94,I91,I88))</f>
        <v>0</v>
      </c>
      <c r="J294" s="114" t="n">
        <f aca="false">IF(J$5&lt;=LastHist,J91,CHOOSE(Scen,J94,J91,J88))</f>
        <v>0</v>
      </c>
      <c r="K294" s="114" t="n">
        <f aca="false">IF(K$5&lt;=LastHist,K91,CHOOSE(Scen,K94,K91,K88))</f>
        <v>0</v>
      </c>
      <c r="L294" s="114" t="n">
        <f aca="false">IF(L$5&lt;=LastHist,L91,CHOOSE(Scen,L94,L91,L88))</f>
        <v>0</v>
      </c>
      <c r="M294" s="114" t="n">
        <f aca="false">IF(M$5&lt;=LastHist,M91,CHOOSE(Scen,M94,M91,M88))</f>
        <v>0</v>
      </c>
      <c r="N294" s="114" t="n">
        <f aca="false">IF(N$5&lt;=LastHist,N91,CHOOSE(Scen,N94,N91,N88))</f>
        <v>0</v>
      </c>
      <c r="O294" s="114" t="n">
        <f aca="false">IF(O$5&lt;=LastHist,O91,CHOOSE(Scen,O94,O91,O88))</f>
        <v>0</v>
      </c>
      <c r="P294" s="114" t="n">
        <f aca="false">IF(P$5&lt;=LastHist,P91,CHOOSE(Scen,P94,P91,P88))</f>
        <v>0</v>
      </c>
      <c r="Q294" s="114" t="n">
        <f aca="false">IF(Q$5&lt;=LastHist,Q91,CHOOSE(Scen,Q94,Q91,Q88))</f>
        <v>0</v>
      </c>
      <c r="R294" s="114" t="n">
        <f aca="false">IF(R$5&lt;=LastHist,R91,CHOOSE(Scen,R94,R91,R88))</f>
        <v>0</v>
      </c>
      <c r="S294" s="114" t="n">
        <f aca="false">IF(S$5&lt;=LastHist,S91,CHOOSE(Scen,S94,S91,S88))</f>
        <v>17.5</v>
      </c>
      <c r="T294" s="114" t="n">
        <f aca="false">IF(T$5&lt;=LastHist,T91,CHOOSE(Scen,T94,T91,T88))</f>
        <v>35</v>
      </c>
      <c r="U294" s="114" t="n">
        <f aca="false">IF(U$5&lt;=LastHist,U91,CHOOSE(Scen,U94,U91,U88))</f>
        <v>52.5</v>
      </c>
      <c r="V294" s="114" t="n">
        <f aca="false">IF(V$5&lt;=LastHist,V91,CHOOSE(Scen,V94,V91,V88))</f>
        <v>52.5</v>
      </c>
      <c r="W294" s="114" t="n">
        <f aca="false">IF(W$5&lt;=LastHist,W91,CHOOSE(Scen,W94,W91,W88))</f>
        <v>105</v>
      </c>
      <c r="X294" s="114" t="n">
        <f aca="false">IF(X$5&lt;=LastHist,X91,CHOOSE(Scen,X94,X91,X88))</f>
        <v>105</v>
      </c>
      <c r="Y294" s="114" t="n">
        <f aca="false">IF(Y$5&lt;=LastHist,Y91,CHOOSE(Scen,Y94,Y91,Y88))</f>
        <v>170</v>
      </c>
      <c r="Z294" s="114" t="n">
        <f aca="false">IF(Z$5&lt;=LastHist,Z91,CHOOSE(Scen,Z94,Z91,Z88))</f>
        <v>170</v>
      </c>
      <c r="AA294" s="114" t="n">
        <f aca="false">IF(AA$5&lt;=LastHist,AA91,CHOOSE(Scen,AA94,AA91,AA88))</f>
        <v>170</v>
      </c>
      <c r="AB294" s="114" t="n">
        <f aca="false">IF(AB$5&lt;=LastHist,AB91,CHOOSE(Scen,AB94,AB91,AB88))</f>
        <v>170</v>
      </c>
      <c r="AC294" s="114" t="n">
        <f aca="false">IF(AC$5&lt;=LastHist,AC91,CHOOSE(Scen,AC94,AC91,AC88))</f>
        <v>265</v>
      </c>
      <c r="AD294" s="114" t="n">
        <f aca="false">IF(AD$5&lt;=LastHist,AD91,CHOOSE(Scen,AD94,AD91,AD88))</f>
        <v>265</v>
      </c>
      <c r="AE294" s="114" t="n">
        <f aca="false">IF(AE$5&lt;=LastHist,AE91,CHOOSE(Scen,AE94,AE91,AE88))</f>
        <v>265</v>
      </c>
      <c r="AF294" s="114" t="n">
        <f aca="false">IF(AF$5&lt;=LastHist,AF91,CHOOSE(Scen,AF94,AF91,AF88))</f>
        <v>265</v>
      </c>
      <c r="AG294" s="114" t="n">
        <f aca="false">IF(AG$5&lt;=LastHist,AG91,CHOOSE(Scen,AG94,AG91,AG88))</f>
        <v>310</v>
      </c>
      <c r="AI294" s="114" t="n">
        <f aca="false">INDEX($F294:$AG294,1,MATCH(AI$7,$F$7:$AG$7,1))</f>
        <v>0</v>
      </c>
      <c r="AJ294" s="114" t="n">
        <f aca="false">INDEX($F294:$AG294,1,MATCH(AJ$7,$F$7:$AG$7,1))</f>
        <v>0</v>
      </c>
      <c r="AK294" s="114" t="n">
        <f aca="false">INDEX($F294:$AG294,1,MATCH(AK$7,$F$7:$AG$7,1))</f>
        <v>0</v>
      </c>
      <c r="AL294" s="114" t="n">
        <f aca="false">INDEX($F294:$AG294,1,MATCH(AL$7,$F$7:$AG$7,1))</f>
        <v>52.5</v>
      </c>
      <c r="AM294" s="114" t="n">
        <f aca="false">INDEX($F294:$AG294,1,MATCH(AM$7,$F$7:$AG$7,1))</f>
        <v>170</v>
      </c>
      <c r="AN294" s="114" t="n">
        <f aca="false">INDEX($F294:$AG294,1,MATCH(AN$7,$F$7:$AG$7,1))</f>
        <v>265</v>
      </c>
      <c r="AO294" s="114" t="n">
        <f aca="false">INDEX($F294:$AG294,1,MATCH(AO$7,$F$7:$AG$7,1))</f>
        <v>310</v>
      </c>
    </row>
    <row r="295" customFormat="false" ht="15" hidden="false" customHeight="false" outlineLevel="0" collapsed="false">
      <c r="A295" s="112" t="s">
        <v>1643</v>
      </c>
      <c r="B295" s="24" t="s">
        <v>857</v>
      </c>
      <c r="C295" s="24" t="s">
        <v>690</v>
      </c>
      <c r="D295" s="24"/>
      <c r="F295" s="114" t="n">
        <f aca="false">IF(F$5&lt;=LastHist,F100,CHOOSE(Scen,F103,F100,F97))</f>
        <v>25</v>
      </c>
      <c r="G295" s="114" t="n">
        <f aca="false">IF(G$5&lt;=LastHist,G100,CHOOSE(Scen,G103,G100,G97))</f>
        <v>25</v>
      </c>
      <c r="H295" s="114" t="n">
        <f aca="false">IF(H$5&lt;=LastHist,H100,CHOOSE(Scen,H103,H100,H97))</f>
        <v>25</v>
      </c>
      <c r="I295" s="114" t="n">
        <f aca="false">IF(I$5&lt;=LastHist,I100,CHOOSE(Scen,I103,I100,I97))</f>
        <v>25</v>
      </c>
      <c r="J295" s="114" t="n">
        <f aca="false">IF(J$5&lt;=LastHist,J100,CHOOSE(Scen,J103,J100,J97))</f>
        <v>25</v>
      </c>
      <c r="K295" s="114" t="n">
        <f aca="false">IF(K$5&lt;=LastHist,K100,CHOOSE(Scen,K103,K100,K97))</f>
        <v>25</v>
      </c>
      <c r="L295" s="114" t="n">
        <f aca="false">IF(L$5&lt;=LastHist,L100,CHOOSE(Scen,L103,L100,L97))</f>
        <v>37.5</v>
      </c>
      <c r="M295" s="114" t="n">
        <f aca="false">IF(M$5&lt;=LastHist,M100,CHOOSE(Scen,M103,M100,M97))</f>
        <v>62.5</v>
      </c>
      <c r="N295" s="114" t="n">
        <f aca="false">IF(N$5&lt;=LastHist,N100,CHOOSE(Scen,N103,N100,N97))</f>
        <v>75</v>
      </c>
      <c r="O295" s="114" t="n">
        <f aca="false">IF(O$5&lt;=LastHist,O100,CHOOSE(Scen,O103,O100,O97))</f>
        <v>75</v>
      </c>
      <c r="P295" s="114" t="n">
        <f aca="false">IF(P$5&lt;=LastHist,P100,CHOOSE(Scen,P103,P100,P97))</f>
        <v>75</v>
      </c>
      <c r="Q295" s="114" t="n">
        <f aca="false">IF(Q$5&lt;=LastHist,Q100,CHOOSE(Scen,Q103,Q100,Q97))</f>
        <v>75</v>
      </c>
      <c r="R295" s="114" t="n">
        <f aca="false">IF(R$5&lt;=LastHist,R100,CHOOSE(Scen,R103,R100,R97))</f>
        <v>75</v>
      </c>
      <c r="S295" s="114" t="n">
        <f aca="false">IF(S$5&lt;=LastHist,S100,CHOOSE(Scen,S103,S100,S97))</f>
        <v>75</v>
      </c>
      <c r="T295" s="114" t="n">
        <f aca="false">IF(T$5&lt;=LastHist,T100,CHOOSE(Scen,T103,T100,T97))</f>
        <v>75</v>
      </c>
      <c r="U295" s="114" t="n">
        <f aca="false">IF(U$5&lt;=LastHist,U100,CHOOSE(Scen,U103,U100,U97))</f>
        <v>75</v>
      </c>
      <c r="V295" s="114" t="n">
        <f aca="false">IF(V$5&lt;=LastHist,V100,CHOOSE(Scen,V103,V100,V97))</f>
        <v>75</v>
      </c>
      <c r="W295" s="114" t="n">
        <f aca="false">IF(W$5&lt;=LastHist,W100,CHOOSE(Scen,W103,W100,W97))</f>
        <v>75</v>
      </c>
      <c r="X295" s="114" t="n">
        <f aca="false">IF(X$5&lt;=LastHist,X100,CHOOSE(Scen,X103,X100,X97))</f>
        <v>75</v>
      </c>
      <c r="Y295" s="114" t="n">
        <f aca="false">IF(Y$5&lt;=LastHist,Y100,CHOOSE(Scen,Y103,Y100,Y97))</f>
        <v>75</v>
      </c>
      <c r="Z295" s="114" t="n">
        <f aca="false">IF(Z$5&lt;=LastHist,Z100,CHOOSE(Scen,Z103,Z100,Z97))</f>
        <v>75</v>
      </c>
      <c r="AA295" s="114" t="n">
        <f aca="false">IF(AA$5&lt;=LastHist,AA100,CHOOSE(Scen,AA103,AA100,AA97))</f>
        <v>75</v>
      </c>
      <c r="AB295" s="114" t="n">
        <f aca="false">IF(AB$5&lt;=LastHist,AB100,CHOOSE(Scen,AB103,AB100,AB97))</f>
        <v>75</v>
      </c>
      <c r="AC295" s="114" t="n">
        <f aca="false">IF(AC$5&lt;=LastHist,AC100,CHOOSE(Scen,AC103,AC100,AC97))</f>
        <v>75</v>
      </c>
      <c r="AD295" s="114" t="n">
        <f aca="false">IF(AD$5&lt;=LastHist,AD100,CHOOSE(Scen,AD103,AD100,AD97))</f>
        <v>75</v>
      </c>
      <c r="AE295" s="114" t="n">
        <f aca="false">IF(AE$5&lt;=LastHist,AE100,CHOOSE(Scen,AE103,AE100,AE97))</f>
        <v>75</v>
      </c>
      <c r="AF295" s="114" t="n">
        <f aca="false">IF(AF$5&lt;=LastHist,AF100,CHOOSE(Scen,AF103,AF100,AF97))</f>
        <v>75</v>
      </c>
      <c r="AG295" s="114" t="n">
        <f aca="false">IF(AG$5&lt;=LastHist,AG100,CHOOSE(Scen,AG103,AG100,AG97))</f>
        <v>75</v>
      </c>
      <c r="AI295" s="114" t="n">
        <f aca="false">INDEX($F295:$AG295,1,MATCH(AI$7,$F$7:$AG$7,1))</f>
        <v>25</v>
      </c>
      <c r="AJ295" s="114" t="n">
        <f aca="false">INDEX($F295:$AG295,1,MATCH(AJ$7,$F$7:$AG$7,1))</f>
        <v>62.5</v>
      </c>
      <c r="AK295" s="114" t="n">
        <f aca="false">INDEX($F295:$AG295,1,MATCH(AK$7,$F$7:$AG$7,1))</f>
        <v>75</v>
      </c>
      <c r="AL295" s="114" t="n">
        <f aca="false">INDEX($F295:$AG295,1,MATCH(AL$7,$F$7:$AG$7,1))</f>
        <v>75</v>
      </c>
      <c r="AM295" s="114" t="n">
        <f aca="false">INDEX($F295:$AG295,1,MATCH(AM$7,$F$7:$AG$7,1))</f>
        <v>75</v>
      </c>
      <c r="AN295" s="114" t="n">
        <f aca="false">INDEX($F295:$AG295,1,MATCH(AN$7,$F$7:$AG$7,1))</f>
        <v>75</v>
      </c>
      <c r="AO295" s="114" t="n">
        <f aca="false">INDEX($F295:$AG295,1,MATCH(AO$7,$F$7:$AG$7,1))</f>
        <v>75</v>
      </c>
    </row>
    <row r="296" customFormat="false" ht="15" hidden="false" customHeight="false" outlineLevel="0" collapsed="false">
      <c r="A296" s="112" t="s">
        <v>1644</v>
      </c>
      <c r="B296" s="24" t="s">
        <v>857</v>
      </c>
      <c r="C296" s="24" t="s">
        <v>690</v>
      </c>
      <c r="D296" s="24"/>
      <c r="F296" s="114" t="n">
        <f aca="false">IF(F$5&lt;=LastHist,F109,CHOOSE(Scen,F112,F109,F106))</f>
        <v>0</v>
      </c>
      <c r="G296" s="114" t="n">
        <f aca="false">IF(G$5&lt;=LastHist,G109,CHOOSE(Scen,G112,G109,G106))</f>
        <v>0</v>
      </c>
      <c r="H296" s="114" t="n">
        <f aca="false">IF(H$5&lt;=LastHist,H109,CHOOSE(Scen,H112,H109,H106))</f>
        <v>0</v>
      </c>
      <c r="I296" s="114" t="n">
        <f aca="false">IF(I$5&lt;=LastHist,I109,CHOOSE(Scen,I112,I109,I106))</f>
        <v>0</v>
      </c>
      <c r="J296" s="114" t="n">
        <f aca="false">IF(J$5&lt;=LastHist,J109,CHOOSE(Scen,J112,J109,J106))</f>
        <v>0</v>
      </c>
      <c r="K296" s="114" t="n">
        <f aca="false">IF(K$5&lt;=LastHist,K109,CHOOSE(Scen,K112,K109,K106))</f>
        <v>0</v>
      </c>
      <c r="L296" s="114" t="n">
        <f aca="false">IF(L$5&lt;=LastHist,L109,CHOOSE(Scen,L112,L109,L106))</f>
        <v>0</v>
      </c>
      <c r="M296" s="114" t="n">
        <f aca="false">IF(M$5&lt;=LastHist,M109,CHOOSE(Scen,M112,M109,M106))</f>
        <v>0</v>
      </c>
      <c r="N296" s="114" t="n">
        <f aca="false">IF(N$5&lt;=LastHist,N109,CHOOSE(Scen,N112,N109,N106))</f>
        <v>0</v>
      </c>
      <c r="O296" s="114" t="n">
        <f aca="false">IF(O$5&lt;=LastHist,O109,CHOOSE(Scen,O112,O109,O106))</f>
        <v>0</v>
      </c>
      <c r="P296" s="114" t="n">
        <f aca="false">IF(P$5&lt;=LastHist,P109,CHOOSE(Scen,P112,P109,P106))</f>
        <v>0</v>
      </c>
      <c r="Q296" s="114" t="n">
        <f aca="false">IF(Q$5&lt;=LastHist,Q109,CHOOSE(Scen,Q112,Q109,Q106))</f>
        <v>0</v>
      </c>
      <c r="R296" s="114" t="n">
        <f aca="false">IF(R$5&lt;=LastHist,R109,CHOOSE(Scen,R112,R109,R106))</f>
        <v>0</v>
      </c>
      <c r="S296" s="114" t="n">
        <f aca="false">IF(S$5&lt;=LastHist,S109,CHOOSE(Scen,S112,S109,S106))</f>
        <v>0</v>
      </c>
      <c r="T296" s="114" t="n">
        <f aca="false">IF(T$5&lt;=LastHist,T109,CHOOSE(Scen,T112,T109,T106))</f>
        <v>0</v>
      </c>
      <c r="U296" s="114" t="n">
        <f aca="false">IF(U$5&lt;=LastHist,U109,CHOOSE(Scen,U112,U109,U106))</f>
        <v>17.5</v>
      </c>
      <c r="V296" s="114" t="n">
        <f aca="false">IF(V$5&lt;=LastHist,V109,CHOOSE(Scen,V112,V109,V106))</f>
        <v>52.5</v>
      </c>
      <c r="W296" s="114" t="n">
        <f aca="false">IF(W$5&lt;=LastHist,W109,CHOOSE(Scen,W112,W109,W106))</f>
        <v>70</v>
      </c>
      <c r="X296" s="114" t="n">
        <f aca="false">IF(X$5&lt;=LastHist,X109,CHOOSE(Scen,X112,X109,X106))</f>
        <v>70</v>
      </c>
      <c r="Y296" s="114" t="n">
        <f aca="false">IF(Y$5&lt;=LastHist,Y109,CHOOSE(Scen,Y112,Y109,Y106))</f>
        <v>70</v>
      </c>
      <c r="Z296" s="114" t="n">
        <f aca="false">IF(Z$5&lt;=LastHist,Z109,CHOOSE(Scen,Z112,Z109,Z106))</f>
        <v>70</v>
      </c>
      <c r="AA296" s="114" t="n">
        <f aca="false">IF(AA$5&lt;=LastHist,AA109,CHOOSE(Scen,AA112,AA109,AA106))</f>
        <v>70</v>
      </c>
      <c r="AB296" s="114" t="n">
        <f aca="false">IF(AB$5&lt;=LastHist,AB109,CHOOSE(Scen,AB112,AB109,AB106))</f>
        <v>70</v>
      </c>
      <c r="AC296" s="114" t="n">
        <f aca="false">IF(AC$5&lt;=LastHist,AC109,CHOOSE(Scen,AC112,AC109,AC106))</f>
        <v>70</v>
      </c>
      <c r="AD296" s="114" t="n">
        <f aca="false">IF(AD$5&lt;=LastHist,AD109,CHOOSE(Scen,AD112,AD109,AD106))</f>
        <v>70</v>
      </c>
      <c r="AE296" s="114" t="n">
        <f aca="false">IF(AE$5&lt;=LastHist,AE109,CHOOSE(Scen,AE112,AE109,AE106))</f>
        <v>70</v>
      </c>
      <c r="AF296" s="114" t="n">
        <f aca="false">IF(AF$5&lt;=LastHist,AF109,CHOOSE(Scen,AF112,AF109,AF106))</f>
        <v>70</v>
      </c>
      <c r="AG296" s="114" t="n">
        <f aca="false">IF(AG$5&lt;=LastHist,AG109,CHOOSE(Scen,AG112,AG109,AG106))</f>
        <v>70</v>
      </c>
      <c r="AI296" s="114" t="n">
        <f aca="false">INDEX($F296:$AG296,1,MATCH(AI$7,$F$7:$AG$7,1))</f>
        <v>0</v>
      </c>
      <c r="AJ296" s="114" t="n">
        <f aca="false">INDEX($F296:$AG296,1,MATCH(AJ$7,$F$7:$AG$7,1))</f>
        <v>0</v>
      </c>
      <c r="AK296" s="114" t="n">
        <f aca="false">INDEX($F296:$AG296,1,MATCH(AK$7,$F$7:$AG$7,1))</f>
        <v>0</v>
      </c>
      <c r="AL296" s="114" t="n">
        <f aca="false">INDEX($F296:$AG296,1,MATCH(AL$7,$F$7:$AG$7,1))</f>
        <v>17.5</v>
      </c>
      <c r="AM296" s="114" t="n">
        <f aca="false">INDEX($F296:$AG296,1,MATCH(AM$7,$F$7:$AG$7,1))</f>
        <v>70</v>
      </c>
      <c r="AN296" s="114" t="n">
        <f aca="false">INDEX($F296:$AG296,1,MATCH(AN$7,$F$7:$AG$7,1))</f>
        <v>70</v>
      </c>
      <c r="AO296" s="114" t="n">
        <f aca="false">INDEX($F296:$AG296,1,MATCH(AO$7,$F$7:$AG$7,1))</f>
        <v>70</v>
      </c>
    </row>
    <row r="297" customFormat="false" ht="15" hidden="false" customHeight="false" outlineLevel="0" collapsed="false">
      <c r="A297" s="112" t="s">
        <v>1645</v>
      </c>
      <c r="B297" s="24" t="s">
        <v>857</v>
      </c>
      <c r="C297" s="24" t="s">
        <v>690</v>
      </c>
      <c r="D297" s="24"/>
      <c r="F297" s="114" t="n">
        <f aca="false">IF(F$5&lt;=LastHist,F118,CHOOSE(Scen,F121,F118,F115))</f>
        <v>0</v>
      </c>
      <c r="G297" s="114" t="n">
        <f aca="false">IF(G$5&lt;=LastHist,G118,CHOOSE(Scen,G121,G118,G115))</f>
        <v>0</v>
      </c>
      <c r="H297" s="114" t="n">
        <f aca="false">IF(H$5&lt;=LastHist,H118,CHOOSE(Scen,H121,H118,H115))</f>
        <v>0</v>
      </c>
      <c r="I297" s="114" t="n">
        <f aca="false">IF(I$5&lt;=LastHist,I118,CHOOSE(Scen,I121,I118,I115))</f>
        <v>0</v>
      </c>
      <c r="J297" s="114" t="n">
        <f aca="false">IF(J$5&lt;=LastHist,J118,CHOOSE(Scen,J121,J118,J115))</f>
        <v>10</v>
      </c>
      <c r="K297" s="114" t="n">
        <f aca="false">IF(K$5&lt;=LastHist,K118,CHOOSE(Scen,K121,K118,K115))</f>
        <v>10</v>
      </c>
      <c r="L297" s="114" t="n">
        <f aca="false">IF(L$5&lt;=LastHist,L118,CHOOSE(Scen,L121,L118,L115))</f>
        <v>10</v>
      </c>
      <c r="M297" s="114" t="n">
        <f aca="false">IF(M$5&lt;=LastHist,M118,CHOOSE(Scen,M121,M118,M115))</f>
        <v>20</v>
      </c>
      <c r="N297" s="114" t="n">
        <f aca="false">IF(N$5&lt;=LastHist,N118,CHOOSE(Scen,N121,N118,N115))</f>
        <v>20</v>
      </c>
      <c r="O297" s="114" t="n">
        <f aca="false">IF(O$5&lt;=LastHist,O118,CHOOSE(Scen,O121,O118,O115))</f>
        <v>20</v>
      </c>
      <c r="P297" s="114" t="n">
        <f aca="false">IF(P$5&lt;=LastHist,P118,CHOOSE(Scen,P121,P118,P115))</f>
        <v>20</v>
      </c>
      <c r="Q297" s="114" t="n">
        <f aca="false">IF(Q$5&lt;=LastHist,Q118,CHOOSE(Scen,Q121,Q118,Q115))</f>
        <v>20</v>
      </c>
      <c r="R297" s="114" t="n">
        <f aca="false">IF(R$5&lt;=LastHist,R118,CHOOSE(Scen,R121,R118,R115))</f>
        <v>20</v>
      </c>
      <c r="S297" s="114" t="n">
        <f aca="false">IF(S$5&lt;=LastHist,S118,CHOOSE(Scen,S121,S118,S115))</f>
        <v>20</v>
      </c>
      <c r="T297" s="114" t="n">
        <f aca="false">IF(T$5&lt;=LastHist,T118,CHOOSE(Scen,T121,T118,T115))</f>
        <v>20</v>
      </c>
      <c r="U297" s="114" t="n">
        <f aca="false">IF(U$5&lt;=LastHist,U118,CHOOSE(Scen,U121,U118,U115))</f>
        <v>30</v>
      </c>
      <c r="V297" s="114" t="n">
        <f aca="false">IF(V$5&lt;=LastHist,V118,CHOOSE(Scen,V121,V118,V115))</f>
        <v>30</v>
      </c>
      <c r="W297" s="114" t="n">
        <f aca="false">IF(W$5&lt;=LastHist,W118,CHOOSE(Scen,W121,W118,W115))</f>
        <v>30</v>
      </c>
      <c r="X297" s="114" t="n">
        <f aca="false">IF(X$5&lt;=LastHist,X118,CHOOSE(Scen,X121,X118,X115))</f>
        <v>30</v>
      </c>
      <c r="Y297" s="114" t="n">
        <f aca="false">IF(Y$5&lt;=LastHist,Y118,CHOOSE(Scen,Y121,Y118,Y115))</f>
        <v>30</v>
      </c>
      <c r="Z297" s="114" t="n">
        <f aca="false">IF(Z$5&lt;=LastHist,Z118,CHOOSE(Scen,Z121,Z118,Z115))</f>
        <v>30</v>
      </c>
      <c r="AA297" s="114" t="n">
        <f aca="false">IF(AA$5&lt;=LastHist,AA118,CHOOSE(Scen,AA121,AA118,AA115))</f>
        <v>30</v>
      </c>
      <c r="AB297" s="114" t="n">
        <f aca="false">IF(AB$5&lt;=LastHist,AB118,CHOOSE(Scen,AB121,AB118,AB115))</f>
        <v>30</v>
      </c>
      <c r="AC297" s="114" t="n">
        <f aca="false">IF(AC$5&lt;=LastHist,AC118,CHOOSE(Scen,AC121,AC118,AC115))</f>
        <v>30</v>
      </c>
      <c r="AD297" s="114" t="n">
        <f aca="false">IF(AD$5&lt;=LastHist,AD118,CHOOSE(Scen,AD121,AD118,AD115))</f>
        <v>30</v>
      </c>
      <c r="AE297" s="114" t="n">
        <f aca="false">IF(AE$5&lt;=LastHist,AE118,CHOOSE(Scen,AE121,AE118,AE115))</f>
        <v>30</v>
      </c>
      <c r="AF297" s="114" t="n">
        <f aca="false">IF(AF$5&lt;=LastHist,AF118,CHOOSE(Scen,AF121,AF118,AF115))</f>
        <v>30</v>
      </c>
      <c r="AG297" s="114" t="n">
        <f aca="false">IF(AG$5&lt;=LastHist,AG118,CHOOSE(Scen,AG121,AG118,AG115))</f>
        <v>30</v>
      </c>
      <c r="AI297" s="114" t="n">
        <f aca="false">INDEX($F297:$AG297,1,MATCH(AI$7,$F$7:$AG$7,1))</f>
        <v>0</v>
      </c>
      <c r="AJ297" s="114" t="n">
        <f aca="false">INDEX($F297:$AG297,1,MATCH(AJ$7,$F$7:$AG$7,1))</f>
        <v>20</v>
      </c>
      <c r="AK297" s="114" t="n">
        <f aca="false">INDEX($F297:$AG297,1,MATCH(AK$7,$F$7:$AG$7,1))</f>
        <v>20</v>
      </c>
      <c r="AL297" s="114" t="n">
        <f aca="false">INDEX($F297:$AG297,1,MATCH(AL$7,$F$7:$AG$7,1))</f>
        <v>30</v>
      </c>
      <c r="AM297" s="114" t="n">
        <f aca="false">INDEX($F297:$AG297,1,MATCH(AM$7,$F$7:$AG$7,1))</f>
        <v>30</v>
      </c>
      <c r="AN297" s="114" t="n">
        <f aca="false">INDEX($F297:$AG297,1,MATCH(AN$7,$F$7:$AG$7,1))</f>
        <v>30</v>
      </c>
      <c r="AO297" s="114" t="n">
        <f aca="false">INDEX($F297:$AG297,1,MATCH(AO$7,$F$7:$AG$7,1))</f>
        <v>30</v>
      </c>
    </row>
    <row r="298" customFormat="false" ht="15" hidden="false" customHeight="false" outlineLevel="0" collapsed="false">
      <c r="A298" s="112" t="s">
        <v>1647</v>
      </c>
      <c r="B298" s="24" t="s">
        <v>857</v>
      </c>
      <c r="C298" s="24" t="s">
        <v>690</v>
      </c>
      <c r="D298" s="24"/>
      <c r="F298" s="114" t="n">
        <f aca="false">IF(F$5&lt;=LastHist,F127,CHOOSE(Scen,F130,F127,F124))</f>
        <v>0</v>
      </c>
      <c r="G298" s="114" t="n">
        <f aca="false">IF(G$5&lt;=LastHist,G127,CHOOSE(Scen,G130,G127,G124))</f>
        <v>0</v>
      </c>
      <c r="H298" s="114" t="n">
        <f aca="false">IF(H$5&lt;=LastHist,H127,CHOOSE(Scen,H130,H127,H124))</f>
        <v>0</v>
      </c>
      <c r="I298" s="114" t="n">
        <f aca="false">IF(I$5&lt;=LastHist,I127,CHOOSE(Scen,I130,I127,I124))</f>
        <v>5</v>
      </c>
      <c r="J298" s="114" t="n">
        <f aca="false">IF(J$5&lt;=LastHist,J127,CHOOSE(Scen,J130,J127,J124))</f>
        <v>5</v>
      </c>
      <c r="K298" s="114" t="n">
        <f aca="false">IF(K$5&lt;=LastHist,K127,CHOOSE(Scen,K130,K127,K124))</f>
        <v>5</v>
      </c>
      <c r="L298" s="114" t="n">
        <f aca="false">IF(L$5&lt;=LastHist,L127,CHOOSE(Scen,L130,L127,L124))</f>
        <v>5</v>
      </c>
      <c r="M298" s="114" t="n">
        <f aca="false">IF(M$5&lt;=LastHist,M127,CHOOSE(Scen,M130,M127,M124))</f>
        <v>5</v>
      </c>
      <c r="N298" s="114" t="n">
        <f aca="false">IF(N$5&lt;=LastHist,N127,CHOOSE(Scen,N130,N127,N124))</f>
        <v>5</v>
      </c>
      <c r="O298" s="114" t="n">
        <f aca="false">IF(O$5&lt;=LastHist,O127,CHOOSE(Scen,O130,O127,O124))</f>
        <v>5</v>
      </c>
      <c r="P298" s="114" t="n">
        <f aca="false">IF(P$5&lt;=LastHist,P127,CHOOSE(Scen,P130,P127,P124))</f>
        <v>5</v>
      </c>
      <c r="Q298" s="114" t="n">
        <f aca="false">IF(Q$5&lt;=LastHist,Q127,CHOOSE(Scen,Q130,Q127,Q124))</f>
        <v>5</v>
      </c>
      <c r="R298" s="114" t="n">
        <f aca="false">IF(R$5&lt;=LastHist,R127,CHOOSE(Scen,R130,R127,R124))</f>
        <v>5</v>
      </c>
      <c r="S298" s="114" t="n">
        <f aca="false">IF(S$5&lt;=LastHist,S127,CHOOSE(Scen,S130,S127,S124))</f>
        <v>5</v>
      </c>
      <c r="T298" s="114" t="n">
        <f aca="false">IF(T$5&lt;=LastHist,T127,CHOOSE(Scen,T130,T127,T124))</f>
        <v>5</v>
      </c>
      <c r="U298" s="114" t="n">
        <f aca="false">IF(U$5&lt;=LastHist,U127,CHOOSE(Scen,U130,U127,U124))</f>
        <v>5</v>
      </c>
      <c r="V298" s="114" t="n">
        <f aca="false">IF(V$5&lt;=LastHist,V127,CHOOSE(Scen,V130,V127,V124))</f>
        <v>5</v>
      </c>
      <c r="W298" s="114" t="n">
        <f aca="false">IF(W$5&lt;=LastHist,W127,CHOOSE(Scen,W130,W127,W124))</f>
        <v>5</v>
      </c>
      <c r="X298" s="114" t="n">
        <f aca="false">IF(X$5&lt;=LastHist,X127,CHOOSE(Scen,X130,X127,X124))</f>
        <v>5</v>
      </c>
      <c r="Y298" s="114" t="n">
        <f aca="false">IF(Y$5&lt;=LastHist,Y127,CHOOSE(Scen,Y130,Y127,Y124))</f>
        <v>5</v>
      </c>
      <c r="Z298" s="114" t="n">
        <f aca="false">IF(Z$5&lt;=LastHist,Z127,CHOOSE(Scen,Z130,Z127,Z124))</f>
        <v>5</v>
      </c>
      <c r="AA298" s="114" t="n">
        <f aca="false">IF(AA$5&lt;=LastHist,AA127,CHOOSE(Scen,AA130,AA127,AA124))</f>
        <v>5</v>
      </c>
      <c r="AB298" s="114" t="n">
        <f aca="false">IF(AB$5&lt;=LastHist,AB127,CHOOSE(Scen,AB130,AB127,AB124))</f>
        <v>5</v>
      </c>
      <c r="AC298" s="114" t="n">
        <f aca="false">IF(AC$5&lt;=LastHist,AC127,CHOOSE(Scen,AC130,AC127,AC124))</f>
        <v>5</v>
      </c>
      <c r="AD298" s="114" t="n">
        <f aca="false">IF(AD$5&lt;=LastHist,AD127,CHOOSE(Scen,AD130,AD127,AD124))</f>
        <v>5</v>
      </c>
      <c r="AE298" s="114" t="n">
        <f aca="false">IF(AE$5&lt;=LastHist,AE127,CHOOSE(Scen,AE130,AE127,AE124))</f>
        <v>5</v>
      </c>
      <c r="AF298" s="114" t="n">
        <f aca="false">IF(AF$5&lt;=LastHist,AF127,CHOOSE(Scen,AF130,AF127,AF124))</f>
        <v>5</v>
      </c>
      <c r="AG298" s="114" t="n">
        <f aca="false">IF(AG$5&lt;=LastHist,AG127,CHOOSE(Scen,AG130,AG127,AG124))</f>
        <v>5</v>
      </c>
      <c r="AI298" s="114" t="n">
        <f aca="false">INDEX($F298:$AG298,1,MATCH(AI$7,$F$7:$AG$7,1))</f>
        <v>5</v>
      </c>
      <c r="AJ298" s="114" t="n">
        <f aca="false">INDEX($F298:$AG298,1,MATCH(AJ$7,$F$7:$AG$7,1))</f>
        <v>5</v>
      </c>
      <c r="AK298" s="114" t="n">
        <f aca="false">INDEX($F298:$AG298,1,MATCH(AK$7,$F$7:$AG$7,1))</f>
        <v>5</v>
      </c>
      <c r="AL298" s="114" t="n">
        <f aca="false">INDEX($F298:$AG298,1,MATCH(AL$7,$F$7:$AG$7,1))</f>
        <v>5</v>
      </c>
      <c r="AM298" s="114" t="n">
        <f aca="false">INDEX($F298:$AG298,1,MATCH(AM$7,$F$7:$AG$7,1))</f>
        <v>5</v>
      </c>
      <c r="AN298" s="114" t="n">
        <f aca="false">INDEX($F298:$AG298,1,MATCH(AN$7,$F$7:$AG$7,1))</f>
        <v>5</v>
      </c>
      <c r="AO298" s="114" t="n">
        <f aca="false">INDEX($F298:$AG298,1,MATCH(AO$7,$F$7:$AG$7,1))</f>
        <v>5</v>
      </c>
    </row>
    <row r="299" customFormat="false" ht="15" hidden="false" customHeight="false" outlineLevel="0" collapsed="false">
      <c r="A299" s="112" t="s">
        <v>1649</v>
      </c>
      <c r="B299" s="24" t="s">
        <v>857</v>
      </c>
      <c r="C299" s="24" t="s">
        <v>690</v>
      </c>
      <c r="D299" s="24"/>
      <c r="F299" s="114" t="n">
        <f aca="false">IF(F$5&lt;=LastHist,F136,CHOOSE(Scen,F139,F136,F133))</f>
        <v>0</v>
      </c>
      <c r="G299" s="114" t="n">
        <f aca="false">IF(G$5&lt;=LastHist,G136,CHOOSE(Scen,G139,G136,G133))</f>
        <v>0</v>
      </c>
      <c r="H299" s="114" t="n">
        <f aca="false">IF(H$5&lt;=LastHist,H136,CHOOSE(Scen,H139,H136,H133))</f>
        <v>0</v>
      </c>
      <c r="I299" s="114" t="n">
        <f aca="false">IF(I$5&lt;=LastHist,I136,CHOOSE(Scen,I139,I136,I133))</f>
        <v>0</v>
      </c>
      <c r="J299" s="114" t="n">
        <f aca="false">IF(J$5&lt;=LastHist,J136,CHOOSE(Scen,J139,J136,J133))</f>
        <v>10</v>
      </c>
      <c r="K299" s="114" t="n">
        <f aca="false">IF(K$5&lt;=LastHist,K136,CHOOSE(Scen,K139,K136,K133))</f>
        <v>10</v>
      </c>
      <c r="L299" s="114" t="n">
        <f aca="false">IF(L$5&lt;=LastHist,L136,CHOOSE(Scen,L139,L136,L133))</f>
        <v>10</v>
      </c>
      <c r="M299" s="114" t="n">
        <f aca="false">IF(M$5&lt;=LastHist,M136,CHOOSE(Scen,M139,M136,M133))</f>
        <v>10</v>
      </c>
      <c r="N299" s="114" t="n">
        <f aca="false">IF(N$5&lt;=LastHist,N136,CHOOSE(Scen,N139,N136,N133))</f>
        <v>10</v>
      </c>
      <c r="O299" s="114" t="n">
        <f aca="false">IF(O$5&lt;=LastHist,O136,CHOOSE(Scen,O139,O136,O133))</f>
        <v>10</v>
      </c>
      <c r="P299" s="114" t="n">
        <f aca="false">IF(P$5&lt;=LastHist,P136,CHOOSE(Scen,P139,P136,P133))</f>
        <v>10</v>
      </c>
      <c r="Q299" s="114" t="n">
        <f aca="false">IF(Q$5&lt;=LastHist,Q136,CHOOSE(Scen,Q139,Q136,Q133))</f>
        <v>10</v>
      </c>
      <c r="R299" s="114" t="n">
        <f aca="false">IF(R$5&lt;=LastHist,R136,CHOOSE(Scen,R139,R136,R133))</f>
        <v>10</v>
      </c>
      <c r="S299" s="114" t="n">
        <f aca="false">IF(S$5&lt;=LastHist,S136,CHOOSE(Scen,S139,S136,S133))</f>
        <v>10</v>
      </c>
      <c r="T299" s="114" t="n">
        <f aca="false">IF(T$5&lt;=LastHist,T136,CHOOSE(Scen,T139,T136,T133))</f>
        <v>10</v>
      </c>
      <c r="U299" s="114" t="n">
        <f aca="false">IF(U$5&lt;=LastHist,U136,CHOOSE(Scen,U139,U136,U133))</f>
        <v>10</v>
      </c>
      <c r="V299" s="114" t="n">
        <f aca="false">IF(V$5&lt;=LastHist,V136,CHOOSE(Scen,V139,V136,V133))</f>
        <v>10</v>
      </c>
      <c r="W299" s="114" t="n">
        <f aca="false">IF(W$5&lt;=LastHist,W136,CHOOSE(Scen,W139,W136,W133))</f>
        <v>10</v>
      </c>
      <c r="X299" s="114" t="n">
        <f aca="false">IF(X$5&lt;=LastHist,X136,CHOOSE(Scen,X139,X136,X133))</f>
        <v>10</v>
      </c>
      <c r="Y299" s="114" t="n">
        <f aca="false">IF(Y$5&lt;=LastHist,Y136,CHOOSE(Scen,Y139,Y136,Y133))</f>
        <v>10</v>
      </c>
      <c r="Z299" s="114" t="n">
        <f aca="false">IF(Z$5&lt;=LastHist,Z136,CHOOSE(Scen,Z139,Z136,Z133))</f>
        <v>10</v>
      </c>
      <c r="AA299" s="114" t="n">
        <f aca="false">IF(AA$5&lt;=LastHist,AA136,CHOOSE(Scen,AA139,AA136,AA133))</f>
        <v>10</v>
      </c>
      <c r="AB299" s="114" t="n">
        <f aca="false">IF(AB$5&lt;=LastHist,AB136,CHOOSE(Scen,AB139,AB136,AB133))</f>
        <v>10</v>
      </c>
      <c r="AC299" s="114" t="n">
        <f aca="false">IF(AC$5&lt;=LastHist,AC136,CHOOSE(Scen,AC139,AC136,AC133))</f>
        <v>10</v>
      </c>
      <c r="AD299" s="114" t="n">
        <f aca="false">IF(AD$5&lt;=LastHist,AD136,CHOOSE(Scen,AD139,AD136,AD133))</f>
        <v>10</v>
      </c>
      <c r="AE299" s="114" t="n">
        <f aca="false">IF(AE$5&lt;=LastHist,AE136,CHOOSE(Scen,AE139,AE136,AE133))</f>
        <v>10</v>
      </c>
      <c r="AF299" s="114" t="n">
        <f aca="false">IF(AF$5&lt;=LastHist,AF136,CHOOSE(Scen,AF139,AF136,AF133))</f>
        <v>10</v>
      </c>
      <c r="AG299" s="114" t="n">
        <f aca="false">IF(AG$5&lt;=LastHist,AG136,CHOOSE(Scen,AG139,AG136,AG133))</f>
        <v>10</v>
      </c>
      <c r="AI299" s="114" t="n">
        <f aca="false">INDEX($F299:$AG299,1,MATCH(AI$7,$F$7:$AG$7,1))</f>
        <v>0</v>
      </c>
      <c r="AJ299" s="114" t="n">
        <f aca="false">INDEX($F299:$AG299,1,MATCH(AJ$7,$F$7:$AG$7,1))</f>
        <v>10</v>
      </c>
      <c r="AK299" s="114" t="n">
        <f aca="false">INDEX($F299:$AG299,1,MATCH(AK$7,$F$7:$AG$7,1))</f>
        <v>10</v>
      </c>
      <c r="AL299" s="114" t="n">
        <f aca="false">INDEX($F299:$AG299,1,MATCH(AL$7,$F$7:$AG$7,1))</f>
        <v>10</v>
      </c>
      <c r="AM299" s="114" t="n">
        <f aca="false">INDEX($F299:$AG299,1,MATCH(AM$7,$F$7:$AG$7,1))</f>
        <v>10</v>
      </c>
      <c r="AN299" s="114" t="n">
        <f aca="false">INDEX($F299:$AG299,1,MATCH(AN$7,$F$7:$AG$7,1))</f>
        <v>10</v>
      </c>
      <c r="AO299" s="114" t="n">
        <f aca="false">INDEX($F299:$AG299,1,MATCH(AO$7,$F$7:$AG$7,1))</f>
        <v>10</v>
      </c>
    </row>
    <row r="300" customFormat="false" ht="15" hidden="false" customHeight="false" outlineLevel="0" collapsed="false">
      <c r="A300" s="112" t="s">
        <v>1650</v>
      </c>
      <c r="B300" s="24" t="s">
        <v>857</v>
      </c>
      <c r="C300" s="24" t="s">
        <v>690</v>
      </c>
      <c r="D300" s="24"/>
      <c r="F300" s="114" t="n">
        <f aca="false">IF(F$5&lt;=LastHist,F145,CHOOSE(Scen,F148,F145,F142))</f>
        <v>0</v>
      </c>
      <c r="G300" s="114" t="n">
        <f aca="false">IF(G$5&lt;=LastHist,G145,CHOOSE(Scen,G148,G145,G142))</f>
        <v>0</v>
      </c>
      <c r="H300" s="114" t="n">
        <f aca="false">IF(H$5&lt;=LastHist,H145,CHOOSE(Scen,H148,H145,H142))</f>
        <v>0</v>
      </c>
      <c r="I300" s="114" t="n">
        <f aca="false">IF(I$5&lt;=LastHist,I145,CHOOSE(Scen,I148,I145,I142))</f>
        <v>0</v>
      </c>
      <c r="J300" s="114" t="n">
        <f aca="false">IF(J$5&lt;=LastHist,J145,CHOOSE(Scen,J148,J145,J142))</f>
        <v>0</v>
      </c>
      <c r="K300" s="114" t="n">
        <f aca="false">IF(K$5&lt;=LastHist,K145,CHOOSE(Scen,K148,K145,K142))</f>
        <v>0</v>
      </c>
      <c r="L300" s="114" t="n">
        <f aca="false">IF(L$5&lt;=LastHist,L145,CHOOSE(Scen,L148,L145,L142))</f>
        <v>0</v>
      </c>
      <c r="M300" s="114" t="n">
        <f aca="false">IF(M$5&lt;=LastHist,M145,CHOOSE(Scen,M148,M145,M142))</f>
        <v>16</v>
      </c>
      <c r="N300" s="114" t="n">
        <f aca="false">IF(N$5&lt;=LastHist,N145,CHOOSE(Scen,N148,N145,N142))</f>
        <v>16</v>
      </c>
      <c r="O300" s="114" t="n">
        <f aca="false">IF(O$5&lt;=LastHist,O145,CHOOSE(Scen,O148,O145,O142))</f>
        <v>16</v>
      </c>
      <c r="P300" s="114" t="n">
        <f aca="false">IF(P$5&lt;=LastHist,P145,CHOOSE(Scen,P148,P145,P142))</f>
        <v>16</v>
      </c>
      <c r="Q300" s="114" t="n">
        <f aca="false">IF(Q$5&lt;=LastHist,Q145,CHOOSE(Scen,Q148,Q145,Q142))</f>
        <v>17.5</v>
      </c>
      <c r="R300" s="114" t="n">
        <f aca="false">IF(R$5&lt;=LastHist,R145,CHOOSE(Scen,R148,R145,R142))</f>
        <v>19</v>
      </c>
      <c r="S300" s="114" t="n">
        <f aca="false">IF(S$5&lt;=LastHist,S145,CHOOSE(Scen,S148,S145,S142))</f>
        <v>19</v>
      </c>
      <c r="T300" s="114" t="n">
        <f aca="false">IF(T$5&lt;=LastHist,T145,CHOOSE(Scen,T148,T145,T142))</f>
        <v>19</v>
      </c>
      <c r="U300" s="114" t="n">
        <f aca="false">IF(U$5&lt;=LastHist,U145,CHOOSE(Scen,U148,U145,U142))</f>
        <v>19</v>
      </c>
      <c r="V300" s="114" t="n">
        <f aca="false">IF(V$5&lt;=LastHist,V145,CHOOSE(Scen,V148,V145,V142))</f>
        <v>19</v>
      </c>
      <c r="W300" s="114" t="n">
        <f aca="false">IF(W$5&lt;=LastHist,W145,CHOOSE(Scen,W148,W145,W142))</f>
        <v>19</v>
      </c>
      <c r="X300" s="114" t="n">
        <f aca="false">IF(X$5&lt;=LastHist,X145,CHOOSE(Scen,X148,X145,X142))</f>
        <v>19</v>
      </c>
      <c r="Y300" s="114" t="n">
        <f aca="false">IF(Y$5&lt;=LastHist,Y145,CHOOSE(Scen,Y148,Y145,Y142))</f>
        <v>19</v>
      </c>
      <c r="Z300" s="114" t="n">
        <f aca="false">IF(Z$5&lt;=LastHist,Z145,CHOOSE(Scen,Z148,Z145,Z142))</f>
        <v>19</v>
      </c>
      <c r="AA300" s="114" t="n">
        <f aca="false">IF(AA$5&lt;=LastHist,AA145,CHOOSE(Scen,AA148,AA145,AA142))</f>
        <v>19</v>
      </c>
      <c r="AB300" s="114" t="n">
        <f aca="false">IF(AB$5&lt;=LastHist,AB145,CHOOSE(Scen,AB148,AB145,AB142))</f>
        <v>19</v>
      </c>
      <c r="AC300" s="114" t="n">
        <f aca="false">IF(AC$5&lt;=LastHist,AC145,CHOOSE(Scen,AC148,AC145,AC142))</f>
        <v>19</v>
      </c>
      <c r="AD300" s="114" t="n">
        <f aca="false">IF(AD$5&lt;=LastHist,AD145,CHOOSE(Scen,AD148,AD145,AD142))</f>
        <v>19</v>
      </c>
      <c r="AE300" s="114" t="n">
        <f aca="false">IF(AE$5&lt;=LastHist,AE145,CHOOSE(Scen,AE148,AE145,AE142))</f>
        <v>19</v>
      </c>
      <c r="AF300" s="114" t="n">
        <f aca="false">IF(AF$5&lt;=LastHist,AF145,CHOOSE(Scen,AF148,AF145,AF142))</f>
        <v>19</v>
      </c>
      <c r="AG300" s="114" t="n">
        <f aca="false">IF(AG$5&lt;=LastHist,AG145,CHOOSE(Scen,AG148,AG145,AG142))</f>
        <v>19</v>
      </c>
      <c r="AI300" s="114" t="n">
        <f aca="false">INDEX($F300:$AG300,1,MATCH(AI$7,$F$7:$AG$7,1))</f>
        <v>0</v>
      </c>
      <c r="AJ300" s="114" t="n">
        <f aca="false">INDEX($F300:$AG300,1,MATCH(AJ$7,$F$7:$AG$7,1))</f>
        <v>16</v>
      </c>
      <c r="AK300" s="114" t="n">
        <f aca="false">INDEX($F300:$AG300,1,MATCH(AK$7,$F$7:$AG$7,1))</f>
        <v>17.5</v>
      </c>
      <c r="AL300" s="114" t="n">
        <f aca="false">INDEX($F300:$AG300,1,MATCH(AL$7,$F$7:$AG$7,1))</f>
        <v>19</v>
      </c>
      <c r="AM300" s="114" t="n">
        <f aca="false">INDEX($F300:$AG300,1,MATCH(AM$7,$F$7:$AG$7,1))</f>
        <v>19</v>
      </c>
      <c r="AN300" s="114" t="n">
        <f aca="false">INDEX($F300:$AG300,1,MATCH(AN$7,$F$7:$AG$7,1))</f>
        <v>19</v>
      </c>
      <c r="AO300" s="114" t="n">
        <f aca="false">INDEX($F300:$AG300,1,MATCH(AO$7,$F$7:$AG$7,1))</f>
        <v>19</v>
      </c>
    </row>
    <row r="301" customFormat="false" ht="15" hidden="false" customHeight="false" outlineLevel="0" collapsed="false">
      <c r="A301" s="112" t="s">
        <v>1652</v>
      </c>
      <c r="B301" s="24" t="s">
        <v>857</v>
      </c>
      <c r="C301" s="24" t="s">
        <v>690</v>
      </c>
      <c r="D301" s="24"/>
      <c r="F301" s="114" t="n">
        <f aca="false">IF(F$5&lt;=LastHist,F154,CHOOSE(Scen,F157,F154,F151))</f>
        <v>0</v>
      </c>
      <c r="G301" s="114" t="n">
        <f aca="false">IF(G$5&lt;=LastHist,G154,CHOOSE(Scen,G157,G154,G151))</f>
        <v>0</v>
      </c>
      <c r="H301" s="114" t="n">
        <f aca="false">IF(H$5&lt;=LastHist,H154,CHOOSE(Scen,H157,H154,H151))</f>
        <v>0</v>
      </c>
      <c r="I301" s="114" t="n">
        <f aca="false">IF(I$5&lt;=LastHist,I154,CHOOSE(Scen,I157,I154,I151))</f>
        <v>0</v>
      </c>
      <c r="J301" s="114" t="n">
        <f aca="false">IF(J$5&lt;=LastHist,J154,CHOOSE(Scen,J157,J154,J151))</f>
        <v>0</v>
      </c>
      <c r="K301" s="114" t="n">
        <f aca="false">IF(K$5&lt;=LastHist,K154,CHOOSE(Scen,K157,K154,K151))</f>
        <v>0</v>
      </c>
      <c r="L301" s="114" t="n">
        <f aca="false">IF(L$5&lt;=LastHist,L154,CHOOSE(Scen,L157,L154,L151))</f>
        <v>0</v>
      </c>
      <c r="M301" s="114" t="n">
        <f aca="false">IF(M$5&lt;=LastHist,M154,CHOOSE(Scen,M157,M154,M151))</f>
        <v>0</v>
      </c>
      <c r="N301" s="114" t="n">
        <f aca="false">IF(N$5&lt;=LastHist,N154,CHOOSE(Scen,N157,N154,N151))</f>
        <v>0</v>
      </c>
      <c r="O301" s="114" t="n">
        <f aca="false">IF(O$5&lt;=LastHist,O154,CHOOSE(Scen,O157,O154,O151))</f>
        <v>0</v>
      </c>
      <c r="P301" s="114" t="n">
        <f aca="false">IF(P$5&lt;=LastHist,P154,CHOOSE(Scen,P157,P154,P151))</f>
        <v>0</v>
      </c>
      <c r="Q301" s="114" t="n">
        <f aca="false">IF(Q$5&lt;=LastHist,Q154,CHOOSE(Scen,Q157,Q154,Q151))</f>
        <v>2.2</v>
      </c>
      <c r="R301" s="114" t="n">
        <f aca="false">IF(R$5&lt;=LastHist,R154,CHOOSE(Scen,R157,R154,R151))</f>
        <v>13.2</v>
      </c>
      <c r="S301" s="114" t="n">
        <f aca="false">IF(S$5&lt;=LastHist,S154,CHOOSE(Scen,S157,S154,S151))</f>
        <v>13.2</v>
      </c>
      <c r="T301" s="114" t="n">
        <f aca="false">IF(T$5&lt;=LastHist,T154,CHOOSE(Scen,T157,T154,T151))</f>
        <v>22</v>
      </c>
      <c r="U301" s="114" t="n">
        <f aca="false">IF(U$5&lt;=LastHist,U154,CHOOSE(Scen,U157,U154,U151))</f>
        <v>22</v>
      </c>
      <c r="V301" s="114" t="n">
        <f aca="false">IF(V$5&lt;=LastHist,V154,CHOOSE(Scen,V157,V154,V151))</f>
        <v>22</v>
      </c>
      <c r="W301" s="114" t="n">
        <f aca="false">IF(W$5&lt;=LastHist,W154,CHOOSE(Scen,W157,W154,W151))</f>
        <v>22</v>
      </c>
      <c r="X301" s="114" t="n">
        <f aca="false">IF(X$5&lt;=LastHist,X154,CHOOSE(Scen,X157,X154,X151))</f>
        <v>22</v>
      </c>
      <c r="Y301" s="114" t="n">
        <f aca="false">IF(Y$5&lt;=LastHist,Y154,CHOOSE(Scen,Y157,Y154,Y151))</f>
        <v>22</v>
      </c>
      <c r="Z301" s="114" t="n">
        <f aca="false">IF(Z$5&lt;=LastHist,Z154,CHOOSE(Scen,Z157,Z154,Z151))</f>
        <v>22</v>
      </c>
      <c r="AA301" s="114" t="n">
        <f aca="false">IF(AA$5&lt;=LastHist,AA154,CHOOSE(Scen,AA157,AA154,AA151))</f>
        <v>22</v>
      </c>
      <c r="AB301" s="114" t="n">
        <f aca="false">IF(AB$5&lt;=LastHist,AB154,CHOOSE(Scen,AB157,AB154,AB151))</f>
        <v>22</v>
      </c>
      <c r="AC301" s="114" t="n">
        <f aca="false">IF(AC$5&lt;=LastHist,AC154,CHOOSE(Scen,AC157,AC154,AC151))</f>
        <v>22</v>
      </c>
      <c r="AD301" s="114" t="n">
        <f aca="false">IF(AD$5&lt;=LastHist,AD154,CHOOSE(Scen,AD157,AD154,AD151))</f>
        <v>22</v>
      </c>
      <c r="AE301" s="114" t="n">
        <f aca="false">IF(AE$5&lt;=LastHist,AE154,CHOOSE(Scen,AE157,AE154,AE151))</f>
        <v>22</v>
      </c>
      <c r="AF301" s="114" t="n">
        <f aca="false">IF(AF$5&lt;=LastHist,AF154,CHOOSE(Scen,AF157,AF154,AF151))</f>
        <v>22</v>
      </c>
      <c r="AG301" s="114" t="n">
        <f aca="false">IF(AG$5&lt;=LastHist,AG154,CHOOSE(Scen,AG157,AG154,AG151))</f>
        <v>22</v>
      </c>
      <c r="AI301" s="114" t="n">
        <f aca="false">INDEX($F301:$AG301,1,MATCH(AI$7,$F$7:$AG$7,1))</f>
        <v>0</v>
      </c>
      <c r="AJ301" s="114" t="n">
        <f aca="false">INDEX($F301:$AG301,1,MATCH(AJ$7,$F$7:$AG$7,1))</f>
        <v>0</v>
      </c>
      <c r="AK301" s="114" t="n">
        <f aca="false">INDEX($F301:$AG301,1,MATCH(AK$7,$F$7:$AG$7,1))</f>
        <v>2.2</v>
      </c>
      <c r="AL301" s="114" t="n">
        <f aca="false">INDEX($F301:$AG301,1,MATCH(AL$7,$F$7:$AG$7,1))</f>
        <v>22</v>
      </c>
      <c r="AM301" s="114" t="n">
        <f aca="false">INDEX($F301:$AG301,1,MATCH(AM$7,$F$7:$AG$7,1))</f>
        <v>22</v>
      </c>
      <c r="AN301" s="114" t="n">
        <f aca="false">INDEX($F301:$AG301,1,MATCH(AN$7,$F$7:$AG$7,1))</f>
        <v>22</v>
      </c>
      <c r="AO301" s="114" t="n">
        <f aca="false">INDEX($F301:$AG301,1,MATCH(AO$7,$F$7:$AG$7,1))</f>
        <v>22</v>
      </c>
    </row>
    <row r="302" customFormat="false" ht="15" hidden="false" customHeight="false" outlineLevel="0" collapsed="false">
      <c r="A302" s="112" t="s">
        <v>1653</v>
      </c>
      <c r="B302" s="24" t="s">
        <v>857</v>
      </c>
      <c r="C302" s="24" t="s">
        <v>690</v>
      </c>
      <c r="D302" s="24"/>
      <c r="F302" s="114" t="n">
        <f aca="false">IF(F$5&lt;=LastHist,F163,CHOOSE(Scen,F166,F163,F160))</f>
        <v>0</v>
      </c>
      <c r="G302" s="114" t="n">
        <f aca="false">IF(G$5&lt;=LastHist,G163,CHOOSE(Scen,G166,G163,G160))</f>
        <v>0</v>
      </c>
      <c r="H302" s="114" t="n">
        <f aca="false">IF(H$5&lt;=LastHist,H163,CHOOSE(Scen,H166,H163,H160))</f>
        <v>0</v>
      </c>
      <c r="I302" s="114" t="n">
        <f aca="false">IF(I$5&lt;=LastHist,I163,CHOOSE(Scen,I166,I163,I160))</f>
        <v>0</v>
      </c>
      <c r="J302" s="114" t="n">
        <f aca="false">IF(J$5&lt;=LastHist,J163,CHOOSE(Scen,J166,J163,J160))</f>
        <v>0</v>
      </c>
      <c r="K302" s="114" t="n">
        <f aca="false">IF(K$5&lt;=LastHist,K163,CHOOSE(Scen,K166,K163,K160))</f>
        <v>0</v>
      </c>
      <c r="L302" s="114" t="n">
        <f aca="false">IF(L$5&lt;=LastHist,L163,CHOOSE(Scen,L166,L163,L160))</f>
        <v>0</v>
      </c>
      <c r="M302" s="114" t="n">
        <f aca="false">IF(M$5&lt;=LastHist,M163,CHOOSE(Scen,M166,M163,M160))</f>
        <v>0</v>
      </c>
      <c r="N302" s="114" t="n">
        <f aca="false">IF(N$5&lt;=LastHist,N163,CHOOSE(Scen,N166,N163,N160))</f>
        <v>0</v>
      </c>
      <c r="O302" s="114" t="n">
        <f aca="false">IF(O$5&lt;=LastHist,O163,CHOOSE(Scen,O166,O163,O160))</f>
        <v>0</v>
      </c>
      <c r="P302" s="114" t="n">
        <f aca="false">IF(P$5&lt;=LastHist,P163,CHOOSE(Scen,P166,P163,P160))</f>
        <v>0</v>
      </c>
      <c r="Q302" s="114" t="n">
        <f aca="false">IF(Q$5&lt;=LastHist,Q163,CHOOSE(Scen,Q166,Q163,Q160))</f>
        <v>0</v>
      </c>
      <c r="R302" s="114" t="n">
        <f aca="false">IF(R$5&lt;=LastHist,R163,CHOOSE(Scen,R166,R163,R160))</f>
        <v>0</v>
      </c>
      <c r="S302" s="114" t="n">
        <f aca="false">IF(S$5&lt;=LastHist,S163,CHOOSE(Scen,S166,S163,S160))</f>
        <v>2.5</v>
      </c>
      <c r="T302" s="114" t="n">
        <f aca="false">IF(T$5&lt;=LastHist,T163,CHOOSE(Scen,T166,T163,T160))</f>
        <v>6</v>
      </c>
      <c r="U302" s="114" t="n">
        <f aca="false">IF(U$5&lt;=LastHist,U163,CHOOSE(Scen,U166,U163,U160))</f>
        <v>7</v>
      </c>
      <c r="V302" s="114" t="n">
        <f aca="false">IF(V$5&lt;=LastHist,V163,CHOOSE(Scen,V166,V163,V160))</f>
        <v>7</v>
      </c>
      <c r="W302" s="114" t="n">
        <f aca="false">IF(W$5&lt;=LastHist,W163,CHOOSE(Scen,W166,W163,W160))</f>
        <v>7</v>
      </c>
      <c r="X302" s="114" t="n">
        <f aca="false">IF(X$5&lt;=LastHist,X163,CHOOSE(Scen,X166,X163,X160))</f>
        <v>7</v>
      </c>
      <c r="Y302" s="114" t="n">
        <f aca="false">IF(Y$5&lt;=LastHist,Y163,CHOOSE(Scen,Y166,Y163,Y160))</f>
        <v>7</v>
      </c>
      <c r="Z302" s="114" t="n">
        <f aca="false">IF(Z$5&lt;=LastHist,Z163,CHOOSE(Scen,Z166,Z163,Z160))</f>
        <v>7</v>
      </c>
      <c r="AA302" s="114" t="n">
        <f aca="false">IF(AA$5&lt;=LastHist,AA163,CHOOSE(Scen,AA166,AA163,AA160))</f>
        <v>7</v>
      </c>
      <c r="AB302" s="114" t="n">
        <f aca="false">IF(AB$5&lt;=LastHist,AB163,CHOOSE(Scen,AB166,AB163,AB160))</f>
        <v>7</v>
      </c>
      <c r="AC302" s="114" t="n">
        <f aca="false">IF(AC$5&lt;=LastHist,AC163,CHOOSE(Scen,AC166,AC163,AC160))</f>
        <v>7</v>
      </c>
      <c r="AD302" s="114" t="n">
        <f aca="false">IF(AD$5&lt;=LastHist,AD163,CHOOSE(Scen,AD166,AD163,AD160))</f>
        <v>7</v>
      </c>
      <c r="AE302" s="114" t="n">
        <f aca="false">IF(AE$5&lt;=LastHist,AE163,CHOOSE(Scen,AE166,AE163,AE160))</f>
        <v>7</v>
      </c>
      <c r="AF302" s="114" t="n">
        <f aca="false">IF(AF$5&lt;=LastHist,AF163,CHOOSE(Scen,AF166,AF163,AF160))</f>
        <v>7</v>
      </c>
      <c r="AG302" s="114" t="n">
        <f aca="false">IF(AG$5&lt;=LastHist,AG163,CHOOSE(Scen,AG166,AG163,AG160))</f>
        <v>7</v>
      </c>
      <c r="AI302" s="114" t="n">
        <f aca="false">INDEX($F302:$AG302,1,MATCH(AI$7,$F$7:$AG$7,1))</f>
        <v>0</v>
      </c>
      <c r="AJ302" s="114" t="n">
        <f aca="false">INDEX($F302:$AG302,1,MATCH(AJ$7,$F$7:$AG$7,1))</f>
        <v>0</v>
      </c>
      <c r="AK302" s="114" t="n">
        <f aca="false">INDEX($F302:$AG302,1,MATCH(AK$7,$F$7:$AG$7,1))</f>
        <v>0</v>
      </c>
      <c r="AL302" s="114" t="n">
        <f aca="false">INDEX($F302:$AG302,1,MATCH(AL$7,$F$7:$AG$7,1))</f>
        <v>7</v>
      </c>
      <c r="AM302" s="114" t="n">
        <f aca="false">INDEX($F302:$AG302,1,MATCH(AM$7,$F$7:$AG$7,1))</f>
        <v>7</v>
      </c>
      <c r="AN302" s="114" t="n">
        <f aca="false">INDEX($F302:$AG302,1,MATCH(AN$7,$F$7:$AG$7,1))</f>
        <v>7</v>
      </c>
      <c r="AO302" s="114" t="n">
        <f aca="false">INDEX($F302:$AG302,1,MATCH(AO$7,$F$7:$AG$7,1))</f>
        <v>7</v>
      </c>
    </row>
    <row r="303" customFormat="false" ht="15" hidden="false" customHeight="false" outlineLevel="0" collapsed="false">
      <c r="A303" s="112" t="s">
        <v>1654</v>
      </c>
      <c r="B303" s="24" t="s">
        <v>857</v>
      </c>
      <c r="C303" s="24" t="s">
        <v>690</v>
      </c>
      <c r="D303" s="24"/>
      <c r="F303" s="114" t="n">
        <f aca="false">IF(F$5&lt;=LastHist,F172,CHOOSE(Scen,F175,F172,F169))</f>
        <v>0</v>
      </c>
      <c r="G303" s="114" t="n">
        <f aca="false">IF(G$5&lt;=LastHist,G172,CHOOSE(Scen,G175,G172,G169))</f>
        <v>0</v>
      </c>
      <c r="H303" s="114" t="n">
        <f aca="false">IF(H$5&lt;=LastHist,H172,CHOOSE(Scen,H175,H172,H169))</f>
        <v>0</v>
      </c>
      <c r="I303" s="114" t="n">
        <f aca="false">IF(I$5&lt;=LastHist,I172,CHOOSE(Scen,I175,I172,I169))</f>
        <v>0</v>
      </c>
      <c r="J303" s="114" t="n">
        <f aca="false">IF(J$5&lt;=LastHist,J172,CHOOSE(Scen,J175,J172,J169))</f>
        <v>0</v>
      </c>
      <c r="K303" s="114" t="n">
        <f aca="false">IF(K$5&lt;=LastHist,K172,CHOOSE(Scen,K175,K172,K169))</f>
        <v>0</v>
      </c>
      <c r="L303" s="114" t="n">
        <f aca="false">IF(L$5&lt;=LastHist,L172,CHOOSE(Scen,L175,L172,L169))</f>
        <v>0</v>
      </c>
      <c r="M303" s="114" t="n">
        <f aca="false">IF(M$5&lt;=LastHist,M172,CHOOSE(Scen,M175,M172,M169))</f>
        <v>8</v>
      </c>
      <c r="N303" s="114" t="n">
        <f aca="false">IF(N$5&lt;=LastHist,N172,CHOOSE(Scen,N175,N172,N169))</f>
        <v>8</v>
      </c>
      <c r="O303" s="114" t="n">
        <f aca="false">IF(O$5&lt;=LastHist,O172,CHOOSE(Scen,O175,O172,O169))</f>
        <v>8</v>
      </c>
      <c r="P303" s="114" t="n">
        <f aca="false">IF(P$5&lt;=LastHist,P172,CHOOSE(Scen,P175,P172,P169))</f>
        <v>8</v>
      </c>
      <c r="Q303" s="114" t="n">
        <f aca="false">IF(Q$5&lt;=LastHist,Q172,CHOOSE(Scen,Q175,Q172,Q169))</f>
        <v>8</v>
      </c>
      <c r="R303" s="114" t="n">
        <f aca="false">IF(R$5&lt;=LastHist,R172,CHOOSE(Scen,R175,R172,R169))</f>
        <v>8</v>
      </c>
      <c r="S303" s="114" t="n">
        <f aca="false">IF(S$5&lt;=LastHist,S172,CHOOSE(Scen,S175,S172,S169))</f>
        <v>8</v>
      </c>
      <c r="T303" s="114" t="n">
        <f aca="false">IF(T$5&lt;=LastHist,T172,CHOOSE(Scen,T175,T172,T169))</f>
        <v>8</v>
      </c>
      <c r="U303" s="114" t="n">
        <f aca="false">IF(U$5&lt;=LastHist,U172,CHOOSE(Scen,U175,U172,U169))</f>
        <v>8</v>
      </c>
      <c r="V303" s="114" t="n">
        <f aca="false">IF(V$5&lt;=LastHist,V172,CHOOSE(Scen,V175,V172,V169))</f>
        <v>8</v>
      </c>
      <c r="W303" s="114" t="n">
        <f aca="false">IF(W$5&lt;=LastHist,W172,CHOOSE(Scen,W175,W172,W169))</f>
        <v>8</v>
      </c>
      <c r="X303" s="114" t="n">
        <f aca="false">IF(X$5&lt;=LastHist,X172,CHOOSE(Scen,X175,X172,X169))</f>
        <v>8</v>
      </c>
      <c r="Y303" s="114" t="n">
        <f aca="false">IF(Y$5&lt;=LastHist,Y172,CHOOSE(Scen,Y175,Y172,Y169))</f>
        <v>8</v>
      </c>
      <c r="Z303" s="114" t="n">
        <f aca="false">IF(Z$5&lt;=LastHist,Z172,CHOOSE(Scen,Z175,Z172,Z169))</f>
        <v>8</v>
      </c>
      <c r="AA303" s="114" t="n">
        <f aca="false">IF(AA$5&lt;=LastHist,AA172,CHOOSE(Scen,AA175,AA172,AA169))</f>
        <v>8</v>
      </c>
      <c r="AB303" s="114" t="n">
        <f aca="false">IF(AB$5&lt;=LastHist,AB172,CHOOSE(Scen,AB175,AB172,AB169))</f>
        <v>8</v>
      </c>
      <c r="AC303" s="114" t="n">
        <f aca="false">IF(AC$5&lt;=LastHist,AC172,CHOOSE(Scen,AC175,AC172,AC169))</f>
        <v>8</v>
      </c>
      <c r="AD303" s="114" t="n">
        <f aca="false">IF(AD$5&lt;=LastHist,AD172,CHOOSE(Scen,AD175,AD172,AD169))</f>
        <v>8</v>
      </c>
      <c r="AE303" s="114" t="n">
        <f aca="false">IF(AE$5&lt;=LastHist,AE172,CHOOSE(Scen,AE175,AE172,AE169))</f>
        <v>8</v>
      </c>
      <c r="AF303" s="114" t="n">
        <f aca="false">IF(AF$5&lt;=LastHist,AF172,CHOOSE(Scen,AF175,AF172,AF169))</f>
        <v>8</v>
      </c>
      <c r="AG303" s="114" t="n">
        <f aca="false">IF(AG$5&lt;=LastHist,AG172,CHOOSE(Scen,AG175,AG172,AG169))</f>
        <v>8</v>
      </c>
      <c r="AI303" s="114" t="n">
        <f aca="false">INDEX($F303:$AG303,1,MATCH(AI$7,$F$7:$AG$7,1))</f>
        <v>0</v>
      </c>
      <c r="AJ303" s="114" t="n">
        <f aca="false">INDEX($F303:$AG303,1,MATCH(AJ$7,$F$7:$AG$7,1))</f>
        <v>8</v>
      </c>
      <c r="AK303" s="114" t="n">
        <f aca="false">INDEX($F303:$AG303,1,MATCH(AK$7,$F$7:$AG$7,1))</f>
        <v>8</v>
      </c>
      <c r="AL303" s="114" t="n">
        <f aca="false">INDEX($F303:$AG303,1,MATCH(AL$7,$F$7:$AG$7,1))</f>
        <v>8</v>
      </c>
      <c r="AM303" s="114" t="n">
        <f aca="false">INDEX($F303:$AG303,1,MATCH(AM$7,$F$7:$AG$7,1))</f>
        <v>8</v>
      </c>
      <c r="AN303" s="114" t="n">
        <f aca="false">INDEX($F303:$AG303,1,MATCH(AN$7,$F$7:$AG$7,1))</f>
        <v>8</v>
      </c>
      <c r="AO303" s="114" t="n">
        <f aca="false">INDEX($F303:$AG303,1,MATCH(AO$7,$F$7:$AG$7,1))</f>
        <v>8</v>
      </c>
    </row>
    <row r="304" customFormat="false" ht="15" hidden="false" customHeight="false" outlineLevel="0" collapsed="false">
      <c r="A304" s="112" t="s">
        <v>1656</v>
      </c>
      <c r="B304" s="24" t="s">
        <v>857</v>
      </c>
      <c r="C304" s="24" t="s">
        <v>690</v>
      </c>
      <c r="D304" s="24"/>
      <c r="F304" s="114" t="n">
        <f aca="false">IF(F$5&lt;=LastHist,F181,CHOOSE(Scen,F184,F181,F178))</f>
        <v>0</v>
      </c>
      <c r="G304" s="114" t="n">
        <f aca="false">IF(G$5&lt;=LastHist,G181,CHOOSE(Scen,G184,G181,G178))</f>
        <v>0</v>
      </c>
      <c r="H304" s="114" t="n">
        <f aca="false">IF(H$5&lt;=LastHist,H181,CHOOSE(Scen,H184,H181,H178))</f>
        <v>0</v>
      </c>
      <c r="I304" s="114" t="n">
        <f aca="false">IF(I$5&lt;=LastHist,I181,CHOOSE(Scen,I184,I181,I178))</f>
        <v>0</v>
      </c>
      <c r="J304" s="114" t="n">
        <f aca="false">IF(J$5&lt;=LastHist,J181,CHOOSE(Scen,J184,J181,J178))</f>
        <v>0</v>
      </c>
      <c r="K304" s="114" t="n">
        <f aca="false">IF(K$5&lt;=LastHist,K181,CHOOSE(Scen,K184,K181,K178))</f>
        <v>0</v>
      </c>
      <c r="L304" s="114" t="n">
        <f aca="false">IF(L$5&lt;=LastHist,L181,CHOOSE(Scen,L184,L181,L178))</f>
        <v>0</v>
      </c>
      <c r="M304" s="114" t="n">
        <f aca="false">IF(M$5&lt;=LastHist,M181,CHOOSE(Scen,M184,M181,M178))</f>
        <v>0</v>
      </c>
      <c r="N304" s="114" t="n">
        <f aca="false">IF(N$5&lt;=LastHist,N181,CHOOSE(Scen,N184,N181,N178))</f>
        <v>0</v>
      </c>
      <c r="O304" s="114" t="n">
        <f aca="false">IF(O$5&lt;=LastHist,O181,CHOOSE(Scen,O184,O181,O178))</f>
        <v>0</v>
      </c>
      <c r="P304" s="114" t="n">
        <f aca="false">IF(P$5&lt;=LastHist,P181,CHOOSE(Scen,P184,P181,P178))</f>
        <v>0</v>
      </c>
      <c r="Q304" s="114" t="n">
        <f aca="false">IF(Q$5&lt;=LastHist,Q181,CHOOSE(Scen,Q184,Q181,Q178))</f>
        <v>5.5</v>
      </c>
      <c r="R304" s="114" t="n">
        <f aca="false">IF(R$5&lt;=LastHist,R181,CHOOSE(Scen,R184,R181,R178))</f>
        <v>11</v>
      </c>
      <c r="S304" s="114" t="n">
        <f aca="false">IF(S$5&lt;=LastHist,S181,CHOOSE(Scen,S184,S181,S178))</f>
        <v>16.5</v>
      </c>
      <c r="T304" s="114" t="n">
        <f aca="false">IF(T$5&lt;=LastHist,T181,CHOOSE(Scen,T184,T181,T178))</f>
        <v>22</v>
      </c>
      <c r="U304" s="114" t="n">
        <f aca="false">IF(U$5&lt;=LastHist,U181,CHOOSE(Scen,U184,U181,U178))</f>
        <v>22</v>
      </c>
      <c r="V304" s="114" t="n">
        <f aca="false">IF(V$5&lt;=LastHist,V181,CHOOSE(Scen,V184,V181,V178))</f>
        <v>22</v>
      </c>
      <c r="W304" s="114" t="n">
        <f aca="false">IF(W$5&lt;=LastHist,W181,CHOOSE(Scen,W184,W181,W178))</f>
        <v>22</v>
      </c>
      <c r="X304" s="114" t="n">
        <f aca="false">IF(X$5&lt;=LastHist,X181,CHOOSE(Scen,X184,X181,X178))</f>
        <v>22</v>
      </c>
      <c r="Y304" s="114" t="n">
        <f aca="false">IF(Y$5&lt;=LastHist,Y181,CHOOSE(Scen,Y184,Y181,Y178))</f>
        <v>22</v>
      </c>
      <c r="Z304" s="114" t="n">
        <f aca="false">IF(Z$5&lt;=LastHist,Z181,CHOOSE(Scen,Z184,Z181,Z178))</f>
        <v>22</v>
      </c>
      <c r="AA304" s="114" t="n">
        <f aca="false">IF(AA$5&lt;=LastHist,AA181,CHOOSE(Scen,AA184,AA181,AA178))</f>
        <v>22</v>
      </c>
      <c r="AB304" s="114" t="n">
        <f aca="false">IF(AB$5&lt;=LastHist,AB181,CHOOSE(Scen,AB184,AB181,AB178))</f>
        <v>22</v>
      </c>
      <c r="AC304" s="114" t="n">
        <f aca="false">IF(AC$5&lt;=LastHist,AC181,CHOOSE(Scen,AC184,AC181,AC178))</f>
        <v>22</v>
      </c>
      <c r="AD304" s="114" t="n">
        <f aca="false">IF(AD$5&lt;=LastHist,AD181,CHOOSE(Scen,AD184,AD181,AD178))</f>
        <v>22</v>
      </c>
      <c r="AE304" s="114" t="n">
        <f aca="false">IF(AE$5&lt;=LastHist,AE181,CHOOSE(Scen,AE184,AE181,AE178))</f>
        <v>22</v>
      </c>
      <c r="AF304" s="114" t="n">
        <f aca="false">IF(AF$5&lt;=LastHist,AF181,CHOOSE(Scen,AF184,AF181,AF178))</f>
        <v>22</v>
      </c>
      <c r="AG304" s="114" t="n">
        <f aca="false">IF(AG$5&lt;=LastHist,AG181,CHOOSE(Scen,AG184,AG181,AG178))</f>
        <v>22</v>
      </c>
      <c r="AI304" s="114" t="n">
        <f aca="false">INDEX($F304:$AG304,1,MATCH(AI$7,$F$7:$AG$7,1))</f>
        <v>0</v>
      </c>
      <c r="AJ304" s="114" t="n">
        <f aca="false">INDEX($F304:$AG304,1,MATCH(AJ$7,$F$7:$AG$7,1))</f>
        <v>0</v>
      </c>
      <c r="AK304" s="114" t="n">
        <f aca="false">INDEX($F304:$AG304,1,MATCH(AK$7,$F$7:$AG$7,1))</f>
        <v>5.5</v>
      </c>
      <c r="AL304" s="114" t="n">
        <f aca="false">INDEX($F304:$AG304,1,MATCH(AL$7,$F$7:$AG$7,1))</f>
        <v>22</v>
      </c>
      <c r="AM304" s="114" t="n">
        <f aca="false">INDEX($F304:$AG304,1,MATCH(AM$7,$F$7:$AG$7,1))</f>
        <v>22</v>
      </c>
      <c r="AN304" s="114" t="n">
        <f aca="false">INDEX($F304:$AG304,1,MATCH(AN$7,$F$7:$AG$7,1))</f>
        <v>22</v>
      </c>
      <c r="AO304" s="114" t="n">
        <f aca="false">INDEX($F304:$AG304,1,MATCH(AO$7,$F$7:$AG$7,1))</f>
        <v>22</v>
      </c>
    </row>
    <row r="305" customFormat="false" ht="15" hidden="false" customHeight="false" outlineLevel="0" collapsed="false">
      <c r="A305" s="112" t="s">
        <v>1657</v>
      </c>
      <c r="B305" s="24" t="s">
        <v>857</v>
      </c>
      <c r="C305" s="24" t="s">
        <v>690</v>
      </c>
      <c r="D305" s="24"/>
      <c r="F305" s="114" t="n">
        <f aca="false">IF(F$5&lt;=LastHist,F190,CHOOSE(Scen,F193,F190,F187))</f>
        <v>0</v>
      </c>
      <c r="G305" s="114" t="n">
        <f aca="false">IF(G$5&lt;=LastHist,G190,CHOOSE(Scen,G193,G190,G187))</f>
        <v>0</v>
      </c>
      <c r="H305" s="114" t="n">
        <f aca="false">IF(H$5&lt;=LastHist,H190,CHOOSE(Scen,H193,H190,H187))</f>
        <v>0</v>
      </c>
      <c r="I305" s="114" t="n">
        <f aca="false">IF(I$5&lt;=LastHist,I190,CHOOSE(Scen,I193,I190,I187))</f>
        <v>0</v>
      </c>
      <c r="J305" s="114" t="n">
        <f aca="false">IF(J$5&lt;=LastHist,J190,CHOOSE(Scen,J193,J190,J187))</f>
        <v>0</v>
      </c>
      <c r="K305" s="114" t="n">
        <f aca="false">IF(K$5&lt;=LastHist,K190,CHOOSE(Scen,K193,K190,K187))</f>
        <v>0</v>
      </c>
      <c r="L305" s="114" t="n">
        <f aca="false">IF(L$5&lt;=LastHist,L190,CHOOSE(Scen,L193,L190,L187))</f>
        <v>0</v>
      </c>
      <c r="M305" s="114" t="n">
        <f aca="false">IF(M$5&lt;=LastHist,M190,CHOOSE(Scen,M193,M190,M187))</f>
        <v>0</v>
      </c>
      <c r="N305" s="114" t="n">
        <f aca="false">IF(N$5&lt;=LastHist,N190,CHOOSE(Scen,N193,N190,N187))</f>
        <v>0</v>
      </c>
      <c r="O305" s="114" t="n">
        <f aca="false">IF(O$5&lt;=LastHist,O190,CHOOSE(Scen,O193,O190,O187))</f>
        <v>0</v>
      </c>
      <c r="P305" s="114" t="n">
        <f aca="false">IF(P$5&lt;=LastHist,P190,CHOOSE(Scen,P193,P190,P187))</f>
        <v>0</v>
      </c>
      <c r="Q305" s="114" t="n">
        <f aca="false">IF(Q$5&lt;=LastHist,Q190,CHOOSE(Scen,Q193,Q190,Q187))</f>
        <v>0</v>
      </c>
      <c r="R305" s="114" t="n">
        <f aca="false">IF(R$5&lt;=LastHist,R190,CHOOSE(Scen,R193,R190,R187))</f>
        <v>10</v>
      </c>
      <c r="S305" s="114" t="n">
        <f aca="false">IF(S$5&lt;=LastHist,S190,CHOOSE(Scen,S193,S190,S187))</f>
        <v>29.5</v>
      </c>
      <c r="T305" s="114" t="n">
        <f aca="false">IF(T$5&lt;=LastHist,T190,CHOOSE(Scen,T193,T190,T187))</f>
        <v>48.5</v>
      </c>
      <c r="U305" s="114" t="n">
        <f aca="false">IF(U$5&lt;=LastHist,U190,CHOOSE(Scen,U193,U190,U187))</f>
        <v>58</v>
      </c>
      <c r="V305" s="114" t="n">
        <f aca="false">IF(V$5&lt;=LastHist,V190,CHOOSE(Scen,V193,V190,V187))</f>
        <v>58</v>
      </c>
      <c r="W305" s="114" t="n">
        <f aca="false">IF(W$5&lt;=LastHist,W190,CHOOSE(Scen,W193,W190,W187))</f>
        <v>58</v>
      </c>
      <c r="X305" s="114" t="n">
        <f aca="false">IF(X$5&lt;=LastHist,X190,CHOOSE(Scen,X193,X190,X187))</f>
        <v>58</v>
      </c>
      <c r="Y305" s="114" t="n">
        <f aca="false">IF(Y$5&lt;=LastHist,Y190,CHOOSE(Scen,Y193,Y190,Y187))</f>
        <v>58</v>
      </c>
      <c r="Z305" s="114" t="n">
        <f aca="false">IF(Z$5&lt;=LastHist,Z190,CHOOSE(Scen,Z193,Z190,Z187))</f>
        <v>58</v>
      </c>
      <c r="AA305" s="114" t="n">
        <f aca="false">IF(AA$5&lt;=LastHist,AA190,CHOOSE(Scen,AA193,AA190,AA187))</f>
        <v>58</v>
      </c>
      <c r="AB305" s="114" t="n">
        <f aca="false">IF(AB$5&lt;=LastHist,AB190,CHOOSE(Scen,AB193,AB190,AB187))</f>
        <v>58</v>
      </c>
      <c r="AC305" s="114" t="n">
        <f aca="false">IF(AC$5&lt;=LastHist,AC190,CHOOSE(Scen,AC193,AC190,AC187))</f>
        <v>58</v>
      </c>
      <c r="AD305" s="114" t="n">
        <f aca="false">IF(AD$5&lt;=LastHist,AD190,CHOOSE(Scen,AD193,AD190,AD187))</f>
        <v>58</v>
      </c>
      <c r="AE305" s="114" t="n">
        <f aca="false">IF(AE$5&lt;=LastHist,AE190,CHOOSE(Scen,AE193,AE190,AE187))</f>
        <v>58</v>
      </c>
      <c r="AF305" s="114" t="n">
        <f aca="false">IF(AF$5&lt;=LastHist,AF190,CHOOSE(Scen,AF193,AF190,AF187))</f>
        <v>58</v>
      </c>
      <c r="AG305" s="114" t="n">
        <f aca="false">IF(AG$5&lt;=LastHist,AG190,CHOOSE(Scen,AG193,AG190,AG187))</f>
        <v>58</v>
      </c>
      <c r="AI305" s="114" t="n">
        <f aca="false">INDEX($F305:$AG305,1,MATCH(AI$7,$F$7:$AG$7,1))</f>
        <v>0</v>
      </c>
      <c r="AJ305" s="114" t="n">
        <f aca="false">INDEX($F305:$AG305,1,MATCH(AJ$7,$F$7:$AG$7,1))</f>
        <v>0</v>
      </c>
      <c r="AK305" s="114" t="n">
        <f aca="false">INDEX($F305:$AG305,1,MATCH(AK$7,$F$7:$AG$7,1))</f>
        <v>0</v>
      </c>
      <c r="AL305" s="114" t="n">
        <f aca="false">INDEX($F305:$AG305,1,MATCH(AL$7,$F$7:$AG$7,1))</f>
        <v>58</v>
      </c>
      <c r="AM305" s="114" t="n">
        <f aca="false">INDEX($F305:$AG305,1,MATCH(AM$7,$F$7:$AG$7,1))</f>
        <v>58</v>
      </c>
      <c r="AN305" s="114" t="n">
        <f aca="false">INDEX($F305:$AG305,1,MATCH(AN$7,$F$7:$AG$7,1))</f>
        <v>58</v>
      </c>
      <c r="AO305" s="114" t="n">
        <f aca="false">INDEX($F305:$AG305,1,MATCH(AO$7,$F$7:$AG$7,1))</f>
        <v>58</v>
      </c>
    </row>
    <row r="306" customFormat="false" ht="15" hidden="false" customHeight="false" outlineLevel="0" collapsed="false">
      <c r="A306" s="112" t="s">
        <v>1658</v>
      </c>
      <c r="B306" s="24" t="s">
        <v>857</v>
      </c>
      <c r="C306" s="24" t="s">
        <v>690</v>
      </c>
      <c r="D306" s="24"/>
      <c r="F306" s="114" t="n">
        <f aca="false">IF(F$5&lt;=LastHist,F199,CHOOSE(Scen,F202,F199,F196))</f>
        <v>0</v>
      </c>
      <c r="G306" s="114" t="n">
        <f aca="false">IF(G$5&lt;=LastHist,G199,CHOOSE(Scen,G202,G199,G196))</f>
        <v>0</v>
      </c>
      <c r="H306" s="114" t="n">
        <f aca="false">IF(H$5&lt;=LastHist,H199,CHOOSE(Scen,H202,H199,H196))</f>
        <v>0</v>
      </c>
      <c r="I306" s="114" t="n">
        <f aca="false">IF(I$5&lt;=LastHist,I199,CHOOSE(Scen,I202,I199,I196))</f>
        <v>0</v>
      </c>
      <c r="J306" s="114" t="n">
        <f aca="false">IF(J$5&lt;=LastHist,J199,CHOOSE(Scen,J202,J199,J196))</f>
        <v>0</v>
      </c>
      <c r="K306" s="114" t="n">
        <f aca="false">IF(K$5&lt;=LastHist,K199,CHOOSE(Scen,K202,K199,K196))</f>
        <v>0</v>
      </c>
      <c r="L306" s="114" t="n">
        <f aca="false">IF(L$5&lt;=LastHist,L199,CHOOSE(Scen,L202,L199,L196))</f>
        <v>0</v>
      </c>
      <c r="M306" s="114" t="n">
        <f aca="false">IF(M$5&lt;=LastHist,M199,CHOOSE(Scen,M202,M199,M196))</f>
        <v>0</v>
      </c>
      <c r="N306" s="114" t="n">
        <f aca="false">IF(N$5&lt;=LastHist,N199,CHOOSE(Scen,N202,N199,N196))</f>
        <v>0</v>
      </c>
      <c r="O306" s="114" t="n">
        <f aca="false">IF(O$5&lt;=LastHist,O199,CHOOSE(Scen,O202,O199,O196))</f>
        <v>0</v>
      </c>
      <c r="P306" s="114" t="n">
        <f aca="false">IF(P$5&lt;=LastHist,P199,CHOOSE(Scen,P202,P199,P196))</f>
        <v>7.5</v>
      </c>
      <c r="Q306" s="114" t="n">
        <f aca="false">IF(Q$5&lt;=LastHist,Q199,CHOOSE(Scen,Q202,Q199,Q196))</f>
        <v>13.5</v>
      </c>
      <c r="R306" s="114" t="n">
        <f aca="false">IF(R$5&lt;=LastHist,R199,CHOOSE(Scen,R202,R199,R196))</f>
        <v>18</v>
      </c>
      <c r="S306" s="114" t="n">
        <f aca="false">IF(S$5&lt;=LastHist,S199,CHOOSE(Scen,S202,S199,S196))</f>
        <v>18</v>
      </c>
      <c r="T306" s="114" t="n">
        <f aca="false">IF(T$5&lt;=LastHist,T199,CHOOSE(Scen,T202,T199,T196))</f>
        <v>18</v>
      </c>
      <c r="U306" s="114" t="n">
        <f aca="false">IF(U$5&lt;=LastHist,U199,CHOOSE(Scen,U202,U199,U196))</f>
        <v>18</v>
      </c>
      <c r="V306" s="114" t="n">
        <f aca="false">IF(V$5&lt;=LastHist,V199,CHOOSE(Scen,V202,V199,V196))</f>
        <v>18</v>
      </c>
      <c r="W306" s="114" t="n">
        <f aca="false">IF(W$5&lt;=LastHist,W199,CHOOSE(Scen,W202,W199,W196))</f>
        <v>18</v>
      </c>
      <c r="X306" s="114" t="n">
        <f aca="false">IF(X$5&lt;=LastHist,X199,CHOOSE(Scen,X202,X199,X196))</f>
        <v>18</v>
      </c>
      <c r="Y306" s="114" t="n">
        <f aca="false">IF(Y$5&lt;=LastHist,Y199,CHOOSE(Scen,Y202,Y199,Y196))</f>
        <v>18</v>
      </c>
      <c r="Z306" s="114" t="n">
        <f aca="false">IF(Z$5&lt;=LastHist,Z199,CHOOSE(Scen,Z202,Z199,Z196))</f>
        <v>18</v>
      </c>
      <c r="AA306" s="114" t="n">
        <f aca="false">IF(AA$5&lt;=LastHist,AA199,CHOOSE(Scen,AA202,AA199,AA196))</f>
        <v>18</v>
      </c>
      <c r="AB306" s="114" t="n">
        <f aca="false">IF(AB$5&lt;=LastHist,AB199,CHOOSE(Scen,AB202,AB199,AB196))</f>
        <v>18</v>
      </c>
      <c r="AC306" s="114" t="n">
        <f aca="false">IF(AC$5&lt;=LastHist,AC199,CHOOSE(Scen,AC202,AC199,AC196))</f>
        <v>18</v>
      </c>
      <c r="AD306" s="114" t="n">
        <f aca="false">IF(AD$5&lt;=LastHist,AD199,CHOOSE(Scen,AD202,AD199,AD196))</f>
        <v>18</v>
      </c>
      <c r="AE306" s="114" t="n">
        <f aca="false">IF(AE$5&lt;=LastHist,AE199,CHOOSE(Scen,AE202,AE199,AE196))</f>
        <v>18</v>
      </c>
      <c r="AF306" s="114" t="n">
        <f aca="false">IF(AF$5&lt;=LastHist,AF199,CHOOSE(Scen,AF202,AF199,AF196))</f>
        <v>18</v>
      </c>
      <c r="AG306" s="114" t="n">
        <f aca="false">IF(AG$5&lt;=LastHist,AG199,CHOOSE(Scen,AG202,AG199,AG196))</f>
        <v>18</v>
      </c>
      <c r="AI306" s="114" t="n">
        <f aca="false">INDEX($F306:$AG306,1,MATCH(AI$7,$F$7:$AG$7,1))</f>
        <v>0</v>
      </c>
      <c r="AJ306" s="114" t="n">
        <f aca="false">INDEX($F306:$AG306,1,MATCH(AJ$7,$F$7:$AG$7,1))</f>
        <v>0</v>
      </c>
      <c r="AK306" s="114" t="n">
        <f aca="false">INDEX($F306:$AG306,1,MATCH(AK$7,$F$7:$AG$7,1))</f>
        <v>13.5</v>
      </c>
      <c r="AL306" s="114" t="n">
        <f aca="false">INDEX($F306:$AG306,1,MATCH(AL$7,$F$7:$AG$7,1))</f>
        <v>18</v>
      </c>
      <c r="AM306" s="114" t="n">
        <f aca="false">INDEX($F306:$AG306,1,MATCH(AM$7,$F$7:$AG$7,1))</f>
        <v>18</v>
      </c>
      <c r="AN306" s="114" t="n">
        <f aca="false">INDEX($F306:$AG306,1,MATCH(AN$7,$F$7:$AG$7,1))</f>
        <v>18</v>
      </c>
      <c r="AO306" s="114" t="n">
        <f aca="false">INDEX($F306:$AG306,1,MATCH(AO$7,$F$7:$AG$7,1))</f>
        <v>18</v>
      </c>
    </row>
    <row r="307" customFormat="false" ht="15" hidden="false" customHeight="false" outlineLevel="0" collapsed="false">
      <c r="A307" s="112" t="s">
        <v>1659</v>
      </c>
      <c r="B307" s="24" t="s">
        <v>857</v>
      </c>
      <c r="C307" s="24" t="s">
        <v>690</v>
      </c>
      <c r="D307" s="24"/>
      <c r="F307" s="114" t="n">
        <f aca="false">IF(F$5&lt;=LastHist,F208,CHOOSE(Scen,F211,F208,F205))</f>
        <v>0</v>
      </c>
      <c r="G307" s="114" t="n">
        <f aca="false">IF(G$5&lt;=LastHist,G208,CHOOSE(Scen,G211,G208,G205))</f>
        <v>0</v>
      </c>
      <c r="H307" s="114" t="n">
        <f aca="false">IF(H$5&lt;=LastHist,H208,CHOOSE(Scen,H211,H208,H205))</f>
        <v>0</v>
      </c>
      <c r="I307" s="114" t="n">
        <f aca="false">IF(I$5&lt;=LastHist,I208,CHOOSE(Scen,I211,I208,I205))</f>
        <v>0</v>
      </c>
      <c r="J307" s="114" t="n">
        <f aca="false">IF(J$5&lt;=LastHist,J208,CHOOSE(Scen,J211,J208,J205))</f>
        <v>0</v>
      </c>
      <c r="K307" s="114" t="n">
        <f aca="false">IF(K$5&lt;=LastHist,K208,CHOOSE(Scen,K211,K208,K205))</f>
        <v>0</v>
      </c>
      <c r="L307" s="114" t="n">
        <f aca="false">IF(L$5&lt;=LastHist,L208,CHOOSE(Scen,L211,L208,L205))</f>
        <v>0</v>
      </c>
      <c r="M307" s="114" t="n">
        <f aca="false">IF(M$5&lt;=LastHist,M208,CHOOSE(Scen,M211,M208,M205))</f>
        <v>0</v>
      </c>
      <c r="N307" s="114" t="n">
        <f aca="false">IF(N$5&lt;=LastHist,N208,CHOOSE(Scen,N211,N208,N205))</f>
        <v>0</v>
      </c>
      <c r="O307" s="114" t="n">
        <f aca="false">IF(O$5&lt;=LastHist,O208,CHOOSE(Scen,O211,O208,O205))</f>
        <v>0</v>
      </c>
      <c r="P307" s="114" t="n">
        <f aca="false">IF(P$5&lt;=LastHist,P208,CHOOSE(Scen,P211,P208,P205))</f>
        <v>0</v>
      </c>
      <c r="Q307" s="114" t="n">
        <f aca="false">IF(Q$5&lt;=LastHist,Q208,CHOOSE(Scen,Q211,Q208,Q205))</f>
        <v>11</v>
      </c>
      <c r="R307" s="114" t="n">
        <f aca="false">IF(R$5&lt;=LastHist,R208,CHOOSE(Scen,R211,R208,R205))</f>
        <v>16.5</v>
      </c>
      <c r="S307" s="114" t="n">
        <f aca="false">IF(S$5&lt;=LastHist,S208,CHOOSE(Scen,S211,S208,S205))</f>
        <v>22</v>
      </c>
      <c r="T307" s="114" t="n">
        <f aca="false">IF(T$5&lt;=LastHist,T208,CHOOSE(Scen,T211,T208,T205))</f>
        <v>22</v>
      </c>
      <c r="U307" s="114" t="n">
        <f aca="false">IF(U$5&lt;=LastHist,U208,CHOOSE(Scen,U211,U208,U205))</f>
        <v>22</v>
      </c>
      <c r="V307" s="114" t="n">
        <f aca="false">IF(V$5&lt;=LastHist,V208,CHOOSE(Scen,V211,V208,V205))</f>
        <v>22</v>
      </c>
      <c r="W307" s="114" t="n">
        <f aca="false">IF(W$5&lt;=LastHist,W208,CHOOSE(Scen,W211,W208,W205))</f>
        <v>22</v>
      </c>
      <c r="X307" s="114" t="n">
        <f aca="false">IF(X$5&lt;=LastHist,X208,CHOOSE(Scen,X211,X208,X205))</f>
        <v>22</v>
      </c>
      <c r="Y307" s="114" t="n">
        <f aca="false">IF(Y$5&lt;=LastHist,Y208,CHOOSE(Scen,Y211,Y208,Y205))</f>
        <v>22</v>
      </c>
      <c r="Z307" s="114" t="n">
        <f aca="false">IF(Z$5&lt;=LastHist,Z208,CHOOSE(Scen,Z211,Z208,Z205))</f>
        <v>22</v>
      </c>
      <c r="AA307" s="114" t="n">
        <f aca="false">IF(AA$5&lt;=LastHist,AA208,CHOOSE(Scen,AA211,AA208,AA205))</f>
        <v>22</v>
      </c>
      <c r="AB307" s="114" t="n">
        <f aca="false">IF(AB$5&lt;=LastHist,AB208,CHOOSE(Scen,AB211,AB208,AB205))</f>
        <v>22</v>
      </c>
      <c r="AC307" s="114" t="n">
        <f aca="false">IF(AC$5&lt;=LastHist,AC208,CHOOSE(Scen,AC211,AC208,AC205))</f>
        <v>22</v>
      </c>
      <c r="AD307" s="114" t="n">
        <f aca="false">IF(AD$5&lt;=LastHist,AD208,CHOOSE(Scen,AD211,AD208,AD205))</f>
        <v>22</v>
      </c>
      <c r="AE307" s="114" t="n">
        <f aca="false">IF(AE$5&lt;=LastHist,AE208,CHOOSE(Scen,AE211,AE208,AE205))</f>
        <v>22</v>
      </c>
      <c r="AF307" s="114" t="n">
        <f aca="false">IF(AF$5&lt;=LastHist,AF208,CHOOSE(Scen,AF211,AF208,AF205))</f>
        <v>22</v>
      </c>
      <c r="AG307" s="114" t="n">
        <f aca="false">IF(AG$5&lt;=LastHist,AG208,CHOOSE(Scen,AG211,AG208,AG205))</f>
        <v>22</v>
      </c>
      <c r="AI307" s="114" t="n">
        <f aca="false">INDEX($F307:$AG307,1,MATCH(AI$7,$F$7:$AG$7,1))</f>
        <v>0</v>
      </c>
      <c r="AJ307" s="114" t="n">
        <f aca="false">INDEX($F307:$AG307,1,MATCH(AJ$7,$F$7:$AG$7,1))</f>
        <v>0</v>
      </c>
      <c r="AK307" s="114" t="n">
        <f aca="false">INDEX($F307:$AG307,1,MATCH(AK$7,$F$7:$AG$7,1))</f>
        <v>11</v>
      </c>
      <c r="AL307" s="114" t="n">
        <f aca="false">INDEX($F307:$AG307,1,MATCH(AL$7,$F$7:$AG$7,1))</f>
        <v>22</v>
      </c>
      <c r="AM307" s="114" t="n">
        <f aca="false">INDEX($F307:$AG307,1,MATCH(AM$7,$F$7:$AG$7,1))</f>
        <v>22</v>
      </c>
      <c r="AN307" s="114" t="n">
        <f aca="false">INDEX($F307:$AG307,1,MATCH(AN$7,$F$7:$AG$7,1))</f>
        <v>22</v>
      </c>
      <c r="AO307" s="114" t="n">
        <f aca="false">INDEX($F307:$AG307,1,MATCH(AO$7,$F$7:$AG$7,1))</f>
        <v>22</v>
      </c>
    </row>
    <row r="308" customFormat="false" ht="15" hidden="false" customHeight="false" outlineLevel="0" collapsed="false">
      <c r="A308" s="112" t="s">
        <v>1660</v>
      </c>
      <c r="B308" s="24" t="s">
        <v>857</v>
      </c>
      <c r="C308" s="24" t="s">
        <v>690</v>
      </c>
      <c r="D308" s="24"/>
      <c r="F308" s="114" t="n">
        <f aca="false">IF(F$5&lt;=LastHist,F217,CHOOSE(Scen,F220,F217,F214))</f>
        <v>0</v>
      </c>
      <c r="G308" s="114" t="n">
        <f aca="false">IF(G$5&lt;=LastHist,G217,CHOOSE(Scen,G220,G217,G214))</f>
        <v>0</v>
      </c>
      <c r="H308" s="114" t="n">
        <f aca="false">IF(H$5&lt;=LastHist,H217,CHOOSE(Scen,H220,H217,H214))</f>
        <v>0</v>
      </c>
      <c r="I308" s="114" t="n">
        <f aca="false">IF(I$5&lt;=LastHist,I217,CHOOSE(Scen,I220,I217,I214))</f>
        <v>0</v>
      </c>
      <c r="J308" s="114" t="n">
        <f aca="false">IF(J$5&lt;=LastHist,J217,CHOOSE(Scen,J220,J217,J214))</f>
        <v>0</v>
      </c>
      <c r="K308" s="114" t="n">
        <f aca="false">IF(K$5&lt;=LastHist,K217,CHOOSE(Scen,K220,K217,K214))</f>
        <v>0</v>
      </c>
      <c r="L308" s="114" t="n">
        <f aca="false">IF(L$5&lt;=LastHist,L217,CHOOSE(Scen,L220,L217,L214))</f>
        <v>0</v>
      </c>
      <c r="M308" s="114" t="n">
        <f aca="false">IF(M$5&lt;=LastHist,M217,CHOOSE(Scen,M220,M217,M214))</f>
        <v>0</v>
      </c>
      <c r="N308" s="114" t="n">
        <f aca="false">IF(N$5&lt;=LastHist,N217,CHOOSE(Scen,N220,N217,N214))</f>
        <v>10</v>
      </c>
      <c r="O308" s="114" t="n">
        <f aca="false">IF(O$5&lt;=LastHist,O217,CHOOSE(Scen,O220,O217,O214))</f>
        <v>10</v>
      </c>
      <c r="P308" s="114" t="n">
        <f aca="false">IF(P$5&lt;=LastHist,P217,CHOOSE(Scen,P220,P217,P214))</f>
        <v>10</v>
      </c>
      <c r="Q308" s="114" t="n">
        <f aca="false">IF(Q$5&lt;=LastHist,Q217,CHOOSE(Scen,Q220,Q217,Q214))</f>
        <v>10</v>
      </c>
      <c r="R308" s="114" t="n">
        <f aca="false">IF(R$5&lt;=LastHist,R217,CHOOSE(Scen,R220,R217,R214))</f>
        <v>10</v>
      </c>
      <c r="S308" s="114" t="n">
        <f aca="false">IF(S$5&lt;=LastHist,S217,CHOOSE(Scen,S220,S217,S214))</f>
        <v>10</v>
      </c>
      <c r="T308" s="114" t="n">
        <f aca="false">IF(T$5&lt;=LastHist,T217,CHOOSE(Scen,T220,T217,T214))</f>
        <v>10</v>
      </c>
      <c r="U308" s="114" t="n">
        <f aca="false">IF(U$5&lt;=LastHist,U217,CHOOSE(Scen,U220,U217,U214))</f>
        <v>10</v>
      </c>
      <c r="V308" s="114" t="n">
        <f aca="false">IF(V$5&lt;=LastHist,V217,CHOOSE(Scen,V220,V217,V214))</f>
        <v>10</v>
      </c>
      <c r="W308" s="114" t="n">
        <f aca="false">IF(W$5&lt;=LastHist,W217,CHOOSE(Scen,W220,W217,W214))</f>
        <v>10</v>
      </c>
      <c r="X308" s="114" t="n">
        <f aca="false">IF(X$5&lt;=LastHist,X217,CHOOSE(Scen,X220,X217,X214))</f>
        <v>10</v>
      </c>
      <c r="Y308" s="114" t="n">
        <f aca="false">IF(Y$5&lt;=LastHist,Y217,CHOOSE(Scen,Y220,Y217,Y214))</f>
        <v>10</v>
      </c>
      <c r="Z308" s="114" t="n">
        <f aca="false">IF(Z$5&lt;=LastHist,Z217,CHOOSE(Scen,Z220,Z217,Z214))</f>
        <v>10</v>
      </c>
      <c r="AA308" s="114" t="n">
        <f aca="false">IF(AA$5&lt;=LastHist,AA217,CHOOSE(Scen,AA220,AA217,AA214))</f>
        <v>10</v>
      </c>
      <c r="AB308" s="114" t="n">
        <f aca="false">IF(AB$5&lt;=LastHist,AB217,CHOOSE(Scen,AB220,AB217,AB214))</f>
        <v>10</v>
      </c>
      <c r="AC308" s="114" t="n">
        <f aca="false">IF(AC$5&lt;=LastHist,AC217,CHOOSE(Scen,AC220,AC217,AC214))</f>
        <v>10</v>
      </c>
      <c r="AD308" s="114" t="n">
        <f aca="false">IF(AD$5&lt;=LastHist,AD217,CHOOSE(Scen,AD220,AD217,AD214))</f>
        <v>10</v>
      </c>
      <c r="AE308" s="114" t="n">
        <f aca="false">IF(AE$5&lt;=LastHist,AE217,CHOOSE(Scen,AE220,AE217,AE214))</f>
        <v>10</v>
      </c>
      <c r="AF308" s="114" t="n">
        <f aca="false">IF(AF$5&lt;=LastHist,AF217,CHOOSE(Scen,AF220,AF217,AF214))</f>
        <v>10</v>
      </c>
      <c r="AG308" s="114" t="n">
        <f aca="false">IF(AG$5&lt;=LastHist,AG217,CHOOSE(Scen,AG220,AG217,AG214))</f>
        <v>10</v>
      </c>
      <c r="AI308" s="114" t="n">
        <f aca="false">INDEX($F308:$AG308,1,MATCH(AI$7,$F$7:$AG$7,1))</f>
        <v>0</v>
      </c>
      <c r="AJ308" s="114" t="n">
        <f aca="false">INDEX($F308:$AG308,1,MATCH(AJ$7,$F$7:$AG$7,1))</f>
        <v>0</v>
      </c>
      <c r="AK308" s="114" t="n">
        <f aca="false">INDEX($F308:$AG308,1,MATCH(AK$7,$F$7:$AG$7,1))</f>
        <v>10</v>
      </c>
      <c r="AL308" s="114" t="n">
        <f aca="false">INDEX($F308:$AG308,1,MATCH(AL$7,$F$7:$AG$7,1))</f>
        <v>10</v>
      </c>
      <c r="AM308" s="114" t="n">
        <f aca="false">INDEX($F308:$AG308,1,MATCH(AM$7,$F$7:$AG$7,1))</f>
        <v>10</v>
      </c>
      <c r="AN308" s="114" t="n">
        <f aca="false">INDEX($F308:$AG308,1,MATCH(AN$7,$F$7:$AG$7,1))</f>
        <v>10</v>
      </c>
      <c r="AO308" s="114" t="n">
        <f aca="false">INDEX($F308:$AG308,1,MATCH(AO$7,$F$7:$AG$7,1))</f>
        <v>10</v>
      </c>
    </row>
    <row r="309" customFormat="false" ht="15" hidden="false" customHeight="false" outlineLevel="0" collapsed="false">
      <c r="A309" s="112" t="s">
        <v>1662</v>
      </c>
      <c r="B309" s="24" t="s">
        <v>857</v>
      </c>
      <c r="C309" s="24" t="s">
        <v>690</v>
      </c>
      <c r="D309" s="24"/>
      <c r="F309" s="114" t="n">
        <f aca="false">IF(F$5&lt;=LastHist,F226,CHOOSE(Scen,F229,F226,F223))</f>
        <v>0</v>
      </c>
      <c r="G309" s="114" t="n">
        <f aca="false">IF(G$5&lt;=LastHist,G226,CHOOSE(Scen,G229,G226,G223))</f>
        <v>0</v>
      </c>
      <c r="H309" s="114" t="n">
        <f aca="false">IF(H$5&lt;=LastHist,H226,CHOOSE(Scen,H229,H226,H223))</f>
        <v>0</v>
      </c>
      <c r="I309" s="114" t="n">
        <f aca="false">IF(I$5&lt;=LastHist,I226,CHOOSE(Scen,I229,I226,I223))</f>
        <v>0</v>
      </c>
      <c r="J309" s="114" t="n">
        <f aca="false">IF(J$5&lt;=LastHist,J226,CHOOSE(Scen,J229,J226,J223))</f>
        <v>0</v>
      </c>
      <c r="K309" s="114" t="n">
        <f aca="false">IF(K$5&lt;=LastHist,K226,CHOOSE(Scen,K229,K226,K223))</f>
        <v>0</v>
      </c>
      <c r="L309" s="114" t="n">
        <f aca="false">IF(L$5&lt;=LastHist,L226,CHOOSE(Scen,L229,L226,L223))</f>
        <v>0</v>
      </c>
      <c r="M309" s="114" t="n">
        <f aca="false">IF(M$5&lt;=LastHist,M226,CHOOSE(Scen,M229,M226,M223))</f>
        <v>0</v>
      </c>
      <c r="N309" s="114" t="n">
        <f aca="false">IF(N$5&lt;=LastHist,N226,CHOOSE(Scen,N229,N226,N223))</f>
        <v>0</v>
      </c>
      <c r="O309" s="114" t="n">
        <f aca="false">IF(O$5&lt;=LastHist,O226,CHOOSE(Scen,O229,O226,O223))</f>
        <v>10</v>
      </c>
      <c r="P309" s="114" t="n">
        <f aca="false">IF(P$5&lt;=LastHist,P226,CHOOSE(Scen,P229,P226,P223))</f>
        <v>10</v>
      </c>
      <c r="Q309" s="114" t="n">
        <f aca="false">IF(Q$5&lt;=LastHist,Q226,CHOOSE(Scen,Q229,Q226,Q223))</f>
        <v>25</v>
      </c>
      <c r="R309" s="114" t="n">
        <f aca="false">IF(R$5&lt;=LastHist,R226,CHOOSE(Scen,R229,R226,R223))</f>
        <v>50</v>
      </c>
      <c r="S309" s="114" t="n">
        <f aca="false">IF(S$5&lt;=LastHist,S226,CHOOSE(Scen,S229,S226,S223))</f>
        <v>75</v>
      </c>
      <c r="T309" s="114" t="n">
        <f aca="false">IF(T$5&lt;=LastHist,T226,CHOOSE(Scen,T229,T226,T223))</f>
        <v>100</v>
      </c>
      <c r="U309" s="114" t="n">
        <f aca="false">IF(U$5&lt;=LastHist,U226,CHOOSE(Scen,U229,U226,U223))</f>
        <v>100</v>
      </c>
      <c r="V309" s="114" t="n">
        <f aca="false">IF(V$5&lt;=LastHist,V226,CHOOSE(Scen,V229,V226,V223))</f>
        <v>100</v>
      </c>
      <c r="W309" s="114" t="n">
        <f aca="false">IF(W$5&lt;=LastHist,W226,CHOOSE(Scen,W229,W226,W223))</f>
        <v>100</v>
      </c>
      <c r="X309" s="114" t="n">
        <f aca="false">IF(X$5&lt;=LastHist,X226,CHOOSE(Scen,X229,X226,X223))</f>
        <v>100</v>
      </c>
      <c r="Y309" s="114" t="n">
        <f aca="false">IF(Y$5&lt;=LastHist,Y226,CHOOSE(Scen,Y229,Y226,Y223))</f>
        <v>100</v>
      </c>
      <c r="Z309" s="114" t="n">
        <f aca="false">IF(Z$5&lt;=LastHist,Z226,CHOOSE(Scen,Z229,Z226,Z223))</f>
        <v>100</v>
      </c>
      <c r="AA309" s="114" t="n">
        <f aca="false">IF(AA$5&lt;=LastHist,AA226,CHOOSE(Scen,AA229,AA226,AA223))</f>
        <v>100</v>
      </c>
      <c r="AB309" s="114" t="n">
        <f aca="false">IF(AB$5&lt;=LastHist,AB226,CHOOSE(Scen,AB229,AB226,AB223))</f>
        <v>100</v>
      </c>
      <c r="AC309" s="114" t="n">
        <f aca="false">IF(AC$5&lt;=LastHist,AC226,CHOOSE(Scen,AC229,AC226,AC223))</f>
        <v>100</v>
      </c>
      <c r="AD309" s="114" t="n">
        <f aca="false">IF(AD$5&lt;=LastHist,AD226,CHOOSE(Scen,AD229,AD226,AD223))</f>
        <v>100</v>
      </c>
      <c r="AE309" s="114" t="n">
        <f aca="false">IF(AE$5&lt;=LastHist,AE226,CHOOSE(Scen,AE229,AE226,AE223))</f>
        <v>100</v>
      </c>
      <c r="AF309" s="114" t="n">
        <f aca="false">IF(AF$5&lt;=LastHist,AF226,CHOOSE(Scen,AF229,AF226,AF223))</f>
        <v>100</v>
      </c>
      <c r="AG309" s="114" t="n">
        <f aca="false">IF(AG$5&lt;=LastHist,AG226,CHOOSE(Scen,AG229,AG226,AG223))</f>
        <v>100</v>
      </c>
      <c r="AI309" s="114" t="n">
        <f aca="false">INDEX($F309:$AG309,1,MATCH(AI$7,$F$7:$AG$7,1))</f>
        <v>0</v>
      </c>
      <c r="AJ309" s="114" t="n">
        <f aca="false">INDEX($F309:$AG309,1,MATCH(AJ$7,$F$7:$AG$7,1))</f>
        <v>0</v>
      </c>
      <c r="AK309" s="114" t="n">
        <f aca="false">INDEX($F309:$AG309,1,MATCH(AK$7,$F$7:$AG$7,1))</f>
        <v>25</v>
      </c>
      <c r="AL309" s="114" t="n">
        <f aca="false">INDEX($F309:$AG309,1,MATCH(AL$7,$F$7:$AG$7,1))</f>
        <v>100</v>
      </c>
      <c r="AM309" s="114" t="n">
        <f aca="false">INDEX($F309:$AG309,1,MATCH(AM$7,$F$7:$AG$7,1))</f>
        <v>100</v>
      </c>
      <c r="AN309" s="114" t="n">
        <f aca="false">INDEX($F309:$AG309,1,MATCH(AN$7,$F$7:$AG$7,1))</f>
        <v>100</v>
      </c>
      <c r="AO309" s="114" t="n">
        <f aca="false">INDEX($F309:$AG309,1,MATCH(AO$7,$F$7:$AG$7,1))</f>
        <v>100</v>
      </c>
    </row>
    <row r="310" customFormat="false" ht="15" hidden="false" customHeight="false" outlineLevel="0" collapsed="false">
      <c r="A310" s="112" t="s">
        <v>1663</v>
      </c>
      <c r="B310" s="24" t="s">
        <v>857</v>
      </c>
      <c r="C310" s="24" t="s">
        <v>690</v>
      </c>
      <c r="D310" s="24"/>
      <c r="F310" s="114" t="n">
        <f aca="false">IF(F$5&lt;=LastHist,F231,CHOOSE(Scen,F232,F231,F230))</f>
        <v>0</v>
      </c>
      <c r="G310" s="114" t="n">
        <f aca="false">IF(G$5&lt;=LastHist,G231,CHOOSE(Scen,G232,G231,G230))</f>
        <v>0</v>
      </c>
      <c r="H310" s="114" t="n">
        <f aca="false">IF(H$5&lt;=LastHist,H231,CHOOSE(Scen,H232,H231,H230))</f>
        <v>0</v>
      </c>
      <c r="I310" s="114" t="n">
        <f aca="false">IF(I$5&lt;=LastHist,I231,CHOOSE(Scen,I232,I231,I230))</f>
        <v>0</v>
      </c>
      <c r="J310" s="114" t="n">
        <f aca="false">IF(J$5&lt;=LastHist,J231,CHOOSE(Scen,J232,J231,J230))</f>
        <v>0</v>
      </c>
      <c r="K310" s="114" t="n">
        <f aca="false">IF(K$5&lt;=LastHist,K231,CHOOSE(Scen,K232,K231,K230))</f>
        <v>0</v>
      </c>
      <c r="L310" s="114" t="n">
        <f aca="false">IF(L$5&lt;=LastHist,L231,CHOOSE(Scen,L232,L231,L230))</f>
        <v>0</v>
      </c>
      <c r="M310" s="114" t="n">
        <f aca="false">IF(M$5&lt;=LastHist,M231,CHOOSE(Scen,M232,M231,M230))</f>
        <v>0</v>
      </c>
      <c r="N310" s="114" t="n">
        <f aca="false">IF(N$5&lt;=LastHist,N231,CHOOSE(Scen,N232,N231,N230))</f>
        <v>0</v>
      </c>
      <c r="O310" s="114" t="n">
        <f aca="false">IF(O$5&lt;=LastHist,O231,CHOOSE(Scen,O232,O231,O230))</f>
        <v>0</v>
      </c>
      <c r="P310" s="114" t="n">
        <f aca="false">IF(P$5&lt;=LastHist,P231,CHOOSE(Scen,P232,P231,P230))</f>
        <v>0</v>
      </c>
      <c r="Q310" s="114" t="n">
        <f aca="false">IF(Q$5&lt;=LastHist,Q231,CHOOSE(Scen,Q232,Q231,Q230))</f>
        <v>0</v>
      </c>
      <c r="R310" s="114" t="n">
        <f aca="false">IF(R$5&lt;=LastHist,R231,CHOOSE(Scen,R232,R231,R230))</f>
        <v>0</v>
      </c>
      <c r="S310" s="114" t="n">
        <f aca="false">IF(S$5&lt;=LastHist,S231,CHOOSE(Scen,S232,S231,S230))</f>
        <v>0</v>
      </c>
      <c r="T310" s="114" t="n">
        <f aca="false">IF(T$5&lt;=LastHist,T231,CHOOSE(Scen,T232,T231,T230))</f>
        <v>0</v>
      </c>
      <c r="U310" s="114" t="n">
        <f aca="false">IF(U$5&lt;=LastHist,U231,CHOOSE(Scen,U232,U231,U230))</f>
        <v>0</v>
      </c>
      <c r="V310" s="114" t="n">
        <f aca="false">IF(V$5&lt;=LastHist,V231,CHOOSE(Scen,V232,V231,V230))</f>
        <v>0</v>
      </c>
      <c r="W310" s="114" t="n">
        <f aca="false">IF(W$5&lt;=LastHist,W231,CHOOSE(Scen,W232,W231,W230))</f>
        <v>0</v>
      </c>
      <c r="X310" s="114" t="n">
        <f aca="false">IF(X$5&lt;=LastHist,X231,CHOOSE(Scen,X232,X231,X230))</f>
        <v>0</v>
      </c>
      <c r="Y310" s="114" t="n">
        <f aca="false">IF(Y$5&lt;=LastHist,Y231,CHOOSE(Scen,Y232,Y231,Y230))</f>
        <v>0</v>
      </c>
      <c r="Z310" s="114" t="n">
        <f aca="false">IF(Z$5&lt;=LastHist,Z231,CHOOSE(Scen,Z232,Z231,Z230))</f>
        <v>0</v>
      </c>
      <c r="AA310" s="114" t="n">
        <f aca="false">IF(AA$5&lt;=LastHist,AA231,CHOOSE(Scen,AA232,AA231,AA230))</f>
        <v>0</v>
      </c>
      <c r="AB310" s="114" t="n">
        <f aca="false">IF(AB$5&lt;=LastHist,AB231,CHOOSE(Scen,AB232,AB231,AB230))</f>
        <v>0</v>
      </c>
      <c r="AC310" s="114" t="n">
        <f aca="false">IF(AC$5&lt;=LastHist,AC231,CHOOSE(Scen,AC232,AC231,AC230))</f>
        <v>0</v>
      </c>
      <c r="AD310" s="114" t="n">
        <f aca="false">IF(AD$5&lt;=LastHist,AD231,CHOOSE(Scen,AD232,AD231,AD230))</f>
        <v>0</v>
      </c>
      <c r="AE310" s="114" t="n">
        <f aca="false">IF(AE$5&lt;=LastHist,AE231,CHOOSE(Scen,AE232,AE231,AE230))</f>
        <v>0</v>
      </c>
      <c r="AF310" s="114" t="n">
        <f aca="false">IF(AF$5&lt;=LastHist,AF231,CHOOSE(Scen,AF232,AF231,AF230))</f>
        <v>0</v>
      </c>
      <c r="AG310" s="114" t="n">
        <f aca="false">IF(AG$5&lt;=LastHist,AG231,CHOOSE(Scen,AG232,AG231,AG230))</f>
        <v>0</v>
      </c>
      <c r="AI310" s="114" t="n">
        <f aca="false">INDEX($F310:$AG310,1,MATCH(AI$7,$F$7:$AG$7,1))</f>
        <v>0</v>
      </c>
      <c r="AJ310" s="114" t="n">
        <f aca="false">INDEX($F310:$AG310,1,MATCH(AJ$7,$F$7:$AG$7,1))</f>
        <v>0</v>
      </c>
      <c r="AK310" s="114" t="n">
        <f aca="false">INDEX($F310:$AG310,1,MATCH(AK$7,$F$7:$AG$7,1))</f>
        <v>0</v>
      </c>
      <c r="AL310" s="114" t="n">
        <f aca="false">INDEX($F310:$AG310,1,MATCH(AL$7,$F$7:$AG$7,1))</f>
        <v>0</v>
      </c>
      <c r="AM310" s="114" t="n">
        <f aca="false">INDEX($F310:$AG310,1,MATCH(AM$7,$F$7:$AG$7,1))</f>
        <v>0</v>
      </c>
      <c r="AN310" s="114" t="n">
        <f aca="false">INDEX($F310:$AG310,1,MATCH(AN$7,$F$7:$AG$7,1))</f>
        <v>0</v>
      </c>
      <c r="AO310" s="114" t="n">
        <f aca="false">INDEX($F310:$AG310,1,MATCH(AO$7,$F$7:$AG$7,1))</f>
        <v>0</v>
      </c>
    </row>
    <row r="311" customFormat="false" ht="15" hidden="false" customHeight="false" outlineLevel="0" collapsed="false">
      <c r="A311" s="112" t="s">
        <v>1665</v>
      </c>
      <c r="B311" s="24" t="s">
        <v>857</v>
      </c>
      <c r="C311" s="24" t="s">
        <v>690</v>
      </c>
      <c r="D311" s="24"/>
      <c r="F311" s="114" t="n">
        <f aca="false">IF(F$5&lt;=LastHist,F238,CHOOSE(Scen,F241,F238,F235))</f>
        <v>0</v>
      </c>
      <c r="G311" s="114" t="n">
        <f aca="false">IF(G$5&lt;=LastHist,G238,CHOOSE(Scen,G241,G238,G235))</f>
        <v>0</v>
      </c>
      <c r="H311" s="114" t="n">
        <f aca="false">IF(H$5&lt;=LastHist,H238,CHOOSE(Scen,H241,H238,H235))</f>
        <v>0</v>
      </c>
      <c r="I311" s="114" t="n">
        <f aca="false">IF(I$5&lt;=LastHist,I238,CHOOSE(Scen,I241,I238,I235))</f>
        <v>0</v>
      </c>
      <c r="J311" s="114" t="n">
        <f aca="false">IF(J$5&lt;=LastHist,J238,CHOOSE(Scen,J241,J238,J235))</f>
        <v>0</v>
      </c>
      <c r="K311" s="114" t="n">
        <f aca="false">IF(K$5&lt;=LastHist,K238,CHOOSE(Scen,K241,K238,K235))</f>
        <v>0</v>
      </c>
      <c r="L311" s="114" t="n">
        <f aca="false">IF(L$5&lt;=LastHist,L238,CHOOSE(Scen,L241,L238,L235))</f>
        <v>0</v>
      </c>
      <c r="M311" s="114" t="n">
        <f aca="false">IF(M$5&lt;=LastHist,M238,CHOOSE(Scen,M241,M238,M235))</f>
        <v>0</v>
      </c>
      <c r="N311" s="114" t="n">
        <f aca="false">IF(N$5&lt;=LastHist,N238,CHOOSE(Scen,N241,N238,N235))</f>
        <v>0</v>
      </c>
      <c r="O311" s="114" t="n">
        <f aca="false">IF(O$5&lt;=LastHist,O238,CHOOSE(Scen,O241,O238,O235))</f>
        <v>0</v>
      </c>
      <c r="P311" s="114" t="n">
        <f aca="false">IF(P$5&lt;=LastHist,P238,CHOOSE(Scen,P241,P238,P235))</f>
        <v>0</v>
      </c>
      <c r="Q311" s="114" t="n">
        <f aca="false">IF(Q$5&lt;=LastHist,Q238,CHOOSE(Scen,Q241,Q238,Q235))</f>
        <v>0</v>
      </c>
      <c r="R311" s="114" t="n">
        <f aca="false">IF(R$5&lt;=LastHist,R238,CHOOSE(Scen,R241,R238,R235))</f>
        <v>0</v>
      </c>
      <c r="S311" s="114" t="n">
        <f aca="false">IF(S$5&lt;=LastHist,S238,CHOOSE(Scen,S241,S238,S235))</f>
        <v>0</v>
      </c>
      <c r="T311" s="114" t="n">
        <f aca="false">IF(T$5&lt;=LastHist,T238,CHOOSE(Scen,T241,T238,T235))</f>
        <v>12.5</v>
      </c>
      <c r="U311" s="114" t="n">
        <f aca="false">IF(U$5&lt;=LastHist,U238,CHOOSE(Scen,U241,U238,U235))</f>
        <v>25</v>
      </c>
      <c r="V311" s="114" t="n">
        <f aca="false">IF(V$5&lt;=LastHist,V238,CHOOSE(Scen,V241,V238,V235))</f>
        <v>37.5</v>
      </c>
      <c r="W311" s="114" t="n">
        <f aca="false">IF(W$5&lt;=LastHist,W238,CHOOSE(Scen,W241,W238,W235))</f>
        <v>37.5</v>
      </c>
      <c r="X311" s="114" t="n">
        <f aca="false">IF(X$5&lt;=LastHist,X238,CHOOSE(Scen,X241,X238,X235))</f>
        <v>50</v>
      </c>
      <c r="Y311" s="114" t="n">
        <f aca="false">IF(Y$5&lt;=LastHist,Y238,CHOOSE(Scen,Y241,Y238,Y235))</f>
        <v>50</v>
      </c>
      <c r="Z311" s="114" t="n">
        <f aca="false">IF(Z$5&lt;=LastHist,Z238,CHOOSE(Scen,Z241,Z238,Z235))</f>
        <v>50</v>
      </c>
      <c r="AA311" s="114" t="n">
        <f aca="false">IF(AA$5&lt;=LastHist,AA238,CHOOSE(Scen,AA241,AA238,AA235))</f>
        <v>50</v>
      </c>
      <c r="AB311" s="114" t="n">
        <f aca="false">IF(AB$5&lt;=LastHist,AB238,CHOOSE(Scen,AB241,AB238,AB235))</f>
        <v>50</v>
      </c>
      <c r="AC311" s="114" t="n">
        <f aca="false">IF(AC$5&lt;=LastHist,AC238,CHOOSE(Scen,AC241,AC238,AC235))</f>
        <v>50</v>
      </c>
      <c r="AD311" s="114" t="n">
        <f aca="false">IF(AD$5&lt;=LastHist,AD238,CHOOSE(Scen,AD241,AD238,AD235))</f>
        <v>50</v>
      </c>
      <c r="AE311" s="114" t="n">
        <f aca="false">IF(AE$5&lt;=LastHist,AE238,CHOOSE(Scen,AE241,AE238,AE235))</f>
        <v>50</v>
      </c>
      <c r="AF311" s="114" t="n">
        <f aca="false">IF(AF$5&lt;=LastHist,AF238,CHOOSE(Scen,AF241,AF238,AF235))</f>
        <v>50</v>
      </c>
      <c r="AG311" s="114" t="n">
        <f aca="false">IF(AG$5&lt;=LastHist,AG238,CHOOSE(Scen,AG241,AG238,AG235))</f>
        <v>50</v>
      </c>
      <c r="AI311" s="114" t="n">
        <f aca="false">INDEX($F311:$AG311,1,MATCH(AI$7,$F$7:$AG$7,1))</f>
        <v>0</v>
      </c>
      <c r="AJ311" s="114" t="n">
        <f aca="false">INDEX($F311:$AG311,1,MATCH(AJ$7,$F$7:$AG$7,1))</f>
        <v>0</v>
      </c>
      <c r="AK311" s="114" t="n">
        <f aca="false">INDEX($F311:$AG311,1,MATCH(AK$7,$F$7:$AG$7,1))</f>
        <v>0</v>
      </c>
      <c r="AL311" s="114" t="n">
        <f aca="false">INDEX($F311:$AG311,1,MATCH(AL$7,$F$7:$AG$7,1))</f>
        <v>25</v>
      </c>
      <c r="AM311" s="114" t="n">
        <f aca="false">INDEX($F311:$AG311,1,MATCH(AM$7,$F$7:$AG$7,1))</f>
        <v>50</v>
      </c>
      <c r="AN311" s="114" t="n">
        <f aca="false">INDEX($F311:$AG311,1,MATCH(AN$7,$F$7:$AG$7,1))</f>
        <v>50</v>
      </c>
      <c r="AO311" s="114" t="n">
        <f aca="false">INDEX($F311:$AG311,1,MATCH(AO$7,$F$7:$AG$7,1))</f>
        <v>50</v>
      </c>
    </row>
    <row r="312" customFormat="false" ht="15" hidden="false" customHeight="false" outlineLevel="0" collapsed="false">
      <c r="A312" s="112" t="s">
        <v>1666</v>
      </c>
      <c r="B312" s="24" t="s">
        <v>857</v>
      </c>
      <c r="C312" s="24" t="s">
        <v>690</v>
      </c>
      <c r="D312" s="24"/>
      <c r="F312" s="114" t="n">
        <f aca="false">IF(F$5&lt;=LastHist,F245,CHOOSE(Scen,F247,F245,F243))</f>
        <v>0</v>
      </c>
      <c r="G312" s="114" t="n">
        <f aca="false">IF(G$5&lt;=LastHist,G245,CHOOSE(Scen,G247,G245,G243))</f>
        <v>0</v>
      </c>
      <c r="H312" s="114" t="n">
        <f aca="false">IF(H$5&lt;=LastHist,H245,CHOOSE(Scen,H247,H245,H243))</f>
        <v>0</v>
      </c>
      <c r="I312" s="114" t="n">
        <f aca="false">IF(I$5&lt;=LastHist,I245,CHOOSE(Scen,I247,I245,I243))</f>
        <v>0</v>
      </c>
      <c r="J312" s="114" t="n">
        <f aca="false">IF(J$5&lt;=LastHist,J245,CHOOSE(Scen,J247,J245,J243))</f>
        <v>0</v>
      </c>
      <c r="K312" s="114" t="n">
        <f aca="false">IF(K$5&lt;=LastHist,K245,CHOOSE(Scen,K247,K245,K243))</f>
        <v>0</v>
      </c>
      <c r="L312" s="114" t="n">
        <f aca="false">IF(L$5&lt;=LastHist,L245,CHOOSE(Scen,L247,L245,L243))</f>
        <v>0</v>
      </c>
      <c r="M312" s="114" t="n">
        <f aca="false">IF(M$5&lt;=LastHist,M245,CHOOSE(Scen,M247,M245,M243))</f>
        <v>0</v>
      </c>
      <c r="N312" s="114" t="n">
        <f aca="false">IF(N$5&lt;=LastHist,N245,CHOOSE(Scen,N247,N245,N243))</f>
        <v>0</v>
      </c>
      <c r="O312" s="114" t="n">
        <f aca="false">IF(O$5&lt;=LastHist,O245,CHOOSE(Scen,O247,O245,O243))</f>
        <v>0</v>
      </c>
      <c r="P312" s="114" t="n">
        <f aca="false">IF(P$5&lt;=LastHist,P245,CHOOSE(Scen,P247,P245,P243))</f>
        <v>0</v>
      </c>
      <c r="Q312" s="114" t="n">
        <f aca="false">IF(Q$5&lt;=LastHist,Q245,CHOOSE(Scen,Q247,Q245,Q243))</f>
        <v>5</v>
      </c>
      <c r="R312" s="114" t="n">
        <f aca="false">IF(R$5&lt;=LastHist,R245,CHOOSE(Scen,R247,R245,R243))</f>
        <v>15</v>
      </c>
      <c r="S312" s="114" t="n">
        <f aca="false">IF(S$5&lt;=LastHist,S245,CHOOSE(Scen,S247,S245,S243))</f>
        <v>22.5</v>
      </c>
      <c r="T312" s="114" t="n">
        <f aca="false">IF(T$5&lt;=LastHist,T245,CHOOSE(Scen,T247,T245,T243))</f>
        <v>29</v>
      </c>
      <c r="U312" s="114" t="n">
        <f aca="false">IF(U$5&lt;=LastHist,U245,CHOOSE(Scen,U247,U245,U243))</f>
        <v>31.5</v>
      </c>
      <c r="V312" s="114" t="n">
        <f aca="false">IF(V$5&lt;=LastHist,V245,CHOOSE(Scen,V247,V245,V243))</f>
        <v>31.5</v>
      </c>
      <c r="W312" s="114" t="n">
        <f aca="false">IF(W$5&lt;=LastHist,W245,CHOOSE(Scen,W247,W245,W243))</f>
        <v>31.5</v>
      </c>
      <c r="X312" s="114" t="n">
        <f aca="false">IF(X$5&lt;=LastHist,X245,CHOOSE(Scen,X247,X245,X243))</f>
        <v>31.5</v>
      </c>
      <c r="Y312" s="114" t="n">
        <f aca="false">IF(Y$5&lt;=LastHist,Y245,CHOOSE(Scen,Y247,Y245,Y243))</f>
        <v>31.5</v>
      </c>
      <c r="Z312" s="114" t="n">
        <f aca="false">IF(Z$5&lt;=LastHist,Z245,CHOOSE(Scen,Z247,Z245,Z243))</f>
        <v>31.5</v>
      </c>
      <c r="AA312" s="114" t="n">
        <f aca="false">IF(AA$5&lt;=LastHist,AA245,CHOOSE(Scen,AA247,AA245,AA243))</f>
        <v>31.5</v>
      </c>
      <c r="AB312" s="114" t="n">
        <f aca="false">IF(AB$5&lt;=LastHist,AB245,CHOOSE(Scen,AB247,AB245,AB243))</f>
        <v>31.5</v>
      </c>
      <c r="AC312" s="114" t="n">
        <f aca="false">IF(AC$5&lt;=LastHist,AC245,CHOOSE(Scen,AC247,AC245,AC243))</f>
        <v>31.5</v>
      </c>
      <c r="AD312" s="114" t="n">
        <f aca="false">IF(AD$5&lt;=LastHist,AD245,CHOOSE(Scen,AD247,AD245,AD243))</f>
        <v>31.5</v>
      </c>
      <c r="AE312" s="114" t="n">
        <f aca="false">IF(AE$5&lt;=LastHist,AE245,CHOOSE(Scen,AE247,AE245,AE243))</f>
        <v>31.5</v>
      </c>
      <c r="AF312" s="114" t="n">
        <f aca="false">IF(AF$5&lt;=LastHist,AF245,CHOOSE(Scen,AF247,AF245,AF243))</f>
        <v>31.5</v>
      </c>
      <c r="AG312" s="114" t="n">
        <f aca="false">IF(AG$5&lt;=LastHist,AG245,CHOOSE(Scen,AG247,AG245,AG243))</f>
        <v>31.5</v>
      </c>
      <c r="AI312" s="114" t="n">
        <f aca="false">INDEX($F312:$AG312,1,MATCH(AI$7,$F$7:$AG$7,1))</f>
        <v>0</v>
      </c>
      <c r="AJ312" s="114" t="n">
        <f aca="false">INDEX($F312:$AG312,1,MATCH(AJ$7,$F$7:$AG$7,1))</f>
        <v>0</v>
      </c>
      <c r="AK312" s="114" t="n">
        <f aca="false">INDEX($F312:$AG312,1,MATCH(AK$7,$F$7:$AG$7,1))</f>
        <v>5</v>
      </c>
      <c r="AL312" s="114" t="n">
        <f aca="false">INDEX($F312:$AG312,1,MATCH(AL$7,$F$7:$AG$7,1))</f>
        <v>31.5</v>
      </c>
      <c r="AM312" s="114" t="n">
        <f aca="false">INDEX($F312:$AG312,1,MATCH(AM$7,$F$7:$AG$7,1))</f>
        <v>31.5</v>
      </c>
      <c r="AN312" s="114" t="n">
        <f aca="false">INDEX($F312:$AG312,1,MATCH(AN$7,$F$7:$AG$7,1))</f>
        <v>31.5</v>
      </c>
      <c r="AO312" s="114" t="n">
        <f aca="false">INDEX($F312:$AG312,1,MATCH(AO$7,$F$7:$AG$7,1))</f>
        <v>31.5</v>
      </c>
    </row>
    <row r="313" customFormat="false" ht="15" hidden="false" customHeight="false" outlineLevel="0" collapsed="false">
      <c r="A313" s="112" t="s">
        <v>1668</v>
      </c>
      <c r="B313" s="24" t="s">
        <v>857</v>
      </c>
      <c r="C313" s="24" t="s">
        <v>690</v>
      </c>
      <c r="D313" s="24"/>
      <c r="F313" s="114" t="n">
        <f aca="false">IF(F$5&lt;=LastHist,F249,CHOOSE(Scen,F250,F249,F248))</f>
        <v>0</v>
      </c>
      <c r="G313" s="114" t="n">
        <f aca="false">IF(G$5&lt;=LastHist,G249,CHOOSE(Scen,G250,G249,G248))</f>
        <v>0</v>
      </c>
      <c r="H313" s="114" t="n">
        <f aca="false">IF(H$5&lt;=LastHist,H249,CHOOSE(Scen,H250,H249,H248))</f>
        <v>0</v>
      </c>
      <c r="I313" s="114" t="n">
        <f aca="false">IF(I$5&lt;=LastHist,I249,CHOOSE(Scen,I250,I249,I248))</f>
        <v>0</v>
      </c>
      <c r="J313" s="114" t="n">
        <f aca="false">IF(J$5&lt;=LastHist,J249,CHOOSE(Scen,J250,J249,J248))</f>
        <v>0</v>
      </c>
      <c r="K313" s="114" t="n">
        <f aca="false">IF(K$5&lt;=LastHist,K249,CHOOSE(Scen,K250,K249,K248))</f>
        <v>0</v>
      </c>
      <c r="L313" s="114" t="n">
        <f aca="false">IF(L$5&lt;=LastHist,L249,CHOOSE(Scen,L250,L249,L248))</f>
        <v>0</v>
      </c>
      <c r="M313" s="114" t="n">
        <f aca="false">IF(M$5&lt;=LastHist,M249,CHOOSE(Scen,M250,M249,M248))</f>
        <v>0</v>
      </c>
      <c r="N313" s="114" t="n">
        <f aca="false">IF(N$5&lt;=LastHist,N249,CHOOSE(Scen,N250,N249,N248))</f>
        <v>0</v>
      </c>
      <c r="O313" s="114" t="n">
        <f aca="false">IF(O$5&lt;=LastHist,O249,CHOOSE(Scen,O250,O249,O248))</f>
        <v>0</v>
      </c>
      <c r="P313" s="114" t="n">
        <f aca="false">IF(P$5&lt;=LastHist,P249,CHOOSE(Scen,P250,P249,P248))</f>
        <v>0</v>
      </c>
      <c r="Q313" s="114" t="n">
        <f aca="false">IF(Q$5&lt;=LastHist,Q249,CHOOSE(Scen,Q250,Q249,Q248))</f>
        <v>0</v>
      </c>
      <c r="R313" s="114" t="n">
        <f aca="false">IF(R$5&lt;=LastHist,R249,CHOOSE(Scen,R250,R249,R248))</f>
        <v>0</v>
      </c>
      <c r="S313" s="114" t="n">
        <f aca="false">IF(S$5&lt;=LastHist,S249,CHOOSE(Scen,S250,S249,S248))</f>
        <v>0</v>
      </c>
      <c r="T313" s="114" t="n">
        <f aca="false">IF(T$5&lt;=LastHist,T249,CHOOSE(Scen,T250,T249,T248))</f>
        <v>0</v>
      </c>
      <c r="U313" s="114" t="n">
        <f aca="false">IF(U$5&lt;=LastHist,U249,CHOOSE(Scen,U250,U249,U248))</f>
        <v>0</v>
      </c>
      <c r="V313" s="114" t="n">
        <f aca="false">IF(V$5&lt;=LastHist,V249,CHOOSE(Scen,V250,V249,V248))</f>
        <v>0</v>
      </c>
      <c r="W313" s="114" t="n">
        <f aca="false">IF(W$5&lt;=LastHist,W249,CHOOSE(Scen,W250,W249,W248))</f>
        <v>0</v>
      </c>
      <c r="X313" s="114" t="n">
        <f aca="false">IF(X$5&lt;=LastHist,X249,CHOOSE(Scen,X250,X249,X248))</f>
        <v>0</v>
      </c>
      <c r="Y313" s="114" t="n">
        <f aca="false">IF(Y$5&lt;=LastHist,Y249,CHOOSE(Scen,Y250,Y249,Y248))</f>
        <v>0</v>
      </c>
      <c r="Z313" s="114" t="n">
        <f aca="false">IF(Z$5&lt;=LastHist,Z249,CHOOSE(Scen,Z250,Z249,Z248))</f>
        <v>0</v>
      </c>
      <c r="AA313" s="114" t="n">
        <f aca="false">IF(AA$5&lt;=LastHist,AA249,CHOOSE(Scen,AA250,AA249,AA248))</f>
        <v>0</v>
      </c>
      <c r="AB313" s="114" t="n">
        <f aca="false">IF(AB$5&lt;=LastHist,AB249,CHOOSE(Scen,AB250,AB249,AB248))</f>
        <v>0</v>
      </c>
      <c r="AC313" s="114" t="n">
        <f aca="false">IF(AC$5&lt;=LastHist,AC249,CHOOSE(Scen,AC250,AC249,AC248))</f>
        <v>0</v>
      </c>
      <c r="AD313" s="114" t="n">
        <f aca="false">IF(AD$5&lt;=LastHist,AD249,CHOOSE(Scen,AD250,AD249,AD248))</f>
        <v>0</v>
      </c>
      <c r="AE313" s="114" t="n">
        <f aca="false">IF(AE$5&lt;=LastHist,AE249,CHOOSE(Scen,AE250,AE249,AE248))</f>
        <v>0</v>
      </c>
      <c r="AF313" s="114" t="n">
        <f aca="false">IF(AF$5&lt;=LastHist,AF249,CHOOSE(Scen,AF250,AF249,AF248))</f>
        <v>0</v>
      </c>
      <c r="AG313" s="114" t="n">
        <f aca="false">IF(AG$5&lt;=LastHist,AG249,CHOOSE(Scen,AG250,AG249,AG248))</f>
        <v>0</v>
      </c>
      <c r="AI313" s="114" t="n">
        <f aca="false">INDEX($F313:$AG313,1,MATCH(AI$7,$F$7:$AG$7,1))</f>
        <v>0</v>
      </c>
      <c r="AJ313" s="114" t="n">
        <f aca="false">INDEX($F313:$AG313,1,MATCH(AJ$7,$F$7:$AG$7,1))</f>
        <v>0</v>
      </c>
      <c r="AK313" s="114" t="n">
        <f aca="false">INDEX($F313:$AG313,1,MATCH(AK$7,$F$7:$AG$7,1))</f>
        <v>0</v>
      </c>
      <c r="AL313" s="114" t="n">
        <f aca="false">INDEX($F313:$AG313,1,MATCH(AL$7,$F$7:$AG$7,1))</f>
        <v>0</v>
      </c>
      <c r="AM313" s="114" t="n">
        <f aca="false">INDEX($F313:$AG313,1,MATCH(AM$7,$F$7:$AG$7,1))</f>
        <v>0</v>
      </c>
      <c r="AN313" s="114" t="n">
        <f aca="false">INDEX($F313:$AG313,1,MATCH(AN$7,$F$7:$AG$7,1))</f>
        <v>0</v>
      </c>
      <c r="AO313" s="114" t="n">
        <f aca="false">INDEX($F313:$AG313,1,MATCH(AO$7,$F$7:$AG$7,1))</f>
        <v>0</v>
      </c>
    </row>
    <row r="314" customFormat="false" ht="15" hidden="false" customHeight="false" outlineLevel="0" collapsed="false">
      <c r="A314" s="112" t="s">
        <v>1903</v>
      </c>
      <c r="B314" s="24" t="s">
        <v>857</v>
      </c>
      <c r="C314" s="24" t="s">
        <v>690</v>
      </c>
      <c r="D314" s="24" t="s">
        <v>1904</v>
      </c>
      <c r="E314" s="0" t="s">
        <v>1625</v>
      </c>
      <c r="AI314" s="114" t="n">
        <f aca="false">INDEX($F314:$AG314,1,MATCH(AI$7,$F$7:$AG$7,1))</f>
        <v>0</v>
      </c>
      <c r="AJ314" s="114" t="n">
        <f aca="false">INDEX($F314:$AG314,1,MATCH(AJ$7,$F$7:$AG$7,1))</f>
        <v>0</v>
      </c>
      <c r="AK314" s="114" t="n">
        <f aca="false">INDEX($F314:$AG314,1,MATCH(AK$7,$F$7:$AG$7,1))</f>
        <v>0</v>
      </c>
      <c r="AL314" s="114" t="n">
        <f aca="false">INDEX($F314:$AG314,1,MATCH(AL$7,$F$7:$AG$7,1))</f>
        <v>0</v>
      </c>
      <c r="AM314" s="114" t="n">
        <f aca="false">INDEX($F314:$AG314,1,MATCH(AM$7,$F$7:$AG$7,1))</f>
        <v>0</v>
      </c>
      <c r="AN314" s="114" t="n">
        <f aca="false">INDEX($F314:$AG314,1,MATCH(AN$7,$F$7:$AG$7,1))</f>
        <v>0</v>
      </c>
      <c r="AO314" s="114" t="n">
        <f aca="false">INDEX($F314:$AG314,1,MATCH(AO$7,$F$7:$AG$7,1))</f>
        <v>0</v>
      </c>
    </row>
    <row r="315" customFormat="false" ht="15" hidden="false" customHeight="false" outlineLevel="0" collapsed="false">
      <c r="A315" s="112" t="s">
        <v>1897</v>
      </c>
      <c r="B315" s="24" t="s">
        <v>857</v>
      </c>
      <c r="C315" s="24" t="s">
        <v>672</v>
      </c>
      <c r="D315" s="24" t="s">
        <v>1898</v>
      </c>
      <c r="F315" s="117" t="n">
        <f aca="false">MAX(0,N(F314)*1-SUMPRODUCT(F289:F313,$F$12:$F$36))</f>
        <v>0</v>
      </c>
      <c r="G315" s="117" t="n">
        <f aca="false">MAX(0,N(G314)*1-SUMPRODUCT(G289:G313,$F$12:$F$36))</f>
        <v>0</v>
      </c>
      <c r="H315" s="117" t="n">
        <f aca="false">MAX(0,N(H314)*1-SUMPRODUCT(H289:H313,$F$12:$F$36))</f>
        <v>0</v>
      </c>
      <c r="I315" s="117" t="n">
        <f aca="false">MAX(0,N(I314)*1-SUMPRODUCT(I289:I313,$F$12:$F$36))</f>
        <v>0</v>
      </c>
      <c r="J315" s="117" t="n">
        <f aca="false">MAX(0,N(J314)*1-SUMPRODUCT(J289:J313,$F$12:$F$36))</f>
        <v>0</v>
      </c>
      <c r="K315" s="117" t="n">
        <f aca="false">MAX(0,N(K314)*1-SUMPRODUCT(K289:K313,$F$12:$F$36))</f>
        <v>0</v>
      </c>
      <c r="L315" s="117" t="n">
        <f aca="false">MAX(0,N(L314)*1-SUMPRODUCT(L289:L313,$F$12:$F$36))</f>
        <v>0</v>
      </c>
      <c r="M315" s="117" t="n">
        <f aca="false">MAX(0,N(M314)*1-SUMPRODUCT(M289:M313,$F$12:$F$36))</f>
        <v>0</v>
      </c>
      <c r="N315" s="117" t="n">
        <f aca="false">MAX(0,N(N314)*1-SUMPRODUCT(N289:N313,$F$12:$F$36))</f>
        <v>0</v>
      </c>
      <c r="O315" s="117" t="n">
        <f aca="false">MAX(0,N(O314)*1-SUMPRODUCT(O289:O313,$F$12:$F$36))</f>
        <v>0</v>
      </c>
      <c r="P315" s="114" t="n">
        <f aca="false">MAX(0,N(P314)*1-SUMPRODUCT(P289:P313,$F$12:$F$36))</f>
        <v>0</v>
      </c>
      <c r="Q315" s="114" t="n">
        <f aca="false">MAX(0,N(Q314)*1-SUMPRODUCT(Q289:Q313,$F$12:$F$36))</f>
        <v>0</v>
      </c>
      <c r="R315" s="114" t="n">
        <f aca="false">MAX(0,N(R314)*1-SUMPRODUCT(R289:R313,$F$12:$F$36))</f>
        <v>0</v>
      </c>
      <c r="S315" s="114" t="n">
        <f aca="false">MAX(0,N(S314)*1-SUMPRODUCT(S289:S313,$F$12:$F$36))</f>
        <v>0</v>
      </c>
      <c r="T315" s="114" t="n">
        <f aca="false">MAX(0,N(T314)*1-SUMPRODUCT(T289:T313,$F$12:$F$36))</f>
        <v>0</v>
      </c>
      <c r="U315" s="114" t="n">
        <f aca="false">MAX(0,N(U314)*1-SUMPRODUCT(U289:U313,$F$12:$F$36))</f>
        <v>0</v>
      </c>
      <c r="V315" s="114" t="n">
        <f aca="false">MAX(0,N(V314)*1-SUMPRODUCT(V289:V313,$F$12:$F$36))</f>
        <v>0</v>
      </c>
      <c r="W315" s="114" t="n">
        <f aca="false">MAX(0,N(W314)*1-SUMPRODUCT(W289:W313,$F$12:$F$36))</f>
        <v>0</v>
      </c>
      <c r="X315" s="114" t="n">
        <f aca="false">MAX(0,N(X314)*1-SUMPRODUCT(X289:X313,$F$12:$F$36))</f>
        <v>0</v>
      </c>
      <c r="Y315" s="114" t="n">
        <f aca="false">MAX(0,N(Y314)*1-SUMPRODUCT(Y289:Y313,$F$12:$F$36))</f>
        <v>0</v>
      </c>
      <c r="Z315" s="114" t="n">
        <f aca="false">MAX(0,N(Z314)*1-SUMPRODUCT(Z289:Z313,$F$12:$F$36))</f>
        <v>0</v>
      </c>
      <c r="AA315" s="114" t="n">
        <f aca="false">MAX(0,N(AA314)*1-SUMPRODUCT(AA289:AA313,$F$12:$F$36))</f>
        <v>0</v>
      </c>
      <c r="AB315" s="114" t="n">
        <f aca="false">MAX(0,N(AB314)*1-SUMPRODUCT(AB289:AB313,$F$12:$F$36))</f>
        <v>0</v>
      </c>
      <c r="AC315" s="114" t="n">
        <f aca="false">MAX(0,N(AC314)*1-SUMPRODUCT(AC289:AC313,$F$12:$F$36))</f>
        <v>0</v>
      </c>
      <c r="AD315" s="114" t="n">
        <f aca="false">MAX(0,N(AD314)*1-SUMPRODUCT(AD289:AD313,$F$12:$F$36))</f>
        <v>0</v>
      </c>
      <c r="AE315" s="114" t="n">
        <f aca="false">MAX(0,N(AE314)*1-SUMPRODUCT(AE289:AE313,$F$12:$F$36))</f>
        <v>0</v>
      </c>
      <c r="AF315" s="114" t="n">
        <f aca="false">MAX(0,N(AF314)*1-SUMPRODUCT(AF289:AF313,$F$12:$F$36))</f>
        <v>0</v>
      </c>
      <c r="AG315" s="114" t="n">
        <f aca="false">MAX(0,N(AG314)*1-SUMPRODUCT(AG289:AG313,$F$12:$F$36))</f>
        <v>0</v>
      </c>
      <c r="AI315" s="114" t="n">
        <f aca="false">INDEX($F315:$AG315,1,MATCH(AI$7,$F$7:$AG$7,1))</f>
        <v>0</v>
      </c>
      <c r="AJ315" s="114" t="n">
        <f aca="false">INDEX($F315:$AG315,1,MATCH(AJ$7,$F$7:$AG$7,1))</f>
        <v>0</v>
      </c>
      <c r="AK315" s="114" t="n">
        <f aca="false">INDEX($F315:$AG315,1,MATCH(AK$7,$F$7:$AG$7,1))</f>
        <v>0</v>
      </c>
      <c r="AL315" s="114" t="n">
        <f aca="false">INDEX($F315:$AG315,1,MATCH(AL$7,$F$7:$AG$7,1))</f>
        <v>0</v>
      </c>
      <c r="AM315" s="114" t="n">
        <f aca="false">INDEX($F315:$AG315,1,MATCH(AM$7,$F$7:$AG$7,1))</f>
        <v>0</v>
      </c>
      <c r="AN315" s="114" t="n">
        <f aca="false">INDEX($F315:$AG315,1,MATCH(AN$7,$F$7:$AG$7,1))</f>
        <v>0</v>
      </c>
      <c r="AO315" s="114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1905</v>
      </c>
      <c r="B316" s="24" t="s">
        <v>857</v>
      </c>
      <c r="C316" s="24" t="s">
        <v>672</v>
      </c>
      <c r="D316" s="24" t="s">
        <v>1900</v>
      </c>
      <c r="F316" s="119" t="n">
        <f aca="false">SUMPRODUCT(F289:F313,$F$12:$F$36)+F315</f>
        <v>22.7275</v>
      </c>
      <c r="G316" s="119" t="n">
        <f aca="false">SUMPRODUCT(G289:G313,$F$12:$F$36)+G315</f>
        <v>22.7275</v>
      </c>
      <c r="H316" s="119" t="n">
        <f aca="false">SUMPRODUCT(H289:H313,$F$12:$F$36)+H315</f>
        <v>22.7275</v>
      </c>
      <c r="I316" s="119" t="n">
        <f aca="false">SUMPRODUCT(I289:I313,$F$12:$F$36)+I315</f>
        <v>27.7275</v>
      </c>
      <c r="J316" s="119" t="n">
        <f aca="false">SUMPRODUCT(J289:J313,$F$12:$F$36)+J315</f>
        <v>47.7275</v>
      </c>
      <c r="K316" s="119" t="n">
        <f aca="false">SUMPRODUCT(K289:K313,$F$12:$F$36)+K315</f>
        <v>47.7275</v>
      </c>
      <c r="L316" s="119" t="n">
        <f aca="false">SUMPRODUCT(L289:L313,$F$12:$F$36)+L315</f>
        <v>59.09125</v>
      </c>
      <c r="M316" s="119" t="n">
        <f aca="false">SUMPRODUCT(M289:M313,$F$12:$F$36)+M315</f>
        <v>138.32595</v>
      </c>
      <c r="N316" s="119" t="n">
        <f aca="false">SUMPRODUCT(N289:N313,$F$12:$F$36)+N315</f>
        <v>170.9897</v>
      </c>
      <c r="O316" s="119" t="n">
        <f aca="false">SUMPRODUCT(O289:O313,$F$12:$F$36)+O315</f>
        <v>182.4897</v>
      </c>
      <c r="P316" s="120" t="n">
        <f aca="false">SUMPRODUCT(P289:P313,$F$12:$F$36)+P315</f>
        <v>216.9897</v>
      </c>
      <c r="Q316" s="120" t="n">
        <f aca="false">SUMPRODUCT(Q289:Q313,$F$12:$F$36)+Q315</f>
        <v>301.7195</v>
      </c>
      <c r="R316" s="120" t="n">
        <f aca="false">SUMPRODUCT(R289:R313,$F$12:$F$36)+R315</f>
        <v>453.79225</v>
      </c>
      <c r="S316" s="120" t="n">
        <f aca="false">SUMPRODUCT(S289:S313,$F$12:$F$36)+S315</f>
        <v>629.5368</v>
      </c>
      <c r="T316" s="120" t="n">
        <f aca="false">SUMPRODUCT(T289:T313,$F$12:$F$36)+T315</f>
        <v>812.6073</v>
      </c>
      <c r="U316" s="120" t="n">
        <f aca="false">SUMPRODUCT(U289:U313,$F$12:$F$36)+U315</f>
        <v>1081.9108</v>
      </c>
      <c r="V316" s="120" t="n">
        <f aca="false">SUMPRODUCT(V289:V313,$F$12:$F$36)+V315</f>
        <v>1172.9923</v>
      </c>
      <c r="W316" s="120" t="n">
        <f aca="false">SUMPRODUCT(W289:W313,$F$12:$F$36)+W315</f>
        <v>1326.4518</v>
      </c>
      <c r="X316" s="120" t="n">
        <f aca="false">SUMPRODUCT(X289:X313,$F$12:$F$36)+X315</f>
        <v>1338.9518</v>
      </c>
      <c r="Y316" s="120" t="n">
        <f aca="false">SUMPRODUCT(Y289:Y313,$F$12:$F$36)+Y315</f>
        <v>1652.7273</v>
      </c>
      <c r="Z316" s="120" t="n">
        <f aca="false">SUMPRODUCT(Z289:Z313,$F$12:$F$36)+Z315</f>
        <v>1652.7273</v>
      </c>
      <c r="AA316" s="120" t="n">
        <f aca="false">SUMPRODUCT(AA289:AA313,$F$12:$F$36)+AA315</f>
        <v>1963.8213</v>
      </c>
      <c r="AB316" s="120" t="n">
        <f aca="false">SUMPRODUCT(AB289:AB313,$F$12:$F$36)+AB315</f>
        <v>1963.8213</v>
      </c>
      <c r="AC316" s="120" t="n">
        <f aca="false">SUMPRODUCT(AC289:AC313,$F$12:$F$36)+AC315</f>
        <v>2409.3763</v>
      </c>
      <c r="AD316" s="120" t="n">
        <f aca="false">SUMPRODUCT(AD289:AD313,$F$12:$F$36)+AD315</f>
        <v>2409.3763</v>
      </c>
      <c r="AE316" s="120" t="n">
        <f aca="false">SUMPRODUCT(AE289:AE313,$F$12:$F$36)+AE315</f>
        <v>2409.3763</v>
      </c>
      <c r="AF316" s="120" t="n">
        <f aca="false">SUMPRODUCT(AF289:AF313,$F$12:$F$36)+AF315</f>
        <v>2409.3763</v>
      </c>
      <c r="AG316" s="120" t="n">
        <f aca="false">SUMPRODUCT(AG289:AG313,$F$12:$F$36)+AG315</f>
        <v>2841.0793</v>
      </c>
      <c r="AI316" s="120" t="n">
        <f aca="false">INDEX($F316:$AG316,1,MATCH(AI$7,$F$7:$AG$7,1))</f>
        <v>27.7275</v>
      </c>
      <c r="AJ316" s="120" t="n">
        <f aca="false">INDEX($F316:$AG316,1,MATCH(AJ$7,$F$7:$AG$7,1))</f>
        <v>138.32595</v>
      </c>
      <c r="AK316" s="120" t="n">
        <f aca="false">INDEX($F316:$AG316,1,MATCH(AK$7,$F$7:$AG$7,1))</f>
        <v>301.7195</v>
      </c>
      <c r="AL316" s="120" t="n">
        <f aca="false">INDEX($F316:$AG316,1,MATCH(AL$7,$F$7:$AG$7,1))</f>
        <v>1081.9108</v>
      </c>
      <c r="AM316" s="120" t="n">
        <f aca="false">INDEX($F316:$AG316,1,MATCH(AM$7,$F$7:$AG$7,1))</f>
        <v>1652.7273</v>
      </c>
      <c r="AN316" s="120" t="n">
        <f aca="false">INDEX($F316:$AG316,1,MATCH(AN$7,$F$7:$AG$7,1))</f>
        <v>2409.3763</v>
      </c>
      <c r="AO316" s="120" t="n">
        <f aca="false">INDEX($F316:$AG316,1,MATCH(AO$7,$F$7:$AG$7,1))</f>
        <v>2841.0793</v>
      </c>
    </row>
    <row r="317" customFormat="false" ht="15" hidden="false" customHeight="false" outlineLevel="0" collapsed="false">
      <c r="A317" s="112" t="s">
        <v>1906</v>
      </c>
      <c r="B317" s="24" t="s">
        <v>857</v>
      </c>
      <c r="C317" s="24" t="s">
        <v>672</v>
      </c>
      <c r="D317" s="24"/>
      <c r="F317" s="117" t="n">
        <f aca="false">SUMPRODUCT(F289:F313,$F$12:$F$36,$G$12:$G$36)+F315*INDEX(OwnedSh,1,F$7-FYBase)</f>
        <v>22.7275</v>
      </c>
      <c r="G317" s="117" t="n">
        <f aca="false">SUMPRODUCT(G289:G313,$F$12:$F$36,$G$12:$G$36)+G315*INDEX(OwnedSh,1,G$7-FYBase)</f>
        <v>22.7275</v>
      </c>
      <c r="H317" s="117" t="n">
        <f aca="false">SUMPRODUCT(H289:H313,$F$12:$F$36,$G$12:$G$36)+H315*INDEX(OwnedSh,1,H$7-FYBase)</f>
        <v>22.7275</v>
      </c>
      <c r="I317" s="117" t="n">
        <f aca="false">SUMPRODUCT(I289:I313,$F$12:$F$36,$G$12:$G$36)+I315*INDEX(OwnedSh,1,I$7-FYBase)</f>
        <v>22.7275</v>
      </c>
      <c r="J317" s="117" t="n">
        <f aca="false">SUMPRODUCT(J289:J313,$F$12:$F$36,$G$12:$G$36)+J315*INDEX(OwnedSh,1,J$7-FYBase)</f>
        <v>22.7275</v>
      </c>
      <c r="K317" s="117" t="n">
        <f aca="false">SUMPRODUCT(K289:K313,$F$12:$F$36,$G$12:$G$36)+K315*INDEX(OwnedSh,1,K$7-FYBase)</f>
        <v>22.7275</v>
      </c>
      <c r="L317" s="117" t="n">
        <f aca="false">SUMPRODUCT(L289:L313,$F$12:$F$36,$G$12:$G$36)+L315*INDEX(OwnedSh,1,L$7-FYBase)</f>
        <v>34.09125</v>
      </c>
      <c r="M317" s="117" t="n">
        <f aca="false">SUMPRODUCT(M289:M313,$F$12:$F$36,$G$12:$G$36)+M315*INDEX(OwnedSh,1,M$7-FYBase)</f>
        <v>56.81875</v>
      </c>
      <c r="N317" s="117" t="n">
        <f aca="false">SUMPRODUCT(N289:N313,$F$12:$F$36,$G$12:$G$36)+N315*INDEX(OwnedSh,1,N$7-FYBase)</f>
        <v>68.1825</v>
      </c>
      <c r="O317" s="117" t="n">
        <f aca="false">SUMPRODUCT(O289:O313,$F$12:$F$36,$G$12:$G$36)+O315*INDEX(OwnedSh,1,O$7-FYBase)</f>
        <v>68.1825</v>
      </c>
      <c r="P317" s="114" t="n">
        <f aca="false">SUMPRODUCT(P289:P313,$F$12:$F$36,$G$12:$G$36)+P315*INDEX(OwnedSh,1,P$7-FYBase)</f>
        <v>68.1825</v>
      </c>
      <c r="Q317" s="114" t="n">
        <f aca="false">SUMPRODUCT(Q289:Q313,$F$12:$F$36,$G$12:$G$36)+Q315*INDEX(OwnedSh,1,Q$7-FYBase)</f>
        <v>68.1825</v>
      </c>
      <c r="R317" s="114" t="n">
        <f aca="false">SUMPRODUCT(R289:R313,$F$12:$F$36,$G$12:$G$36)+R315*INDEX(OwnedSh,1,R$7-FYBase)</f>
        <v>77.44125</v>
      </c>
      <c r="S317" s="114" t="n">
        <f aca="false">SUMPRODUCT(S289:S313,$F$12:$F$36,$G$12:$G$36)+S315*INDEX(OwnedSh,1,S$7-FYBase)</f>
        <v>101.918</v>
      </c>
      <c r="T317" s="114" t="n">
        <f aca="false">SUMPRODUCT(T289:T313,$F$12:$F$36,$G$12:$G$36)+T315*INDEX(OwnedSh,1,T$7-FYBase)</f>
        <v>172.6885</v>
      </c>
      <c r="U317" s="114" t="n">
        <f aca="false">SUMPRODUCT(U289:U313,$F$12:$F$36,$G$12:$G$36)+U315*INDEX(OwnedSh,1,U$7-FYBase)</f>
        <v>325.34</v>
      </c>
      <c r="V317" s="114" t="n">
        <f aca="false">SUMPRODUCT(V289:V313,$F$12:$F$36,$G$12:$G$36)+V315*INDEX(OwnedSh,1,V$7-FYBase)</f>
        <v>403.9215</v>
      </c>
      <c r="W317" s="114" t="n">
        <f aca="false">SUMPRODUCT(W289:W313,$F$12:$F$36,$G$12:$G$36)+W315*INDEX(OwnedSh,1,W$7-FYBase)</f>
        <v>557.381</v>
      </c>
      <c r="X317" s="114" t="n">
        <f aca="false">SUMPRODUCT(X289:X313,$F$12:$F$36,$G$12:$G$36)+X315*INDEX(OwnedSh,1,X$7-FYBase)</f>
        <v>557.381</v>
      </c>
      <c r="Y317" s="114" t="n">
        <f aca="false">SUMPRODUCT(Y289:Y313,$F$12:$F$36,$G$12:$G$36)+Y315*INDEX(OwnedSh,1,Y$7-FYBase)</f>
        <v>825.0045</v>
      </c>
      <c r="Z317" s="114" t="n">
        <f aca="false">SUMPRODUCT(Z289:Z313,$F$12:$F$36,$G$12:$G$36)+Z315*INDEX(OwnedSh,1,Z$7-FYBase)</f>
        <v>825.0045</v>
      </c>
      <c r="AA317" s="114" t="n">
        <f aca="false">SUMPRODUCT(AA289:AA313,$F$12:$F$36,$G$12:$G$36)+AA315*INDEX(OwnedSh,1,AA$7-FYBase)</f>
        <v>1136.0985</v>
      </c>
      <c r="AB317" s="114" t="n">
        <f aca="false">SUMPRODUCT(AB289:AB313,$F$12:$F$36,$G$12:$G$36)+AB315*INDEX(OwnedSh,1,AB$7-FYBase)</f>
        <v>1136.0985</v>
      </c>
      <c r="AC317" s="114" t="n">
        <f aca="false">SUMPRODUCT(AC289:AC313,$F$12:$F$36,$G$12:$G$36)+AC315*INDEX(OwnedSh,1,AC$7-FYBase)</f>
        <v>1581.6535</v>
      </c>
      <c r="AD317" s="114" t="n">
        <f aca="false">SUMPRODUCT(AD289:AD313,$F$12:$F$36,$G$12:$G$36)+AD315*INDEX(OwnedSh,1,AD$7-FYBase)</f>
        <v>1581.6535</v>
      </c>
      <c r="AE317" s="114" t="n">
        <f aca="false">SUMPRODUCT(AE289:AE313,$F$12:$F$36,$G$12:$G$36)+AE315*INDEX(OwnedSh,1,AE$7-FYBase)</f>
        <v>1581.6535</v>
      </c>
      <c r="AF317" s="114" t="n">
        <f aca="false">SUMPRODUCT(AF289:AF313,$F$12:$F$36,$G$12:$G$36)+AF315*INDEX(OwnedSh,1,AF$7-FYBase)</f>
        <v>1581.6535</v>
      </c>
      <c r="AG317" s="114" t="n">
        <f aca="false">SUMPRODUCT(AG289:AG313,$F$12:$F$36,$G$12:$G$36)+AG315*INDEX(OwnedSh,1,AG$7-FYBase)</f>
        <v>2013.3565</v>
      </c>
      <c r="AI317" s="114" t="n">
        <f aca="false">INDEX($F317:$AG317,1,MATCH(AI$7,$F$7:$AG$7,1))</f>
        <v>22.7275</v>
      </c>
      <c r="AJ317" s="114" t="n">
        <f aca="false">INDEX($F317:$AG317,1,MATCH(AJ$7,$F$7:$AG$7,1))</f>
        <v>56.81875</v>
      </c>
      <c r="AK317" s="114" t="n">
        <f aca="false">INDEX($F317:$AG317,1,MATCH(AK$7,$F$7:$AG$7,1))</f>
        <v>68.1825</v>
      </c>
      <c r="AL317" s="114" t="n">
        <f aca="false">INDEX($F317:$AG317,1,MATCH(AL$7,$F$7:$AG$7,1))</f>
        <v>325.34</v>
      </c>
      <c r="AM317" s="114" t="n">
        <f aca="false">INDEX($F317:$AG317,1,MATCH(AM$7,$F$7:$AG$7,1))</f>
        <v>825.0045</v>
      </c>
      <c r="AN317" s="114" t="n">
        <f aca="false">INDEX($F317:$AG317,1,MATCH(AN$7,$F$7:$AG$7,1))</f>
        <v>1581.6535</v>
      </c>
      <c r="AO317" s="114" t="n">
        <f aca="false">INDEX($F317:$AG317,1,MATCH(AO$7,$F$7:$AG$7,1))</f>
        <v>2013.3565</v>
      </c>
    </row>
    <row r="319" customFormat="false" ht="15" hidden="false" customHeight="false" outlineLevel="0" collapsed="false">
      <c r="A319" s="64" t="s">
        <v>1907</v>
      </c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</row>
    <row r="320" customFormat="false" ht="15" hidden="false" customHeight="false" outlineLevel="0" collapsed="false">
      <c r="A320" s="112" t="s">
        <v>1908</v>
      </c>
      <c r="B320" s="24" t="s">
        <v>745</v>
      </c>
      <c r="C320" s="24" t="s">
        <v>690</v>
      </c>
      <c r="D320" s="24" t="s">
        <v>1909</v>
      </c>
      <c r="F320" s="116" t="n">
        <f aca="false">SUMPRODUCT(((F289:F313-E289:E313)&gt;0)*(F289:F313-E289:E313),$F$12:$F$36,$O$12:$O$36-$P$12:$P$36)</f>
        <v>836.08790625</v>
      </c>
      <c r="G320" s="116" t="n">
        <f aca="false">SUMPRODUCT(((G289:G313-F289:F313)&gt;0)*(G289:G313-F289:F313),$F$12:$F$36,$O$12:$O$36-$P$12:$P$36)</f>
        <v>0</v>
      </c>
      <c r="H320" s="116" t="n">
        <f aca="false">SUMPRODUCT(((H289:H313-G289:G313)&gt;0)*(H289:H313-G289:G313),$F$12:$F$36,$O$12:$O$36-$P$12:$P$36)</f>
        <v>0</v>
      </c>
      <c r="I320" s="116" t="n">
        <f aca="false">SUMPRODUCT(((I289:I313-H289:H313)&gt;0)*(I289:I313-H289:H313),$F$12:$F$36,$O$12:$O$36-$P$12:$P$36)</f>
        <v>150</v>
      </c>
      <c r="J320" s="116" t="n">
        <f aca="false">SUMPRODUCT(((J289:J313-I289:I313)&gt;0)*(J289:J313-I289:I313),$F$12:$F$36,$O$12:$O$36-$P$12:$P$36)</f>
        <v>600</v>
      </c>
      <c r="K320" s="116" t="n">
        <f aca="false">SUMPRODUCT(((K289:K313-J289:J313)&gt;0)*(K289:K313-J289:J313),$F$12:$F$36,$O$12:$O$36-$P$12:$P$36)</f>
        <v>0</v>
      </c>
      <c r="L320" s="116" t="n">
        <f aca="false">SUMPRODUCT(((L289:L313-K289:K313)&gt;0)*(L289:L313-K289:K313),$F$12:$F$36,$O$12:$O$36-$P$12:$P$36)</f>
        <v>418.043953125</v>
      </c>
      <c r="M320" s="116" t="n">
        <f aca="false">SUMPRODUCT(((M289:M313-L289:L313)&gt;0)*(M289:M313-L289:L313),$F$12:$F$36,$O$12:$O$36-$P$12:$P$36)</f>
        <v>2709.13640625</v>
      </c>
      <c r="N320" s="116" t="n">
        <f aca="false">SUMPRODUCT(((N289:N313-M289:M313)&gt;0)*(N289:N313-M289:M313),$F$12:$F$36,$O$12:$O$36-$P$12:$P$36)</f>
        <v>1133.742703125</v>
      </c>
      <c r="O320" s="116" t="n">
        <f aca="false">SUMPRODUCT(((O289:O313-N289:N313)&gt;0)*(O289:O313-N289:N313),$F$12:$F$36,$O$12:$O$36-$P$12:$P$36)</f>
        <v>423.05625</v>
      </c>
      <c r="P320" s="35" t="n">
        <f aca="false">SUMPRODUCT(((P289:P313-O289:O313)&gt;0)*(P289:P313-O289:O313),$F$12:$F$36,$O$12:$O$36-$P$12:$P$36)</f>
        <v>1218.2625</v>
      </c>
      <c r="Q320" s="35" t="n">
        <f aca="false">SUMPRODUCT(((Q289:Q313-P289:P313)&gt;0)*(Q289:Q313-P289:P313),$F$12:$F$36,$O$12:$O$36-$P$12:$P$36)</f>
        <v>3053.5086</v>
      </c>
      <c r="R320" s="35" t="n">
        <f aca="false">SUMPRODUCT(((R289:R313-Q289:Q313)&gt;0)*(R289:R313-Q289:Q313),$F$12:$F$36,$O$12:$O$36-$P$12:$P$36)</f>
        <v>5512.0082325</v>
      </c>
      <c r="S320" s="35" t="n">
        <f aca="false">SUMPRODUCT(((S289:S313-R289:R313)&gt;0)*(S289:S313-R289:R313),$F$12:$F$36,$O$12:$O$36-$P$12:$P$36)</f>
        <v>6546.2818675</v>
      </c>
      <c r="T320" s="35" t="n">
        <f aca="false">SUMPRODUCT(((T289:T313-S289:S313)&gt;0)*(T289:T313-S289:S313),$F$12:$F$36,$O$12:$O$36-$P$12:$P$36)</f>
        <v>6950.80955</v>
      </c>
      <c r="U320" s="35" t="n">
        <f aca="false">SUMPRODUCT(((U289:U313-T289:T313)&gt;0)*(U289:U313-T289:T313),$F$12:$F$36,$O$12:$O$36-$P$12:$P$36)</f>
        <v>10386.19185</v>
      </c>
      <c r="V320" s="35" t="n">
        <f aca="false">SUMPRODUCT(((V289:V313-U289:U313)&gt;0)*(V289:V313-U289:U313),$F$12:$F$36,$O$12:$O$36-$P$12:$P$36)</f>
        <v>3652.36815</v>
      </c>
      <c r="W320" s="35" t="n">
        <f aca="false">SUMPRODUCT(((W289:W313-V289:V313)&gt;0)*(W289:W313-V289:V313),$F$12:$F$36,$O$12:$O$36-$P$12:$P$36)</f>
        <v>6153.72595</v>
      </c>
      <c r="X320" s="35" t="n">
        <f aca="false">SUMPRODUCT(((X289:X313-W289:W313)&gt;0)*(X289:X313-W289:W313),$F$12:$F$36,$O$12:$O$36-$P$12:$P$36)</f>
        <v>501.25</v>
      </c>
      <c r="Y320" s="35" t="n">
        <f aca="false">SUMPRODUCT(((Y289:Y313-X289:X313)&gt;0)*(Y289:Y313-X289:X313),$F$12:$F$36,$O$12:$O$36-$P$12:$P$36)</f>
        <v>12429.51905</v>
      </c>
      <c r="Z320" s="35" t="n">
        <f aca="false">SUMPRODUCT(((Z289:Z313-Y289:Y313)&gt;0)*(Z289:Z313-Y289:Y313),$F$12:$F$36,$O$12:$O$36-$P$12:$P$36)</f>
        <v>0</v>
      </c>
      <c r="AA320" s="35" t="n">
        <f aca="false">SUMPRODUCT(((AA289:AA313-Z289:Z313)&gt;0)*(AA289:AA313-Z289:Z313),$F$12:$F$36,$O$12:$O$36-$P$12:$P$36)</f>
        <v>12474.8694</v>
      </c>
      <c r="AB320" s="35" t="n">
        <f aca="false">SUMPRODUCT(((AB289:AB313-AA289:AA313)&gt;0)*(AB289:AB313-AA289:AA313),$F$12:$F$36,$O$12:$O$36-$P$12:$P$36)</f>
        <v>0</v>
      </c>
      <c r="AC320" s="35" t="n">
        <f aca="false">SUMPRODUCT(((AC289:AC313-AB289:AB313)&gt;0)*(AC289:AC313-AB289:AB313),$F$12:$F$36,$O$12:$O$36-$P$12:$P$36)</f>
        <v>17866.7555</v>
      </c>
      <c r="AD320" s="35" t="n">
        <f aca="false">SUMPRODUCT(((AD289:AD313-AC289:AC313)&gt;0)*(AD289:AD313-AC289:AC313),$F$12:$F$36,$O$12:$O$36-$P$12:$P$36)</f>
        <v>0</v>
      </c>
      <c r="AE320" s="35" t="n">
        <f aca="false">SUMPRODUCT(((AE289:AE313-AD289:AD313)&gt;0)*(AE289:AE313-AD289:AD313),$F$12:$F$36,$O$12:$O$36-$P$12:$P$36)</f>
        <v>0</v>
      </c>
      <c r="AF320" s="35" t="n">
        <f aca="false">SUMPRODUCT(((AF289:AF313-AE289:AE313)&gt;0)*(AF289:AF313-AE289:AE313),$F$12:$F$36,$O$12:$O$36-$P$12:$P$36)</f>
        <v>0</v>
      </c>
      <c r="AG320" s="35" t="n">
        <f aca="false">SUMPRODUCT(((AG289:AG313-AF289:AF313)&gt;0)*(AG289:AG313-AF289:AF313),$F$12:$F$36,$O$12:$O$36-$P$12:$P$36)</f>
        <v>17311.2903</v>
      </c>
      <c r="AI320" s="35" t="n">
        <f aca="false">SUMIF($F$7:$AG$7,AI$7,$F320:$AG320)</f>
        <v>986.08790625</v>
      </c>
      <c r="AJ320" s="35" t="n">
        <f aca="false">SUMIF($F$7:$AG$7,AJ$7,$F320:$AG320)</f>
        <v>3727.180359375</v>
      </c>
      <c r="AK320" s="35" t="n">
        <f aca="false">SUMIF($F$7:$AG$7,AK$7,$F320:$AG320)</f>
        <v>5828.570053125</v>
      </c>
      <c r="AL320" s="35" t="n">
        <f aca="false">SUMIF($F$7:$AG$7,AL$7,$F320:$AG320)</f>
        <v>29395.2915</v>
      </c>
      <c r="AM320" s="35" t="n">
        <f aca="false">SUMIF($F$7:$AG$7,AM$7,$F320:$AG320)</f>
        <v>22736.86315</v>
      </c>
      <c r="AN320" s="35" t="n">
        <f aca="false">SUMIF($F$7:$AG$7,AN$7,$F320:$AG320)</f>
        <v>30341.6249</v>
      </c>
      <c r="AO320" s="35" t="n">
        <f aca="false">SUMIF($F$7:$AG$7,AO$7,$F320:$AG320)</f>
        <v>17311.2903</v>
      </c>
    </row>
    <row r="321" customFormat="false" ht="15" hidden="false" customHeight="false" outlineLevel="0" collapsed="false">
      <c r="A321" s="112" t="s">
        <v>1910</v>
      </c>
      <c r="B321" s="24" t="s">
        <v>745</v>
      </c>
      <c r="C321" s="24" t="s">
        <v>690</v>
      </c>
      <c r="D321" s="24"/>
      <c r="F321" s="116" t="n">
        <f aca="false">SUMPRODUCT(((F289:F313-E289:E313)&gt;0)*(F289:F313-E289:E313),$F$12:$F$36,$P$12:$P$36)</f>
        <v>284.09375</v>
      </c>
      <c r="G321" s="116" t="n">
        <f aca="false">SUMPRODUCT(((G289:G313-F289:F313)&gt;0)*(G289:G313-F289:F313),$F$12:$F$36,$P$12:$P$36)</f>
        <v>0</v>
      </c>
      <c r="H321" s="116" t="n">
        <f aca="false">SUMPRODUCT(((H289:H313-G289:G313)&gt;0)*(H289:H313-G289:G313),$F$12:$F$36,$P$12:$P$36)</f>
        <v>0</v>
      </c>
      <c r="I321" s="116" t="n">
        <f aca="false">SUMPRODUCT(((I289:I313-H289:H313)&gt;0)*(I289:I313-H289:H313),$F$12:$F$36,$P$12:$P$36)</f>
        <v>0</v>
      </c>
      <c r="J321" s="116" t="n">
        <f aca="false">SUMPRODUCT(((J289:J313-I289:I313)&gt;0)*(J289:J313-I289:I313),$F$12:$F$36,$P$12:$P$36)</f>
        <v>0</v>
      </c>
      <c r="K321" s="116" t="n">
        <f aca="false">SUMPRODUCT(((K289:K313-J289:J313)&gt;0)*(K289:K313-J289:J313),$F$12:$F$36,$P$12:$P$36)</f>
        <v>0</v>
      </c>
      <c r="L321" s="116" t="n">
        <f aca="false">SUMPRODUCT(((L289:L313-K289:K313)&gt;0)*(L289:L313-K289:K313),$F$12:$F$36,$P$12:$P$36)</f>
        <v>142.046875</v>
      </c>
      <c r="M321" s="116" t="n">
        <f aca="false">SUMPRODUCT(((M289:M313-L289:L313)&gt;0)*(M289:M313-L289:L313),$F$12:$F$36,$P$12:$P$36)</f>
        <v>284.09375</v>
      </c>
      <c r="N321" s="116" t="n">
        <f aca="false">SUMPRODUCT(((N289:N313-M289:M313)&gt;0)*(N289:N313-M289:M313),$F$12:$F$36,$P$12:$P$36)</f>
        <v>142.046875</v>
      </c>
      <c r="O321" s="116" t="n">
        <f aca="false">SUMPRODUCT(((O289:O313-N289:N313)&gt;0)*(O289:O313-N289:N313),$F$12:$F$36,$P$12:$P$36)</f>
        <v>0</v>
      </c>
      <c r="P321" s="35" t="n">
        <f aca="false">SUMPRODUCT(((P289:P313-O289:O313)&gt;0)*(P289:P313-O289:O313),$F$12:$F$36,$P$12:$P$36)</f>
        <v>0</v>
      </c>
      <c r="Q321" s="35" t="n">
        <f aca="false">SUMPRODUCT(((Q289:Q313-P289:P313)&gt;0)*(Q289:Q313-P289:P313),$F$12:$F$36,$P$12:$P$36)</f>
        <v>0</v>
      </c>
      <c r="R321" s="35" t="n">
        <f aca="false">SUMPRODUCT(((R289:R313-Q289:Q313)&gt;0)*(R289:R313-Q289:Q313),$F$12:$F$36,$P$12:$P$36)</f>
        <v>115.734375</v>
      </c>
      <c r="S321" s="35" t="n">
        <f aca="false">SUMPRODUCT(((S289:S313-R289:R313)&gt;0)*(S289:S313-R289:R313),$F$12:$F$36,$P$12:$P$36)</f>
        <v>305.959375</v>
      </c>
      <c r="T321" s="35" t="n">
        <f aca="false">SUMPRODUCT(((T289:T313-S289:S313)&gt;0)*(T289:T313-S289:S313),$F$12:$F$36,$P$12:$P$36)</f>
        <v>884.63125</v>
      </c>
      <c r="U321" s="35" t="n">
        <f aca="false">SUMPRODUCT(((U289:U313-T289:T313)&gt;0)*(U289:U313-T289:T313),$F$12:$F$36,$P$12:$P$36)</f>
        <v>1908.14375</v>
      </c>
      <c r="V321" s="35" t="n">
        <f aca="false">SUMPRODUCT(((V289:V313-U289:U313)&gt;0)*(V289:V313-U289:U313),$F$12:$F$36,$P$12:$P$36)</f>
        <v>982.26875</v>
      </c>
      <c r="W321" s="35" t="n">
        <f aca="false">SUMPRODUCT(((W289:W313-V289:V313)&gt;0)*(W289:W313-V289:V313),$F$12:$F$36,$P$12:$P$36)</f>
        <v>1918.24375</v>
      </c>
      <c r="X321" s="35" t="n">
        <f aca="false">SUMPRODUCT(((X289:X313-W289:W313)&gt;0)*(X289:X313-W289:W313),$F$12:$F$36,$P$12:$P$36)</f>
        <v>0</v>
      </c>
      <c r="Y321" s="35" t="n">
        <f aca="false">SUMPRODUCT(((Y289:Y313-X289:X313)&gt;0)*(Y289:Y313-X289:X313),$F$12:$F$36,$P$12:$P$36)</f>
        <v>3345.29375</v>
      </c>
      <c r="Z321" s="35" t="n">
        <f aca="false">SUMPRODUCT(((Z289:Z313-Y289:Y313)&gt;0)*(Z289:Z313-Y289:Y313),$F$12:$F$36,$P$12:$P$36)</f>
        <v>0</v>
      </c>
      <c r="AA321" s="35" t="n">
        <f aca="false">SUMPRODUCT(((AA289:AA313-Z289:Z313)&gt;0)*(AA289:AA313-Z289:Z313),$F$12:$F$36,$P$12:$P$36)</f>
        <v>3888.675</v>
      </c>
      <c r="AB321" s="35" t="n">
        <f aca="false">SUMPRODUCT(((AB289:AB313-AA289:AA313)&gt;0)*(AB289:AB313-AA289:AA313),$F$12:$F$36,$P$12:$P$36)</f>
        <v>0</v>
      </c>
      <c r="AC321" s="35" t="n">
        <f aca="false">SUMPRODUCT(((AC289:AC313-AB289:AB313)&gt;0)*(AC289:AC313-AB289:AB313),$F$12:$F$36,$P$12:$P$36)</f>
        <v>5569.4375</v>
      </c>
      <c r="AD321" s="35" t="n">
        <f aca="false">SUMPRODUCT(((AD289:AD313-AC289:AC313)&gt;0)*(AD289:AD313-AC289:AC313),$F$12:$F$36,$P$12:$P$36)</f>
        <v>0</v>
      </c>
      <c r="AE321" s="35" t="n">
        <f aca="false">SUMPRODUCT(((AE289:AE313-AD289:AD313)&gt;0)*(AE289:AE313-AD289:AD313),$F$12:$F$36,$P$12:$P$36)</f>
        <v>0</v>
      </c>
      <c r="AF321" s="35" t="n">
        <f aca="false">SUMPRODUCT(((AF289:AF313-AE289:AE313)&gt;0)*(AF289:AF313-AE289:AE313),$F$12:$F$36,$P$12:$P$36)</f>
        <v>0</v>
      </c>
      <c r="AG321" s="35" t="n">
        <f aca="false">SUMPRODUCT(((AG289:AG313-AF289:AF313)&gt;0)*(AG289:AG313-AF289:AF313),$F$12:$F$36,$P$12:$P$36)</f>
        <v>5396.2875</v>
      </c>
      <c r="AI321" s="35" t="n">
        <f aca="false">SUMIF($F$7:$AG$7,AI$7,$F321:$AG321)</f>
        <v>284.09375</v>
      </c>
      <c r="AJ321" s="35" t="n">
        <f aca="false">SUMIF($F$7:$AG$7,AJ$7,$F321:$AG321)</f>
        <v>426.140625</v>
      </c>
      <c r="AK321" s="35" t="n">
        <f aca="false">SUMIF($F$7:$AG$7,AK$7,$F321:$AG321)</f>
        <v>142.046875</v>
      </c>
      <c r="AL321" s="35" t="n">
        <f aca="false">SUMIF($F$7:$AG$7,AL$7,$F321:$AG321)</f>
        <v>3214.46875</v>
      </c>
      <c r="AM321" s="35" t="n">
        <f aca="false">SUMIF($F$7:$AG$7,AM$7,$F321:$AG321)</f>
        <v>6245.80625</v>
      </c>
      <c r="AN321" s="35" t="n">
        <f aca="false">SUMIF($F$7:$AG$7,AN$7,$F321:$AG321)</f>
        <v>9458.1125</v>
      </c>
      <c r="AO321" s="35" t="n">
        <f aca="false">SUMIF($F$7:$AG$7,AO$7,$F321:$AG321)</f>
        <v>5396.2875</v>
      </c>
    </row>
    <row r="322" customFormat="false" ht="15" hidden="false" customHeight="false" outlineLevel="0" collapsed="false">
      <c r="A322" s="112" t="s">
        <v>1911</v>
      </c>
      <c r="B322" s="24" t="s">
        <v>857</v>
      </c>
      <c r="C322" s="24" t="s">
        <v>690</v>
      </c>
      <c r="D322" s="24"/>
      <c r="F322" s="121" t="n">
        <f aca="false">SUMPRODUCT(((F289:F313-E289:E313)&gt;0)*(F289:F313-E289:E313),$F$12:$F$36)</f>
        <v>22.7275</v>
      </c>
      <c r="G322" s="121" t="n">
        <f aca="false">SUMPRODUCT(((G289:G313-F289:F313)&gt;0)*(G289:G313-F289:F313),$F$12:$F$36)</f>
        <v>0</v>
      </c>
      <c r="H322" s="121" t="n">
        <f aca="false">SUMPRODUCT(((H289:H313-G289:G313)&gt;0)*(H289:H313-G289:G313),$F$12:$F$36)</f>
        <v>0</v>
      </c>
      <c r="I322" s="121" t="n">
        <f aca="false">SUMPRODUCT(((I289:I313-H289:H313)&gt;0)*(I289:I313-H289:H313),$F$12:$F$36)</f>
        <v>5</v>
      </c>
      <c r="J322" s="121" t="n">
        <f aca="false">SUMPRODUCT(((J289:J313-I289:I313)&gt;0)*(J289:J313-I289:I313),$F$12:$F$36)</f>
        <v>20</v>
      </c>
      <c r="K322" s="121" t="n">
        <f aca="false">SUMPRODUCT(((K289:K313-J289:J313)&gt;0)*(K289:K313-J289:J313),$F$12:$F$36)</f>
        <v>0</v>
      </c>
      <c r="L322" s="121" t="n">
        <f aca="false">SUMPRODUCT(((L289:L313-K289:K313)&gt;0)*(L289:L313-K289:K313),$F$12:$F$36)</f>
        <v>11.36375</v>
      </c>
      <c r="M322" s="121" t="n">
        <f aca="false">SUMPRODUCT(((M289:M313-L289:L313)&gt;0)*(M289:M313-L289:L313),$F$12:$F$36)</f>
        <v>79.2347</v>
      </c>
      <c r="N322" s="121" t="n">
        <f aca="false">SUMPRODUCT(((N289:N313-M289:M313)&gt;0)*(N289:N313-M289:M313),$F$12:$F$36)</f>
        <v>32.66375</v>
      </c>
      <c r="O322" s="121" t="n">
        <f aca="false">SUMPRODUCT(((O289:O313-N289:N313)&gt;0)*(O289:O313-N289:N313),$F$12:$F$36)</f>
        <v>11.5</v>
      </c>
      <c r="P322" s="39" t="n">
        <f aca="false">SUMPRODUCT(((P289:P313-O289:O313)&gt;0)*(P289:P313-O289:O313),$F$12:$F$36)</f>
        <v>34.5</v>
      </c>
      <c r="Q322" s="39" t="n">
        <f aca="false">SUMPRODUCT(((Q289:Q313-P289:P313)&gt;0)*(Q289:Q313-P289:P313),$F$12:$F$36)</f>
        <v>84.7298</v>
      </c>
      <c r="R322" s="39" t="n">
        <f aca="false">SUMPRODUCT(((R289:R313-Q289:Q313)&gt;0)*(R289:R313-Q289:Q313),$F$12:$F$36)</f>
        <v>152.07275</v>
      </c>
      <c r="S322" s="39" t="n">
        <f aca="false">SUMPRODUCT(((S289:S313-R289:R313)&gt;0)*(S289:S313-R289:R313),$F$12:$F$36)</f>
        <v>175.74455</v>
      </c>
      <c r="T322" s="39" t="n">
        <f aca="false">SUMPRODUCT(((T289:T313-S289:S313)&gt;0)*(T289:T313-S289:S313),$F$12:$F$36)</f>
        <v>183.0705</v>
      </c>
      <c r="U322" s="39" t="n">
        <f aca="false">SUMPRODUCT(((U289:U313-T289:T313)&gt;0)*(U289:U313-T289:T313),$F$12:$F$36)</f>
        <v>269.3035</v>
      </c>
      <c r="V322" s="39" t="n">
        <f aca="false">SUMPRODUCT(((V289:V313-U289:U313)&gt;0)*(V289:V313-U289:U313),$F$12:$F$36)</f>
        <v>91.0815</v>
      </c>
      <c r="W322" s="39" t="n">
        <f aca="false">SUMPRODUCT(((W289:W313-V289:V313)&gt;0)*(W289:W313-V289:V313),$F$12:$F$36)</f>
        <v>153.4595</v>
      </c>
      <c r="X322" s="39" t="n">
        <f aca="false">SUMPRODUCT(((X289:X313-W289:W313)&gt;0)*(X289:X313-W289:W313),$F$12:$F$36)</f>
        <v>12.5</v>
      </c>
      <c r="Y322" s="39" t="n">
        <f aca="false">SUMPRODUCT(((Y289:Y313-X289:X313)&gt;0)*(Y289:Y313-X289:X313),$F$12:$F$36)</f>
        <v>313.7755</v>
      </c>
      <c r="Z322" s="39" t="n">
        <f aca="false">SUMPRODUCT(((Z289:Z313-Y289:Y313)&gt;0)*(Z289:Z313-Y289:Y313),$F$12:$F$36)</f>
        <v>0</v>
      </c>
      <c r="AA322" s="39" t="n">
        <f aca="false">SUMPRODUCT(((AA289:AA313-Z289:Z313)&gt;0)*(AA289:AA313-Z289:Z313),$F$12:$F$36)</f>
        <v>311.094</v>
      </c>
      <c r="AB322" s="39" t="n">
        <f aca="false">SUMPRODUCT(((AB289:AB313-AA289:AA313)&gt;0)*(AB289:AB313-AA289:AA313),$F$12:$F$36)</f>
        <v>0</v>
      </c>
      <c r="AC322" s="39" t="n">
        <f aca="false">SUMPRODUCT(((AC289:AC313-AB289:AB313)&gt;0)*(AC289:AC313-AB289:AB313),$F$12:$F$36)</f>
        <v>445.555</v>
      </c>
      <c r="AD322" s="39" t="n">
        <f aca="false">SUMPRODUCT(((AD289:AD313-AC289:AC313)&gt;0)*(AD289:AD313-AC289:AC313),$F$12:$F$36)</f>
        <v>0</v>
      </c>
      <c r="AE322" s="39" t="n">
        <f aca="false">SUMPRODUCT(((AE289:AE313-AD289:AD313)&gt;0)*(AE289:AE313-AD289:AD313),$F$12:$F$36)</f>
        <v>0</v>
      </c>
      <c r="AF322" s="39" t="n">
        <f aca="false">SUMPRODUCT(((AF289:AF313-AE289:AE313)&gt;0)*(AF289:AF313-AE289:AE313),$F$12:$F$36)</f>
        <v>0</v>
      </c>
      <c r="AG322" s="39" t="n">
        <f aca="false">SUMPRODUCT(((AG289:AG313-AF289:AF313)&gt;0)*(AG289:AG313-AF289:AF313),$F$12:$F$36)</f>
        <v>431.703</v>
      </c>
      <c r="AI322" s="39" t="n">
        <f aca="false">SUMIF($F$7:$AG$7,AI$7,$F322:$AG322)</f>
        <v>27.7275</v>
      </c>
      <c r="AJ322" s="39" t="n">
        <f aca="false">SUMIF($F$7:$AG$7,AJ$7,$F322:$AG322)</f>
        <v>110.59845</v>
      </c>
      <c r="AK322" s="39" t="n">
        <f aca="false">SUMIF($F$7:$AG$7,AK$7,$F322:$AG322)</f>
        <v>163.39355</v>
      </c>
      <c r="AL322" s="39" t="n">
        <f aca="false">SUMIF($F$7:$AG$7,AL$7,$F322:$AG322)</f>
        <v>780.1913</v>
      </c>
      <c r="AM322" s="39" t="n">
        <f aca="false">SUMIF($F$7:$AG$7,AM$7,$F322:$AG322)</f>
        <v>570.8165</v>
      </c>
      <c r="AN322" s="39" t="n">
        <f aca="false">SUMIF($F$7:$AG$7,AN$7,$F322:$AG322)</f>
        <v>756.649</v>
      </c>
      <c r="AO322" s="39" t="n">
        <f aca="false">SUMIF($F$7:$AG$7,AO$7,$F322:$AG322)</f>
        <v>431.703</v>
      </c>
    </row>
    <row r="323" customFormat="false" ht="15" hidden="false" customHeight="false" outlineLevel="0" collapsed="false">
      <c r="A323" s="112" t="s">
        <v>1912</v>
      </c>
      <c r="B323" s="24" t="s">
        <v>857</v>
      </c>
      <c r="C323" s="24" t="s">
        <v>690</v>
      </c>
      <c r="D323" s="24" t="s">
        <v>1913</v>
      </c>
      <c r="F323" s="121" t="n">
        <f aca="false">SUMPRODUCT(((F289:F313-E289:E313)&gt;0)*(F289:F313-E289:E313),$F$12:$F$36,1-$G$12:$G$36)</f>
        <v>0</v>
      </c>
      <c r="G323" s="121" t="n">
        <f aca="false">SUMPRODUCT(((G289:G313-F289:F313)&gt;0)*(G289:G313-F289:F313),$F$12:$F$36,1-$G$12:$G$36)</f>
        <v>0</v>
      </c>
      <c r="H323" s="121" t="n">
        <f aca="false">SUMPRODUCT(((H289:H313-G289:G313)&gt;0)*(H289:H313-G289:G313),$F$12:$F$36,1-$G$12:$G$36)</f>
        <v>0</v>
      </c>
      <c r="I323" s="121" t="n">
        <f aca="false">SUMPRODUCT(((I289:I313-H289:H313)&gt;0)*(I289:I313-H289:H313),$F$12:$F$36,1-$G$12:$G$36)</f>
        <v>5</v>
      </c>
      <c r="J323" s="121" t="n">
        <f aca="false">SUMPRODUCT(((J289:J313-I289:I313)&gt;0)*(J289:J313-I289:I313),$F$12:$F$36,1-$G$12:$G$36)</f>
        <v>20</v>
      </c>
      <c r="K323" s="121" t="n">
        <f aca="false">SUMPRODUCT(((K289:K313-J289:J313)&gt;0)*(K289:K313-J289:J313),$F$12:$F$36,1-$G$12:$G$36)</f>
        <v>0</v>
      </c>
      <c r="L323" s="121" t="n">
        <f aca="false">SUMPRODUCT(((L289:L313-K289:K313)&gt;0)*(L289:L313-K289:K313),$F$12:$F$36,1-$G$12:$G$36)</f>
        <v>0</v>
      </c>
      <c r="M323" s="121" t="n">
        <f aca="false">SUMPRODUCT(((M289:M313-L289:L313)&gt;0)*(M289:M313-L289:L313),$F$12:$F$36,1-$G$12:$G$36)</f>
        <v>56.5072</v>
      </c>
      <c r="N323" s="121" t="n">
        <f aca="false">SUMPRODUCT(((N289:N313-M289:M313)&gt;0)*(N289:N313-M289:M313),$F$12:$F$36,1-$G$12:$G$36)</f>
        <v>21.3</v>
      </c>
      <c r="O323" s="121" t="n">
        <f aca="false">SUMPRODUCT(((O289:O313-N289:N313)&gt;0)*(O289:O313-N289:N313),$F$12:$F$36,1-$G$12:$G$36)</f>
        <v>11.5</v>
      </c>
      <c r="P323" s="39" t="n">
        <f aca="false">SUMPRODUCT(((P289:P313-O289:O313)&gt;0)*(P289:P313-O289:O313),$F$12:$F$36,1-$G$12:$G$36)</f>
        <v>34.5</v>
      </c>
      <c r="Q323" s="39" t="n">
        <f aca="false">SUMPRODUCT(((Q289:Q313-P289:P313)&gt;0)*(Q289:Q313-P289:P313),$F$12:$F$36,1-$G$12:$G$36)</f>
        <v>84.7298</v>
      </c>
      <c r="R323" s="39" t="n">
        <f aca="false">SUMPRODUCT(((R289:R313-Q289:Q313)&gt;0)*(R289:R313-Q289:Q313),$F$12:$F$36,1-$G$12:$G$36)</f>
        <v>142.814</v>
      </c>
      <c r="S323" s="39" t="n">
        <f aca="false">SUMPRODUCT(((S289:S313-R289:R313)&gt;0)*(S289:S313-R289:R313),$F$12:$F$36,1-$G$12:$G$36)</f>
        <v>151.2678</v>
      </c>
      <c r="T323" s="39" t="n">
        <f aca="false">SUMPRODUCT(((T289:T313-S289:S313)&gt;0)*(T289:T313-S289:S313),$F$12:$F$36,1-$G$12:$G$36)</f>
        <v>112.3</v>
      </c>
      <c r="U323" s="39" t="n">
        <f aca="false">SUMPRODUCT(((U289:U313-T289:T313)&gt;0)*(U289:U313-T289:T313),$F$12:$F$36,1-$G$12:$G$36)</f>
        <v>116.652</v>
      </c>
      <c r="V323" s="39" t="n">
        <f aca="false">SUMPRODUCT(((V289:V313-U289:U313)&gt;0)*(V289:V313-U289:U313),$F$12:$F$36,1-$G$12:$G$36)</f>
        <v>12.5</v>
      </c>
      <c r="W323" s="39" t="n">
        <f aca="false">SUMPRODUCT(((W289:W313-V289:V313)&gt;0)*(W289:W313-V289:V313),$F$12:$F$36,1-$G$12:$G$36)</f>
        <v>0</v>
      </c>
      <c r="X323" s="39" t="n">
        <f aca="false">SUMPRODUCT(((X289:X313-W289:W313)&gt;0)*(X289:X313-W289:W313),$F$12:$F$36,1-$G$12:$G$36)</f>
        <v>12.5</v>
      </c>
      <c r="Y323" s="39" t="n">
        <f aca="false">SUMPRODUCT(((Y289:Y313-X289:X313)&gt;0)*(Y289:Y313-X289:X313),$F$12:$F$36,1-$G$12:$G$36)</f>
        <v>46.152</v>
      </c>
      <c r="Z323" s="39" t="n">
        <f aca="false">SUMPRODUCT(((Z289:Z313-Y289:Y313)&gt;0)*(Z289:Z313-Y289:Y313),$F$12:$F$36,1-$G$12:$G$36)</f>
        <v>0</v>
      </c>
      <c r="AA323" s="39" t="n">
        <f aca="false">SUMPRODUCT(((AA289:AA313-Z289:Z313)&gt;0)*(AA289:AA313-Z289:Z313),$F$12:$F$36,1-$G$12:$G$36)</f>
        <v>0</v>
      </c>
      <c r="AB323" s="39" t="n">
        <f aca="false">SUMPRODUCT(((AB289:AB313-AA289:AA313)&gt;0)*(AB289:AB313-AA289:AA313),$F$12:$F$36,1-$G$12:$G$36)</f>
        <v>0</v>
      </c>
      <c r="AC323" s="39" t="n">
        <f aca="false">SUMPRODUCT(((AC289:AC313-AB289:AB313)&gt;0)*(AC289:AC313-AB289:AB313),$F$12:$F$36,1-$G$12:$G$36)</f>
        <v>0</v>
      </c>
      <c r="AD323" s="39" t="n">
        <f aca="false">SUMPRODUCT(((AD289:AD313-AC289:AC313)&gt;0)*(AD289:AD313-AC289:AC313),$F$12:$F$36,1-$G$12:$G$36)</f>
        <v>0</v>
      </c>
      <c r="AE323" s="39" t="n">
        <f aca="false">SUMPRODUCT(((AE289:AE313-AD289:AD313)&gt;0)*(AE289:AE313-AD289:AD313),$F$12:$F$36,1-$G$12:$G$36)</f>
        <v>0</v>
      </c>
      <c r="AF323" s="39" t="n">
        <f aca="false">SUMPRODUCT(((AF289:AF313-AE289:AE313)&gt;0)*(AF289:AF313-AE289:AE313),$F$12:$F$36,1-$G$12:$G$36)</f>
        <v>0</v>
      </c>
      <c r="AG323" s="39" t="n">
        <f aca="false">SUMPRODUCT(((AG289:AG313-AF289:AF313)&gt;0)*(AG289:AG313-AF289:AF313),$F$12:$F$36,1-$G$12:$G$36)</f>
        <v>0</v>
      </c>
      <c r="AI323" s="39" t="n">
        <f aca="false">SUMIF($F$7:$AG$7,AI$7,$F323:$AG323)</f>
        <v>5</v>
      </c>
      <c r="AJ323" s="39" t="n">
        <f aca="false">SUMIF($F$7:$AG$7,AJ$7,$F323:$AG323)</f>
        <v>76.5072</v>
      </c>
      <c r="AK323" s="39" t="n">
        <f aca="false">SUMIF($F$7:$AG$7,AK$7,$F323:$AG323)</f>
        <v>152.0298</v>
      </c>
      <c r="AL323" s="39" t="n">
        <f aca="false">SUMIF($F$7:$AG$7,AL$7,$F323:$AG323)</f>
        <v>523.0338</v>
      </c>
      <c r="AM323" s="39" t="n">
        <f aca="false">SUMIF($F$7:$AG$7,AM$7,$F323:$AG323)</f>
        <v>71.152</v>
      </c>
      <c r="AN323" s="39" t="n">
        <f aca="false">SUMIF($F$7:$AG$7,AN$7,$F323:$AG323)</f>
        <v>0</v>
      </c>
      <c r="AO323" s="39" t="n">
        <f aca="false">SUMIF($F$7:$AG$7,AO$7,$F323:$AG323)</f>
        <v>0</v>
      </c>
    </row>
    <row r="324" customFormat="false" ht="15" hidden="false" customHeight="false" outlineLevel="0" collapsed="false">
      <c r="A324" s="112" t="s">
        <v>1914</v>
      </c>
      <c r="B324" s="24" t="s">
        <v>696</v>
      </c>
      <c r="C324" s="24" t="s">
        <v>690</v>
      </c>
      <c r="D324" s="24" t="s">
        <v>1915</v>
      </c>
      <c r="F324" s="122" t="n">
        <f aca="false">IF(F322&gt;0.01,F320/F322,IFERROR(SUMPRODUCT((Q_Idx&gt;LastHist)*PathIT)/SUMPRODUCT((Q_Idx&gt;LastHist)*EnNewIT),CPM_Lease_GB300))</f>
        <v>36.7875</v>
      </c>
      <c r="G324" s="122" t="n">
        <f aca="false">IF(G322&gt;0.01,G320/G322,IFERROR(SUMPRODUCT((Q_Idx&gt;LastHist)*PathIT)/SUMPRODUCT((Q_Idx&gt;LastHist)*EnNewIT),CPM_Lease_GB300))</f>
        <v>39.1398660966702</v>
      </c>
      <c r="H324" s="122" t="n">
        <f aca="false">IF(H322&gt;0.01,H320/H322,IFERROR(SUMPRODUCT((Q_Idx&gt;LastHist)*PathIT)/SUMPRODUCT((Q_Idx&gt;LastHist)*EnNewIT),CPM_Lease_GB300))</f>
        <v>39.1398660966702</v>
      </c>
      <c r="I324" s="122" t="n">
        <f aca="false">IF(I322&gt;0.01,I320/I322,IFERROR(SUMPRODUCT((Q_Idx&gt;LastHist)*PathIT)/SUMPRODUCT((Q_Idx&gt;LastHist)*EnNewIT),CPM_Lease_GB300))</f>
        <v>30</v>
      </c>
      <c r="J324" s="122" t="n">
        <f aca="false">IF(J322&gt;0.01,J320/J322,IFERROR(SUMPRODUCT((Q_Idx&gt;LastHist)*PathIT)/SUMPRODUCT((Q_Idx&gt;LastHist)*EnNewIT),CPM_Lease_GB300))</f>
        <v>30</v>
      </c>
      <c r="K324" s="122" t="n">
        <f aca="false">IF(K322&gt;0.01,K320/K322,IFERROR(SUMPRODUCT((Q_Idx&gt;LastHist)*PathIT)/SUMPRODUCT((Q_Idx&gt;LastHist)*EnNewIT),CPM_Lease_GB300))</f>
        <v>39.1398660966702</v>
      </c>
      <c r="L324" s="122" t="n">
        <f aca="false">IF(L322&gt;0.01,L320/L322,IFERROR(SUMPRODUCT((Q_Idx&gt;LastHist)*PathIT)/SUMPRODUCT((Q_Idx&gt;LastHist)*EnNewIT),CPM_Lease_GB300))</f>
        <v>36.7875</v>
      </c>
      <c r="M324" s="122" t="n">
        <f aca="false">IF(M322&gt;0.01,M320/M322,IFERROR(SUMPRODUCT((Q_Idx&gt;LastHist)*PathIT)/SUMPRODUCT((Q_Idx&gt;LastHist)*EnNewIT),CPM_Lease_GB300))</f>
        <v>34.1912874819997</v>
      </c>
      <c r="N324" s="122" t="n">
        <f aca="false">IF(N322&gt;0.01,N320/N322,IFERROR(SUMPRODUCT((Q_Idx&gt;LastHist)*PathIT)/SUMPRODUCT((Q_Idx&gt;LastHist)*EnNewIT),CPM_Lease_GB300))</f>
        <v>34.7095083425816</v>
      </c>
      <c r="O324" s="122" t="n">
        <f aca="false">IF(O322&gt;0.01,O320/O322,IFERROR(SUMPRODUCT((Q_Idx&gt;LastHist)*PathIT)/SUMPRODUCT((Q_Idx&gt;LastHist)*EnNewIT),CPM_Lease_GB300))</f>
        <v>36.7875</v>
      </c>
      <c r="P324" s="32" t="n">
        <f aca="false">IF(P322&gt;0.01,P320/P322,IFERROR(SUMPRODUCT((Q_Idx&gt;LastHist)*PathIT)/SUMPRODUCT((Q_Idx&gt;LastHist)*EnNewIT),CPM_Lease_GB300))</f>
        <v>35.3119565217391</v>
      </c>
      <c r="Q324" s="32" t="n">
        <f aca="false">IF(Q322&gt;0.01,Q320/Q322,IFERROR(SUMPRODUCT((Q_Idx&gt;LastHist)*PathIT)/SUMPRODUCT((Q_Idx&gt;LastHist)*EnNewIT),CPM_Lease_GB300))</f>
        <v>36.0381896333994</v>
      </c>
      <c r="R324" s="32" t="n">
        <f aca="false">IF(R322&gt;0.01,R320/R322,IFERROR(SUMPRODUCT((Q_Idx&gt;LastHist)*PathIT)/SUMPRODUCT((Q_Idx&gt;LastHist)*EnNewIT),CPM_Lease_GB300))</f>
        <v>36.2458641176674</v>
      </c>
      <c r="S324" s="32" t="n">
        <f aca="false">IF(S322&gt;0.01,S320/S322,IFERROR(SUMPRODUCT((Q_Idx&gt;LastHist)*PathIT)/SUMPRODUCT((Q_Idx&gt;LastHist)*EnNewIT),CPM_Lease_GB300))</f>
        <v>37.2488470766234</v>
      </c>
      <c r="T324" s="32" t="n">
        <f aca="false">IF(T322&gt;0.01,T320/T322,IFERROR(SUMPRODUCT((Q_Idx&gt;LastHist)*PathIT)/SUMPRODUCT((Q_Idx&gt;LastHist)*EnNewIT),CPM_Lease_GB300))</f>
        <v>37.9679388541573</v>
      </c>
      <c r="U324" s="32" t="n">
        <f aca="false">IF(U322&gt;0.01,U320/U322,IFERROR(SUMPRODUCT((Q_Idx&gt;LastHist)*PathIT)/SUMPRODUCT((Q_Idx&gt;LastHist)*EnNewIT),CPM_Lease_GB300))</f>
        <v>38.5668654510617</v>
      </c>
      <c r="V324" s="32" t="n">
        <f aca="false">IF(V322&gt;0.01,V320/V322,IFERROR(SUMPRODUCT((Q_Idx&gt;LastHist)*PathIT)/SUMPRODUCT((Q_Idx&gt;LastHist)*EnNewIT),CPM_Lease_GB300))</f>
        <v>40.1</v>
      </c>
      <c r="W324" s="32" t="n">
        <f aca="false">IF(W322&gt;0.01,W320/W322,IFERROR(SUMPRODUCT((Q_Idx&gt;LastHist)*PathIT)/SUMPRODUCT((Q_Idx&gt;LastHist)*EnNewIT),CPM_Lease_GB300))</f>
        <v>40.1</v>
      </c>
      <c r="X324" s="32" t="n">
        <f aca="false">IF(X322&gt;0.01,X320/X322,IFERROR(SUMPRODUCT((Q_Idx&gt;LastHist)*PathIT)/SUMPRODUCT((Q_Idx&gt;LastHist)*EnNewIT),CPM_Lease_GB300))</f>
        <v>40.1</v>
      </c>
      <c r="Y324" s="32" t="n">
        <f aca="false">IF(Y322&gt;0.01,Y320/Y322,IFERROR(SUMPRODUCT((Q_Idx&gt;LastHist)*PathIT)/SUMPRODUCT((Q_Idx&gt;LastHist)*EnNewIT),CPM_Lease_GB300))</f>
        <v>39.61277744757</v>
      </c>
      <c r="Z324" s="32" t="n">
        <f aca="false">IF(Z322&gt;0.01,Z320/Z322,IFERROR(SUMPRODUCT((Q_Idx&gt;LastHist)*PathIT)/SUMPRODUCT((Q_Idx&gt;LastHist)*EnNewIT),CPM_Lease_GB300))</f>
        <v>39.1398660966702</v>
      </c>
      <c r="AA324" s="32" t="n">
        <f aca="false">IF(AA322&gt;0.01,AA320/AA322,IFERROR(SUMPRODUCT((Q_Idx&gt;LastHist)*PathIT)/SUMPRODUCT((Q_Idx&gt;LastHist)*EnNewIT),CPM_Lease_GB300))</f>
        <v>40.1</v>
      </c>
      <c r="AB324" s="32" t="n">
        <f aca="false">IF(AB322&gt;0.01,AB320/AB322,IFERROR(SUMPRODUCT((Q_Idx&gt;LastHist)*PathIT)/SUMPRODUCT((Q_Idx&gt;LastHist)*EnNewIT),CPM_Lease_GB300))</f>
        <v>39.1398660966702</v>
      </c>
      <c r="AC324" s="32" t="n">
        <f aca="false">IF(AC322&gt;0.01,AC320/AC322,IFERROR(SUMPRODUCT((Q_Idx&gt;LastHist)*PathIT)/SUMPRODUCT((Q_Idx&gt;LastHist)*EnNewIT),CPM_Lease_GB300))</f>
        <v>40.1</v>
      </c>
      <c r="AD324" s="32" t="n">
        <f aca="false">IF(AD322&gt;0.01,AD320/AD322,IFERROR(SUMPRODUCT((Q_Idx&gt;LastHist)*PathIT)/SUMPRODUCT((Q_Idx&gt;LastHist)*EnNewIT),CPM_Lease_GB300))</f>
        <v>39.1398660966702</v>
      </c>
      <c r="AE324" s="32" t="n">
        <f aca="false">IF(AE322&gt;0.01,AE320/AE322,IFERROR(SUMPRODUCT((Q_Idx&gt;LastHist)*PathIT)/SUMPRODUCT((Q_Idx&gt;LastHist)*EnNewIT),CPM_Lease_GB300))</f>
        <v>39.1398660966702</v>
      </c>
      <c r="AF324" s="32" t="n">
        <f aca="false">IF(AF322&gt;0.01,AF320/AF322,IFERROR(SUMPRODUCT((Q_Idx&gt;LastHist)*PathIT)/SUMPRODUCT((Q_Idx&gt;LastHist)*EnNewIT),CPM_Lease_GB300))</f>
        <v>39.1398660966702</v>
      </c>
      <c r="AG324" s="32" t="n">
        <f aca="false">IF(AG322&gt;0.01,AG320/AG322,IFERROR(SUMPRODUCT((Q_Idx&gt;LastHist)*PathIT)/SUMPRODUCT((Q_Idx&gt;LastHist)*EnNewIT),CPM_Lease_GB300))</f>
        <v>40.1</v>
      </c>
      <c r="AI324" s="32" t="n">
        <f aca="false">SUMIF($F$7:$AG$7,AI$7,$F324:$AG324)</f>
        <v>145.06723219334</v>
      </c>
      <c r="AJ324" s="32" t="n">
        <f aca="false">SUMIF($F$7:$AG$7,AJ$7,$F324:$AG324)</f>
        <v>140.11865357867</v>
      </c>
      <c r="AK324" s="32" t="n">
        <f aca="false">SUMIF($F$7:$AG$7,AK$7,$F324:$AG324)</f>
        <v>142.84715449772</v>
      </c>
      <c r="AL324" s="32" t="n">
        <f aca="false">SUMIF($F$7:$AG$7,AL$7,$F324:$AG324)</f>
        <v>150.02951549951</v>
      </c>
      <c r="AM324" s="32" t="n">
        <f aca="false">SUMIF($F$7:$AG$7,AM$7,$F324:$AG324)</f>
        <v>159.91277744757</v>
      </c>
      <c r="AN324" s="32" t="n">
        <f aca="false">SUMIF($F$7:$AG$7,AN$7,$F324:$AG324)</f>
        <v>158.47973219334</v>
      </c>
      <c r="AO324" s="32" t="n">
        <f aca="false">SUMIF($F$7:$AG$7,AO$7,$F324:$AG324)</f>
        <v>157.519598290011</v>
      </c>
    </row>
    <row r="325" customFormat="false" ht="15" hidden="false" customHeight="false" outlineLevel="0" collapsed="false">
      <c r="A325" s="112" t="s">
        <v>1916</v>
      </c>
      <c r="B325" s="24" t="s">
        <v>696</v>
      </c>
      <c r="C325" s="24" t="s">
        <v>690</v>
      </c>
      <c r="D325" s="24"/>
      <c r="F325" s="122" t="n">
        <f aca="false">IF(F322&gt;0.01,F321/F322,IFERROR(SUMPRODUCT((Q_Idx&gt;LastHist)*PathSP)/SUMPRODUCT((Q_Idx&gt;LastHist)*EnNewIT),0))</f>
        <v>12.5</v>
      </c>
      <c r="G325" s="122" t="n">
        <f aca="false">IF(G322&gt;0.01,G321/G322,IFERROR(SUMPRODUCT((Q_Idx&gt;LastHist)*PathSP)/SUMPRODUCT((Q_Idx&gt;LastHist)*EnNewIT),0))</f>
        <v>9.14570454951001</v>
      </c>
      <c r="H325" s="122" t="n">
        <f aca="false">IF(H322&gt;0.01,H321/H322,IFERROR(SUMPRODUCT((Q_Idx&gt;LastHist)*PathSP)/SUMPRODUCT((Q_Idx&gt;LastHist)*EnNewIT),0))</f>
        <v>9.14570454951001</v>
      </c>
      <c r="I325" s="122" t="n">
        <f aca="false">IF(I322&gt;0.01,I321/I322,IFERROR(SUMPRODUCT((Q_Idx&gt;LastHist)*PathSP)/SUMPRODUCT((Q_Idx&gt;LastHist)*EnNewIT),0))</f>
        <v>0</v>
      </c>
      <c r="J325" s="122" t="n">
        <f aca="false">IF(J322&gt;0.01,J321/J322,IFERROR(SUMPRODUCT((Q_Idx&gt;LastHist)*PathSP)/SUMPRODUCT((Q_Idx&gt;LastHist)*EnNewIT),0))</f>
        <v>0</v>
      </c>
      <c r="K325" s="122" t="n">
        <f aca="false">IF(K322&gt;0.01,K321/K322,IFERROR(SUMPRODUCT((Q_Idx&gt;LastHist)*PathSP)/SUMPRODUCT((Q_Idx&gt;LastHist)*EnNewIT),0))</f>
        <v>9.14570454951001</v>
      </c>
      <c r="L325" s="122" t="n">
        <f aca="false">IF(L322&gt;0.01,L321/L322,IFERROR(SUMPRODUCT((Q_Idx&gt;LastHist)*PathSP)/SUMPRODUCT((Q_Idx&gt;LastHist)*EnNewIT),0))</f>
        <v>12.5</v>
      </c>
      <c r="M325" s="122" t="n">
        <f aca="false">IF(M322&gt;0.01,M321/M322,IFERROR(SUMPRODUCT((Q_Idx&gt;LastHist)*PathSP)/SUMPRODUCT((Q_Idx&gt;LastHist)*EnNewIT),0))</f>
        <v>3.5854713906912</v>
      </c>
      <c r="N325" s="122" t="n">
        <f aca="false">IF(N322&gt;0.01,N321/N322,IFERROR(SUMPRODUCT((Q_Idx&gt;LastHist)*PathSP)/SUMPRODUCT((Q_Idx&gt;LastHist)*EnNewIT),0))</f>
        <v>4.34876200681183</v>
      </c>
      <c r="O325" s="122" t="n">
        <f aca="false">IF(O322&gt;0.01,O321/O322,IFERROR(SUMPRODUCT((Q_Idx&gt;LastHist)*PathSP)/SUMPRODUCT((Q_Idx&gt;LastHist)*EnNewIT),0))</f>
        <v>0</v>
      </c>
      <c r="P325" s="32" t="n">
        <f aca="false">IF(P322&gt;0.01,P321/P322,IFERROR(SUMPRODUCT((Q_Idx&gt;LastHist)*PathSP)/SUMPRODUCT((Q_Idx&gt;LastHist)*EnNewIT),0))</f>
        <v>0</v>
      </c>
      <c r="Q325" s="32" t="n">
        <f aca="false">IF(Q322&gt;0.01,Q321/Q322,IFERROR(SUMPRODUCT((Q_Idx&gt;LastHist)*PathSP)/SUMPRODUCT((Q_Idx&gt;LastHist)*EnNewIT),0))</f>
        <v>0</v>
      </c>
      <c r="R325" s="32" t="n">
        <f aca="false">IF(R322&gt;0.01,R321/R322,IFERROR(SUMPRODUCT((Q_Idx&gt;LastHist)*PathSP)/SUMPRODUCT((Q_Idx&gt;LastHist)*EnNewIT),0))</f>
        <v>0.761046111154037</v>
      </c>
      <c r="S325" s="32" t="n">
        <f aca="false">IF(S322&gt;0.01,S321/S322,IFERROR(SUMPRODUCT((Q_Idx&gt;LastHist)*PathSP)/SUMPRODUCT((Q_Idx&gt;LastHist)*EnNewIT),0))</f>
        <v>1.74093236461671</v>
      </c>
      <c r="T325" s="32" t="n">
        <f aca="false">IF(T322&gt;0.01,T321/T322,IFERROR(SUMPRODUCT((Q_Idx&gt;LastHist)*PathSP)/SUMPRODUCT((Q_Idx&gt;LastHist)*EnNewIT),0))</f>
        <v>4.8321889654532</v>
      </c>
      <c r="U325" s="32" t="n">
        <f aca="false">IF(U322&gt;0.01,U321/U322,IFERROR(SUMPRODUCT((Q_Idx&gt;LastHist)*PathSP)/SUMPRODUCT((Q_Idx&gt;LastHist)*EnNewIT),0))</f>
        <v>7.08547698043286</v>
      </c>
      <c r="V325" s="32" t="n">
        <f aca="false">IF(V322&gt;0.01,V321/V322,IFERROR(SUMPRODUCT((Q_Idx&gt;LastHist)*PathSP)/SUMPRODUCT((Q_Idx&gt;LastHist)*EnNewIT),0))</f>
        <v>10.7845034392275</v>
      </c>
      <c r="W325" s="32" t="n">
        <f aca="false">IF(W322&gt;0.01,W321/W322,IFERROR(SUMPRODUCT((Q_Idx&gt;LastHist)*PathSP)/SUMPRODUCT((Q_Idx&gt;LastHist)*EnNewIT),0))</f>
        <v>12.5</v>
      </c>
      <c r="X325" s="32" t="n">
        <f aca="false">IF(X322&gt;0.01,X321/X322,IFERROR(SUMPRODUCT((Q_Idx&gt;LastHist)*PathSP)/SUMPRODUCT((Q_Idx&gt;LastHist)*EnNewIT),0))</f>
        <v>0</v>
      </c>
      <c r="Y325" s="32" t="n">
        <f aca="false">IF(Y322&gt;0.01,Y321/Y322,IFERROR(SUMPRODUCT((Q_Idx&gt;LastHist)*PathSP)/SUMPRODUCT((Q_Idx&gt;LastHist)*EnNewIT),0))</f>
        <v>10.6614243304528</v>
      </c>
      <c r="Z325" s="32" t="n">
        <f aca="false">IF(Z322&gt;0.01,Z321/Z322,IFERROR(SUMPRODUCT((Q_Idx&gt;LastHist)*PathSP)/SUMPRODUCT((Q_Idx&gt;LastHist)*EnNewIT),0))</f>
        <v>9.14570454951001</v>
      </c>
      <c r="AA325" s="32" t="n">
        <f aca="false">IF(AA322&gt;0.01,AA321/AA322,IFERROR(SUMPRODUCT((Q_Idx&gt;LastHist)*PathSP)/SUMPRODUCT((Q_Idx&gt;LastHist)*EnNewIT),0))</f>
        <v>12.5</v>
      </c>
      <c r="AB325" s="32" t="n">
        <f aca="false">IF(AB322&gt;0.01,AB321/AB322,IFERROR(SUMPRODUCT((Q_Idx&gt;LastHist)*PathSP)/SUMPRODUCT((Q_Idx&gt;LastHist)*EnNewIT),0))</f>
        <v>9.14570454951001</v>
      </c>
      <c r="AC325" s="32" t="n">
        <f aca="false">IF(AC322&gt;0.01,AC321/AC322,IFERROR(SUMPRODUCT((Q_Idx&gt;LastHist)*PathSP)/SUMPRODUCT((Q_Idx&gt;LastHist)*EnNewIT),0))</f>
        <v>12.5</v>
      </c>
      <c r="AD325" s="32" t="n">
        <f aca="false">IF(AD322&gt;0.01,AD321/AD322,IFERROR(SUMPRODUCT((Q_Idx&gt;LastHist)*PathSP)/SUMPRODUCT((Q_Idx&gt;LastHist)*EnNewIT),0))</f>
        <v>9.14570454951001</v>
      </c>
      <c r="AE325" s="32" t="n">
        <f aca="false">IF(AE322&gt;0.01,AE321/AE322,IFERROR(SUMPRODUCT((Q_Idx&gt;LastHist)*PathSP)/SUMPRODUCT((Q_Idx&gt;LastHist)*EnNewIT),0))</f>
        <v>9.14570454951001</v>
      </c>
      <c r="AF325" s="32" t="n">
        <f aca="false">IF(AF322&gt;0.01,AF321/AF322,IFERROR(SUMPRODUCT((Q_Idx&gt;LastHist)*PathSP)/SUMPRODUCT((Q_Idx&gt;LastHist)*EnNewIT),0))</f>
        <v>9.14570454951001</v>
      </c>
      <c r="AG325" s="32" t="n">
        <f aca="false">IF(AG322&gt;0.01,AG321/AG322,IFERROR(SUMPRODUCT((Q_Idx&gt;LastHist)*PathSP)/SUMPRODUCT((Q_Idx&gt;LastHist)*EnNewIT),0))</f>
        <v>12.5</v>
      </c>
      <c r="AI325" s="32" t="n">
        <f aca="false">SUMIF($F$7:$AG$7,AI$7,$F325:$AG325)</f>
        <v>30.79140909902</v>
      </c>
      <c r="AJ325" s="32" t="n">
        <f aca="false">SUMIF($F$7:$AG$7,AJ$7,$F325:$AG325)</f>
        <v>25.2311759402012</v>
      </c>
      <c r="AK325" s="32" t="n">
        <f aca="false">SUMIF($F$7:$AG$7,AK$7,$F325:$AG325)</f>
        <v>4.34876200681183</v>
      </c>
      <c r="AL325" s="32" t="n">
        <f aca="false">SUMIF($F$7:$AG$7,AL$7,$F325:$AG325)</f>
        <v>14.4196444216568</v>
      </c>
      <c r="AM325" s="32" t="n">
        <f aca="false">SUMIF($F$7:$AG$7,AM$7,$F325:$AG325)</f>
        <v>33.9459277696803</v>
      </c>
      <c r="AN325" s="32" t="n">
        <f aca="false">SUMIF($F$7:$AG$7,AN$7,$F325:$AG325)</f>
        <v>43.29140909902</v>
      </c>
      <c r="AO325" s="32" t="n">
        <f aca="false">SUMIF($F$7:$AG$7,AO$7,$F325:$AG325)</f>
        <v>39.93711364853</v>
      </c>
    </row>
    <row r="326" customFormat="false" ht="15" hidden="false" customHeight="false" outlineLevel="0" collapsed="false">
      <c r="A326" s="112" t="s">
        <v>1917</v>
      </c>
      <c r="B326" s="24" t="s">
        <v>857</v>
      </c>
      <c r="C326" s="24" t="s">
        <v>690</v>
      </c>
      <c r="D326" s="24" t="s">
        <v>1918</v>
      </c>
      <c r="F326" s="121" t="n">
        <f aca="false">F289*$F$12</f>
        <v>0</v>
      </c>
      <c r="G326" s="121" t="n">
        <f aca="false">G289*$F$12</f>
        <v>0</v>
      </c>
      <c r="H326" s="121" t="n">
        <f aca="false">H289*$F$12</f>
        <v>0</v>
      </c>
      <c r="I326" s="121" t="n">
        <f aca="false">I289*$F$12</f>
        <v>0</v>
      </c>
      <c r="J326" s="121" t="n">
        <f aca="false">J289*$F$12</f>
        <v>0</v>
      </c>
      <c r="K326" s="121" t="n">
        <f aca="false">K289*$F$12</f>
        <v>0</v>
      </c>
      <c r="L326" s="121" t="n">
        <f aca="false">L289*$F$12</f>
        <v>0</v>
      </c>
      <c r="M326" s="121" t="n">
        <f aca="false">M289*$F$12</f>
        <v>26.2</v>
      </c>
      <c r="N326" s="121" t="n">
        <f aca="false">N289*$F$12</f>
        <v>37.5</v>
      </c>
      <c r="O326" s="121" t="n">
        <f aca="false">O289*$F$12</f>
        <v>39</v>
      </c>
      <c r="P326" s="39" t="n">
        <f aca="false">P289*$F$12</f>
        <v>66</v>
      </c>
      <c r="Q326" s="39" t="n">
        <f aca="false">Q289*$F$12</f>
        <v>81.8</v>
      </c>
      <c r="R326" s="39" t="n">
        <f aca="false">R289*$F$12</f>
        <v>118.5</v>
      </c>
      <c r="S326" s="39" t="n">
        <f aca="false">S289*$F$12</f>
        <v>168.5</v>
      </c>
      <c r="T326" s="39" t="n">
        <f aca="false">T289*$F$12</f>
        <v>200</v>
      </c>
      <c r="U326" s="39" t="n">
        <f aca="false">U289*$F$12</f>
        <v>235</v>
      </c>
      <c r="V326" s="39" t="n">
        <f aca="false">V289*$F$12</f>
        <v>235</v>
      </c>
      <c r="W326" s="39" t="n">
        <f aca="false">W289*$F$12</f>
        <v>235</v>
      </c>
      <c r="X326" s="39" t="n">
        <f aca="false">X289*$F$12</f>
        <v>235</v>
      </c>
      <c r="Y326" s="39" t="n">
        <f aca="false">Y289*$F$12</f>
        <v>235</v>
      </c>
      <c r="Z326" s="39" t="n">
        <f aca="false">Z289*$F$12</f>
        <v>235</v>
      </c>
      <c r="AA326" s="39" t="n">
        <f aca="false">AA289*$F$12</f>
        <v>235</v>
      </c>
      <c r="AB326" s="39" t="n">
        <f aca="false">AB289*$F$12</f>
        <v>235</v>
      </c>
      <c r="AC326" s="39" t="n">
        <f aca="false">AC289*$F$12</f>
        <v>235</v>
      </c>
      <c r="AD326" s="39" t="n">
        <f aca="false">AD289*$F$12</f>
        <v>235</v>
      </c>
      <c r="AE326" s="39" t="n">
        <f aca="false">AE289*$F$12</f>
        <v>235</v>
      </c>
      <c r="AF326" s="39" t="n">
        <f aca="false">AF289*$F$12</f>
        <v>235</v>
      </c>
      <c r="AG326" s="39" t="n">
        <f aca="false">AG289*$F$12</f>
        <v>235</v>
      </c>
      <c r="AI326" s="39" t="n">
        <f aca="false">INDEX($F326:$AG326,1,MATCH(AI$7,$F$7:$AG$7,1))</f>
        <v>0</v>
      </c>
      <c r="AJ326" s="39" t="n">
        <f aca="false">INDEX($F326:$AG326,1,MATCH(AJ$7,$F$7:$AG$7,1))</f>
        <v>26.2</v>
      </c>
      <c r="AK326" s="39" t="n">
        <f aca="false">INDEX($F326:$AG326,1,MATCH(AK$7,$F$7:$AG$7,1))</f>
        <v>81.8</v>
      </c>
      <c r="AL326" s="39" t="n">
        <f aca="false">INDEX($F326:$AG326,1,MATCH(AL$7,$F$7:$AG$7,1))</f>
        <v>235</v>
      </c>
      <c r="AM326" s="39" t="n">
        <f aca="false">INDEX($F326:$AG326,1,MATCH(AM$7,$F$7:$AG$7,1))</f>
        <v>235</v>
      </c>
      <c r="AN326" s="39" t="n">
        <f aca="false">INDEX($F326:$AG326,1,MATCH(AN$7,$F$7:$AG$7,1))</f>
        <v>235</v>
      </c>
      <c r="AO326" s="39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1919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64" t="s">
        <v>1920</v>
      </c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</row>
    <row r="330" customFormat="false" ht="15" hidden="false" customHeight="false" outlineLevel="0" collapsed="false">
      <c r="A330" s="112" t="s">
        <v>1623</v>
      </c>
      <c r="B330" s="24" t="s">
        <v>857</v>
      </c>
      <c r="C330" s="24" t="s">
        <v>1176</v>
      </c>
      <c r="D330" s="24"/>
      <c r="AI330" s="114" t="n">
        <f aca="false">INDEX($F330:$AG330,1,MATCH(AI$7,$F$7:$AG$7,1))</f>
        <v>0</v>
      </c>
      <c r="AJ330" s="114" t="n">
        <f aca="false">INDEX($F330:$AG330,1,MATCH(AJ$7,$F$7:$AG$7,1))</f>
        <v>0</v>
      </c>
      <c r="AK330" s="114" t="n">
        <f aca="false">INDEX($F330:$AG330,1,MATCH(AK$7,$F$7:$AG$7,1))</f>
        <v>0</v>
      </c>
      <c r="AL330" s="114" t="n">
        <f aca="false">INDEX($F330:$AG330,1,MATCH(AL$7,$F$7:$AG$7,1))</f>
        <v>0</v>
      </c>
      <c r="AM330" s="114" t="n">
        <f aca="false">INDEX($F330:$AG330,1,MATCH(AM$7,$F$7:$AG$7,1))</f>
        <v>0</v>
      </c>
      <c r="AN330" s="114" t="n">
        <f aca="false">INDEX($F330:$AG330,1,MATCH(AN$7,$F$7:$AG$7,1))</f>
        <v>0</v>
      </c>
      <c r="AO330" s="114" t="n">
        <f aca="false">INDEX($F330:$AG330,1,MATCH(AO$7,$F$7:$AG$7,1))</f>
        <v>0</v>
      </c>
    </row>
    <row r="331" customFormat="false" ht="15" hidden="false" customHeight="false" outlineLevel="0" collapsed="false">
      <c r="A331" s="112" t="s">
        <v>1630</v>
      </c>
      <c r="B331" s="24" t="s">
        <v>857</v>
      </c>
      <c r="C331" s="24" t="s">
        <v>1176</v>
      </c>
      <c r="D331" s="24"/>
      <c r="AI331" s="114" t="n">
        <f aca="false">INDEX($F331:$AG331,1,MATCH(AI$7,$F$7:$AG$7,1))</f>
        <v>0</v>
      </c>
      <c r="AJ331" s="114" t="n">
        <f aca="false">INDEX($F331:$AG331,1,MATCH(AJ$7,$F$7:$AG$7,1))</f>
        <v>0</v>
      </c>
      <c r="AK331" s="114" t="n">
        <f aca="false">INDEX($F331:$AG331,1,MATCH(AK$7,$F$7:$AG$7,1))</f>
        <v>0</v>
      </c>
      <c r="AL331" s="114" t="n">
        <f aca="false">INDEX($F331:$AG331,1,MATCH(AL$7,$F$7:$AG$7,1))</f>
        <v>0</v>
      </c>
      <c r="AM331" s="114" t="n">
        <f aca="false">INDEX($F331:$AG331,1,MATCH(AM$7,$F$7:$AG$7,1))</f>
        <v>0</v>
      </c>
      <c r="AN331" s="114" t="n">
        <f aca="false">INDEX($F331:$AG331,1,MATCH(AN$7,$F$7:$AG$7,1))</f>
        <v>0</v>
      </c>
      <c r="AO331" s="114" t="n">
        <f aca="false">INDEX($F331:$AG331,1,MATCH(AO$7,$F$7:$AG$7,1))</f>
        <v>0</v>
      </c>
    </row>
    <row r="332" customFormat="false" ht="15" hidden="false" customHeight="false" outlineLevel="0" collapsed="false">
      <c r="A332" s="112" t="s">
        <v>1636</v>
      </c>
      <c r="B332" s="24" t="s">
        <v>857</v>
      </c>
      <c r="C332" s="24" t="s">
        <v>1176</v>
      </c>
      <c r="D332" s="24"/>
      <c r="AI332" s="114" t="n">
        <f aca="false">INDEX($F332:$AG332,1,MATCH(AI$7,$F$7:$AG$7,1))</f>
        <v>0</v>
      </c>
      <c r="AJ332" s="114" t="n">
        <f aca="false">INDEX($F332:$AG332,1,MATCH(AJ$7,$F$7:$AG$7,1))</f>
        <v>0</v>
      </c>
      <c r="AK332" s="114" t="n">
        <f aca="false">INDEX($F332:$AG332,1,MATCH(AK$7,$F$7:$AG$7,1))</f>
        <v>0</v>
      </c>
      <c r="AL332" s="114" t="n">
        <f aca="false">INDEX($F332:$AG332,1,MATCH(AL$7,$F$7:$AG$7,1))</f>
        <v>0</v>
      </c>
      <c r="AM332" s="114" t="n">
        <f aca="false">INDEX($F332:$AG332,1,MATCH(AM$7,$F$7:$AG$7,1))</f>
        <v>0</v>
      </c>
      <c r="AN332" s="114" t="n">
        <f aca="false">INDEX($F332:$AG332,1,MATCH(AN$7,$F$7:$AG$7,1))</f>
        <v>0</v>
      </c>
      <c r="AO332" s="114" t="n">
        <f aca="false">INDEX($F332:$AG332,1,MATCH(AO$7,$F$7:$AG$7,1))</f>
        <v>0</v>
      </c>
    </row>
    <row r="333" customFormat="false" ht="15" hidden="false" customHeight="false" outlineLevel="0" collapsed="false">
      <c r="A333" s="112" t="s">
        <v>1637</v>
      </c>
      <c r="B333" s="24" t="s">
        <v>857</v>
      </c>
      <c r="C333" s="24" t="s">
        <v>1176</v>
      </c>
      <c r="D333" s="24"/>
      <c r="AI333" s="114" t="n">
        <f aca="false">INDEX($F333:$AG333,1,MATCH(AI$7,$F$7:$AG$7,1))</f>
        <v>0</v>
      </c>
      <c r="AJ333" s="114" t="n">
        <f aca="false">INDEX($F333:$AG333,1,MATCH(AJ$7,$F$7:$AG$7,1))</f>
        <v>0</v>
      </c>
      <c r="AK333" s="114" t="n">
        <f aca="false">INDEX($F333:$AG333,1,MATCH(AK$7,$F$7:$AG$7,1))</f>
        <v>0</v>
      </c>
      <c r="AL333" s="114" t="n">
        <f aca="false">INDEX($F333:$AG333,1,MATCH(AL$7,$F$7:$AG$7,1))</f>
        <v>0</v>
      </c>
      <c r="AM333" s="114" t="n">
        <f aca="false">INDEX($F333:$AG333,1,MATCH(AM$7,$F$7:$AG$7,1))</f>
        <v>0</v>
      </c>
      <c r="AN333" s="114" t="n">
        <f aca="false">INDEX($F333:$AG333,1,MATCH(AN$7,$F$7:$AG$7,1))</f>
        <v>0</v>
      </c>
      <c r="AO333" s="114" t="n">
        <f aca="false">INDEX($F333:$AG333,1,MATCH(AO$7,$F$7:$AG$7,1))</f>
        <v>0</v>
      </c>
    </row>
    <row r="334" customFormat="false" ht="15" hidden="false" customHeight="false" outlineLevel="0" collapsed="false">
      <c r="A334" s="112" t="s">
        <v>1639</v>
      </c>
      <c r="B334" s="24" t="s">
        <v>857</v>
      </c>
      <c r="C334" s="24" t="s">
        <v>1176</v>
      </c>
      <c r="D334" s="24"/>
      <c r="AI334" s="114" t="n">
        <f aca="false">INDEX($F334:$AG334,1,MATCH(AI$7,$F$7:$AG$7,1))</f>
        <v>0</v>
      </c>
      <c r="AJ334" s="114" t="n">
        <f aca="false">INDEX($F334:$AG334,1,MATCH(AJ$7,$F$7:$AG$7,1))</f>
        <v>0</v>
      </c>
      <c r="AK334" s="114" t="n">
        <f aca="false">INDEX($F334:$AG334,1,MATCH(AK$7,$F$7:$AG$7,1))</f>
        <v>0</v>
      </c>
      <c r="AL334" s="114" t="n">
        <f aca="false">INDEX($F334:$AG334,1,MATCH(AL$7,$F$7:$AG$7,1))</f>
        <v>0</v>
      </c>
      <c r="AM334" s="114" t="n">
        <f aca="false">INDEX($F334:$AG334,1,MATCH(AM$7,$F$7:$AG$7,1))</f>
        <v>0</v>
      </c>
      <c r="AN334" s="114" t="n">
        <f aca="false">INDEX($F334:$AG334,1,MATCH(AN$7,$F$7:$AG$7,1))</f>
        <v>0</v>
      </c>
      <c r="AO334" s="114" t="n">
        <f aca="false">INDEX($F334:$AG334,1,MATCH(AO$7,$F$7:$AG$7,1))</f>
        <v>0</v>
      </c>
    </row>
    <row r="335" customFormat="false" ht="15" hidden="false" customHeight="false" outlineLevel="0" collapsed="false">
      <c r="A335" s="112" t="s">
        <v>1642</v>
      </c>
      <c r="B335" s="24" t="s">
        <v>857</v>
      </c>
      <c r="C335" s="24" t="s">
        <v>1176</v>
      </c>
      <c r="D335" s="24"/>
      <c r="AI335" s="114" t="n">
        <f aca="false">INDEX($F335:$AG335,1,MATCH(AI$7,$F$7:$AG$7,1))</f>
        <v>0</v>
      </c>
      <c r="AJ335" s="114" t="n">
        <f aca="false">INDEX($F335:$AG335,1,MATCH(AJ$7,$F$7:$AG$7,1))</f>
        <v>0</v>
      </c>
      <c r="AK335" s="114" t="n">
        <f aca="false">INDEX($F335:$AG335,1,MATCH(AK$7,$F$7:$AG$7,1))</f>
        <v>0</v>
      </c>
      <c r="AL335" s="114" t="n">
        <f aca="false">INDEX($F335:$AG335,1,MATCH(AL$7,$F$7:$AG$7,1))</f>
        <v>0</v>
      </c>
      <c r="AM335" s="114" t="n">
        <f aca="false">INDEX($F335:$AG335,1,MATCH(AM$7,$F$7:$AG$7,1))</f>
        <v>0</v>
      </c>
      <c r="AN335" s="114" t="n">
        <f aca="false">INDEX($F335:$AG335,1,MATCH(AN$7,$F$7:$AG$7,1))</f>
        <v>0</v>
      </c>
      <c r="AO335" s="114" t="n">
        <f aca="false">INDEX($F335:$AG335,1,MATCH(AO$7,$F$7:$AG$7,1))</f>
        <v>0</v>
      </c>
    </row>
    <row r="336" customFormat="false" ht="15" hidden="false" customHeight="false" outlineLevel="0" collapsed="false">
      <c r="A336" s="112" t="s">
        <v>1643</v>
      </c>
      <c r="B336" s="24" t="s">
        <v>857</v>
      </c>
      <c r="C336" s="24" t="s">
        <v>1176</v>
      </c>
      <c r="D336" s="24"/>
      <c r="AI336" s="114" t="n">
        <f aca="false">INDEX($F336:$AG336,1,MATCH(AI$7,$F$7:$AG$7,1))</f>
        <v>0</v>
      </c>
      <c r="AJ336" s="114" t="n">
        <f aca="false">INDEX($F336:$AG336,1,MATCH(AJ$7,$F$7:$AG$7,1))</f>
        <v>0</v>
      </c>
      <c r="AK336" s="114" t="n">
        <f aca="false">INDEX($F336:$AG336,1,MATCH(AK$7,$F$7:$AG$7,1))</f>
        <v>0</v>
      </c>
      <c r="AL336" s="114" t="n">
        <f aca="false">INDEX($F336:$AG336,1,MATCH(AL$7,$F$7:$AG$7,1))</f>
        <v>0</v>
      </c>
      <c r="AM336" s="114" t="n">
        <f aca="false">INDEX($F336:$AG336,1,MATCH(AM$7,$F$7:$AG$7,1))</f>
        <v>0</v>
      </c>
      <c r="AN336" s="114" t="n">
        <f aca="false">INDEX($F336:$AG336,1,MATCH(AN$7,$F$7:$AG$7,1))</f>
        <v>0</v>
      </c>
      <c r="AO336" s="114" t="n">
        <f aca="false">INDEX($F336:$AG336,1,MATCH(AO$7,$F$7:$AG$7,1))</f>
        <v>0</v>
      </c>
    </row>
    <row r="337" customFormat="false" ht="15" hidden="false" customHeight="false" outlineLevel="0" collapsed="false">
      <c r="A337" s="112" t="s">
        <v>1644</v>
      </c>
      <c r="B337" s="24" t="s">
        <v>857</v>
      </c>
      <c r="C337" s="24" t="s">
        <v>1176</v>
      </c>
      <c r="D337" s="24"/>
      <c r="AI337" s="114" t="n">
        <f aca="false">INDEX($F337:$AG337,1,MATCH(AI$7,$F$7:$AG$7,1))</f>
        <v>0</v>
      </c>
      <c r="AJ337" s="114" t="n">
        <f aca="false">INDEX($F337:$AG337,1,MATCH(AJ$7,$F$7:$AG$7,1))</f>
        <v>0</v>
      </c>
      <c r="AK337" s="114" t="n">
        <f aca="false">INDEX($F337:$AG337,1,MATCH(AK$7,$F$7:$AG$7,1))</f>
        <v>0</v>
      </c>
      <c r="AL337" s="114" t="n">
        <f aca="false">INDEX($F337:$AG337,1,MATCH(AL$7,$F$7:$AG$7,1))</f>
        <v>0</v>
      </c>
      <c r="AM337" s="114" t="n">
        <f aca="false">INDEX($F337:$AG337,1,MATCH(AM$7,$F$7:$AG$7,1))</f>
        <v>0</v>
      </c>
      <c r="AN337" s="114" t="n">
        <f aca="false">INDEX($F337:$AG337,1,MATCH(AN$7,$F$7:$AG$7,1))</f>
        <v>0</v>
      </c>
      <c r="AO337" s="114" t="n">
        <f aca="false">INDEX($F337:$AG337,1,MATCH(AO$7,$F$7:$AG$7,1))</f>
        <v>0</v>
      </c>
    </row>
    <row r="338" customFormat="false" ht="15" hidden="false" customHeight="false" outlineLevel="0" collapsed="false">
      <c r="A338" s="112" t="s">
        <v>1645</v>
      </c>
      <c r="B338" s="24" t="s">
        <v>857</v>
      </c>
      <c r="C338" s="24" t="s">
        <v>1176</v>
      </c>
      <c r="D338" s="24"/>
      <c r="AI338" s="114" t="n">
        <f aca="false">INDEX($F338:$AG338,1,MATCH(AI$7,$F$7:$AG$7,1))</f>
        <v>0</v>
      </c>
      <c r="AJ338" s="114" t="n">
        <f aca="false">INDEX($F338:$AG338,1,MATCH(AJ$7,$F$7:$AG$7,1))</f>
        <v>0</v>
      </c>
      <c r="AK338" s="114" t="n">
        <f aca="false">INDEX($F338:$AG338,1,MATCH(AK$7,$F$7:$AG$7,1))</f>
        <v>0</v>
      </c>
      <c r="AL338" s="114" t="n">
        <f aca="false">INDEX($F338:$AG338,1,MATCH(AL$7,$F$7:$AG$7,1))</f>
        <v>0</v>
      </c>
      <c r="AM338" s="114" t="n">
        <f aca="false">INDEX($F338:$AG338,1,MATCH(AM$7,$F$7:$AG$7,1))</f>
        <v>0</v>
      </c>
      <c r="AN338" s="114" t="n">
        <f aca="false">INDEX($F338:$AG338,1,MATCH(AN$7,$F$7:$AG$7,1))</f>
        <v>0</v>
      </c>
      <c r="AO338" s="114" t="n">
        <f aca="false">INDEX($F338:$AG338,1,MATCH(AO$7,$F$7:$AG$7,1))</f>
        <v>0</v>
      </c>
    </row>
    <row r="339" customFormat="false" ht="15" hidden="false" customHeight="false" outlineLevel="0" collapsed="false">
      <c r="A339" s="112" t="s">
        <v>1647</v>
      </c>
      <c r="B339" s="24" t="s">
        <v>857</v>
      </c>
      <c r="C339" s="24" t="s">
        <v>1176</v>
      </c>
      <c r="D339" s="24"/>
      <c r="AI339" s="114" t="n">
        <f aca="false">INDEX($F339:$AG339,1,MATCH(AI$7,$F$7:$AG$7,1))</f>
        <v>0</v>
      </c>
      <c r="AJ339" s="114" t="n">
        <f aca="false">INDEX($F339:$AG339,1,MATCH(AJ$7,$F$7:$AG$7,1))</f>
        <v>0</v>
      </c>
      <c r="AK339" s="114" t="n">
        <f aca="false">INDEX($F339:$AG339,1,MATCH(AK$7,$F$7:$AG$7,1))</f>
        <v>0</v>
      </c>
      <c r="AL339" s="114" t="n">
        <f aca="false">INDEX($F339:$AG339,1,MATCH(AL$7,$F$7:$AG$7,1))</f>
        <v>0</v>
      </c>
      <c r="AM339" s="114" t="n">
        <f aca="false">INDEX($F339:$AG339,1,MATCH(AM$7,$F$7:$AG$7,1))</f>
        <v>0</v>
      </c>
      <c r="AN339" s="114" t="n">
        <f aca="false">INDEX($F339:$AG339,1,MATCH(AN$7,$F$7:$AG$7,1))</f>
        <v>0</v>
      </c>
      <c r="AO339" s="114" t="n">
        <f aca="false">INDEX($F339:$AG339,1,MATCH(AO$7,$F$7:$AG$7,1))</f>
        <v>0</v>
      </c>
    </row>
    <row r="340" customFormat="false" ht="15" hidden="false" customHeight="false" outlineLevel="0" collapsed="false">
      <c r="A340" s="112" t="s">
        <v>1649</v>
      </c>
      <c r="B340" s="24" t="s">
        <v>857</v>
      </c>
      <c r="C340" s="24" t="s">
        <v>1176</v>
      </c>
      <c r="D340" s="24"/>
      <c r="AI340" s="114" t="n">
        <f aca="false">INDEX($F340:$AG340,1,MATCH(AI$7,$F$7:$AG$7,1))</f>
        <v>0</v>
      </c>
      <c r="AJ340" s="114" t="n">
        <f aca="false">INDEX($F340:$AG340,1,MATCH(AJ$7,$F$7:$AG$7,1))</f>
        <v>0</v>
      </c>
      <c r="AK340" s="114" t="n">
        <f aca="false">INDEX($F340:$AG340,1,MATCH(AK$7,$F$7:$AG$7,1))</f>
        <v>0</v>
      </c>
      <c r="AL340" s="114" t="n">
        <f aca="false">INDEX($F340:$AG340,1,MATCH(AL$7,$F$7:$AG$7,1))</f>
        <v>0</v>
      </c>
      <c r="AM340" s="114" t="n">
        <f aca="false">INDEX($F340:$AG340,1,MATCH(AM$7,$F$7:$AG$7,1))</f>
        <v>0</v>
      </c>
      <c r="AN340" s="114" t="n">
        <f aca="false">INDEX($F340:$AG340,1,MATCH(AN$7,$F$7:$AG$7,1))</f>
        <v>0</v>
      </c>
      <c r="AO340" s="114" t="n">
        <f aca="false">INDEX($F340:$AG340,1,MATCH(AO$7,$F$7:$AG$7,1))</f>
        <v>0</v>
      </c>
    </row>
    <row r="341" customFormat="false" ht="15" hidden="false" customHeight="false" outlineLevel="0" collapsed="false">
      <c r="A341" s="112" t="s">
        <v>1650</v>
      </c>
      <c r="B341" s="24" t="s">
        <v>857</v>
      </c>
      <c r="C341" s="24" t="s">
        <v>1176</v>
      </c>
      <c r="D341" s="24"/>
      <c r="AI341" s="114" t="n">
        <f aca="false">INDEX($F341:$AG341,1,MATCH(AI$7,$F$7:$AG$7,1))</f>
        <v>0</v>
      </c>
      <c r="AJ341" s="114" t="n">
        <f aca="false">INDEX($F341:$AG341,1,MATCH(AJ$7,$F$7:$AG$7,1))</f>
        <v>0</v>
      </c>
      <c r="AK341" s="114" t="n">
        <f aca="false">INDEX($F341:$AG341,1,MATCH(AK$7,$F$7:$AG$7,1))</f>
        <v>0</v>
      </c>
      <c r="AL341" s="114" t="n">
        <f aca="false">INDEX($F341:$AG341,1,MATCH(AL$7,$F$7:$AG$7,1))</f>
        <v>0</v>
      </c>
      <c r="AM341" s="114" t="n">
        <f aca="false">INDEX($F341:$AG341,1,MATCH(AM$7,$F$7:$AG$7,1))</f>
        <v>0</v>
      </c>
      <c r="AN341" s="114" t="n">
        <f aca="false">INDEX($F341:$AG341,1,MATCH(AN$7,$F$7:$AG$7,1))</f>
        <v>0</v>
      </c>
      <c r="AO341" s="114" t="n">
        <f aca="false">INDEX($F341:$AG341,1,MATCH(AO$7,$F$7:$AG$7,1))</f>
        <v>0</v>
      </c>
    </row>
    <row r="342" customFormat="false" ht="15" hidden="false" customHeight="false" outlineLevel="0" collapsed="false">
      <c r="A342" s="112" t="s">
        <v>1652</v>
      </c>
      <c r="B342" s="24" t="s">
        <v>857</v>
      </c>
      <c r="C342" s="24" t="s">
        <v>1176</v>
      </c>
      <c r="D342" s="24"/>
      <c r="AI342" s="114" t="n">
        <f aca="false">INDEX($F342:$AG342,1,MATCH(AI$7,$F$7:$AG$7,1))</f>
        <v>0</v>
      </c>
      <c r="AJ342" s="114" t="n">
        <f aca="false">INDEX($F342:$AG342,1,MATCH(AJ$7,$F$7:$AG$7,1))</f>
        <v>0</v>
      </c>
      <c r="AK342" s="114" t="n">
        <f aca="false">INDEX($F342:$AG342,1,MATCH(AK$7,$F$7:$AG$7,1))</f>
        <v>0</v>
      </c>
      <c r="AL342" s="114" t="n">
        <f aca="false">INDEX($F342:$AG342,1,MATCH(AL$7,$F$7:$AG$7,1))</f>
        <v>0</v>
      </c>
      <c r="AM342" s="114" t="n">
        <f aca="false">INDEX($F342:$AG342,1,MATCH(AM$7,$F$7:$AG$7,1))</f>
        <v>0</v>
      </c>
      <c r="AN342" s="114" t="n">
        <f aca="false">INDEX($F342:$AG342,1,MATCH(AN$7,$F$7:$AG$7,1))</f>
        <v>0</v>
      </c>
      <c r="AO342" s="114" t="n">
        <f aca="false">INDEX($F342:$AG342,1,MATCH(AO$7,$F$7:$AG$7,1))</f>
        <v>0</v>
      </c>
    </row>
    <row r="343" customFormat="false" ht="15" hidden="false" customHeight="false" outlineLevel="0" collapsed="false">
      <c r="A343" s="112" t="s">
        <v>1653</v>
      </c>
      <c r="B343" s="24" t="s">
        <v>857</v>
      </c>
      <c r="C343" s="24" t="s">
        <v>1176</v>
      </c>
      <c r="D343" s="24"/>
      <c r="AI343" s="114" t="n">
        <f aca="false">INDEX($F343:$AG343,1,MATCH(AI$7,$F$7:$AG$7,1))</f>
        <v>0</v>
      </c>
      <c r="AJ343" s="114" t="n">
        <f aca="false">INDEX($F343:$AG343,1,MATCH(AJ$7,$F$7:$AG$7,1))</f>
        <v>0</v>
      </c>
      <c r="AK343" s="114" t="n">
        <f aca="false">INDEX($F343:$AG343,1,MATCH(AK$7,$F$7:$AG$7,1))</f>
        <v>0</v>
      </c>
      <c r="AL343" s="114" t="n">
        <f aca="false">INDEX($F343:$AG343,1,MATCH(AL$7,$F$7:$AG$7,1))</f>
        <v>0</v>
      </c>
      <c r="AM343" s="114" t="n">
        <f aca="false">INDEX($F343:$AG343,1,MATCH(AM$7,$F$7:$AG$7,1))</f>
        <v>0</v>
      </c>
      <c r="AN343" s="114" t="n">
        <f aca="false">INDEX($F343:$AG343,1,MATCH(AN$7,$F$7:$AG$7,1))</f>
        <v>0</v>
      </c>
      <c r="AO343" s="114" t="n">
        <f aca="false">INDEX($F343:$AG343,1,MATCH(AO$7,$F$7:$AG$7,1))</f>
        <v>0</v>
      </c>
    </row>
    <row r="344" customFormat="false" ht="15" hidden="false" customHeight="false" outlineLevel="0" collapsed="false">
      <c r="A344" s="112" t="s">
        <v>1654</v>
      </c>
      <c r="B344" s="24" t="s">
        <v>857</v>
      </c>
      <c r="C344" s="24" t="s">
        <v>1176</v>
      </c>
      <c r="D344" s="24"/>
      <c r="AI344" s="114" t="n">
        <f aca="false">INDEX($F344:$AG344,1,MATCH(AI$7,$F$7:$AG$7,1))</f>
        <v>0</v>
      </c>
      <c r="AJ344" s="114" t="n">
        <f aca="false">INDEX($F344:$AG344,1,MATCH(AJ$7,$F$7:$AG$7,1))</f>
        <v>0</v>
      </c>
      <c r="AK344" s="114" t="n">
        <f aca="false">INDEX($F344:$AG344,1,MATCH(AK$7,$F$7:$AG$7,1))</f>
        <v>0</v>
      </c>
      <c r="AL344" s="114" t="n">
        <f aca="false">INDEX($F344:$AG344,1,MATCH(AL$7,$F$7:$AG$7,1))</f>
        <v>0</v>
      </c>
      <c r="AM344" s="114" t="n">
        <f aca="false">INDEX($F344:$AG344,1,MATCH(AM$7,$F$7:$AG$7,1))</f>
        <v>0</v>
      </c>
      <c r="AN344" s="114" t="n">
        <f aca="false">INDEX($F344:$AG344,1,MATCH(AN$7,$F$7:$AG$7,1))</f>
        <v>0</v>
      </c>
      <c r="AO344" s="114" t="n">
        <f aca="false">INDEX($F344:$AG344,1,MATCH(AO$7,$F$7:$AG$7,1))</f>
        <v>0</v>
      </c>
    </row>
    <row r="345" customFormat="false" ht="15" hidden="false" customHeight="false" outlineLevel="0" collapsed="false">
      <c r="A345" s="112" t="s">
        <v>1656</v>
      </c>
      <c r="B345" s="24" t="s">
        <v>857</v>
      </c>
      <c r="C345" s="24" t="s">
        <v>1176</v>
      </c>
      <c r="D345" s="24"/>
      <c r="AI345" s="114" t="n">
        <f aca="false">INDEX($F345:$AG345,1,MATCH(AI$7,$F$7:$AG$7,1))</f>
        <v>0</v>
      </c>
      <c r="AJ345" s="114" t="n">
        <f aca="false">INDEX($F345:$AG345,1,MATCH(AJ$7,$F$7:$AG$7,1))</f>
        <v>0</v>
      </c>
      <c r="AK345" s="114" t="n">
        <f aca="false">INDEX($F345:$AG345,1,MATCH(AK$7,$F$7:$AG$7,1))</f>
        <v>0</v>
      </c>
      <c r="AL345" s="114" t="n">
        <f aca="false">INDEX($F345:$AG345,1,MATCH(AL$7,$F$7:$AG$7,1))</f>
        <v>0</v>
      </c>
      <c r="AM345" s="114" t="n">
        <f aca="false">INDEX($F345:$AG345,1,MATCH(AM$7,$F$7:$AG$7,1))</f>
        <v>0</v>
      </c>
      <c r="AN345" s="114" t="n">
        <f aca="false">INDEX($F345:$AG345,1,MATCH(AN$7,$F$7:$AG$7,1))</f>
        <v>0</v>
      </c>
      <c r="AO345" s="114" t="n">
        <f aca="false">INDEX($F345:$AG345,1,MATCH(AO$7,$F$7:$AG$7,1))</f>
        <v>0</v>
      </c>
    </row>
    <row r="346" customFormat="false" ht="15" hidden="false" customHeight="false" outlineLevel="0" collapsed="false">
      <c r="A346" s="112" t="s">
        <v>1657</v>
      </c>
      <c r="B346" s="24" t="s">
        <v>857</v>
      </c>
      <c r="C346" s="24" t="s">
        <v>1176</v>
      </c>
      <c r="D346" s="24"/>
      <c r="AI346" s="114" t="n">
        <f aca="false">INDEX($F346:$AG346,1,MATCH(AI$7,$F$7:$AG$7,1))</f>
        <v>0</v>
      </c>
      <c r="AJ346" s="114" t="n">
        <f aca="false">INDEX($F346:$AG346,1,MATCH(AJ$7,$F$7:$AG$7,1))</f>
        <v>0</v>
      </c>
      <c r="AK346" s="114" t="n">
        <f aca="false">INDEX($F346:$AG346,1,MATCH(AK$7,$F$7:$AG$7,1))</f>
        <v>0</v>
      </c>
      <c r="AL346" s="114" t="n">
        <f aca="false">INDEX($F346:$AG346,1,MATCH(AL$7,$F$7:$AG$7,1))</f>
        <v>0</v>
      </c>
      <c r="AM346" s="114" t="n">
        <f aca="false">INDEX($F346:$AG346,1,MATCH(AM$7,$F$7:$AG$7,1))</f>
        <v>0</v>
      </c>
      <c r="AN346" s="114" t="n">
        <f aca="false">INDEX($F346:$AG346,1,MATCH(AN$7,$F$7:$AG$7,1))</f>
        <v>0</v>
      </c>
      <c r="AO346" s="114" t="n">
        <f aca="false">INDEX($F346:$AG346,1,MATCH(AO$7,$F$7:$AG$7,1))</f>
        <v>0</v>
      </c>
    </row>
    <row r="347" customFormat="false" ht="15" hidden="false" customHeight="false" outlineLevel="0" collapsed="false">
      <c r="A347" s="112" t="s">
        <v>1658</v>
      </c>
      <c r="B347" s="24" t="s">
        <v>857</v>
      </c>
      <c r="C347" s="24" t="s">
        <v>1176</v>
      </c>
      <c r="D347" s="24"/>
      <c r="AI347" s="114" t="n">
        <f aca="false">INDEX($F347:$AG347,1,MATCH(AI$7,$F$7:$AG$7,1))</f>
        <v>0</v>
      </c>
      <c r="AJ347" s="114" t="n">
        <f aca="false">INDEX($F347:$AG347,1,MATCH(AJ$7,$F$7:$AG$7,1))</f>
        <v>0</v>
      </c>
      <c r="AK347" s="114" t="n">
        <f aca="false">INDEX($F347:$AG347,1,MATCH(AK$7,$F$7:$AG$7,1))</f>
        <v>0</v>
      </c>
      <c r="AL347" s="114" t="n">
        <f aca="false">INDEX($F347:$AG347,1,MATCH(AL$7,$F$7:$AG$7,1))</f>
        <v>0</v>
      </c>
      <c r="AM347" s="114" t="n">
        <f aca="false">INDEX($F347:$AG347,1,MATCH(AM$7,$F$7:$AG$7,1))</f>
        <v>0</v>
      </c>
      <c r="AN347" s="114" t="n">
        <f aca="false">INDEX($F347:$AG347,1,MATCH(AN$7,$F$7:$AG$7,1))</f>
        <v>0</v>
      </c>
      <c r="AO347" s="114" t="n">
        <f aca="false">INDEX($F347:$AG347,1,MATCH(AO$7,$F$7:$AG$7,1))</f>
        <v>0</v>
      </c>
    </row>
    <row r="348" customFormat="false" ht="15" hidden="false" customHeight="false" outlineLevel="0" collapsed="false">
      <c r="A348" s="112" t="s">
        <v>1659</v>
      </c>
      <c r="B348" s="24" t="s">
        <v>857</v>
      </c>
      <c r="C348" s="24" t="s">
        <v>1176</v>
      </c>
      <c r="D348" s="24"/>
      <c r="AI348" s="114" t="n">
        <f aca="false">INDEX($F348:$AG348,1,MATCH(AI$7,$F$7:$AG$7,1))</f>
        <v>0</v>
      </c>
      <c r="AJ348" s="114" t="n">
        <f aca="false">INDEX($F348:$AG348,1,MATCH(AJ$7,$F$7:$AG$7,1))</f>
        <v>0</v>
      </c>
      <c r="AK348" s="114" t="n">
        <f aca="false">INDEX($F348:$AG348,1,MATCH(AK$7,$F$7:$AG$7,1))</f>
        <v>0</v>
      </c>
      <c r="AL348" s="114" t="n">
        <f aca="false">INDEX($F348:$AG348,1,MATCH(AL$7,$F$7:$AG$7,1))</f>
        <v>0</v>
      </c>
      <c r="AM348" s="114" t="n">
        <f aca="false">INDEX($F348:$AG348,1,MATCH(AM$7,$F$7:$AG$7,1))</f>
        <v>0</v>
      </c>
      <c r="AN348" s="114" t="n">
        <f aca="false">INDEX($F348:$AG348,1,MATCH(AN$7,$F$7:$AG$7,1))</f>
        <v>0</v>
      </c>
      <c r="AO348" s="114" t="n">
        <f aca="false">INDEX($F348:$AG348,1,MATCH(AO$7,$F$7:$AG$7,1))</f>
        <v>0</v>
      </c>
    </row>
    <row r="349" customFormat="false" ht="15" hidden="false" customHeight="false" outlineLevel="0" collapsed="false">
      <c r="A349" s="112" t="s">
        <v>1660</v>
      </c>
      <c r="B349" s="24" t="s">
        <v>857</v>
      </c>
      <c r="C349" s="24" t="s">
        <v>1176</v>
      </c>
      <c r="D349" s="24"/>
      <c r="AI349" s="114" t="n">
        <f aca="false">INDEX($F349:$AG349,1,MATCH(AI$7,$F$7:$AG$7,1))</f>
        <v>0</v>
      </c>
      <c r="AJ349" s="114" t="n">
        <f aca="false">INDEX($F349:$AG349,1,MATCH(AJ$7,$F$7:$AG$7,1))</f>
        <v>0</v>
      </c>
      <c r="AK349" s="114" t="n">
        <f aca="false">INDEX($F349:$AG349,1,MATCH(AK$7,$F$7:$AG$7,1))</f>
        <v>0</v>
      </c>
      <c r="AL349" s="114" t="n">
        <f aca="false">INDEX($F349:$AG349,1,MATCH(AL$7,$F$7:$AG$7,1))</f>
        <v>0</v>
      </c>
      <c r="AM349" s="114" t="n">
        <f aca="false">INDEX($F349:$AG349,1,MATCH(AM$7,$F$7:$AG$7,1))</f>
        <v>0</v>
      </c>
      <c r="AN349" s="114" t="n">
        <f aca="false">INDEX($F349:$AG349,1,MATCH(AN$7,$F$7:$AG$7,1))</f>
        <v>0</v>
      </c>
      <c r="AO349" s="114" t="n">
        <f aca="false">INDEX($F349:$AG349,1,MATCH(AO$7,$F$7:$AG$7,1))</f>
        <v>0</v>
      </c>
    </row>
    <row r="350" customFormat="false" ht="15" hidden="false" customHeight="false" outlineLevel="0" collapsed="false">
      <c r="A350" s="112" t="s">
        <v>1662</v>
      </c>
      <c r="B350" s="24" t="s">
        <v>857</v>
      </c>
      <c r="C350" s="24" t="s">
        <v>1176</v>
      </c>
      <c r="D350" s="24"/>
      <c r="AI350" s="114" t="n">
        <f aca="false">INDEX($F350:$AG350,1,MATCH(AI$7,$F$7:$AG$7,1))</f>
        <v>0</v>
      </c>
      <c r="AJ350" s="114" t="n">
        <f aca="false">INDEX($F350:$AG350,1,MATCH(AJ$7,$F$7:$AG$7,1))</f>
        <v>0</v>
      </c>
      <c r="AK350" s="114" t="n">
        <f aca="false">INDEX($F350:$AG350,1,MATCH(AK$7,$F$7:$AG$7,1))</f>
        <v>0</v>
      </c>
      <c r="AL350" s="114" t="n">
        <f aca="false">INDEX($F350:$AG350,1,MATCH(AL$7,$F$7:$AG$7,1))</f>
        <v>0</v>
      </c>
      <c r="AM350" s="114" t="n">
        <f aca="false">INDEX($F350:$AG350,1,MATCH(AM$7,$F$7:$AG$7,1))</f>
        <v>0</v>
      </c>
      <c r="AN350" s="114" t="n">
        <f aca="false">INDEX($F350:$AG350,1,MATCH(AN$7,$F$7:$AG$7,1))</f>
        <v>0</v>
      </c>
      <c r="AO350" s="114" t="n">
        <f aca="false">INDEX($F350:$AG350,1,MATCH(AO$7,$F$7:$AG$7,1))</f>
        <v>0</v>
      </c>
    </row>
    <row r="351" customFormat="false" ht="15" hidden="false" customHeight="false" outlineLevel="0" collapsed="false">
      <c r="A351" s="112" t="s">
        <v>1663</v>
      </c>
      <c r="B351" s="24" t="s">
        <v>857</v>
      </c>
      <c r="C351" s="24" t="s">
        <v>1176</v>
      </c>
      <c r="D351" s="24"/>
      <c r="AI351" s="114" t="n">
        <f aca="false">INDEX($F351:$AG351,1,MATCH(AI$7,$F$7:$AG$7,1))</f>
        <v>0</v>
      </c>
      <c r="AJ351" s="114" t="n">
        <f aca="false">INDEX($F351:$AG351,1,MATCH(AJ$7,$F$7:$AG$7,1))</f>
        <v>0</v>
      </c>
      <c r="AK351" s="114" t="n">
        <f aca="false">INDEX($F351:$AG351,1,MATCH(AK$7,$F$7:$AG$7,1))</f>
        <v>0</v>
      </c>
      <c r="AL351" s="114" t="n">
        <f aca="false">INDEX($F351:$AG351,1,MATCH(AL$7,$F$7:$AG$7,1))</f>
        <v>0</v>
      </c>
      <c r="AM351" s="114" t="n">
        <f aca="false">INDEX($F351:$AG351,1,MATCH(AM$7,$F$7:$AG$7,1))</f>
        <v>0</v>
      </c>
      <c r="AN351" s="114" t="n">
        <f aca="false">INDEX($F351:$AG351,1,MATCH(AN$7,$F$7:$AG$7,1))</f>
        <v>0</v>
      </c>
      <c r="AO351" s="114" t="n">
        <f aca="false">INDEX($F351:$AG351,1,MATCH(AO$7,$F$7:$AG$7,1))</f>
        <v>0</v>
      </c>
    </row>
    <row r="352" customFormat="false" ht="15" hidden="false" customHeight="false" outlineLevel="0" collapsed="false">
      <c r="A352" s="112" t="s">
        <v>1665</v>
      </c>
      <c r="B352" s="24" t="s">
        <v>857</v>
      </c>
      <c r="C352" s="24" t="s">
        <v>1176</v>
      </c>
      <c r="D352" s="24"/>
      <c r="AI352" s="114" t="n">
        <f aca="false">INDEX($F352:$AG352,1,MATCH(AI$7,$F$7:$AG$7,1))</f>
        <v>0</v>
      </c>
      <c r="AJ352" s="114" t="n">
        <f aca="false">INDEX($F352:$AG352,1,MATCH(AJ$7,$F$7:$AG$7,1))</f>
        <v>0</v>
      </c>
      <c r="AK352" s="114" t="n">
        <f aca="false">INDEX($F352:$AG352,1,MATCH(AK$7,$F$7:$AG$7,1))</f>
        <v>0</v>
      </c>
      <c r="AL352" s="114" t="n">
        <f aca="false">INDEX($F352:$AG352,1,MATCH(AL$7,$F$7:$AG$7,1))</f>
        <v>0</v>
      </c>
      <c r="AM352" s="114" t="n">
        <f aca="false">INDEX($F352:$AG352,1,MATCH(AM$7,$F$7:$AG$7,1))</f>
        <v>0</v>
      </c>
      <c r="AN352" s="114" t="n">
        <f aca="false">INDEX($F352:$AG352,1,MATCH(AN$7,$F$7:$AG$7,1))</f>
        <v>0</v>
      </c>
      <c r="AO352" s="114" t="n">
        <f aca="false">INDEX($F352:$AG352,1,MATCH(AO$7,$F$7:$AG$7,1))</f>
        <v>0</v>
      </c>
    </row>
    <row r="353" customFormat="false" ht="15" hidden="false" customHeight="false" outlineLevel="0" collapsed="false">
      <c r="A353" s="112" t="s">
        <v>1666</v>
      </c>
      <c r="B353" s="24" t="s">
        <v>857</v>
      </c>
      <c r="C353" s="24" t="s">
        <v>1176</v>
      </c>
      <c r="D353" s="24"/>
      <c r="AI353" s="114" t="n">
        <f aca="false">INDEX($F353:$AG353,1,MATCH(AI$7,$F$7:$AG$7,1))</f>
        <v>0</v>
      </c>
      <c r="AJ353" s="114" t="n">
        <f aca="false">INDEX($F353:$AG353,1,MATCH(AJ$7,$F$7:$AG$7,1))</f>
        <v>0</v>
      </c>
      <c r="AK353" s="114" t="n">
        <f aca="false">INDEX($F353:$AG353,1,MATCH(AK$7,$F$7:$AG$7,1))</f>
        <v>0</v>
      </c>
      <c r="AL353" s="114" t="n">
        <f aca="false">INDEX($F353:$AG353,1,MATCH(AL$7,$F$7:$AG$7,1))</f>
        <v>0</v>
      </c>
      <c r="AM353" s="114" t="n">
        <f aca="false">INDEX($F353:$AG353,1,MATCH(AM$7,$F$7:$AG$7,1))</f>
        <v>0</v>
      </c>
      <c r="AN353" s="114" t="n">
        <f aca="false">INDEX($F353:$AG353,1,MATCH(AN$7,$F$7:$AG$7,1))</f>
        <v>0</v>
      </c>
      <c r="AO353" s="114" t="n">
        <f aca="false">INDEX($F353:$AG353,1,MATCH(AO$7,$F$7:$AG$7,1))</f>
        <v>0</v>
      </c>
    </row>
    <row r="354" customFormat="false" ht="15" hidden="false" customHeight="false" outlineLevel="0" collapsed="false">
      <c r="A354" s="112" t="s">
        <v>1668</v>
      </c>
      <c r="B354" s="24" t="s">
        <v>857</v>
      </c>
      <c r="C354" s="24" t="s">
        <v>1176</v>
      </c>
      <c r="D354" s="24"/>
      <c r="AI354" s="114" t="n">
        <f aca="false">INDEX($F354:$AG354,1,MATCH(AI$7,$F$7:$AG$7,1))</f>
        <v>0</v>
      </c>
      <c r="AJ354" s="114" t="n">
        <f aca="false">INDEX($F354:$AG354,1,MATCH(AJ$7,$F$7:$AG$7,1))</f>
        <v>0</v>
      </c>
      <c r="AK354" s="114" t="n">
        <f aca="false">INDEX($F354:$AG354,1,MATCH(AK$7,$F$7:$AG$7,1))</f>
        <v>0</v>
      </c>
      <c r="AL354" s="114" t="n">
        <f aca="false">INDEX($F354:$AG354,1,MATCH(AL$7,$F$7:$AG$7,1))</f>
        <v>0</v>
      </c>
      <c r="AM354" s="114" t="n">
        <f aca="false">INDEX($F354:$AG354,1,MATCH(AM$7,$F$7:$AG$7,1))</f>
        <v>0</v>
      </c>
      <c r="AN354" s="114" t="n">
        <f aca="false">INDEX($F354:$AG354,1,MATCH(AN$7,$F$7:$AG$7,1))</f>
        <v>0</v>
      </c>
      <c r="AO354" s="114" t="n">
        <f aca="false">INDEX($F354:$AG354,1,MATCH(AO$7,$F$7:$AG$7,1))</f>
        <v>0</v>
      </c>
    </row>
    <row r="355" customFormat="false" ht="15" hidden="false" customHeight="false" outlineLevel="0" collapsed="false">
      <c r="A355" s="112" t="s">
        <v>1903</v>
      </c>
      <c r="B355" s="24" t="s">
        <v>857</v>
      </c>
      <c r="C355" s="24" t="s">
        <v>1176</v>
      </c>
      <c r="D355" s="24" t="s">
        <v>1921</v>
      </c>
      <c r="E355" s="0" t="s">
        <v>1625</v>
      </c>
      <c r="F355" s="113" t="n">
        <v>8.5</v>
      </c>
      <c r="G355" s="113" t="n">
        <v>10.8</v>
      </c>
      <c r="H355" s="113" t="n">
        <v>24</v>
      </c>
      <c r="I355" s="113" t="n">
        <v>26.3</v>
      </c>
      <c r="J355" s="113" t="n">
        <v>38</v>
      </c>
      <c r="K355" s="113" t="n">
        <v>78.5</v>
      </c>
      <c r="L355" s="113" t="n">
        <v>109.1</v>
      </c>
      <c r="M355" s="118" t="n">
        <v>170</v>
      </c>
      <c r="N355" s="113" t="n">
        <v>291.7</v>
      </c>
      <c r="O355" s="113" t="n">
        <v>413.3</v>
      </c>
      <c r="P355" s="113" t="n">
        <v>650</v>
      </c>
      <c r="Q355" s="113" t="n">
        <v>900</v>
      </c>
      <c r="R355" s="113" t="n">
        <v>1125</v>
      </c>
      <c r="S355" s="113" t="n">
        <v>1350</v>
      </c>
      <c r="T355" s="113" t="n">
        <v>1575</v>
      </c>
      <c r="U355" s="113" t="n">
        <v>1800</v>
      </c>
      <c r="V355" s="113" t="n">
        <v>2050</v>
      </c>
      <c r="W355" s="113" t="n">
        <v>2300</v>
      </c>
      <c r="X355" s="113" t="n">
        <v>2550</v>
      </c>
      <c r="Y355" s="113" t="n">
        <v>2800</v>
      </c>
      <c r="Z355" s="113" t="n">
        <v>3050</v>
      </c>
      <c r="AA355" s="113" t="n">
        <v>3300</v>
      </c>
      <c r="AB355" s="113" t="n">
        <v>3550</v>
      </c>
      <c r="AC355" s="113" t="n">
        <v>3800</v>
      </c>
      <c r="AD355" s="113" t="n">
        <v>4050</v>
      </c>
      <c r="AE355" s="113" t="n">
        <v>4300</v>
      </c>
      <c r="AF355" s="113" t="n">
        <v>4550</v>
      </c>
      <c r="AG355" s="113" t="n">
        <v>4800</v>
      </c>
      <c r="AI355" s="114" t="n">
        <f aca="false">INDEX($F355:$AG355,1,MATCH(AI$7,$F$7:$AG$7,1))</f>
        <v>26.3</v>
      </c>
      <c r="AJ355" s="114" t="n">
        <f aca="false">INDEX($F355:$AG355,1,MATCH(AJ$7,$F$7:$AG$7,1))</f>
        <v>170</v>
      </c>
      <c r="AK355" s="114" t="n">
        <f aca="false">INDEX($F355:$AG355,1,MATCH(AK$7,$F$7:$AG$7,1))</f>
        <v>900</v>
      </c>
      <c r="AL355" s="114" t="n">
        <f aca="false">INDEX($F355:$AG355,1,MATCH(AL$7,$F$7:$AG$7,1))</f>
        <v>1800</v>
      </c>
      <c r="AM355" s="114" t="n">
        <f aca="false">INDEX($F355:$AG355,1,MATCH(AM$7,$F$7:$AG$7,1))</f>
        <v>2800</v>
      </c>
      <c r="AN355" s="114" t="n">
        <f aca="false">INDEX($F355:$AG355,1,MATCH(AN$7,$F$7:$AG$7,1))</f>
        <v>3800</v>
      </c>
      <c r="AO355" s="114" t="n">
        <f aca="false">INDEX($F355:$AG355,1,MATCH(AO$7,$F$7:$AG$7,1))</f>
        <v>4800</v>
      </c>
    </row>
    <row r="356" customFormat="false" ht="15" hidden="false" customHeight="false" outlineLevel="0" collapsed="false">
      <c r="A356" s="112" t="s">
        <v>1897</v>
      </c>
      <c r="B356" s="24" t="s">
        <v>857</v>
      </c>
      <c r="C356" s="24" t="s">
        <v>672</v>
      </c>
      <c r="D356" s="24" t="s">
        <v>1898</v>
      </c>
      <c r="F356" s="117" t="n">
        <f aca="false">MAX(0,N(F355)*1-SUMPRODUCT(F330:F354,$F$12:$F$36))</f>
        <v>8.5</v>
      </c>
      <c r="G356" s="117" t="n">
        <f aca="false">MAX(0,N(G355)*1-SUMPRODUCT(G330:G354,$F$12:$F$36))</f>
        <v>10.8</v>
      </c>
      <c r="H356" s="117" t="n">
        <f aca="false">MAX(0,N(H355)*1-SUMPRODUCT(H330:H354,$F$12:$F$36))</f>
        <v>24</v>
      </c>
      <c r="I356" s="117" t="n">
        <f aca="false">MAX(0,N(I355)*1-SUMPRODUCT(I330:I354,$F$12:$F$36))</f>
        <v>26.3</v>
      </c>
      <c r="J356" s="117" t="n">
        <f aca="false">MAX(0,N(J355)*1-SUMPRODUCT(J330:J354,$F$12:$F$36))</f>
        <v>38</v>
      </c>
      <c r="K356" s="117" t="n">
        <f aca="false">MAX(0,N(K355)*1-SUMPRODUCT(K330:K354,$F$12:$F$36))</f>
        <v>78.5</v>
      </c>
      <c r="L356" s="117" t="n">
        <f aca="false">MAX(0,N(L355)*1-SUMPRODUCT(L330:L354,$F$12:$F$36))</f>
        <v>109.1</v>
      </c>
      <c r="M356" s="117" t="n">
        <f aca="false">MAX(0,N(M355)*1-SUMPRODUCT(M330:M354,$F$12:$F$36))</f>
        <v>170</v>
      </c>
      <c r="N356" s="117" t="n">
        <f aca="false">MAX(0,N(N355)*1-SUMPRODUCT(N330:N354,$F$12:$F$36))</f>
        <v>291.7</v>
      </c>
      <c r="O356" s="117" t="n">
        <f aca="false">MAX(0,N(O355)*1-SUMPRODUCT(O330:O354,$F$12:$F$36))</f>
        <v>413.3</v>
      </c>
      <c r="P356" s="114" t="n">
        <f aca="false">MAX(0,N(P355)*1-SUMPRODUCT(P330:P354,$F$12:$F$36))</f>
        <v>650</v>
      </c>
      <c r="Q356" s="114" t="n">
        <f aca="false">MAX(0,N(Q355)*1-SUMPRODUCT(Q330:Q354,$F$12:$F$36))</f>
        <v>900</v>
      </c>
      <c r="R356" s="114" t="n">
        <f aca="false">MAX(0,N(R355)*1-SUMPRODUCT(R330:R354,$F$12:$F$36))</f>
        <v>1125</v>
      </c>
      <c r="S356" s="114" t="n">
        <f aca="false">MAX(0,N(S355)*1-SUMPRODUCT(S330:S354,$F$12:$F$36))</f>
        <v>1350</v>
      </c>
      <c r="T356" s="114" t="n">
        <f aca="false">MAX(0,N(T355)*1-SUMPRODUCT(T330:T354,$F$12:$F$36))</f>
        <v>1575</v>
      </c>
      <c r="U356" s="114" t="n">
        <f aca="false">MAX(0,N(U355)*1-SUMPRODUCT(U330:U354,$F$12:$F$36))</f>
        <v>1800</v>
      </c>
      <c r="V356" s="114" t="n">
        <f aca="false">MAX(0,N(V355)*1-SUMPRODUCT(V330:V354,$F$12:$F$36))</f>
        <v>2050</v>
      </c>
      <c r="W356" s="114" t="n">
        <f aca="false">MAX(0,N(W355)*1-SUMPRODUCT(W330:W354,$F$12:$F$36))</f>
        <v>2300</v>
      </c>
      <c r="X356" s="114" t="n">
        <f aca="false">MAX(0,N(X355)*1-SUMPRODUCT(X330:X354,$F$12:$F$36))</f>
        <v>2550</v>
      </c>
      <c r="Y356" s="114" t="n">
        <f aca="false">MAX(0,N(Y355)*1-SUMPRODUCT(Y330:Y354,$F$12:$F$36))</f>
        <v>2800</v>
      </c>
      <c r="Z356" s="114" t="n">
        <f aca="false">MAX(0,N(Z355)*1-SUMPRODUCT(Z330:Z354,$F$12:$F$36))</f>
        <v>3050</v>
      </c>
      <c r="AA356" s="114" t="n">
        <f aca="false">MAX(0,N(AA355)*1-SUMPRODUCT(AA330:AA354,$F$12:$F$36))</f>
        <v>3300</v>
      </c>
      <c r="AB356" s="114" t="n">
        <f aca="false">MAX(0,N(AB355)*1-SUMPRODUCT(AB330:AB354,$F$12:$F$36))</f>
        <v>3550</v>
      </c>
      <c r="AC356" s="114" t="n">
        <f aca="false">MAX(0,N(AC355)*1-SUMPRODUCT(AC330:AC354,$F$12:$F$36))</f>
        <v>3800</v>
      </c>
      <c r="AD356" s="114" t="n">
        <f aca="false">MAX(0,N(AD355)*1-SUMPRODUCT(AD330:AD354,$F$12:$F$36))</f>
        <v>4050</v>
      </c>
      <c r="AE356" s="114" t="n">
        <f aca="false">MAX(0,N(AE355)*1-SUMPRODUCT(AE330:AE354,$F$12:$F$36))</f>
        <v>4300</v>
      </c>
      <c r="AF356" s="114" t="n">
        <f aca="false">MAX(0,N(AF355)*1-SUMPRODUCT(AF330:AF354,$F$12:$F$36))</f>
        <v>4550</v>
      </c>
      <c r="AG356" s="114" t="n">
        <f aca="false">MAX(0,N(AG355)*1-SUMPRODUCT(AG330:AG354,$F$12:$F$36))</f>
        <v>4800</v>
      </c>
      <c r="AI356" s="114" t="n">
        <f aca="false">INDEX($F356:$AG356,1,MATCH(AI$7,$F$7:$AG$7,1))</f>
        <v>26.3</v>
      </c>
      <c r="AJ356" s="114" t="n">
        <f aca="false">INDEX($F356:$AG356,1,MATCH(AJ$7,$F$7:$AG$7,1))</f>
        <v>170</v>
      </c>
      <c r="AK356" s="114" t="n">
        <f aca="false">INDEX($F356:$AG356,1,MATCH(AK$7,$F$7:$AG$7,1))</f>
        <v>900</v>
      </c>
      <c r="AL356" s="114" t="n">
        <f aca="false">INDEX($F356:$AG356,1,MATCH(AL$7,$F$7:$AG$7,1))</f>
        <v>1800</v>
      </c>
      <c r="AM356" s="114" t="n">
        <f aca="false">INDEX($F356:$AG356,1,MATCH(AM$7,$F$7:$AG$7,1))</f>
        <v>2800</v>
      </c>
      <c r="AN356" s="114" t="n">
        <f aca="false">INDEX($F356:$AG356,1,MATCH(AN$7,$F$7:$AG$7,1))</f>
        <v>3800</v>
      </c>
      <c r="AO356" s="114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1922</v>
      </c>
      <c r="B357" s="24" t="s">
        <v>857</v>
      </c>
      <c r="C357" s="24" t="s">
        <v>672</v>
      </c>
      <c r="D357" s="24" t="s">
        <v>1900</v>
      </c>
      <c r="F357" s="119" t="n">
        <f aca="false">SUMPRODUCT(F330:F354,$F$12:$F$36)+F356</f>
        <v>8.5</v>
      </c>
      <c r="G357" s="119" t="n">
        <f aca="false">SUMPRODUCT(G330:G354,$F$12:$F$36)+G356</f>
        <v>10.8</v>
      </c>
      <c r="H357" s="119" t="n">
        <f aca="false">SUMPRODUCT(H330:H354,$F$12:$F$36)+H356</f>
        <v>24</v>
      </c>
      <c r="I357" s="119" t="n">
        <f aca="false">SUMPRODUCT(I330:I354,$F$12:$F$36)+I356</f>
        <v>26.3</v>
      </c>
      <c r="J357" s="119" t="n">
        <f aca="false">SUMPRODUCT(J330:J354,$F$12:$F$36)+J356</f>
        <v>38</v>
      </c>
      <c r="K357" s="119" t="n">
        <f aca="false">SUMPRODUCT(K330:K354,$F$12:$F$36)+K356</f>
        <v>78.5</v>
      </c>
      <c r="L357" s="119" t="n">
        <f aca="false">SUMPRODUCT(L330:L354,$F$12:$F$36)+L356</f>
        <v>109.1</v>
      </c>
      <c r="M357" s="119" t="n">
        <f aca="false">SUMPRODUCT(M330:M354,$F$12:$F$36)+M356</f>
        <v>170</v>
      </c>
      <c r="N357" s="119" t="n">
        <f aca="false">SUMPRODUCT(N330:N354,$F$12:$F$36)+N356</f>
        <v>291.7</v>
      </c>
      <c r="O357" s="119" t="n">
        <f aca="false">SUMPRODUCT(O330:O354,$F$12:$F$36)+O356</f>
        <v>413.3</v>
      </c>
      <c r="P357" s="120" t="n">
        <f aca="false">SUMPRODUCT(P330:P354,$F$12:$F$36)+P356</f>
        <v>650</v>
      </c>
      <c r="Q357" s="120" t="n">
        <f aca="false">SUMPRODUCT(Q330:Q354,$F$12:$F$36)+Q356</f>
        <v>900</v>
      </c>
      <c r="R357" s="120" t="n">
        <f aca="false">SUMPRODUCT(R330:R354,$F$12:$F$36)+R356</f>
        <v>1125</v>
      </c>
      <c r="S357" s="120" t="n">
        <f aca="false">SUMPRODUCT(S330:S354,$F$12:$F$36)+S356</f>
        <v>1350</v>
      </c>
      <c r="T357" s="120" t="n">
        <f aca="false">SUMPRODUCT(T330:T354,$F$12:$F$36)+T356</f>
        <v>1575</v>
      </c>
      <c r="U357" s="120" t="n">
        <f aca="false">SUMPRODUCT(U330:U354,$F$12:$F$36)+U356</f>
        <v>1800</v>
      </c>
      <c r="V357" s="120" t="n">
        <f aca="false">SUMPRODUCT(V330:V354,$F$12:$F$36)+V356</f>
        <v>2050</v>
      </c>
      <c r="W357" s="120" t="n">
        <f aca="false">SUMPRODUCT(W330:W354,$F$12:$F$36)+W356</f>
        <v>2300</v>
      </c>
      <c r="X357" s="120" t="n">
        <f aca="false">SUMPRODUCT(X330:X354,$F$12:$F$36)+X356</f>
        <v>2550</v>
      </c>
      <c r="Y357" s="120" t="n">
        <f aca="false">SUMPRODUCT(Y330:Y354,$F$12:$F$36)+Y356</f>
        <v>2800</v>
      </c>
      <c r="Z357" s="120" t="n">
        <f aca="false">SUMPRODUCT(Z330:Z354,$F$12:$F$36)+Z356</f>
        <v>3050</v>
      </c>
      <c r="AA357" s="120" t="n">
        <f aca="false">SUMPRODUCT(AA330:AA354,$F$12:$F$36)+AA356</f>
        <v>3300</v>
      </c>
      <c r="AB357" s="120" t="n">
        <f aca="false">SUMPRODUCT(AB330:AB354,$F$12:$F$36)+AB356</f>
        <v>3550</v>
      </c>
      <c r="AC357" s="120" t="n">
        <f aca="false">SUMPRODUCT(AC330:AC354,$F$12:$F$36)+AC356</f>
        <v>3800</v>
      </c>
      <c r="AD357" s="120" t="n">
        <f aca="false">SUMPRODUCT(AD330:AD354,$F$12:$F$36)+AD356</f>
        <v>4050</v>
      </c>
      <c r="AE357" s="120" t="n">
        <f aca="false">SUMPRODUCT(AE330:AE354,$F$12:$F$36)+AE356</f>
        <v>4300</v>
      </c>
      <c r="AF357" s="120" t="n">
        <f aca="false">SUMPRODUCT(AF330:AF354,$F$12:$F$36)+AF356</f>
        <v>4550</v>
      </c>
      <c r="AG357" s="120" t="n">
        <f aca="false">SUMPRODUCT(AG330:AG354,$F$12:$F$36)+AG356</f>
        <v>4800</v>
      </c>
      <c r="AI357" s="120" t="n">
        <f aca="false">INDEX($F357:$AG357,1,MATCH(AI$7,$F$7:$AG$7,1))</f>
        <v>26.3</v>
      </c>
      <c r="AJ357" s="120" t="n">
        <f aca="false">INDEX($F357:$AG357,1,MATCH(AJ$7,$F$7:$AG$7,1))</f>
        <v>170</v>
      </c>
      <c r="AK357" s="120" t="n">
        <f aca="false">INDEX($F357:$AG357,1,MATCH(AK$7,$F$7:$AG$7,1))</f>
        <v>900</v>
      </c>
      <c r="AL357" s="120" t="n">
        <f aca="false">INDEX($F357:$AG357,1,MATCH(AL$7,$F$7:$AG$7,1))</f>
        <v>1800</v>
      </c>
      <c r="AM357" s="120" t="n">
        <f aca="false">INDEX($F357:$AG357,1,MATCH(AM$7,$F$7:$AG$7,1))</f>
        <v>2800</v>
      </c>
      <c r="AN357" s="120" t="n">
        <f aca="false">INDEX($F357:$AG357,1,MATCH(AN$7,$F$7:$AG$7,1))</f>
        <v>3800</v>
      </c>
      <c r="AO357" s="120" t="n">
        <f aca="false">INDEX($F357:$AG357,1,MATCH(AO$7,$F$7:$AG$7,1))</f>
        <v>4800</v>
      </c>
    </row>
    <row r="358" customFormat="false" ht="15" hidden="false" customHeight="false" outlineLevel="0" collapsed="false">
      <c r="A358" s="112" t="s">
        <v>1923</v>
      </c>
      <c r="B358" s="24" t="s">
        <v>857</v>
      </c>
      <c r="C358" s="24" t="s">
        <v>672</v>
      </c>
      <c r="D358" s="24"/>
      <c r="F358" s="117" t="n">
        <f aca="false">SUMPRODUCT(F330:F354,$F$12:$F$36,$G$12:$G$36)+F356*INDEX(OwnedSh,1,F$7-FYBase)</f>
        <v>2.55</v>
      </c>
      <c r="G358" s="117" t="n">
        <f aca="false">SUMPRODUCT(G330:G354,$F$12:$F$36,$G$12:$G$36)+G356*INDEX(OwnedSh,1,G$7-FYBase)</f>
        <v>3.24</v>
      </c>
      <c r="H358" s="117" t="n">
        <f aca="false">SUMPRODUCT(H330:H354,$F$12:$F$36,$G$12:$G$36)+H356*INDEX(OwnedSh,1,H$7-FYBase)</f>
        <v>7.2</v>
      </c>
      <c r="I358" s="117" t="n">
        <f aca="false">SUMPRODUCT(I330:I354,$F$12:$F$36,$G$12:$G$36)+I356*INDEX(OwnedSh,1,I$7-FYBase)</f>
        <v>7.89</v>
      </c>
      <c r="J358" s="117" t="n">
        <f aca="false">SUMPRODUCT(J330:J354,$F$12:$F$36,$G$12:$G$36)+J356*INDEX(OwnedSh,1,J$7-FYBase)</f>
        <v>11.4</v>
      </c>
      <c r="K358" s="117" t="n">
        <f aca="false">SUMPRODUCT(K330:K354,$F$12:$F$36,$G$12:$G$36)+K356*INDEX(OwnedSh,1,K$7-FYBase)</f>
        <v>23.55</v>
      </c>
      <c r="L358" s="117" t="n">
        <f aca="false">SUMPRODUCT(L330:L354,$F$12:$F$36,$G$12:$G$36)+L356*INDEX(OwnedSh,1,L$7-FYBase)</f>
        <v>32.73</v>
      </c>
      <c r="M358" s="117" t="n">
        <f aca="false">SUMPRODUCT(M330:M354,$F$12:$F$36,$G$12:$G$36)+M356*INDEX(OwnedSh,1,M$7-FYBase)</f>
        <v>51</v>
      </c>
      <c r="N358" s="117" t="n">
        <f aca="false">SUMPRODUCT(N330:N354,$F$12:$F$36,$G$12:$G$36)+N356*INDEX(OwnedSh,1,N$7-FYBase)</f>
        <v>87.51</v>
      </c>
      <c r="O358" s="117" t="n">
        <f aca="false">SUMPRODUCT(O330:O354,$F$12:$F$36,$G$12:$G$36)+O356*INDEX(OwnedSh,1,O$7-FYBase)</f>
        <v>123.99</v>
      </c>
      <c r="P358" s="114" t="n">
        <f aca="false">SUMPRODUCT(P330:P354,$F$12:$F$36,$G$12:$G$36)+P356*INDEX(OwnedSh,1,P$7-FYBase)</f>
        <v>195</v>
      </c>
      <c r="Q358" s="114" t="n">
        <f aca="false">SUMPRODUCT(Q330:Q354,$F$12:$F$36,$G$12:$G$36)+Q356*INDEX(OwnedSh,1,Q$7-FYBase)</f>
        <v>270</v>
      </c>
      <c r="R358" s="114" t="n">
        <f aca="false">SUMPRODUCT(R330:R354,$F$12:$F$36,$G$12:$G$36)+R356*INDEX(OwnedSh,1,R$7-FYBase)</f>
        <v>562.5</v>
      </c>
      <c r="S358" s="114" t="n">
        <f aca="false">SUMPRODUCT(S330:S354,$F$12:$F$36,$G$12:$G$36)+S356*INDEX(OwnedSh,1,S$7-FYBase)</f>
        <v>675</v>
      </c>
      <c r="T358" s="114" t="n">
        <f aca="false">SUMPRODUCT(T330:T354,$F$12:$F$36,$G$12:$G$36)+T356*INDEX(OwnedSh,1,T$7-FYBase)</f>
        <v>787.5</v>
      </c>
      <c r="U358" s="114" t="n">
        <f aca="false">SUMPRODUCT(U330:U354,$F$12:$F$36,$G$12:$G$36)+U356*INDEX(OwnedSh,1,U$7-FYBase)</f>
        <v>900</v>
      </c>
      <c r="V358" s="114" t="n">
        <f aca="false">SUMPRODUCT(V330:V354,$F$12:$F$36,$G$12:$G$36)+V356*INDEX(OwnedSh,1,V$7-FYBase)</f>
        <v>1332.5</v>
      </c>
      <c r="W358" s="114" t="n">
        <f aca="false">SUMPRODUCT(W330:W354,$F$12:$F$36,$G$12:$G$36)+W356*INDEX(OwnedSh,1,W$7-FYBase)</f>
        <v>1495</v>
      </c>
      <c r="X358" s="114" t="n">
        <f aca="false">SUMPRODUCT(X330:X354,$F$12:$F$36,$G$12:$G$36)+X356*INDEX(OwnedSh,1,X$7-FYBase)</f>
        <v>1657.5</v>
      </c>
      <c r="Y358" s="114" t="n">
        <f aca="false">SUMPRODUCT(Y330:Y354,$F$12:$F$36,$G$12:$G$36)+Y356*INDEX(OwnedSh,1,Y$7-FYBase)</f>
        <v>1820</v>
      </c>
      <c r="Z358" s="114" t="n">
        <f aca="false">SUMPRODUCT(Z330:Z354,$F$12:$F$36,$G$12:$G$36)+Z356*INDEX(OwnedSh,1,Z$7-FYBase)</f>
        <v>2135</v>
      </c>
      <c r="AA358" s="114" t="n">
        <f aca="false">SUMPRODUCT(AA330:AA354,$F$12:$F$36,$G$12:$G$36)+AA356*INDEX(OwnedSh,1,AA$7-FYBase)</f>
        <v>2310</v>
      </c>
      <c r="AB358" s="114" t="n">
        <f aca="false">SUMPRODUCT(AB330:AB354,$F$12:$F$36,$G$12:$G$36)+AB356*INDEX(OwnedSh,1,AB$7-FYBase)</f>
        <v>2485</v>
      </c>
      <c r="AC358" s="114" t="n">
        <f aca="false">SUMPRODUCT(AC330:AC354,$F$12:$F$36,$G$12:$G$36)+AC356*INDEX(OwnedSh,1,AC$7-FYBase)</f>
        <v>2660</v>
      </c>
      <c r="AD358" s="114" t="n">
        <f aca="false">SUMPRODUCT(AD330:AD354,$F$12:$F$36,$G$12:$G$36)+AD356*INDEX(OwnedSh,1,AD$7-FYBase)</f>
        <v>3037.5</v>
      </c>
      <c r="AE358" s="114" t="n">
        <f aca="false">SUMPRODUCT(AE330:AE354,$F$12:$F$36,$G$12:$G$36)+AE356*INDEX(OwnedSh,1,AE$7-FYBase)</f>
        <v>3225</v>
      </c>
      <c r="AF358" s="114" t="n">
        <f aca="false">SUMPRODUCT(AF330:AF354,$F$12:$F$36,$G$12:$G$36)+AF356*INDEX(OwnedSh,1,AF$7-FYBase)</f>
        <v>3412.5</v>
      </c>
      <c r="AG358" s="114" t="n">
        <f aca="false">SUMPRODUCT(AG330:AG354,$F$12:$F$36,$G$12:$G$36)+AG356*INDEX(OwnedSh,1,AG$7-FYBase)</f>
        <v>3600</v>
      </c>
      <c r="AI358" s="114" t="n">
        <f aca="false">INDEX($F358:$AG358,1,MATCH(AI$7,$F$7:$AG$7,1))</f>
        <v>7.89</v>
      </c>
      <c r="AJ358" s="114" t="n">
        <f aca="false">INDEX($F358:$AG358,1,MATCH(AJ$7,$F$7:$AG$7,1))</f>
        <v>51</v>
      </c>
      <c r="AK358" s="114" t="n">
        <f aca="false">INDEX($F358:$AG358,1,MATCH(AK$7,$F$7:$AG$7,1))</f>
        <v>270</v>
      </c>
      <c r="AL358" s="114" t="n">
        <f aca="false">INDEX($F358:$AG358,1,MATCH(AL$7,$F$7:$AG$7,1))</f>
        <v>900</v>
      </c>
      <c r="AM358" s="114" t="n">
        <f aca="false">INDEX($F358:$AG358,1,MATCH(AM$7,$F$7:$AG$7,1))</f>
        <v>1820</v>
      </c>
      <c r="AN358" s="114" t="n">
        <f aca="false">INDEX($F358:$AG358,1,MATCH(AN$7,$F$7:$AG$7,1))</f>
        <v>2660</v>
      </c>
      <c r="AO358" s="114" t="n">
        <f aca="false">INDEX($F358:$AG358,1,MATCH(AO$7,$F$7:$AG$7,1))</f>
        <v>3600</v>
      </c>
    </row>
    <row r="360" customFormat="false" ht="15" hidden="false" customHeight="false" outlineLevel="0" collapsed="false">
      <c r="A360" s="64" t="s">
        <v>1924</v>
      </c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</row>
    <row r="361" customFormat="false" ht="15" hidden="false" customHeight="false" outlineLevel="0" collapsed="false">
      <c r="A361" s="112" t="s">
        <v>1925</v>
      </c>
      <c r="B361" s="24" t="s">
        <v>956</v>
      </c>
      <c r="C361" s="24" t="s">
        <v>690</v>
      </c>
      <c r="D361" s="24" t="s">
        <v>1926</v>
      </c>
      <c r="F361" s="83" t="n">
        <v>13713</v>
      </c>
      <c r="G361" s="83" t="n">
        <v>13713</v>
      </c>
      <c r="H361" s="83" t="n">
        <v>13713</v>
      </c>
      <c r="I361" s="83" t="n">
        <v>16456</v>
      </c>
      <c r="J361" s="83" t="n">
        <v>21941</v>
      </c>
      <c r="K361" s="83" t="n">
        <v>24684</v>
      </c>
      <c r="L361" s="83" t="n">
        <v>24684</v>
      </c>
      <c r="M361" s="83" t="n">
        <v>24684</v>
      </c>
      <c r="N361" s="83" t="n">
        <v>24684</v>
      </c>
      <c r="O361" s="83" t="n">
        <v>24684</v>
      </c>
      <c r="P361" s="83" t="n">
        <v>24684</v>
      </c>
      <c r="Q361" s="83" t="n">
        <v>24684</v>
      </c>
      <c r="R361" s="83" t="n">
        <v>24684</v>
      </c>
      <c r="S361" s="83" t="n">
        <v>24684</v>
      </c>
      <c r="T361" s="83" t="n">
        <v>24684</v>
      </c>
      <c r="U361" s="83" t="n">
        <v>24684</v>
      </c>
      <c r="V361" s="83" t="n">
        <v>24684</v>
      </c>
      <c r="W361" s="83" t="n">
        <v>24684</v>
      </c>
      <c r="X361" s="83" t="n">
        <v>24684</v>
      </c>
      <c r="Y361" s="83" t="n">
        <v>24684</v>
      </c>
      <c r="Z361" s="83" t="n">
        <v>24684</v>
      </c>
      <c r="AA361" s="83" t="n">
        <v>24684</v>
      </c>
      <c r="AB361" s="83" t="n">
        <v>24684</v>
      </c>
      <c r="AC361" s="83" t="n">
        <v>24684</v>
      </c>
      <c r="AD361" s="83" t="n">
        <v>24684</v>
      </c>
      <c r="AE361" s="83" t="n">
        <v>24684</v>
      </c>
      <c r="AF361" s="83" t="n">
        <v>24684</v>
      </c>
      <c r="AG361" s="83" t="n">
        <v>24684</v>
      </c>
      <c r="AI361" s="35" t="n">
        <f aca="false">INDEX($F361:$AG361,1,MATCH(AI$7,$F$7:$AG$7,1))</f>
        <v>16456</v>
      </c>
      <c r="AJ361" s="35" t="n">
        <f aca="false">INDEX($F361:$AG361,1,MATCH(AJ$7,$F$7:$AG$7,1))</f>
        <v>24684</v>
      </c>
      <c r="AK361" s="35" t="n">
        <f aca="false">INDEX($F361:$AG361,1,MATCH(AK$7,$F$7:$AG$7,1))</f>
        <v>24684</v>
      </c>
      <c r="AL361" s="35" t="n">
        <f aca="false">INDEX($F361:$AG361,1,MATCH(AL$7,$F$7:$AG$7,1))</f>
        <v>24684</v>
      </c>
      <c r="AM361" s="35" t="n">
        <f aca="false">INDEX($F361:$AG361,1,MATCH(AM$7,$F$7:$AG$7,1))</f>
        <v>24684</v>
      </c>
      <c r="AN361" s="35" t="n">
        <f aca="false">INDEX($F361:$AG361,1,MATCH(AN$7,$F$7:$AG$7,1))</f>
        <v>24684</v>
      </c>
      <c r="AO361" s="35" t="n">
        <f aca="false">INDEX($F361:$AG361,1,MATCH(AO$7,$F$7:$AG$7,1))</f>
        <v>24684</v>
      </c>
    </row>
    <row r="362" customFormat="false" ht="15" hidden="false" customHeight="false" outlineLevel="0" collapsed="false">
      <c r="A362" s="112" t="s">
        <v>1927</v>
      </c>
      <c r="B362" s="24" t="s">
        <v>956</v>
      </c>
      <c r="C362" s="24" t="s">
        <v>690</v>
      </c>
      <c r="D362" s="24" t="s">
        <v>1928</v>
      </c>
      <c r="F362" s="83" t="n">
        <v>13713</v>
      </c>
      <c r="G362" s="83" t="n">
        <v>13713</v>
      </c>
      <c r="H362" s="83" t="n">
        <v>13713</v>
      </c>
      <c r="I362" s="83" t="n">
        <v>16456</v>
      </c>
      <c r="J362" s="83" t="n">
        <v>27426</v>
      </c>
      <c r="K362" s="83" t="n">
        <v>27426</v>
      </c>
      <c r="L362" s="83" t="n">
        <v>27426</v>
      </c>
      <c r="M362" s="83" t="n">
        <v>27426</v>
      </c>
      <c r="N362" s="83" t="n">
        <v>27426</v>
      </c>
      <c r="O362" s="83" t="n">
        <v>27426</v>
      </c>
      <c r="P362" s="83" t="n">
        <v>27426</v>
      </c>
      <c r="Q362" s="83" t="n">
        <v>27426</v>
      </c>
      <c r="R362" s="83" t="n">
        <v>27426</v>
      </c>
      <c r="S362" s="83" t="n">
        <v>27426</v>
      </c>
      <c r="T362" s="83" t="n">
        <v>27426</v>
      </c>
      <c r="U362" s="83" t="n">
        <v>27426</v>
      </c>
      <c r="V362" s="83" t="n">
        <v>27426</v>
      </c>
      <c r="W362" s="83" t="n">
        <v>27426</v>
      </c>
      <c r="X362" s="83" t="n">
        <v>27426</v>
      </c>
      <c r="Y362" s="83" t="n">
        <v>27426</v>
      </c>
      <c r="Z362" s="83" t="n">
        <v>27426</v>
      </c>
      <c r="AA362" s="83" t="n">
        <v>27426</v>
      </c>
      <c r="AB362" s="83" t="n">
        <v>27426</v>
      </c>
      <c r="AC362" s="83" t="n">
        <v>27426</v>
      </c>
      <c r="AD362" s="83" t="n">
        <v>27426</v>
      </c>
      <c r="AE362" s="83" t="n">
        <v>27426</v>
      </c>
      <c r="AF362" s="83" t="n">
        <v>27426</v>
      </c>
      <c r="AG362" s="83" t="n">
        <v>27426</v>
      </c>
      <c r="AI362" s="35" t="n">
        <f aca="false">INDEX($F362:$AG362,1,MATCH(AI$7,$F$7:$AG$7,1))</f>
        <v>16456</v>
      </c>
      <c r="AJ362" s="35" t="n">
        <f aca="false">INDEX($F362:$AG362,1,MATCH(AJ$7,$F$7:$AG$7,1))</f>
        <v>27426</v>
      </c>
      <c r="AK362" s="35" t="n">
        <f aca="false">INDEX($F362:$AG362,1,MATCH(AK$7,$F$7:$AG$7,1))</f>
        <v>27426</v>
      </c>
      <c r="AL362" s="35" t="n">
        <f aca="false">INDEX($F362:$AG362,1,MATCH(AL$7,$F$7:$AG$7,1))</f>
        <v>27426</v>
      </c>
      <c r="AM362" s="35" t="n">
        <f aca="false">INDEX($F362:$AG362,1,MATCH(AM$7,$F$7:$AG$7,1))</f>
        <v>27426</v>
      </c>
      <c r="AN362" s="35" t="n">
        <f aca="false">INDEX($F362:$AG362,1,MATCH(AN$7,$F$7:$AG$7,1))</f>
        <v>27426</v>
      </c>
      <c r="AO362" s="35" t="n">
        <f aca="false">INDEX($F362:$AG362,1,MATCH(AO$7,$F$7:$AG$7,1))</f>
        <v>27426</v>
      </c>
    </row>
    <row r="363" customFormat="false" ht="15" hidden="false" customHeight="false" outlineLevel="0" collapsed="false">
      <c r="A363" s="112" t="s">
        <v>1929</v>
      </c>
      <c r="B363" s="24" t="s">
        <v>956</v>
      </c>
      <c r="C363" s="24" t="s">
        <v>672</v>
      </c>
      <c r="D363" s="24"/>
      <c r="F363" s="35" t="n">
        <f aca="false">IF(CapV=2,F362,F361)</f>
        <v>13713</v>
      </c>
      <c r="G363" s="35" t="n">
        <f aca="false">IF(CapV=2,G362,G361)</f>
        <v>13713</v>
      </c>
      <c r="H363" s="35" t="n">
        <f aca="false">IF(CapV=2,H362,H361)</f>
        <v>13713</v>
      </c>
      <c r="I363" s="35" t="n">
        <f aca="false">IF(CapV=2,I362,I361)</f>
        <v>16456</v>
      </c>
      <c r="J363" s="35" t="n">
        <f aca="false">IF(CapV=2,J362,J361)</f>
        <v>27426</v>
      </c>
      <c r="K363" s="35" t="n">
        <f aca="false">IF(CapV=2,K362,K361)</f>
        <v>27426</v>
      </c>
      <c r="L363" s="35" t="n">
        <f aca="false">IF(CapV=2,L362,L361)</f>
        <v>27426</v>
      </c>
      <c r="M363" s="35" t="n">
        <f aca="false">IF(CapV=2,M362,M361)</f>
        <v>27426</v>
      </c>
      <c r="N363" s="35" t="n">
        <f aca="false">IF(CapV=2,N362,N361)</f>
        <v>27426</v>
      </c>
      <c r="O363" s="35" t="n">
        <f aca="false">IF(CapV=2,O362,O361)</f>
        <v>27426</v>
      </c>
      <c r="P363" s="35" t="n">
        <f aca="false">IF(CapV=2,P362,P361)</f>
        <v>27426</v>
      </c>
      <c r="Q363" s="35" t="n">
        <f aca="false">IF(CapV=2,Q362,Q361)</f>
        <v>27426</v>
      </c>
      <c r="R363" s="35" t="n">
        <f aca="false">IF(CapV=2,R362,R361)</f>
        <v>27426</v>
      </c>
      <c r="S363" s="35" t="n">
        <f aca="false">IF(CapV=2,S362,S361)</f>
        <v>27426</v>
      </c>
      <c r="T363" s="35" t="n">
        <f aca="false">IF(CapV=2,T362,T361)</f>
        <v>27426</v>
      </c>
      <c r="U363" s="35" t="n">
        <f aca="false">IF(CapV=2,U362,U361)</f>
        <v>27426</v>
      </c>
      <c r="V363" s="35" t="n">
        <f aca="false">IF(CapV=2,V362,V361)</f>
        <v>27426</v>
      </c>
      <c r="W363" s="35" t="n">
        <f aca="false">IF(CapV=2,W362,W361)</f>
        <v>27426</v>
      </c>
      <c r="X363" s="35" t="n">
        <f aca="false">IF(CapV=2,X362,X361)</f>
        <v>27426</v>
      </c>
      <c r="Y363" s="35" t="n">
        <f aca="false">IF(CapV=2,Y362,Y361)</f>
        <v>27426</v>
      </c>
      <c r="Z363" s="35" t="n">
        <f aca="false">IF(CapV=2,Z362,Z361)</f>
        <v>27426</v>
      </c>
      <c r="AA363" s="35" t="n">
        <f aca="false">IF(CapV=2,AA362,AA361)</f>
        <v>27426</v>
      </c>
      <c r="AB363" s="35" t="n">
        <f aca="false">IF(CapV=2,AB362,AB361)</f>
        <v>27426</v>
      </c>
      <c r="AC363" s="35" t="n">
        <f aca="false">IF(CapV=2,AC362,AC361)</f>
        <v>27426</v>
      </c>
      <c r="AD363" s="35" t="n">
        <f aca="false">IF(CapV=2,AD362,AD361)</f>
        <v>27426</v>
      </c>
      <c r="AE363" s="35" t="n">
        <f aca="false">IF(CapV=2,AE362,AE361)</f>
        <v>27426</v>
      </c>
      <c r="AF363" s="35" t="n">
        <f aca="false">IF(CapV=2,AF362,AF361)</f>
        <v>27426</v>
      </c>
      <c r="AG363" s="35" t="n">
        <f aca="false">IF(CapV=2,AG362,AG361)</f>
        <v>27426</v>
      </c>
      <c r="AI363" s="35" t="n">
        <f aca="false">INDEX($F363:$AG363,1,MATCH(AI$7,$F$7:$AG$7,1))</f>
        <v>16456</v>
      </c>
      <c r="AJ363" s="35" t="n">
        <f aca="false">INDEX($F363:$AG363,1,MATCH(AJ$7,$F$7:$AG$7,1))</f>
        <v>27426</v>
      </c>
      <c r="AK363" s="35" t="n">
        <f aca="false">INDEX($F363:$AG363,1,MATCH(AK$7,$F$7:$AG$7,1))</f>
        <v>27426</v>
      </c>
      <c r="AL363" s="35" t="n">
        <f aca="false">INDEX($F363:$AG363,1,MATCH(AL$7,$F$7:$AG$7,1))</f>
        <v>27426</v>
      </c>
      <c r="AM363" s="35" t="n">
        <f aca="false">INDEX($F363:$AG363,1,MATCH(AM$7,$F$7:$AG$7,1))</f>
        <v>27426</v>
      </c>
      <c r="AN363" s="35" t="n">
        <f aca="false">INDEX($F363:$AG363,1,MATCH(AN$7,$F$7:$AG$7,1))</f>
        <v>27426</v>
      </c>
      <c r="AO363" s="35" t="n">
        <f aca="false">INDEX($F363:$AG363,1,MATCH(AO$7,$F$7:$AG$7,1))</f>
        <v>27426</v>
      </c>
    </row>
    <row r="364" customFormat="false" ht="15" hidden="false" customHeight="false" outlineLevel="0" collapsed="false">
      <c r="A364" s="112" t="s">
        <v>1930</v>
      </c>
      <c r="B364" s="24" t="s">
        <v>956</v>
      </c>
      <c r="C364" s="24" t="s">
        <v>690</v>
      </c>
      <c r="D364" s="24" t="s">
        <v>1926</v>
      </c>
      <c r="F364" s="83" t="n">
        <v>0</v>
      </c>
      <c r="G364" s="83" t="n">
        <v>0</v>
      </c>
      <c r="H364" s="83" t="n">
        <v>0</v>
      </c>
      <c r="I364" s="83" t="n">
        <v>0</v>
      </c>
      <c r="J364" s="83" t="n">
        <v>0</v>
      </c>
      <c r="K364" s="83" t="n">
        <v>0</v>
      </c>
      <c r="L364" s="83" t="n">
        <v>7072</v>
      </c>
      <c r="M364" s="83" t="n">
        <v>44327</v>
      </c>
      <c r="N364" s="83" t="n">
        <v>54995</v>
      </c>
      <c r="O364" s="83" t="n">
        <v>55732</v>
      </c>
      <c r="P364" s="83" t="n">
        <v>71888</v>
      </c>
      <c r="Q364" s="83" t="n">
        <v>112655</v>
      </c>
      <c r="R364" s="83" t="n">
        <v>167529</v>
      </c>
      <c r="S364" s="83" t="n">
        <v>219513</v>
      </c>
      <c r="T364" s="83" t="n">
        <v>244725</v>
      </c>
      <c r="U364" s="83" t="n">
        <v>290387</v>
      </c>
      <c r="V364" s="83" t="n">
        <v>290387</v>
      </c>
      <c r="W364" s="83" t="n">
        <v>290387</v>
      </c>
      <c r="X364" s="83" t="n">
        <v>290387</v>
      </c>
      <c r="Y364" s="83" t="n">
        <v>314945</v>
      </c>
      <c r="Z364" s="83" t="n">
        <v>314945</v>
      </c>
      <c r="AA364" s="83" t="n">
        <v>314945</v>
      </c>
      <c r="AB364" s="83" t="n">
        <v>314945</v>
      </c>
      <c r="AC364" s="83" t="n">
        <v>314945</v>
      </c>
      <c r="AD364" s="83" t="n">
        <v>314945</v>
      </c>
      <c r="AE364" s="83" t="n">
        <v>314945</v>
      </c>
      <c r="AF364" s="83" t="n">
        <v>314945</v>
      </c>
      <c r="AG364" s="83" t="n">
        <v>314945</v>
      </c>
      <c r="AI364" s="35" t="n">
        <f aca="false">INDEX($F364:$AG364,1,MATCH(AI$7,$F$7:$AG$7,1))</f>
        <v>0</v>
      </c>
      <c r="AJ364" s="35" t="n">
        <f aca="false">INDEX($F364:$AG364,1,MATCH(AJ$7,$F$7:$AG$7,1))</f>
        <v>44327</v>
      </c>
      <c r="AK364" s="35" t="n">
        <f aca="false">INDEX($F364:$AG364,1,MATCH(AK$7,$F$7:$AG$7,1))</f>
        <v>112655</v>
      </c>
      <c r="AL364" s="35" t="n">
        <f aca="false">INDEX($F364:$AG364,1,MATCH(AL$7,$F$7:$AG$7,1))</f>
        <v>290387</v>
      </c>
      <c r="AM364" s="35" t="n">
        <f aca="false">INDEX($F364:$AG364,1,MATCH(AM$7,$F$7:$AG$7,1))</f>
        <v>314945</v>
      </c>
      <c r="AN364" s="35" t="n">
        <f aca="false">INDEX($F364:$AG364,1,MATCH(AN$7,$F$7:$AG$7,1))</f>
        <v>314945</v>
      </c>
      <c r="AO364" s="35" t="n">
        <f aca="false">INDEX($F364:$AG364,1,MATCH(AO$7,$F$7:$AG$7,1))</f>
        <v>314945</v>
      </c>
    </row>
    <row r="365" customFormat="false" ht="15" hidden="false" customHeight="false" outlineLevel="0" collapsed="false">
      <c r="A365" s="112" t="s">
        <v>1931</v>
      </c>
      <c r="B365" s="24" t="s">
        <v>956</v>
      </c>
      <c r="C365" s="24" t="s">
        <v>690</v>
      </c>
      <c r="D365" s="24" t="s">
        <v>1928</v>
      </c>
      <c r="F365" s="83" t="n">
        <v>0</v>
      </c>
      <c r="G365" s="83" t="n">
        <v>0</v>
      </c>
      <c r="H365" s="83" t="n">
        <v>0</v>
      </c>
      <c r="I365" s="83" t="n">
        <v>0</v>
      </c>
      <c r="J365" s="83" t="n">
        <v>0</v>
      </c>
      <c r="K365" s="83" t="n">
        <v>0</v>
      </c>
      <c r="L365" s="83" t="n">
        <v>5116</v>
      </c>
      <c r="M365" s="83" t="n">
        <v>42371</v>
      </c>
      <c r="N365" s="83" t="n">
        <v>56897</v>
      </c>
      <c r="O365" s="83" t="n">
        <v>61727</v>
      </c>
      <c r="P365" s="83" t="n">
        <v>77883</v>
      </c>
      <c r="Q365" s="83" t="n">
        <v>116605</v>
      </c>
      <c r="R365" s="83" t="n">
        <v>181915</v>
      </c>
      <c r="S365" s="83" t="n">
        <v>252316</v>
      </c>
      <c r="T365" s="83" t="n">
        <v>295539</v>
      </c>
      <c r="U365" s="83" t="n">
        <v>346521</v>
      </c>
      <c r="V365" s="83" t="n">
        <v>346521</v>
      </c>
      <c r="W365" s="83" t="n">
        <v>346521</v>
      </c>
      <c r="X365" s="83" t="n">
        <v>346521</v>
      </c>
      <c r="Y365" s="83" t="n">
        <v>371079</v>
      </c>
      <c r="Z365" s="83" t="n">
        <v>371079</v>
      </c>
      <c r="AA365" s="83" t="n">
        <v>371079</v>
      </c>
      <c r="AB365" s="83" t="n">
        <v>371079</v>
      </c>
      <c r="AC365" s="83" t="n">
        <v>371079</v>
      </c>
      <c r="AD365" s="83" t="n">
        <v>371079</v>
      </c>
      <c r="AE365" s="83" t="n">
        <v>371079</v>
      </c>
      <c r="AF365" s="83" t="n">
        <v>371079</v>
      </c>
      <c r="AG365" s="83" t="n">
        <v>371079</v>
      </c>
      <c r="AI365" s="35" t="n">
        <f aca="false">INDEX($F365:$AG365,1,MATCH(AI$7,$F$7:$AG$7,1))</f>
        <v>0</v>
      </c>
      <c r="AJ365" s="35" t="n">
        <f aca="false">INDEX($F365:$AG365,1,MATCH(AJ$7,$F$7:$AG$7,1))</f>
        <v>42371</v>
      </c>
      <c r="AK365" s="35" t="n">
        <f aca="false">INDEX($F365:$AG365,1,MATCH(AK$7,$F$7:$AG$7,1))</f>
        <v>116605</v>
      </c>
      <c r="AL365" s="35" t="n">
        <f aca="false">INDEX($F365:$AG365,1,MATCH(AL$7,$F$7:$AG$7,1))</f>
        <v>346521</v>
      </c>
      <c r="AM365" s="35" t="n">
        <f aca="false">INDEX($F365:$AG365,1,MATCH(AM$7,$F$7:$AG$7,1))</f>
        <v>371079</v>
      </c>
      <c r="AN365" s="35" t="n">
        <f aca="false">INDEX($F365:$AG365,1,MATCH(AN$7,$F$7:$AG$7,1))</f>
        <v>371079</v>
      </c>
      <c r="AO365" s="35" t="n">
        <f aca="false">INDEX($F365:$AG365,1,MATCH(AO$7,$F$7:$AG$7,1))</f>
        <v>371079</v>
      </c>
    </row>
    <row r="366" customFormat="false" ht="15" hidden="false" customHeight="false" outlineLevel="0" collapsed="false">
      <c r="A366" s="112" t="s">
        <v>1932</v>
      </c>
      <c r="B366" s="24" t="s">
        <v>956</v>
      </c>
      <c r="C366" s="24" t="s">
        <v>672</v>
      </c>
      <c r="D366" s="24"/>
      <c r="F366" s="35" t="n">
        <f aca="false">IF(CapV=2,F365,F364)</f>
        <v>0</v>
      </c>
      <c r="G366" s="35" t="n">
        <f aca="false">IF(CapV=2,G365,G364)</f>
        <v>0</v>
      </c>
      <c r="H366" s="35" t="n">
        <f aca="false">IF(CapV=2,H365,H364)</f>
        <v>0</v>
      </c>
      <c r="I366" s="35" t="n">
        <f aca="false">IF(CapV=2,I365,I364)</f>
        <v>0</v>
      </c>
      <c r="J366" s="35" t="n">
        <f aca="false">IF(CapV=2,J365,J364)</f>
        <v>0</v>
      </c>
      <c r="K366" s="35" t="n">
        <f aca="false">IF(CapV=2,K365,K364)</f>
        <v>0</v>
      </c>
      <c r="L366" s="35" t="n">
        <f aca="false">IF(CapV=2,L365,L364)</f>
        <v>5116</v>
      </c>
      <c r="M366" s="35" t="n">
        <f aca="false">IF(CapV=2,M365,M364)</f>
        <v>42371</v>
      </c>
      <c r="N366" s="35" t="n">
        <f aca="false">IF(CapV=2,N365,N364)</f>
        <v>56897</v>
      </c>
      <c r="O366" s="35" t="n">
        <f aca="false">IF(CapV=2,O365,O364)</f>
        <v>61727</v>
      </c>
      <c r="P366" s="35" t="n">
        <f aca="false">IF(CapV=2,P365,P364)</f>
        <v>77883</v>
      </c>
      <c r="Q366" s="35" t="n">
        <f aca="false">IF(CapV=2,Q365,Q364)</f>
        <v>116605</v>
      </c>
      <c r="R366" s="35" t="n">
        <f aca="false">IF(CapV=2,R365,R364)</f>
        <v>181915</v>
      </c>
      <c r="S366" s="35" t="n">
        <f aca="false">IF(CapV=2,S365,S364)</f>
        <v>252316</v>
      </c>
      <c r="T366" s="35" t="n">
        <f aca="false">IF(CapV=2,T365,T364)</f>
        <v>295539</v>
      </c>
      <c r="U366" s="35" t="n">
        <f aca="false">IF(CapV=2,U365,U364)</f>
        <v>346521</v>
      </c>
      <c r="V366" s="35" t="n">
        <f aca="false">IF(CapV=2,V365,V364)</f>
        <v>346521</v>
      </c>
      <c r="W366" s="35" t="n">
        <f aca="false">IF(CapV=2,W365,W364)</f>
        <v>346521</v>
      </c>
      <c r="X366" s="35" t="n">
        <f aca="false">IF(CapV=2,X365,X364)</f>
        <v>346521</v>
      </c>
      <c r="Y366" s="35" t="n">
        <f aca="false">IF(CapV=2,Y365,Y364)</f>
        <v>371079</v>
      </c>
      <c r="Z366" s="35" t="n">
        <f aca="false">IF(CapV=2,Z365,Z364)</f>
        <v>371079</v>
      </c>
      <c r="AA366" s="35" t="n">
        <f aca="false">IF(CapV=2,AA365,AA364)</f>
        <v>371079</v>
      </c>
      <c r="AB366" s="35" t="n">
        <f aca="false">IF(CapV=2,AB365,AB364)</f>
        <v>371079</v>
      </c>
      <c r="AC366" s="35" t="n">
        <f aca="false">IF(CapV=2,AC365,AC364)</f>
        <v>371079</v>
      </c>
      <c r="AD366" s="35" t="n">
        <f aca="false">IF(CapV=2,AD365,AD364)</f>
        <v>371079</v>
      </c>
      <c r="AE366" s="35" t="n">
        <f aca="false">IF(CapV=2,AE365,AE364)</f>
        <v>371079</v>
      </c>
      <c r="AF366" s="35" t="n">
        <f aca="false">IF(CapV=2,AF365,AF364)</f>
        <v>371079</v>
      </c>
      <c r="AG366" s="35" t="n">
        <f aca="false">IF(CapV=2,AG365,AG364)</f>
        <v>371079</v>
      </c>
      <c r="AI366" s="35" t="n">
        <f aca="false">INDEX($F366:$AG366,1,MATCH(AI$7,$F$7:$AG$7,1))</f>
        <v>0</v>
      </c>
      <c r="AJ366" s="35" t="n">
        <f aca="false">INDEX($F366:$AG366,1,MATCH(AJ$7,$F$7:$AG$7,1))</f>
        <v>42371</v>
      </c>
      <c r="AK366" s="35" t="n">
        <f aca="false">INDEX($F366:$AG366,1,MATCH(AK$7,$F$7:$AG$7,1))</f>
        <v>116605</v>
      </c>
      <c r="AL366" s="35" t="n">
        <f aca="false">INDEX($F366:$AG366,1,MATCH(AL$7,$F$7:$AG$7,1))</f>
        <v>346521</v>
      </c>
      <c r="AM366" s="35" t="n">
        <f aca="false">INDEX($F366:$AG366,1,MATCH(AM$7,$F$7:$AG$7,1))</f>
        <v>371079</v>
      </c>
      <c r="AN366" s="35" t="n">
        <f aca="false">INDEX($F366:$AG366,1,MATCH(AN$7,$F$7:$AG$7,1))</f>
        <v>371079</v>
      </c>
      <c r="AO366" s="35" t="n">
        <f aca="false">INDEX($F366:$AG366,1,MATCH(AO$7,$F$7:$AG$7,1))</f>
        <v>371079</v>
      </c>
    </row>
    <row r="367" customFormat="false" ht="15" hidden="false" customHeight="false" outlineLevel="0" collapsed="false">
      <c r="A367" s="112" t="s">
        <v>1933</v>
      </c>
      <c r="B367" s="24" t="s">
        <v>956</v>
      </c>
      <c r="C367" s="24" t="s">
        <v>690</v>
      </c>
      <c r="D367" s="24" t="s">
        <v>1926</v>
      </c>
      <c r="F367" s="83" t="n">
        <v>0</v>
      </c>
      <c r="G367" s="83" t="n">
        <v>0</v>
      </c>
      <c r="H367" s="83" t="n">
        <v>0</v>
      </c>
      <c r="I367" s="83" t="n">
        <v>0</v>
      </c>
      <c r="J367" s="83" t="n">
        <v>0</v>
      </c>
      <c r="K367" s="83" t="n">
        <v>0</v>
      </c>
      <c r="L367" s="83" t="n">
        <v>0</v>
      </c>
      <c r="M367" s="83" t="n">
        <v>0</v>
      </c>
      <c r="N367" s="83" t="n">
        <v>0</v>
      </c>
      <c r="O367" s="83" t="n">
        <v>0</v>
      </c>
      <c r="P367" s="83" t="n">
        <v>0</v>
      </c>
      <c r="Q367" s="83" t="n">
        <v>0</v>
      </c>
      <c r="R367" s="83" t="n">
        <v>3338</v>
      </c>
      <c r="S367" s="83" t="n">
        <v>11348</v>
      </c>
      <c r="T367" s="83" t="n">
        <v>40045</v>
      </c>
      <c r="U367" s="83" t="n">
        <v>97446</v>
      </c>
      <c r="V367" s="83" t="n">
        <v>128146</v>
      </c>
      <c r="W367" s="83" t="n">
        <v>180210</v>
      </c>
      <c r="X367" s="83" t="n">
        <v>184210</v>
      </c>
      <c r="Y367" s="83" t="n">
        <v>277660</v>
      </c>
      <c r="Z367" s="83" t="n">
        <v>277660</v>
      </c>
      <c r="AA367" s="83" t="n">
        <v>389800</v>
      </c>
      <c r="AB367" s="83" t="n">
        <v>389800</v>
      </c>
      <c r="AC367" s="83" t="n">
        <v>545995</v>
      </c>
      <c r="AD367" s="83" t="n">
        <v>545995</v>
      </c>
      <c r="AE367" s="83" t="n">
        <v>545995</v>
      </c>
      <c r="AF367" s="83" t="n">
        <v>545995</v>
      </c>
      <c r="AG367" s="83" t="n">
        <v>699520</v>
      </c>
      <c r="AI367" s="35" t="n">
        <f aca="false">INDEX($F367:$AG367,1,MATCH(AI$7,$F$7:$AG$7,1))</f>
        <v>0</v>
      </c>
      <c r="AJ367" s="35" t="n">
        <f aca="false">INDEX($F367:$AG367,1,MATCH(AJ$7,$F$7:$AG$7,1))</f>
        <v>0</v>
      </c>
      <c r="AK367" s="35" t="n">
        <f aca="false">INDEX($F367:$AG367,1,MATCH(AK$7,$F$7:$AG$7,1))</f>
        <v>0</v>
      </c>
      <c r="AL367" s="35" t="n">
        <f aca="false">INDEX($F367:$AG367,1,MATCH(AL$7,$F$7:$AG$7,1))</f>
        <v>97446</v>
      </c>
      <c r="AM367" s="35" t="n">
        <f aca="false">INDEX($F367:$AG367,1,MATCH(AM$7,$F$7:$AG$7,1))</f>
        <v>277660</v>
      </c>
      <c r="AN367" s="35" t="n">
        <f aca="false">INDEX($F367:$AG367,1,MATCH(AN$7,$F$7:$AG$7,1))</f>
        <v>545995</v>
      </c>
      <c r="AO367" s="35" t="n">
        <f aca="false">INDEX($F367:$AG367,1,MATCH(AO$7,$F$7:$AG$7,1))</f>
        <v>699520</v>
      </c>
    </row>
    <row r="368" customFormat="false" ht="15" hidden="false" customHeight="false" outlineLevel="0" collapsed="false">
      <c r="A368" s="112" t="s">
        <v>1934</v>
      </c>
      <c r="B368" s="24" t="s">
        <v>956</v>
      </c>
      <c r="C368" s="24" t="s">
        <v>690</v>
      </c>
      <c r="D368" s="24" t="s">
        <v>1928</v>
      </c>
      <c r="F368" s="83" t="n">
        <v>0</v>
      </c>
      <c r="G368" s="83" t="n">
        <v>0</v>
      </c>
      <c r="H368" s="83" t="n">
        <v>0</v>
      </c>
      <c r="I368" s="83" t="n">
        <v>0</v>
      </c>
      <c r="J368" s="83" t="n">
        <v>0</v>
      </c>
      <c r="K368" s="83" t="n">
        <v>0</v>
      </c>
      <c r="L368" s="83" t="n">
        <v>0</v>
      </c>
      <c r="M368" s="83" t="n">
        <v>0</v>
      </c>
      <c r="N368" s="83" t="n">
        <v>0</v>
      </c>
      <c r="O368" s="83" t="n">
        <v>0</v>
      </c>
      <c r="P368" s="83" t="n">
        <v>0</v>
      </c>
      <c r="Q368" s="83" t="n">
        <v>0</v>
      </c>
      <c r="R368" s="83" t="n">
        <v>3338</v>
      </c>
      <c r="S368" s="83" t="n">
        <v>11348</v>
      </c>
      <c r="T368" s="83" t="n">
        <v>40045</v>
      </c>
      <c r="U368" s="83" t="n">
        <v>97446</v>
      </c>
      <c r="V368" s="83" t="n">
        <v>128146</v>
      </c>
      <c r="W368" s="83" t="n">
        <v>180210</v>
      </c>
      <c r="X368" s="83" t="n">
        <v>184210</v>
      </c>
      <c r="Y368" s="83" t="n">
        <v>277660</v>
      </c>
      <c r="Z368" s="83" t="n">
        <v>277660</v>
      </c>
      <c r="AA368" s="83" t="n">
        <v>389800</v>
      </c>
      <c r="AB368" s="83" t="n">
        <v>389800</v>
      </c>
      <c r="AC368" s="83" t="n">
        <v>545995</v>
      </c>
      <c r="AD368" s="83" t="n">
        <v>545995</v>
      </c>
      <c r="AE368" s="83" t="n">
        <v>545995</v>
      </c>
      <c r="AF368" s="83" t="n">
        <v>545995</v>
      </c>
      <c r="AG368" s="83" t="n">
        <v>699520</v>
      </c>
      <c r="AI368" s="35" t="n">
        <f aca="false">INDEX($F368:$AG368,1,MATCH(AI$7,$F$7:$AG$7,1))</f>
        <v>0</v>
      </c>
      <c r="AJ368" s="35" t="n">
        <f aca="false">INDEX($F368:$AG368,1,MATCH(AJ$7,$F$7:$AG$7,1))</f>
        <v>0</v>
      </c>
      <c r="AK368" s="35" t="n">
        <f aca="false">INDEX($F368:$AG368,1,MATCH(AK$7,$F$7:$AG$7,1))</f>
        <v>0</v>
      </c>
      <c r="AL368" s="35" t="n">
        <f aca="false">INDEX($F368:$AG368,1,MATCH(AL$7,$F$7:$AG$7,1))</f>
        <v>97446</v>
      </c>
      <c r="AM368" s="35" t="n">
        <f aca="false">INDEX($F368:$AG368,1,MATCH(AM$7,$F$7:$AG$7,1))</f>
        <v>277660</v>
      </c>
      <c r="AN368" s="35" t="n">
        <f aca="false">INDEX($F368:$AG368,1,MATCH(AN$7,$F$7:$AG$7,1))</f>
        <v>545995</v>
      </c>
      <c r="AO368" s="35" t="n">
        <f aca="false">INDEX($F368:$AG368,1,MATCH(AO$7,$F$7:$AG$7,1))</f>
        <v>699520</v>
      </c>
    </row>
    <row r="369" customFormat="false" ht="15" hidden="false" customHeight="false" outlineLevel="0" collapsed="false">
      <c r="A369" s="112" t="s">
        <v>1935</v>
      </c>
      <c r="B369" s="24" t="s">
        <v>956</v>
      </c>
      <c r="C369" s="24" t="s">
        <v>672</v>
      </c>
      <c r="D369" s="24"/>
      <c r="F369" s="35" t="n">
        <f aca="false">IF(CapV=2,F368,F367)</f>
        <v>0</v>
      </c>
      <c r="G369" s="35" t="n">
        <f aca="false">IF(CapV=2,G368,G367)</f>
        <v>0</v>
      </c>
      <c r="H369" s="35" t="n">
        <f aca="false">IF(CapV=2,H368,H367)</f>
        <v>0</v>
      </c>
      <c r="I369" s="35" t="n">
        <f aca="false">IF(CapV=2,I368,I367)</f>
        <v>0</v>
      </c>
      <c r="J369" s="35" t="n">
        <f aca="false">IF(CapV=2,J368,J367)</f>
        <v>0</v>
      </c>
      <c r="K369" s="35" t="n">
        <f aca="false">IF(CapV=2,K368,K367)</f>
        <v>0</v>
      </c>
      <c r="L369" s="35" t="n">
        <f aca="false">IF(CapV=2,L368,L367)</f>
        <v>0</v>
      </c>
      <c r="M369" s="35" t="n">
        <f aca="false">IF(CapV=2,M368,M367)</f>
        <v>0</v>
      </c>
      <c r="N369" s="35" t="n">
        <f aca="false">IF(CapV=2,N368,N367)</f>
        <v>0</v>
      </c>
      <c r="O369" s="35" t="n">
        <f aca="false">IF(CapV=2,O368,O367)</f>
        <v>0</v>
      </c>
      <c r="P369" s="35" t="n">
        <f aca="false">IF(CapV=2,P368,P367)</f>
        <v>0</v>
      </c>
      <c r="Q369" s="35" t="n">
        <f aca="false">IF(CapV=2,Q368,Q367)</f>
        <v>0</v>
      </c>
      <c r="R369" s="35" t="n">
        <f aca="false">IF(CapV=2,R368,R367)</f>
        <v>3338</v>
      </c>
      <c r="S369" s="35" t="n">
        <f aca="false">IF(CapV=2,S368,S367)</f>
        <v>11348</v>
      </c>
      <c r="T369" s="35" t="n">
        <f aca="false">IF(CapV=2,T368,T367)</f>
        <v>40045</v>
      </c>
      <c r="U369" s="35" t="n">
        <f aca="false">IF(CapV=2,U368,U367)</f>
        <v>97446</v>
      </c>
      <c r="V369" s="35" t="n">
        <f aca="false">IF(CapV=2,V368,V367)</f>
        <v>128146</v>
      </c>
      <c r="W369" s="35" t="n">
        <f aca="false">IF(CapV=2,W368,W367)</f>
        <v>180210</v>
      </c>
      <c r="X369" s="35" t="n">
        <f aca="false">IF(CapV=2,X368,X367)</f>
        <v>184210</v>
      </c>
      <c r="Y369" s="35" t="n">
        <f aca="false">IF(CapV=2,Y368,Y367)</f>
        <v>277660</v>
      </c>
      <c r="Z369" s="35" t="n">
        <f aca="false">IF(CapV=2,Z368,Z367)</f>
        <v>277660</v>
      </c>
      <c r="AA369" s="35" t="n">
        <f aca="false">IF(CapV=2,AA368,AA367)</f>
        <v>389800</v>
      </c>
      <c r="AB369" s="35" t="n">
        <f aca="false">IF(CapV=2,AB368,AB367)</f>
        <v>389800</v>
      </c>
      <c r="AC369" s="35" t="n">
        <f aca="false">IF(CapV=2,AC368,AC367)</f>
        <v>545995</v>
      </c>
      <c r="AD369" s="35" t="n">
        <f aca="false">IF(CapV=2,AD368,AD367)</f>
        <v>545995</v>
      </c>
      <c r="AE369" s="35" t="n">
        <f aca="false">IF(CapV=2,AE368,AE367)</f>
        <v>545995</v>
      </c>
      <c r="AF369" s="35" t="n">
        <f aca="false">IF(CapV=2,AF368,AF367)</f>
        <v>545995</v>
      </c>
      <c r="AG369" s="35" t="n">
        <f aca="false">IF(CapV=2,AG368,AG367)</f>
        <v>699520</v>
      </c>
      <c r="AI369" s="35" t="n">
        <f aca="false">INDEX($F369:$AG369,1,MATCH(AI$7,$F$7:$AG$7,1))</f>
        <v>0</v>
      </c>
      <c r="AJ369" s="35" t="n">
        <f aca="false">INDEX($F369:$AG369,1,MATCH(AJ$7,$F$7:$AG$7,1))</f>
        <v>0</v>
      </c>
      <c r="AK369" s="35" t="n">
        <f aca="false">INDEX($F369:$AG369,1,MATCH(AK$7,$F$7:$AG$7,1))</f>
        <v>0</v>
      </c>
      <c r="AL369" s="35" t="n">
        <f aca="false">INDEX($F369:$AG369,1,MATCH(AL$7,$F$7:$AG$7,1))</f>
        <v>97446</v>
      </c>
      <c r="AM369" s="35" t="n">
        <f aca="false">INDEX($F369:$AG369,1,MATCH(AM$7,$F$7:$AG$7,1))</f>
        <v>277660</v>
      </c>
      <c r="AN369" s="35" t="n">
        <f aca="false">INDEX($F369:$AG369,1,MATCH(AN$7,$F$7:$AG$7,1))</f>
        <v>545995</v>
      </c>
      <c r="AO369" s="35" t="n">
        <f aca="false">INDEX($F369:$AG369,1,MATCH(AO$7,$F$7:$AG$7,1))</f>
        <v>699520</v>
      </c>
    </row>
    <row r="370" customFormat="false" ht="15" hidden="false" customHeight="false" outlineLevel="0" collapsed="false">
      <c r="A370" s="112" t="s">
        <v>1936</v>
      </c>
      <c r="B370" s="24" t="s">
        <v>956</v>
      </c>
      <c r="C370" s="24" t="s">
        <v>1937</v>
      </c>
      <c r="D370" s="24" t="s">
        <v>1938</v>
      </c>
      <c r="F370" s="116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12" t="s">
        <v>1939</v>
      </c>
      <c r="B371" s="24" t="s">
        <v>857</v>
      </c>
      <c r="C371" s="24" t="s">
        <v>690</v>
      </c>
      <c r="D371" s="24" t="s">
        <v>1940</v>
      </c>
      <c r="F371" s="116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16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16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16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16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16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16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16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16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16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35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35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35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35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35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35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35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35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35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35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35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35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35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35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35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35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35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35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35" t="n">
        <f aca="false">INDEX($F371:$AG371,1,MATCH(AI$7,$F$7:$AG$7,1))</f>
        <v>27.7275</v>
      </c>
      <c r="AJ371" s="35" t="n">
        <f aca="false">INDEX($F371:$AG371,1,MATCH(AJ$7,$F$7:$AG$7,1))</f>
        <v>138.32595</v>
      </c>
      <c r="AK371" s="35" t="n">
        <f aca="false">INDEX($F371:$AG371,1,MATCH(AK$7,$F$7:$AG$7,1))</f>
        <v>301.7195</v>
      </c>
      <c r="AL371" s="35" t="n">
        <f aca="false">INDEX($F371:$AG371,1,MATCH(AL$7,$F$7:$AG$7,1))</f>
        <v>1081.9108</v>
      </c>
      <c r="AM371" s="35" t="n">
        <f aca="false">INDEX($F371:$AG371,1,MATCH(AM$7,$F$7:$AG$7,1))</f>
        <v>1652.7273</v>
      </c>
      <c r="AN371" s="35" t="n">
        <f aca="false">INDEX($F371:$AG371,1,MATCH(AN$7,$F$7:$AG$7,1))</f>
        <v>2409.3763</v>
      </c>
      <c r="AO371" s="35" t="n">
        <f aca="false">INDEX($F371:$AG371,1,MATCH(AO$7,$F$7:$AG$7,1))</f>
        <v>2841.0793</v>
      </c>
    </row>
    <row r="373" customFormat="false" ht="15" hidden="false" customHeight="false" outlineLevel="0" collapsed="false">
      <c r="A373" s="64" t="s">
        <v>1941</v>
      </c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</row>
    <row r="375" customFormat="false" ht="15" hidden="false" customHeight="false" outlineLevel="0" collapsed="false">
      <c r="A375" s="64" t="s">
        <v>1942</v>
      </c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</row>
    <row r="376" customFormat="false" ht="15" hidden="false" customHeight="false" outlineLevel="0" collapsed="false">
      <c r="A376" s="112" t="s">
        <v>1943</v>
      </c>
      <c r="B376" s="24" t="s">
        <v>857</v>
      </c>
      <c r="C376" s="24" t="s">
        <v>690</v>
      </c>
      <c r="D376" s="24" t="s">
        <v>1944</v>
      </c>
      <c r="F376" s="80" t="n">
        <v>0</v>
      </c>
      <c r="G376" s="80" t="n">
        <v>0</v>
      </c>
      <c r="H376" s="80" t="n">
        <v>0</v>
      </c>
      <c r="I376" s="80" t="n">
        <v>0</v>
      </c>
      <c r="J376" s="80" t="n">
        <v>0</v>
      </c>
      <c r="K376" s="80" t="n">
        <v>0</v>
      </c>
      <c r="L376" s="80" t="n">
        <v>0</v>
      </c>
      <c r="M376" s="80" t="n">
        <v>0</v>
      </c>
      <c r="N376" s="80" t="n">
        <v>0</v>
      </c>
      <c r="O376" s="80" t="n">
        <v>0</v>
      </c>
      <c r="P376" s="80" t="n">
        <v>10</v>
      </c>
      <c r="Q376" s="80" t="n">
        <v>-37.8</v>
      </c>
      <c r="R376" s="80" t="n">
        <v>4</v>
      </c>
      <c r="S376" s="80" t="n">
        <v>35</v>
      </c>
      <c r="T376" s="80" t="n">
        <v>81</v>
      </c>
      <c r="U376" s="80" t="n">
        <v>135</v>
      </c>
      <c r="V376" s="80" t="n">
        <v>135</v>
      </c>
      <c r="W376" s="80" t="n">
        <v>135</v>
      </c>
      <c r="X376" s="80" t="n">
        <v>135</v>
      </c>
      <c r="Y376" s="80" t="n">
        <v>135</v>
      </c>
      <c r="Z376" s="80" t="n">
        <v>135</v>
      </c>
      <c r="AA376" s="80" t="n">
        <v>135</v>
      </c>
      <c r="AB376" s="80" t="n">
        <v>135</v>
      </c>
      <c r="AC376" s="80" t="n">
        <v>135</v>
      </c>
      <c r="AD376" s="80" t="n">
        <v>135</v>
      </c>
      <c r="AE376" s="80" t="n">
        <v>135</v>
      </c>
      <c r="AF376" s="80" t="n">
        <v>135</v>
      </c>
      <c r="AG376" s="80" t="n">
        <v>135</v>
      </c>
      <c r="AI376" s="39" t="n">
        <f aca="false">INDEX($F376:$AG376,1,MATCH(AI$7,$F$7:$AG$7,1))</f>
        <v>0</v>
      </c>
      <c r="AJ376" s="39" t="n">
        <f aca="false">INDEX($F376:$AG376,1,MATCH(AJ$7,$F$7:$AG$7,1))</f>
        <v>0</v>
      </c>
      <c r="AK376" s="39" t="n">
        <f aca="false">INDEX($F376:$AG376,1,MATCH(AK$7,$F$7:$AG$7,1))</f>
        <v>-37.8</v>
      </c>
      <c r="AL376" s="39" t="n">
        <f aca="false">INDEX($F376:$AG376,1,MATCH(AL$7,$F$7:$AG$7,1))</f>
        <v>135</v>
      </c>
      <c r="AM376" s="39" t="n">
        <f aca="false">INDEX($F376:$AG376,1,MATCH(AM$7,$F$7:$AG$7,1))</f>
        <v>135</v>
      </c>
      <c r="AN376" s="39" t="n">
        <f aca="false">INDEX($F376:$AG376,1,MATCH(AN$7,$F$7:$AG$7,1))</f>
        <v>135</v>
      </c>
      <c r="AO376" s="39" t="n">
        <f aca="false">INDEX($F376:$AG376,1,MATCH(AO$7,$F$7:$AG$7,1))</f>
        <v>135</v>
      </c>
    </row>
    <row r="377" customFormat="false" ht="15" hidden="false" customHeight="false" outlineLevel="0" collapsed="false">
      <c r="A377" s="112" t="s">
        <v>1945</v>
      </c>
      <c r="B377" s="24" t="s">
        <v>857</v>
      </c>
      <c r="C377" s="24" t="s">
        <v>690</v>
      </c>
      <c r="D377" s="24" t="s">
        <v>1946</v>
      </c>
      <c r="F377" s="80" t="n">
        <v>0</v>
      </c>
      <c r="G377" s="80" t="n">
        <v>0</v>
      </c>
      <c r="H377" s="80" t="n">
        <v>0</v>
      </c>
      <c r="I377" s="80" t="n">
        <v>0</v>
      </c>
      <c r="J377" s="80" t="n">
        <v>0</v>
      </c>
      <c r="K377" s="80" t="n">
        <v>0</v>
      </c>
      <c r="L377" s="80" t="n">
        <v>0</v>
      </c>
      <c r="M377" s="80" t="n">
        <v>0</v>
      </c>
      <c r="N377" s="80" t="n">
        <v>0</v>
      </c>
      <c r="O377" s="80" t="n">
        <v>0</v>
      </c>
      <c r="P377" s="80" t="n">
        <v>20</v>
      </c>
      <c r="Q377" s="80" t="n">
        <v>15</v>
      </c>
      <c r="R377" s="80" t="n">
        <v>40.5</v>
      </c>
      <c r="S377" s="80" t="n">
        <v>90.5</v>
      </c>
      <c r="T377" s="80" t="n">
        <v>148</v>
      </c>
      <c r="U377" s="80" t="n">
        <v>153</v>
      </c>
      <c r="V377" s="80" t="n">
        <v>153</v>
      </c>
      <c r="W377" s="80" t="n">
        <v>153</v>
      </c>
      <c r="X377" s="80" t="n">
        <v>153</v>
      </c>
      <c r="Y377" s="80" t="n">
        <v>153</v>
      </c>
      <c r="Z377" s="80" t="n">
        <v>153</v>
      </c>
      <c r="AA377" s="80" t="n">
        <v>153</v>
      </c>
      <c r="AB377" s="80" t="n">
        <v>153</v>
      </c>
      <c r="AC377" s="80" t="n">
        <v>153</v>
      </c>
      <c r="AD377" s="80" t="n">
        <v>153</v>
      </c>
      <c r="AE377" s="80" t="n">
        <v>153</v>
      </c>
      <c r="AF377" s="80" t="n">
        <v>153</v>
      </c>
      <c r="AG377" s="80" t="n">
        <v>153</v>
      </c>
      <c r="AI377" s="39" t="n">
        <f aca="false">INDEX($F377:$AG377,1,MATCH(AI$7,$F$7:$AG$7,1))</f>
        <v>0</v>
      </c>
      <c r="AJ377" s="39" t="n">
        <f aca="false">INDEX($F377:$AG377,1,MATCH(AJ$7,$F$7:$AG$7,1))</f>
        <v>0</v>
      </c>
      <c r="AK377" s="39" t="n">
        <f aca="false">INDEX($F377:$AG377,1,MATCH(AK$7,$F$7:$AG$7,1))</f>
        <v>15</v>
      </c>
      <c r="AL377" s="39" t="n">
        <f aca="false">INDEX($F377:$AG377,1,MATCH(AL$7,$F$7:$AG$7,1))</f>
        <v>153</v>
      </c>
      <c r="AM377" s="39" t="n">
        <f aca="false">INDEX($F377:$AG377,1,MATCH(AM$7,$F$7:$AG$7,1))</f>
        <v>153</v>
      </c>
      <c r="AN377" s="39" t="n">
        <f aca="false">INDEX($F377:$AG377,1,MATCH(AN$7,$F$7:$AG$7,1))</f>
        <v>153</v>
      </c>
      <c r="AO377" s="39" t="n">
        <f aca="false">INDEX($F377:$AG377,1,MATCH(AO$7,$F$7:$AG$7,1))</f>
        <v>153</v>
      </c>
    </row>
    <row r="378" customFormat="false" ht="15" hidden="false" customHeight="false" outlineLevel="0" collapsed="false">
      <c r="A378" s="112" t="s">
        <v>1947</v>
      </c>
      <c r="B378" s="24" t="s">
        <v>857</v>
      </c>
      <c r="C378" s="24" t="s">
        <v>690</v>
      </c>
      <c r="D378" s="24" t="s">
        <v>1948</v>
      </c>
      <c r="F378" s="80" t="n">
        <v>0</v>
      </c>
      <c r="G378" s="80" t="n">
        <v>0</v>
      </c>
      <c r="H378" s="80" t="n">
        <v>0</v>
      </c>
      <c r="I378" s="80" t="n">
        <v>0</v>
      </c>
      <c r="J378" s="80" t="n">
        <v>0</v>
      </c>
      <c r="K378" s="80" t="n">
        <v>0</v>
      </c>
      <c r="L378" s="80" t="n">
        <v>0</v>
      </c>
      <c r="M378" s="80" t="n">
        <v>0</v>
      </c>
      <c r="N378" s="80" t="n">
        <v>0</v>
      </c>
      <c r="O378" s="80" t="n">
        <v>0</v>
      </c>
      <c r="P378" s="80" t="n">
        <v>45</v>
      </c>
      <c r="Q378" s="80" t="n">
        <v>80</v>
      </c>
      <c r="R378" s="80" t="n">
        <v>145</v>
      </c>
      <c r="S378" s="80" t="n">
        <v>178</v>
      </c>
      <c r="T378" s="80" t="n">
        <v>208</v>
      </c>
      <c r="U378" s="80" t="n">
        <v>208</v>
      </c>
      <c r="V378" s="80" t="n">
        <v>208</v>
      </c>
      <c r="W378" s="80" t="n">
        <v>208</v>
      </c>
      <c r="X378" s="80" t="n">
        <v>208</v>
      </c>
      <c r="Y378" s="80" t="n">
        <v>208</v>
      </c>
      <c r="Z378" s="80" t="n">
        <v>208</v>
      </c>
      <c r="AA378" s="80" t="n">
        <v>208</v>
      </c>
      <c r="AB378" s="80" t="n">
        <v>208</v>
      </c>
      <c r="AC378" s="80" t="n">
        <v>208</v>
      </c>
      <c r="AD378" s="80" t="n">
        <v>208</v>
      </c>
      <c r="AE378" s="80" t="n">
        <v>208</v>
      </c>
      <c r="AF378" s="80" t="n">
        <v>208</v>
      </c>
      <c r="AG378" s="80" t="n">
        <v>208</v>
      </c>
      <c r="AI378" s="39" t="n">
        <f aca="false">INDEX($F378:$AG378,1,MATCH(AI$7,$F$7:$AG$7,1))</f>
        <v>0</v>
      </c>
      <c r="AJ378" s="39" t="n">
        <f aca="false">INDEX($F378:$AG378,1,MATCH(AJ$7,$F$7:$AG$7,1))</f>
        <v>0</v>
      </c>
      <c r="AK378" s="39" t="n">
        <f aca="false">INDEX($F378:$AG378,1,MATCH(AK$7,$F$7:$AG$7,1))</f>
        <v>80</v>
      </c>
      <c r="AL378" s="39" t="n">
        <f aca="false">INDEX($F378:$AG378,1,MATCH(AL$7,$F$7:$AG$7,1))</f>
        <v>208</v>
      </c>
      <c r="AM378" s="39" t="n">
        <f aca="false">INDEX($F378:$AG378,1,MATCH(AM$7,$F$7:$AG$7,1))</f>
        <v>208</v>
      </c>
      <c r="AN378" s="39" t="n">
        <f aca="false">INDEX($F378:$AG378,1,MATCH(AN$7,$F$7:$AG$7,1))</f>
        <v>208</v>
      </c>
      <c r="AO378" s="39" t="n">
        <f aca="false">INDEX($F378:$AG378,1,MATCH(AO$7,$F$7:$AG$7,1))</f>
        <v>208</v>
      </c>
    </row>
    <row r="379" customFormat="false" ht="15" hidden="false" customHeight="false" outlineLevel="0" collapsed="false">
      <c r="A379" s="112" t="s">
        <v>1949</v>
      </c>
      <c r="B379" s="24" t="s">
        <v>857</v>
      </c>
      <c r="C379" s="24" t="s">
        <v>672</v>
      </c>
      <c r="D379" s="24" t="s">
        <v>1950</v>
      </c>
      <c r="F379" s="121" t="n">
        <f aca="false">CHOOSE(Scen,F378,F377,F376)</f>
        <v>0</v>
      </c>
      <c r="G379" s="121" t="n">
        <f aca="false">CHOOSE(Scen,G378,G377,G376)</f>
        <v>0</v>
      </c>
      <c r="H379" s="121" t="n">
        <f aca="false">CHOOSE(Scen,H378,H377,H376)</f>
        <v>0</v>
      </c>
      <c r="I379" s="121" t="n">
        <f aca="false">CHOOSE(Scen,I378,I377,I376)</f>
        <v>0</v>
      </c>
      <c r="J379" s="121" t="n">
        <f aca="false">CHOOSE(Scen,J378,J377,J376)</f>
        <v>0</v>
      </c>
      <c r="K379" s="121" t="n">
        <f aca="false">CHOOSE(Scen,K378,K377,K376)</f>
        <v>0</v>
      </c>
      <c r="L379" s="121" t="n">
        <f aca="false">CHOOSE(Scen,L378,L377,L376)</f>
        <v>0</v>
      </c>
      <c r="M379" s="121" t="n">
        <f aca="false">CHOOSE(Scen,M378,M377,M376)</f>
        <v>0</v>
      </c>
      <c r="N379" s="121" t="n">
        <f aca="false">CHOOSE(Scen,N378,N377,N376)</f>
        <v>0</v>
      </c>
      <c r="O379" s="121" t="n">
        <f aca="false">CHOOSE(Scen,O378,O377,O376)</f>
        <v>0</v>
      </c>
      <c r="P379" s="39" t="n">
        <f aca="false">CHOOSE(Scen,P378,P377,P376)</f>
        <v>20</v>
      </c>
      <c r="Q379" s="39" t="n">
        <f aca="false">CHOOSE(Scen,Q378,Q377,Q376)</f>
        <v>15</v>
      </c>
      <c r="R379" s="39" t="n">
        <f aca="false">CHOOSE(Scen,R378,R377,R376)</f>
        <v>40.5</v>
      </c>
      <c r="S379" s="39" t="n">
        <f aca="false">CHOOSE(Scen,S378,S377,S376)</f>
        <v>90.5</v>
      </c>
      <c r="T379" s="39" t="n">
        <f aca="false">CHOOSE(Scen,T378,T377,T376)</f>
        <v>148</v>
      </c>
      <c r="U379" s="39" t="n">
        <f aca="false">CHOOSE(Scen,U378,U377,U376)</f>
        <v>153</v>
      </c>
      <c r="V379" s="39" t="n">
        <f aca="false">CHOOSE(Scen,V378,V377,V376)</f>
        <v>153</v>
      </c>
      <c r="W379" s="39" t="n">
        <f aca="false">CHOOSE(Scen,W378,W377,W376)</f>
        <v>153</v>
      </c>
      <c r="X379" s="39" t="n">
        <f aca="false">CHOOSE(Scen,X378,X377,X376)</f>
        <v>153</v>
      </c>
      <c r="Y379" s="39" t="n">
        <f aca="false">CHOOSE(Scen,Y378,Y377,Y376)</f>
        <v>153</v>
      </c>
      <c r="Z379" s="39" t="n">
        <f aca="false">CHOOSE(Scen,Z378,Z377,Z376)</f>
        <v>153</v>
      </c>
      <c r="AA379" s="39" t="n">
        <f aca="false">CHOOSE(Scen,AA378,AA377,AA376)</f>
        <v>153</v>
      </c>
      <c r="AB379" s="39" t="n">
        <f aca="false">CHOOSE(Scen,AB378,AB377,AB376)</f>
        <v>153</v>
      </c>
      <c r="AC379" s="39" t="n">
        <f aca="false">CHOOSE(Scen,AC378,AC377,AC376)</f>
        <v>153</v>
      </c>
      <c r="AD379" s="39" t="n">
        <f aca="false">CHOOSE(Scen,AD378,AD377,AD376)</f>
        <v>153</v>
      </c>
      <c r="AE379" s="39" t="n">
        <f aca="false">CHOOSE(Scen,AE378,AE377,AE376)</f>
        <v>153</v>
      </c>
      <c r="AF379" s="39" t="n">
        <f aca="false">CHOOSE(Scen,AF378,AF377,AF376)</f>
        <v>153</v>
      </c>
      <c r="AG379" s="39" t="n">
        <f aca="false">CHOOSE(Scen,AG378,AG377,AG376)</f>
        <v>153</v>
      </c>
      <c r="AI379" s="39" t="n">
        <f aca="false">INDEX($F379:$AG379,1,MATCH(AI$7,$F$7:$AG$7,1))</f>
        <v>0</v>
      </c>
      <c r="AJ379" s="39" t="n">
        <f aca="false">INDEX($F379:$AG379,1,MATCH(AJ$7,$F$7:$AG$7,1))</f>
        <v>0</v>
      </c>
      <c r="AK379" s="39" t="n">
        <f aca="false">INDEX($F379:$AG379,1,MATCH(AK$7,$F$7:$AG$7,1))</f>
        <v>15</v>
      </c>
      <c r="AL379" s="39" t="n">
        <f aca="false">INDEX($F379:$AG379,1,MATCH(AL$7,$F$7:$AG$7,1))</f>
        <v>153</v>
      </c>
      <c r="AM379" s="39" t="n">
        <f aca="false">INDEX($F379:$AG379,1,MATCH(AM$7,$F$7:$AG$7,1))</f>
        <v>153</v>
      </c>
      <c r="AN379" s="39" t="n">
        <f aca="false">INDEX($F379:$AG379,1,MATCH(AN$7,$F$7:$AG$7,1))</f>
        <v>153</v>
      </c>
      <c r="AO379" s="39" t="n">
        <f aca="false">INDEX($F379:$AG379,1,MATCH(AO$7,$F$7:$AG$7,1))</f>
        <v>153</v>
      </c>
    </row>
    <row r="380" customFormat="false" ht="15" hidden="false" customHeight="false" outlineLevel="0" collapsed="false">
      <c r="A380" s="112" t="s">
        <v>1951</v>
      </c>
      <c r="B380" s="24" t="s">
        <v>857</v>
      </c>
      <c r="C380" s="24" t="s">
        <v>672</v>
      </c>
      <c r="D380" s="24" t="s">
        <v>1952</v>
      </c>
      <c r="F380" s="116" t="n">
        <f aca="false">CHOOSE(MWSel,F285,F316,F357,F316+F379)</f>
        <v>22.7275</v>
      </c>
      <c r="G380" s="116" t="n">
        <f aca="false">CHOOSE(MWSel,G285,G316,G357,G316+G379)</f>
        <v>22.7275</v>
      </c>
      <c r="H380" s="116" t="n">
        <f aca="false">CHOOSE(MWSel,H285,H316,H357,H316+H379)</f>
        <v>22.7275</v>
      </c>
      <c r="I380" s="116" t="n">
        <f aca="false">CHOOSE(MWSel,I285,I316,I357,I316+I379)</f>
        <v>27.7275</v>
      </c>
      <c r="J380" s="116" t="n">
        <f aca="false">CHOOSE(MWSel,J285,J316,J357,J316+J379)</f>
        <v>47.7275</v>
      </c>
      <c r="K380" s="116" t="n">
        <f aca="false">CHOOSE(MWSel,K285,K316,K357,K316+K379)</f>
        <v>47.7275</v>
      </c>
      <c r="L380" s="116" t="n">
        <f aca="false">CHOOSE(MWSel,L285,L316,L357,L316+L379)</f>
        <v>59.09125</v>
      </c>
      <c r="M380" s="116" t="n">
        <f aca="false">CHOOSE(MWSel,M285,M316,M357,M316+M379)</f>
        <v>138.32595</v>
      </c>
      <c r="N380" s="116" t="n">
        <f aca="false">CHOOSE(MWSel,N285,N316,N357,N316+N379)</f>
        <v>170.9897</v>
      </c>
      <c r="O380" s="116" t="n">
        <f aca="false">CHOOSE(MWSel,O285,O316,O357,O316+O379)</f>
        <v>182.4897</v>
      </c>
      <c r="P380" s="35" t="n">
        <f aca="false">CHOOSE(MWSel,P285,P316,P357,P316+P379)</f>
        <v>216.9897</v>
      </c>
      <c r="Q380" s="35" t="n">
        <f aca="false">CHOOSE(MWSel,Q285,Q316,Q357,Q316+Q379)</f>
        <v>301.7195</v>
      </c>
      <c r="R380" s="35" t="n">
        <f aca="false">CHOOSE(MWSel,R285,R316,R357,R316+R379)</f>
        <v>453.79225</v>
      </c>
      <c r="S380" s="35" t="n">
        <f aca="false">CHOOSE(MWSel,S285,S316,S357,S316+S379)</f>
        <v>629.5368</v>
      </c>
      <c r="T380" s="35" t="n">
        <f aca="false">CHOOSE(MWSel,T285,T316,T357,T316+T379)</f>
        <v>812.6073</v>
      </c>
      <c r="U380" s="35" t="n">
        <f aca="false">CHOOSE(MWSel,U285,U316,U357,U316+U379)</f>
        <v>1081.9108</v>
      </c>
      <c r="V380" s="35" t="n">
        <f aca="false">CHOOSE(MWSel,V285,V316,V357,V316+V379)</f>
        <v>1172.9923</v>
      </c>
      <c r="W380" s="35" t="n">
        <f aca="false">CHOOSE(MWSel,W285,W316,W357,W316+W379)</f>
        <v>1326.4518</v>
      </c>
      <c r="X380" s="35" t="n">
        <f aca="false">CHOOSE(MWSel,X285,X316,X357,X316+X379)</f>
        <v>1338.9518</v>
      </c>
      <c r="Y380" s="35" t="n">
        <f aca="false">CHOOSE(MWSel,Y285,Y316,Y357,Y316+Y379)</f>
        <v>1652.7273</v>
      </c>
      <c r="Z380" s="35" t="n">
        <f aca="false">CHOOSE(MWSel,Z285,Z316,Z357,Z316+Z379)</f>
        <v>1652.7273</v>
      </c>
      <c r="AA380" s="35" t="n">
        <f aca="false">CHOOSE(MWSel,AA285,AA316,AA357,AA316+AA379)</f>
        <v>1963.8213</v>
      </c>
      <c r="AB380" s="35" t="n">
        <f aca="false">CHOOSE(MWSel,AB285,AB316,AB357,AB316+AB379)</f>
        <v>1963.8213</v>
      </c>
      <c r="AC380" s="35" t="n">
        <f aca="false">CHOOSE(MWSel,AC285,AC316,AC357,AC316+AC379)</f>
        <v>2409.3763</v>
      </c>
      <c r="AD380" s="35" t="n">
        <f aca="false">CHOOSE(MWSel,AD285,AD316,AD357,AD316+AD379)</f>
        <v>2409.3763</v>
      </c>
      <c r="AE380" s="35" t="n">
        <f aca="false">CHOOSE(MWSel,AE285,AE316,AE357,AE316+AE379)</f>
        <v>2409.3763</v>
      </c>
      <c r="AF380" s="35" t="n">
        <f aca="false">CHOOSE(MWSel,AF285,AF316,AF357,AF316+AF379)</f>
        <v>2409.3763</v>
      </c>
      <c r="AG380" s="35" t="n">
        <f aca="false">CHOOSE(MWSel,AG285,AG316,AG357,AG316+AG379)</f>
        <v>2841.0793</v>
      </c>
      <c r="AI380" s="35" t="n">
        <f aca="false">INDEX($F380:$AG380,1,MATCH(AI$7,$F$7:$AG$7,1))</f>
        <v>27.7275</v>
      </c>
      <c r="AJ380" s="35" t="n">
        <f aca="false">INDEX($F380:$AG380,1,MATCH(AJ$7,$F$7:$AG$7,1))</f>
        <v>138.32595</v>
      </c>
      <c r="AK380" s="35" t="n">
        <f aca="false">INDEX($F380:$AG380,1,MATCH(AK$7,$F$7:$AG$7,1))</f>
        <v>301.7195</v>
      </c>
      <c r="AL380" s="35" t="n">
        <f aca="false">INDEX($F380:$AG380,1,MATCH(AL$7,$F$7:$AG$7,1))</f>
        <v>1081.9108</v>
      </c>
      <c r="AM380" s="35" t="n">
        <f aca="false">INDEX($F380:$AG380,1,MATCH(AM$7,$F$7:$AG$7,1))</f>
        <v>1652.7273</v>
      </c>
      <c r="AN380" s="35" t="n">
        <f aca="false">INDEX($F380:$AG380,1,MATCH(AN$7,$F$7:$AG$7,1))</f>
        <v>2409.3763</v>
      </c>
      <c r="AO380" s="35" t="n">
        <f aca="false">INDEX($F380:$AG380,1,MATCH(AO$7,$F$7:$AG$7,1))</f>
        <v>2841.0793</v>
      </c>
    </row>
    <row r="381" customFormat="false" ht="15" hidden="false" customHeight="false" outlineLevel="0" collapsed="false">
      <c r="A381" s="112" t="s">
        <v>1953</v>
      </c>
      <c r="B381" s="24" t="s">
        <v>857</v>
      </c>
      <c r="C381" s="24" t="s">
        <v>672</v>
      </c>
      <c r="D381" s="24"/>
      <c r="F381" s="116" t="n">
        <f aca="false">CHOOSE(MWSel,F286,F317,F358,F317)</f>
        <v>22.7275</v>
      </c>
      <c r="G381" s="116" t="n">
        <f aca="false">CHOOSE(MWSel,G286,G317,G358,G317)</f>
        <v>22.7275</v>
      </c>
      <c r="H381" s="116" t="n">
        <f aca="false">CHOOSE(MWSel,H286,H317,H358,H317)</f>
        <v>22.7275</v>
      </c>
      <c r="I381" s="116" t="n">
        <f aca="false">CHOOSE(MWSel,I286,I317,I358,I317)</f>
        <v>22.7275</v>
      </c>
      <c r="J381" s="116" t="n">
        <f aca="false">CHOOSE(MWSel,J286,J317,J358,J317)</f>
        <v>22.7275</v>
      </c>
      <c r="K381" s="116" t="n">
        <f aca="false">CHOOSE(MWSel,K286,K317,K358,K317)</f>
        <v>22.7275</v>
      </c>
      <c r="L381" s="116" t="n">
        <f aca="false">CHOOSE(MWSel,L286,L317,L358,L317)</f>
        <v>34.09125</v>
      </c>
      <c r="M381" s="116" t="n">
        <f aca="false">CHOOSE(MWSel,M286,M317,M358,M317)</f>
        <v>56.81875</v>
      </c>
      <c r="N381" s="116" t="n">
        <f aca="false">CHOOSE(MWSel,N286,N317,N358,N317)</f>
        <v>68.1825</v>
      </c>
      <c r="O381" s="116" t="n">
        <f aca="false">CHOOSE(MWSel,O286,O317,O358,O317)</f>
        <v>68.1825</v>
      </c>
      <c r="P381" s="35" t="n">
        <f aca="false">CHOOSE(MWSel,P286,P317,P358,P317)</f>
        <v>68.1825</v>
      </c>
      <c r="Q381" s="35" t="n">
        <f aca="false">CHOOSE(MWSel,Q286,Q317,Q358,Q317)</f>
        <v>68.1825</v>
      </c>
      <c r="R381" s="35" t="n">
        <f aca="false">CHOOSE(MWSel,R286,R317,R358,R317)</f>
        <v>77.44125</v>
      </c>
      <c r="S381" s="35" t="n">
        <f aca="false">CHOOSE(MWSel,S286,S317,S358,S317)</f>
        <v>101.918</v>
      </c>
      <c r="T381" s="35" t="n">
        <f aca="false">CHOOSE(MWSel,T286,T317,T358,T317)</f>
        <v>172.6885</v>
      </c>
      <c r="U381" s="35" t="n">
        <f aca="false">CHOOSE(MWSel,U286,U317,U358,U317)</f>
        <v>325.34</v>
      </c>
      <c r="V381" s="35" t="n">
        <f aca="false">CHOOSE(MWSel,V286,V317,V358,V317)</f>
        <v>403.9215</v>
      </c>
      <c r="W381" s="35" t="n">
        <f aca="false">CHOOSE(MWSel,W286,W317,W358,W317)</f>
        <v>557.381</v>
      </c>
      <c r="X381" s="35" t="n">
        <f aca="false">CHOOSE(MWSel,X286,X317,X358,X317)</f>
        <v>557.381</v>
      </c>
      <c r="Y381" s="35" t="n">
        <f aca="false">CHOOSE(MWSel,Y286,Y317,Y358,Y317)</f>
        <v>825.0045</v>
      </c>
      <c r="Z381" s="35" t="n">
        <f aca="false">CHOOSE(MWSel,Z286,Z317,Z358,Z317)</f>
        <v>825.0045</v>
      </c>
      <c r="AA381" s="35" t="n">
        <f aca="false">CHOOSE(MWSel,AA286,AA317,AA358,AA317)</f>
        <v>1136.0985</v>
      </c>
      <c r="AB381" s="35" t="n">
        <f aca="false">CHOOSE(MWSel,AB286,AB317,AB358,AB317)</f>
        <v>1136.0985</v>
      </c>
      <c r="AC381" s="35" t="n">
        <f aca="false">CHOOSE(MWSel,AC286,AC317,AC358,AC317)</f>
        <v>1581.6535</v>
      </c>
      <c r="AD381" s="35" t="n">
        <f aca="false">CHOOSE(MWSel,AD286,AD317,AD358,AD317)</f>
        <v>1581.6535</v>
      </c>
      <c r="AE381" s="35" t="n">
        <f aca="false">CHOOSE(MWSel,AE286,AE317,AE358,AE317)</f>
        <v>1581.6535</v>
      </c>
      <c r="AF381" s="35" t="n">
        <f aca="false">CHOOSE(MWSel,AF286,AF317,AF358,AF317)</f>
        <v>1581.6535</v>
      </c>
      <c r="AG381" s="35" t="n">
        <f aca="false">CHOOSE(MWSel,AG286,AG317,AG358,AG317)</f>
        <v>2013.3565</v>
      </c>
      <c r="AI381" s="35" t="n">
        <f aca="false">INDEX($F381:$AG381,1,MATCH(AI$7,$F$7:$AG$7,1))</f>
        <v>22.7275</v>
      </c>
      <c r="AJ381" s="35" t="n">
        <f aca="false">INDEX($F381:$AG381,1,MATCH(AJ$7,$F$7:$AG$7,1))</f>
        <v>56.81875</v>
      </c>
      <c r="AK381" s="35" t="n">
        <f aca="false">INDEX($F381:$AG381,1,MATCH(AK$7,$F$7:$AG$7,1))</f>
        <v>68.1825</v>
      </c>
      <c r="AL381" s="35" t="n">
        <f aca="false">INDEX($F381:$AG381,1,MATCH(AL$7,$F$7:$AG$7,1))</f>
        <v>325.34</v>
      </c>
      <c r="AM381" s="35" t="n">
        <f aca="false">INDEX($F381:$AG381,1,MATCH(AM$7,$F$7:$AG$7,1))</f>
        <v>825.0045</v>
      </c>
      <c r="AN381" s="35" t="n">
        <f aca="false">INDEX($F381:$AG381,1,MATCH(AN$7,$F$7:$AG$7,1))</f>
        <v>1581.6535</v>
      </c>
      <c r="AO381" s="35" t="n">
        <f aca="false">INDEX($F381:$AG381,1,MATCH(AO$7,$F$7:$AG$7,1))</f>
        <v>2013.3565</v>
      </c>
    </row>
    <row r="382" customFormat="false" ht="15" hidden="false" customHeight="false" outlineLevel="0" collapsed="false">
      <c r="A382" s="112" t="s">
        <v>1954</v>
      </c>
      <c r="B382" s="24" t="s">
        <v>857</v>
      </c>
      <c r="C382" s="24" t="s">
        <v>690</v>
      </c>
      <c r="D382" s="24" t="s">
        <v>1955</v>
      </c>
      <c r="F382" s="121" t="n">
        <f aca="false">N(IF(F$5&lt;=LastHist,F238,CHOOSE(Scen,F241,F238,F235)))*$F$34</f>
        <v>0</v>
      </c>
      <c r="G382" s="121" t="n">
        <f aca="false">N(IF(G$5&lt;=LastHist,G238,CHOOSE(Scen,G241,G238,G235)))*$F$34</f>
        <v>0</v>
      </c>
      <c r="H382" s="121" t="n">
        <f aca="false">N(IF(H$5&lt;=LastHist,H238,CHOOSE(Scen,H241,H238,H235)))*$F$34</f>
        <v>0</v>
      </c>
      <c r="I382" s="121" t="n">
        <f aca="false">N(IF(I$5&lt;=LastHist,I238,CHOOSE(Scen,I241,I238,I235)))*$F$34</f>
        <v>0</v>
      </c>
      <c r="J382" s="121" t="n">
        <f aca="false">N(IF(J$5&lt;=LastHist,J238,CHOOSE(Scen,J241,J238,J235)))*$F$34</f>
        <v>0</v>
      </c>
      <c r="K382" s="121" t="n">
        <f aca="false">N(IF(K$5&lt;=LastHist,K238,CHOOSE(Scen,K241,K238,K235)))*$F$34</f>
        <v>0</v>
      </c>
      <c r="L382" s="121" t="n">
        <f aca="false">N(IF(L$5&lt;=LastHist,L238,CHOOSE(Scen,L241,L238,L235)))*$F$34</f>
        <v>0</v>
      </c>
      <c r="M382" s="121" t="n">
        <f aca="false">N(IF(M$5&lt;=LastHist,M238,CHOOSE(Scen,M241,M238,M235)))*$F$34</f>
        <v>0</v>
      </c>
      <c r="N382" s="121" t="n">
        <f aca="false">N(IF(N$5&lt;=LastHist,N238,CHOOSE(Scen,N241,N238,N235)))*$F$34</f>
        <v>0</v>
      </c>
      <c r="O382" s="121" t="n">
        <f aca="false">N(IF(O$5&lt;=LastHist,O238,CHOOSE(Scen,O241,O238,O235)))*$F$34</f>
        <v>0</v>
      </c>
      <c r="P382" s="39" t="n">
        <f aca="false">N(IF(P$5&lt;=LastHist,P238,CHOOSE(Scen,P241,P238,P235)))*$F$34</f>
        <v>0</v>
      </c>
      <c r="Q382" s="39" t="n">
        <f aca="false">N(IF(Q$5&lt;=LastHist,Q238,CHOOSE(Scen,Q241,Q238,Q235)))*$F$34</f>
        <v>0</v>
      </c>
      <c r="R382" s="39" t="n">
        <f aca="false">N(IF(R$5&lt;=LastHist,R238,CHOOSE(Scen,R241,R238,R235)))*$F$34</f>
        <v>0</v>
      </c>
      <c r="S382" s="39" t="n">
        <f aca="false">N(IF(S$5&lt;=LastHist,S238,CHOOSE(Scen,S241,S238,S235)))*$F$34</f>
        <v>0</v>
      </c>
      <c r="T382" s="39" t="n">
        <f aca="false">N(IF(T$5&lt;=LastHist,T238,CHOOSE(Scen,T241,T238,T235)))*$F$34</f>
        <v>12.5</v>
      </c>
      <c r="U382" s="39" t="n">
        <f aca="false">N(IF(U$5&lt;=LastHist,U238,CHOOSE(Scen,U241,U238,U235)))*$F$34</f>
        <v>25</v>
      </c>
      <c r="V382" s="39" t="n">
        <f aca="false">N(IF(V$5&lt;=LastHist,V238,CHOOSE(Scen,V241,V238,V235)))*$F$34</f>
        <v>37.5</v>
      </c>
      <c r="W382" s="39" t="n">
        <f aca="false">N(IF(W$5&lt;=LastHist,W238,CHOOSE(Scen,W241,W238,W235)))*$F$34</f>
        <v>37.5</v>
      </c>
      <c r="X382" s="39" t="n">
        <f aca="false">N(IF(X$5&lt;=LastHist,X238,CHOOSE(Scen,X241,X238,X235)))*$F$34</f>
        <v>50</v>
      </c>
      <c r="Y382" s="39" t="n">
        <f aca="false">N(IF(Y$5&lt;=LastHist,Y238,CHOOSE(Scen,Y241,Y238,Y235)))*$F$34</f>
        <v>50</v>
      </c>
      <c r="Z382" s="39" t="n">
        <f aca="false">N(IF(Z$5&lt;=LastHist,Z238,CHOOSE(Scen,Z241,Z238,Z235)))*$F$34</f>
        <v>50</v>
      </c>
      <c r="AA382" s="39" t="n">
        <f aca="false">N(IF(AA$5&lt;=LastHist,AA238,CHOOSE(Scen,AA241,AA238,AA235)))*$F$34</f>
        <v>50</v>
      </c>
      <c r="AB382" s="39" t="n">
        <f aca="false">N(IF(AB$5&lt;=LastHist,AB238,CHOOSE(Scen,AB241,AB238,AB235)))*$F$34</f>
        <v>50</v>
      </c>
      <c r="AC382" s="39" t="n">
        <f aca="false">N(IF(AC$5&lt;=LastHist,AC238,CHOOSE(Scen,AC241,AC238,AC235)))*$F$34</f>
        <v>50</v>
      </c>
      <c r="AD382" s="39" t="n">
        <f aca="false">N(IF(AD$5&lt;=LastHist,AD238,CHOOSE(Scen,AD241,AD238,AD235)))*$F$34</f>
        <v>50</v>
      </c>
      <c r="AE382" s="39" t="n">
        <f aca="false">N(IF(AE$5&lt;=LastHist,AE238,CHOOSE(Scen,AE241,AE238,AE235)))*$F$34</f>
        <v>50</v>
      </c>
      <c r="AF382" s="39" t="n">
        <f aca="false">N(IF(AF$5&lt;=LastHist,AF238,CHOOSE(Scen,AF241,AF238,AF235)))*$F$34</f>
        <v>50</v>
      </c>
      <c r="AG382" s="39" t="n">
        <f aca="false">N(IF(AG$5&lt;=LastHist,AG238,CHOOSE(Scen,AG241,AG238,AG235)))*$F$34</f>
        <v>50</v>
      </c>
      <c r="AI382" s="39" t="n">
        <f aca="false">INDEX($F382:$AG382,1,MATCH(AI$7,$F$7:$AG$7,1))</f>
        <v>0</v>
      </c>
      <c r="AJ382" s="39" t="n">
        <f aca="false">INDEX($F382:$AG382,1,MATCH(AJ$7,$F$7:$AG$7,1))</f>
        <v>0</v>
      </c>
      <c r="AK382" s="39" t="n">
        <f aca="false">INDEX($F382:$AG382,1,MATCH(AK$7,$F$7:$AG$7,1))</f>
        <v>0</v>
      </c>
      <c r="AL382" s="39" t="n">
        <f aca="false">INDEX($F382:$AG382,1,MATCH(AL$7,$F$7:$AG$7,1))</f>
        <v>25</v>
      </c>
      <c r="AM382" s="39" t="n">
        <f aca="false">INDEX($F382:$AG382,1,MATCH(AM$7,$F$7:$AG$7,1))</f>
        <v>50</v>
      </c>
      <c r="AN382" s="39" t="n">
        <f aca="false">INDEX($F382:$AG382,1,MATCH(AN$7,$F$7:$AG$7,1))</f>
        <v>50</v>
      </c>
      <c r="AO382" s="39" t="n">
        <f aca="false">INDEX($F382:$AG382,1,MATCH(AO$7,$F$7:$AG$7,1))</f>
        <v>50</v>
      </c>
    </row>
    <row r="383" customFormat="false" ht="15" hidden="false" customHeight="false" outlineLevel="0" collapsed="false">
      <c r="A383" s="112" t="s">
        <v>1956</v>
      </c>
      <c r="B383" s="24" t="s">
        <v>857</v>
      </c>
      <c r="C383" s="24" t="s">
        <v>1937</v>
      </c>
      <c r="D383" s="24"/>
      <c r="F383" s="121" t="n">
        <f aca="false">CoMWQ2-INDEX(EnBaseIT,1,LastHist)</f>
        <v>7.5103</v>
      </c>
    </row>
    <row r="384" customFormat="false" ht="15" hidden="false" customHeight="false" outlineLevel="0" collapsed="false">
      <c r="A384" s="3" t="s">
        <v>1957</v>
      </c>
      <c r="B384" s="24" t="s">
        <v>857</v>
      </c>
      <c r="C384" s="24" t="s">
        <v>672</v>
      </c>
      <c r="D384" s="24" t="s">
        <v>1958</v>
      </c>
      <c r="F384" s="123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23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23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23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23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23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23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23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23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23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1959</v>
      </c>
      <c r="B385" s="24" t="s">
        <v>857</v>
      </c>
      <c r="C385" s="24" t="s">
        <v>672</v>
      </c>
      <c r="D385" s="24" t="s">
        <v>1960</v>
      </c>
      <c r="F385" s="123" t="n">
        <f aca="false">IF(AND(StopBuild=1,F$5&gt;StopIdx),INDEX(A_MW,1,1)+INDEX(A_PostMW,1,1)+MAX(0,INDEX(MW_Act0,1,StopIdx)-INDEX(A_MW,1,StopIdx)-INDEX(A_PostMW,1,StopIdx)),F384)</f>
        <v>22.7275</v>
      </c>
      <c r="G385" s="123" t="n">
        <f aca="false">IF(AND(StopBuild=1,G$5&gt;StopIdx),INDEX(A_MW,1,2)+INDEX(A_PostMW,1,2)+MAX(0,INDEX(MW_Act0,1,StopIdx)-INDEX(A_MW,1,StopIdx)-INDEX(A_PostMW,1,StopIdx)),G384)</f>
        <v>22.7275</v>
      </c>
      <c r="H385" s="123" t="n">
        <f aca="false">IF(AND(StopBuild=1,H$5&gt;StopIdx),INDEX(A_MW,1,3)+INDEX(A_PostMW,1,3)+MAX(0,INDEX(MW_Act0,1,StopIdx)-INDEX(A_MW,1,StopIdx)-INDEX(A_PostMW,1,StopIdx)),H384)</f>
        <v>22.7275</v>
      </c>
      <c r="I385" s="123" t="n">
        <f aca="false">IF(AND(StopBuild=1,I$5&gt;StopIdx),INDEX(A_MW,1,4)+INDEX(A_PostMW,1,4)+MAX(0,INDEX(MW_Act0,1,StopIdx)-INDEX(A_MW,1,StopIdx)-INDEX(A_PostMW,1,StopIdx)),I384)</f>
        <v>27.7275</v>
      </c>
      <c r="J385" s="123" t="n">
        <f aca="false">IF(AND(StopBuild=1,J$5&gt;StopIdx),INDEX(A_MW,1,5)+INDEX(A_PostMW,1,5)+MAX(0,INDEX(MW_Act0,1,StopIdx)-INDEX(A_MW,1,StopIdx)-INDEX(A_PostMW,1,StopIdx)),J384)</f>
        <v>47.7275</v>
      </c>
      <c r="K385" s="123" t="n">
        <f aca="false">IF(AND(StopBuild=1,K$5&gt;StopIdx),INDEX(A_MW,1,6)+INDEX(A_PostMW,1,6)+MAX(0,INDEX(MW_Act0,1,StopIdx)-INDEX(A_MW,1,StopIdx)-INDEX(A_PostMW,1,StopIdx)),K384)</f>
        <v>47.7275</v>
      </c>
      <c r="L385" s="123" t="n">
        <f aca="false">IF(AND(StopBuild=1,L$5&gt;StopIdx),INDEX(A_MW,1,7)+INDEX(A_PostMW,1,7)+MAX(0,INDEX(MW_Act0,1,StopIdx)-INDEX(A_MW,1,StopIdx)-INDEX(A_PostMW,1,StopIdx)),L384)</f>
        <v>59.09125</v>
      </c>
      <c r="M385" s="123" t="n">
        <f aca="false">IF(AND(StopBuild=1,M$5&gt;StopIdx),INDEX(A_MW,1,8)+INDEX(A_PostMW,1,8)+MAX(0,INDEX(MW_Act0,1,StopIdx)-INDEX(A_MW,1,StopIdx)-INDEX(A_PostMW,1,StopIdx)),M384)</f>
        <v>138.32595</v>
      </c>
      <c r="N385" s="123" t="n">
        <f aca="false">IF(AND(StopBuild=1,N$5&gt;StopIdx),INDEX(A_MW,1,9)+INDEX(A_PostMW,1,9)+MAX(0,INDEX(MW_Act0,1,StopIdx)-INDEX(A_MW,1,StopIdx)-INDEX(A_PostMW,1,StopIdx)),N384)</f>
        <v>170.9897</v>
      </c>
      <c r="O385" s="123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12" t="s">
        <v>1961</v>
      </c>
      <c r="B386" s="24" t="s">
        <v>751</v>
      </c>
      <c r="C386" s="24" t="s">
        <v>672</v>
      </c>
      <c r="D386" s="24"/>
      <c r="F386" s="124" t="n">
        <f aca="false">IF(F380&gt;0,F381/F380,0)</f>
        <v>1</v>
      </c>
      <c r="G386" s="124" t="n">
        <f aca="false">IF(G380&gt;0,G381/G380,0)</f>
        <v>1</v>
      </c>
      <c r="H386" s="124" t="n">
        <f aca="false">IF(H380&gt;0,H381/H380,0)</f>
        <v>1</v>
      </c>
      <c r="I386" s="124" t="n">
        <f aca="false">IF(I380&gt;0,I381/I380,0)</f>
        <v>0.819673609232711</v>
      </c>
      <c r="J386" s="124" t="n">
        <f aca="false">IF(J380&gt;0,J381/J380,0)</f>
        <v>0.476192970509664</v>
      </c>
      <c r="K386" s="124" t="n">
        <f aca="false">IF(K380&gt;0,K381/K380,0)</f>
        <v>0.476192970509664</v>
      </c>
      <c r="L386" s="124" t="n">
        <f aca="false">IF(L380&gt;0,L381/L380,0)</f>
        <v>0.576925517737398</v>
      </c>
      <c r="M386" s="124" t="n">
        <f aca="false">IF(M380&gt;0,M381/M380,0)</f>
        <v>0.410759875496969</v>
      </c>
      <c r="N386" s="124" t="n">
        <f aca="false">IF(N380&gt;0,N381/N380,0)</f>
        <v>0.398752088576096</v>
      </c>
      <c r="O386" s="124" t="n">
        <f aca="false">IF(O380&gt;0,O381/O380,0)</f>
        <v>0.373623826440616</v>
      </c>
      <c r="P386" s="27" t="n">
        <f aca="false">IF(P380&gt;0,P381/P380,0)</f>
        <v>0.314219983713513</v>
      </c>
      <c r="Q386" s="27" t="n">
        <f aca="false">IF(Q380&gt;0,Q381/Q380,0)</f>
        <v>0.225979759346015</v>
      </c>
      <c r="R386" s="27" t="n">
        <f aca="false">IF(R380&gt;0,R381/R380,0)</f>
        <v>0.170653531434263</v>
      </c>
      <c r="S386" s="27" t="n">
        <f aca="false">IF(S380&gt;0,S381/S380,0)</f>
        <v>0.161893633541359</v>
      </c>
      <c r="T386" s="27" t="n">
        <f aca="false">IF(T380&gt;0,T381/T380,0)</f>
        <v>0.212511627695198</v>
      </c>
      <c r="U386" s="27" t="n">
        <f aca="false">IF(U380&gt;0,U381/U380,0)</f>
        <v>0.300708709072874</v>
      </c>
      <c r="V386" s="27" t="n">
        <f aca="false">IF(V380&gt;0,V381/V380,0)</f>
        <v>0.344351365307343</v>
      </c>
      <c r="W386" s="27" t="n">
        <f aca="false">IF(W380&gt;0,W381/W380,0)</f>
        <v>0.420204488395281</v>
      </c>
      <c r="X386" s="27" t="n">
        <f aca="false">IF(X380&gt;0,X381/X380,0)</f>
        <v>0.416281601772371</v>
      </c>
      <c r="Y386" s="27" t="n">
        <f aca="false">IF(Y380&gt;0,Y381/Y380,0)</f>
        <v>0.499177632026772</v>
      </c>
      <c r="Z386" s="27" t="n">
        <f aca="false">IF(Z380&gt;0,Z381/Z380,0)</f>
        <v>0.499177632026772</v>
      </c>
      <c r="AA386" s="27" t="n">
        <f aca="false">IF(AA380&gt;0,AA381/AA380,0)</f>
        <v>0.578514195767201</v>
      </c>
      <c r="AB386" s="27" t="n">
        <f aca="false">IF(AB380&gt;0,AB381/AB380,0)</f>
        <v>0.578514195767201</v>
      </c>
      <c r="AC386" s="27" t="n">
        <f aca="false">IF(AC380&gt;0,AC381/AC380,0)</f>
        <v>0.656457648396392</v>
      </c>
      <c r="AD386" s="27" t="n">
        <f aca="false">IF(AD380&gt;0,AD381/AD380,0)</f>
        <v>0.656457648396392</v>
      </c>
      <c r="AE386" s="27" t="n">
        <f aca="false">IF(AE380&gt;0,AE381/AE380,0)</f>
        <v>0.656457648396392</v>
      </c>
      <c r="AF386" s="27" t="n">
        <f aca="false">IF(AF380&gt;0,AF381/AF380,0)</f>
        <v>0.656457648396392</v>
      </c>
      <c r="AG386" s="27" t="n">
        <f aca="false">IF(AG380&gt;0,AG381/AG380,0)</f>
        <v>0.708659029686359</v>
      </c>
      <c r="AI386" s="27" t="n">
        <f aca="false">AVERAGEIF($F$7:$AG$7,AI$7,$F386:$AG386)</f>
        <v>0.954918402308178</v>
      </c>
      <c r="AJ386" s="27" t="n">
        <f aca="false">AVERAGEIF($F$7:$AG$7,AJ$7,$F386:$AG386)</f>
        <v>0.485017833563424</v>
      </c>
      <c r="AK386" s="27" t="n">
        <f aca="false">AVERAGEIF($F$7:$AG$7,AK$7,$F386:$AG386)</f>
        <v>0.32814391451906</v>
      </c>
      <c r="AL386" s="27" t="n">
        <f aca="false">AVERAGEIF($F$7:$AG$7,AL$7,$F386:$AG386)</f>
        <v>0.211441875435924</v>
      </c>
      <c r="AM386" s="27" t="n">
        <f aca="false">AVERAGEIF($F$7:$AG$7,AM$7,$F386:$AG386)</f>
        <v>0.420003771875442</v>
      </c>
      <c r="AN386" s="27" t="n">
        <f aca="false">AVERAGEIF($F$7:$AG$7,AN$7,$F386:$AG386)</f>
        <v>0.578165917989392</v>
      </c>
      <c r="AO386" s="27" t="n">
        <f aca="false">AVERAGEIF($F$7:$AG$7,AO$7,$F386:$AG386)</f>
        <v>0.669507993718884</v>
      </c>
    </row>
    <row r="387" customFormat="false" ht="15" hidden="false" customHeight="false" outlineLevel="0" collapsed="false">
      <c r="A387" s="112" t="s">
        <v>1962</v>
      </c>
      <c r="B387" s="24" t="s">
        <v>857</v>
      </c>
      <c r="C387" s="24" t="s">
        <v>672</v>
      </c>
      <c r="D387" s="24"/>
      <c r="F387" s="116" t="n">
        <f aca="false">F385*PUE</f>
        <v>28.409375</v>
      </c>
      <c r="G387" s="116" t="n">
        <f aca="false">G385*PUE</f>
        <v>28.409375</v>
      </c>
      <c r="H387" s="116" t="n">
        <f aca="false">H385*PUE</f>
        <v>28.409375</v>
      </c>
      <c r="I387" s="116" t="n">
        <f aca="false">I385*PUE</f>
        <v>34.659375</v>
      </c>
      <c r="J387" s="116" t="n">
        <f aca="false">J385*PUE</f>
        <v>59.659375</v>
      </c>
      <c r="K387" s="116" t="n">
        <f aca="false">K385*PUE</f>
        <v>59.659375</v>
      </c>
      <c r="L387" s="116" t="n">
        <f aca="false">L385*PUE</f>
        <v>73.8640625</v>
      </c>
      <c r="M387" s="116" t="n">
        <f aca="false">M385*PUE</f>
        <v>172.9074375</v>
      </c>
      <c r="N387" s="116" t="n">
        <f aca="false">N385*PUE</f>
        <v>213.737125</v>
      </c>
      <c r="O387" s="116" t="n">
        <f aca="false">O385*PUE</f>
        <v>228.112125</v>
      </c>
      <c r="P387" s="35" t="n">
        <f aca="false">P385*PUE</f>
        <v>228.112125</v>
      </c>
      <c r="Q387" s="35" t="n">
        <f aca="false">Q385*PUE</f>
        <v>271.237125</v>
      </c>
      <c r="R387" s="35" t="n">
        <f aca="false">R385*PUE</f>
        <v>377.149375</v>
      </c>
      <c r="S387" s="35" t="n">
        <f aca="false">S385*PUE</f>
        <v>567.2403125</v>
      </c>
      <c r="T387" s="35" t="n">
        <f aca="false">T385*PUE</f>
        <v>786.921</v>
      </c>
      <c r="U387" s="35" t="n">
        <f aca="false">U385*PUE</f>
        <v>1015.759125</v>
      </c>
      <c r="V387" s="35" t="n">
        <f aca="false">V385*PUE</f>
        <v>1352.3885</v>
      </c>
      <c r="W387" s="35" t="n">
        <f aca="false">W385*PUE</f>
        <v>1466.240375</v>
      </c>
      <c r="X387" s="35" t="n">
        <f aca="false">X385*PUE</f>
        <v>1658.06475</v>
      </c>
      <c r="Y387" s="35" t="n">
        <f aca="false">Y385*PUE</f>
        <v>1673.68975</v>
      </c>
      <c r="Z387" s="35" t="n">
        <f aca="false">Z385*PUE</f>
        <v>2065.909125</v>
      </c>
      <c r="AA387" s="35" t="n">
        <f aca="false">AA385*PUE</f>
        <v>2065.909125</v>
      </c>
      <c r="AB387" s="35" t="n">
        <f aca="false">AB385*PUE</f>
        <v>2454.776625</v>
      </c>
      <c r="AC387" s="35" t="n">
        <f aca="false">AC385*PUE</f>
        <v>2454.776625</v>
      </c>
      <c r="AD387" s="35" t="n">
        <f aca="false">AD385*PUE</f>
        <v>3011.720375</v>
      </c>
      <c r="AE387" s="35" t="n">
        <f aca="false">AE385*PUE</f>
        <v>3011.720375</v>
      </c>
      <c r="AF387" s="35" t="n">
        <f aca="false">AF385*PUE</f>
        <v>3011.720375</v>
      </c>
      <c r="AG387" s="35" t="n">
        <f aca="false">AG385*PUE</f>
        <v>3011.720375</v>
      </c>
      <c r="AI387" s="35" t="n">
        <f aca="false">INDEX($F387:$AG387,1,MATCH(AI$7,$F$7:$AG$7,1))</f>
        <v>34.659375</v>
      </c>
      <c r="AJ387" s="35" t="n">
        <f aca="false">INDEX($F387:$AG387,1,MATCH(AJ$7,$F$7:$AG$7,1))</f>
        <v>172.9074375</v>
      </c>
      <c r="AK387" s="35" t="n">
        <f aca="false">INDEX($F387:$AG387,1,MATCH(AK$7,$F$7:$AG$7,1))</f>
        <v>271.237125</v>
      </c>
      <c r="AL387" s="35" t="n">
        <f aca="false">INDEX($F387:$AG387,1,MATCH(AL$7,$F$7:$AG$7,1))</f>
        <v>1015.759125</v>
      </c>
      <c r="AM387" s="35" t="n">
        <f aca="false">INDEX($F387:$AG387,1,MATCH(AM$7,$F$7:$AG$7,1))</f>
        <v>1673.68975</v>
      </c>
      <c r="AN387" s="35" t="n">
        <f aca="false">INDEX($F387:$AG387,1,MATCH(AN$7,$F$7:$AG$7,1))</f>
        <v>2454.776625</v>
      </c>
      <c r="AO387" s="35" t="n">
        <f aca="false">INDEX($F387:$AG387,1,MATCH(AO$7,$F$7:$AG$7,1))</f>
        <v>3011.720375</v>
      </c>
    </row>
    <row r="388" customFormat="false" ht="15" hidden="false" customHeight="false" outlineLevel="0" collapsed="false">
      <c r="A388" s="112" t="s">
        <v>1963</v>
      </c>
      <c r="B388" s="24" t="s">
        <v>857</v>
      </c>
      <c r="C388" s="24" t="s">
        <v>672</v>
      </c>
      <c r="D388" s="24"/>
      <c r="F388" s="116" t="n">
        <f aca="false">F285</f>
        <v>0</v>
      </c>
      <c r="G388" s="116" t="n">
        <f aca="false">G285</f>
        <v>0</v>
      </c>
      <c r="H388" s="116" t="n">
        <f aca="false">H285</f>
        <v>5</v>
      </c>
      <c r="I388" s="116" t="n">
        <f aca="false">I285</f>
        <v>123.1825</v>
      </c>
      <c r="J388" s="116" t="n">
        <f aca="false">J285</f>
        <v>423.1825</v>
      </c>
      <c r="K388" s="116" t="n">
        <f aca="false">K285</f>
        <v>443.4897</v>
      </c>
      <c r="L388" s="116" t="n">
        <f aca="false">L285</f>
        <v>665.6997</v>
      </c>
      <c r="M388" s="116" t="n">
        <f aca="false">M285</f>
        <v>1600</v>
      </c>
      <c r="N388" s="116" t="n">
        <f aca="false">N285</f>
        <v>2200</v>
      </c>
      <c r="O388" s="116" t="n">
        <f aca="false">O285</f>
        <v>3102.7433</v>
      </c>
      <c r="P388" s="35" t="n">
        <f aca="false">P285</f>
        <v>3400</v>
      </c>
      <c r="Q388" s="35" t="n">
        <f aca="false">Q285</f>
        <v>4000</v>
      </c>
      <c r="R388" s="35" t="n">
        <f aca="false">R285</f>
        <v>4000</v>
      </c>
      <c r="S388" s="35" t="n">
        <f aca="false">S285</f>
        <v>4000</v>
      </c>
      <c r="T388" s="35" t="n">
        <f aca="false">T285</f>
        <v>4000</v>
      </c>
      <c r="U388" s="35" t="n">
        <f aca="false">U285</f>
        <v>4000</v>
      </c>
      <c r="V388" s="35" t="n">
        <f aca="false">V285</f>
        <v>4000</v>
      </c>
      <c r="W388" s="35" t="n">
        <f aca="false">W285</f>
        <v>4000</v>
      </c>
      <c r="X388" s="35" t="n">
        <f aca="false">X285</f>
        <v>4000</v>
      </c>
      <c r="Y388" s="35" t="n">
        <f aca="false">Y285</f>
        <v>4000</v>
      </c>
      <c r="Z388" s="35" t="n">
        <f aca="false">Z285</f>
        <v>4000</v>
      </c>
      <c r="AA388" s="35" t="n">
        <f aca="false">AA285</f>
        <v>4000</v>
      </c>
      <c r="AB388" s="35" t="n">
        <f aca="false">AB285</f>
        <v>4000</v>
      </c>
      <c r="AC388" s="35" t="n">
        <f aca="false">AC285</f>
        <v>4000</v>
      </c>
      <c r="AD388" s="35" t="n">
        <f aca="false">AD285</f>
        <v>4000</v>
      </c>
      <c r="AE388" s="35" t="n">
        <f aca="false">AE285</f>
        <v>4000</v>
      </c>
      <c r="AF388" s="35" t="n">
        <f aca="false">AF285</f>
        <v>4000</v>
      </c>
      <c r="AG388" s="35" t="n">
        <f aca="false">AG285</f>
        <v>4000</v>
      </c>
      <c r="AI388" s="35" t="n">
        <f aca="false">INDEX($F388:$AG388,1,MATCH(AI$7,$F$7:$AG$7,1))</f>
        <v>123.1825</v>
      </c>
      <c r="AJ388" s="35" t="n">
        <f aca="false">INDEX($F388:$AG388,1,MATCH(AJ$7,$F$7:$AG$7,1))</f>
        <v>1600</v>
      </c>
      <c r="AK388" s="35" t="n">
        <f aca="false">INDEX($F388:$AG388,1,MATCH(AK$7,$F$7:$AG$7,1))</f>
        <v>4000</v>
      </c>
      <c r="AL388" s="35" t="n">
        <f aca="false">INDEX($F388:$AG388,1,MATCH(AL$7,$F$7:$AG$7,1))</f>
        <v>4000</v>
      </c>
      <c r="AM388" s="35" t="n">
        <f aca="false">INDEX($F388:$AG388,1,MATCH(AM$7,$F$7:$AG$7,1))</f>
        <v>4000</v>
      </c>
      <c r="AN388" s="35" t="n">
        <f aca="false">INDEX($F388:$AG388,1,MATCH(AN$7,$F$7:$AG$7,1))</f>
        <v>4000</v>
      </c>
      <c r="AO388" s="35" t="n">
        <f aca="false">INDEX($F388:$AG388,1,MATCH(AO$7,$F$7:$AG$7,1))</f>
        <v>4000</v>
      </c>
    </row>
    <row r="389" customFormat="false" ht="15" hidden="false" customHeight="false" outlineLevel="0" collapsed="false">
      <c r="A389" s="112" t="s">
        <v>1964</v>
      </c>
      <c r="B389" s="24" t="s">
        <v>676</v>
      </c>
      <c r="C389" s="24" t="s">
        <v>672</v>
      </c>
      <c r="D389" s="24"/>
      <c r="F389" s="125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1965</v>
      </c>
    </row>
    <row r="2" customFormat="false" ht="15" hidden="false" customHeight="false" outlineLevel="0" collapsed="false">
      <c r="A2" s="24" t="s">
        <v>1966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1967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1968</v>
      </c>
      <c r="B11" s="3" t="s">
        <v>1969</v>
      </c>
      <c r="C11" s="3" t="s">
        <v>1970</v>
      </c>
      <c r="D11" s="3" t="s">
        <v>1971</v>
      </c>
      <c r="E11" s="3" t="s">
        <v>1972</v>
      </c>
      <c r="F11" s="3" t="s">
        <v>1973</v>
      </c>
      <c r="G11" s="3" t="s">
        <v>1974</v>
      </c>
      <c r="H11" s="3" t="s">
        <v>1975</v>
      </c>
      <c r="I11" s="3" t="s">
        <v>667</v>
      </c>
      <c r="J11" s="3" t="s">
        <v>1976</v>
      </c>
    </row>
    <row r="12" customFormat="false" ht="15" hidden="false" customHeight="false" outlineLevel="0" collapsed="false">
      <c r="A12" s="0" t="s">
        <v>1977</v>
      </c>
      <c r="B12" s="0" t="s">
        <v>1978</v>
      </c>
      <c r="C12" s="72" t="n">
        <v>3.85</v>
      </c>
      <c r="D12" s="72" t="n">
        <v>4.5</v>
      </c>
      <c r="E12" s="72" t="n">
        <v>0.79</v>
      </c>
      <c r="F12" s="25" t="n">
        <f aca="false">D12*(1-ResDisc)</f>
        <v>2.925</v>
      </c>
      <c r="G12" s="75" t="n">
        <v>0.5</v>
      </c>
      <c r="H12" s="0" t="s">
        <v>684</v>
      </c>
      <c r="I12" s="24" t="s">
        <v>1979</v>
      </c>
      <c r="J12" s="25" t="n">
        <f aca="false">ODq_H100</f>
        <v>3.25</v>
      </c>
    </row>
    <row r="13" customFormat="false" ht="15" hidden="false" customHeight="false" outlineLevel="0" collapsed="false">
      <c r="A13" s="0" t="s">
        <v>1980</v>
      </c>
      <c r="B13" s="0" t="s">
        <v>1978</v>
      </c>
      <c r="C13" s="72" t="n">
        <v>4.5</v>
      </c>
      <c r="D13" s="72" t="n">
        <v>5.4</v>
      </c>
      <c r="E13" s="72" t="n">
        <v>0.79</v>
      </c>
      <c r="F13" s="25" t="n">
        <f aca="false">D13*(1-ResDisc)</f>
        <v>3.51</v>
      </c>
      <c r="G13" s="75" t="n">
        <v>0.5</v>
      </c>
      <c r="H13" s="0" t="s">
        <v>684</v>
      </c>
      <c r="I13" s="24" t="s">
        <v>1981</v>
      </c>
      <c r="J13" s="25" t="n">
        <f aca="false">C13</f>
        <v>4.5</v>
      </c>
    </row>
    <row r="14" customFormat="false" ht="15" hidden="false" customHeight="false" outlineLevel="0" collapsed="false">
      <c r="A14" s="0" t="s">
        <v>1982</v>
      </c>
      <c r="B14" s="0" t="s">
        <v>1983</v>
      </c>
      <c r="C14" s="72" t="n">
        <v>7.15</v>
      </c>
      <c r="D14" s="72" t="n">
        <v>8.5</v>
      </c>
      <c r="E14" s="72" t="n">
        <v>0.99</v>
      </c>
      <c r="F14" s="25" t="n">
        <f aca="false">D14*(1-ResDisc)</f>
        <v>5.525</v>
      </c>
      <c r="G14" s="75" t="n">
        <v>0.25</v>
      </c>
      <c r="H14" s="0" t="s">
        <v>684</v>
      </c>
      <c r="I14" s="24" t="s">
        <v>1981</v>
      </c>
      <c r="J14" s="25" t="n">
        <f aca="false">C14</f>
        <v>7.15</v>
      </c>
    </row>
    <row r="15" customFormat="false" ht="15" hidden="false" customHeight="false" outlineLevel="0" collapsed="false">
      <c r="A15" s="0" t="s">
        <v>1984</v>
      </c>
      <c r="B15" s="0" t="s">
        <v>1983</v>
      </c>
      <c r="C15" s="72" t="n">
        <v>7.85</v>
      </c>
      <c r="D15" s="72" t="n">
        <v>9.5</v>
      </c>
      <c r="E15" s="72" t="n">
        <v>0.99</v>
      </c>
      <c r="F15" s="25" t="n">
        <f aca="false">D15*(1-ResDisc)</f>
        <v>6.175</v>
      </c>
      <c r="G15" s="75" t="n">
        <v>0.25</v>
      </c>
      <c r="H15" s="0" t="s">
        <v>684</v>
      </c>
      <c r="I15" s="24" t="s">
        <v>1981</v>
      </c>
      <c r="J15" s="25" t="n">
        <f aca="false">C15</f>
        <v>7.85</v>
      </c>
    </row>
    <row r="16" customFormat="false" ht="15" hidden="false" customHeight="false" outlineLevel="0" collapsed="false">
      <c r="A16" s="0" t="s">
        <v>1985</v>
      </c>
      <c r="B16" s="0" t="s">
        <v>1983</v>
      </c>
      <c r="C16" s="97" t="n">
        <f aca="false">C15*GB_Prem</f>
        <v>9.577</v>
      </c>
      <c r="D16" s="97" t="n">
        <f aca="false">D15*GB_Prem</f>
        <v>11.59</v>
      </c>
      <c r="E16" s="97" t="n">
        <f aca="false">E15</f>
        <v>0.99</v>
      </c>
      <c r="F16" s="25" t="n">
        <f aca="false">D16*(1-ResDisc)</f>
        <v>7.5335</v>
      </c>
      <c r="G16" s="75" t="n">
        <v>0.25</v>
      </c>
      <c r="H16" s="0" t="s">
        <v>1280</v>
      </c>
      <c r="I16" s="24" t="s">
        <v>1986</v>
      </c>
      <c r="J16" s="25" t="n">
        <f aca="false">C16</f>
        <v>9.577</v>
      </c>
    </row>
    <row r="17" customFormat="false" ht="15" hidden="false" customHeight="false" outlineLevel="0" collapsed="false">
      <c r="A17" s="0" t="s">
        <v>1629</v>
      </c>
      <c r="B17" s="0" t="s">
        <v>1983</v>
      </c>
      <c r="C17" s="97" t="n">
        <f aca="false">C15*GB_Prem</f>
        <v>9.577</v>
      </c>
      <c r="D17" s="97" t="n">
        <f aca="false">D15*GB_Prem</f>
        <v>11.59</v>
      </c>
      <c r="E17" s="97" t="n">
        <f aca="false">E15</f>
        <v>0.99</v>
      </c>
      <c r="F17" s="25" t="n">
        <f aca="false">D17*(1-ResDisc)</f>
        <v>7.5335</v>
      </c>
      <c r="G17" s="75" t="n">
        <v>0.25</v>
      </c>
      <c r="H17" s="0" t="s">
        <v>1280</v>
      </c>
      <c r="I17" s="24" t="s">
        <v>1987</v>
      </c>
      <c r="J17" s="25" t="n">
        <f aca="false">C17</f>
        <v>9.577</v>
      </c>
    </row>
    <row r="18" customFormat="false" ht="15" hidden="false" customHeight="false" outlineLevel="0" collapsed="false">
      <c r="A18" s="0" t="s">
        <v>1988</v>
      </c>
      <c r="B18" s="0" t="s">
        <v>1989</v>
      </c>
      <c r="C18" s="97" t="n">
        <f aca="false">C15*Rubin_Prem*GB_Prem</f>
        <v>14.8783932421875</v>
      </c>
      <c r="D18" s="97" t="n">
        <f aca="false">D15*Rubin_Prem*GB_Prem</f>
        <v>18.005698828125</v>
      </c>
      <c r="E18" s="97" t="n">
        <f aca="false">E15</f>
        <v>0.99</v>
      </c>
      <c r="F18" s="25" t="n">
        <f aca="false">D18*(1-ResDisc)</f>
        <v>11.7037042382813</v>
      </c>
      <c r="G18" s="75" t="n">
        <v>1</v>
      </c>
      <c r="H18" s="0" t="s">
        <v>1280</v>
      </c>
      <c r="I18" s="24" t="s">
        <v>1990</v>
      </c>
      <c r="J18" s="25" t="n">
        <f aca="false">C18</f>
        <v>14.8783932421875</v>
      </c>
    </row>
    <row r="20" customFormat="false" ht="15" hidden="false" customHeight="false" outlineLevel="0" collapsed="false">
      <c r="A20" s="3" t="s">
        <v>1991</v>
      </c>
      <c r="B20" s="3" t="s">
        <v>1969</v>
      </c>
      <c r="C20" s="3" t="s">
        <v>1992</v>
      </c>
      <c r="D20" s="3" t="s">
        <v>1993</v>
      </c>
      <c r="E20" s="3" t="s">
        <v>1994</v>
      </c>
      <c r="F20" s="3" t="s">
        <v>1995</v>
      </c>
    </row>
    <row r="21" customFormat="false" ht="15" hidden="false" customHeight="false" outlineLevel="0" collapsed="false">
      <c r="A21" s="0" t="s">
        <v>1996</v>
      </c>
      <c r="B21" s="0" t="s">
        <v>1978</v>
      </c>
      <c r="C21" s="25" t="n">
        <f aca="false">SUMPRODUCT(($B$12:$B$18=$B21)*C$12:C$18*$G$12:$G$18)/SUMIF($B$12:$B$18,$B21,$G$12:$G$18)</f>
        <v>4.175</v>
      </c>
      <c r="D21" s="25" t="n">
        <f aca="false">SUMPRODUCT(($B$12:$B$18=$B21)*D$12:D$18*$G$12:$G$18)/SUMIF($B$12:$B$18,$B21,$G$12:$G$18)</f>
        <v>4.95</v>
      </c>
      <c r="E21" s="25" t="n">
        <f aca="false">SUMPRODUCT(($B$12:$B$18=$B21)*E$12:E$18*$G$12:$G$18)/SUMIF($B$12:$B$18,$B21,$G$12:$G$18)</f>
        <v>0.79</v>
      </c>
      <c r="F21" s="25" t="n">
        <f aca="false">SUMPRODUCT(($B$12:$B$18=$B21)*F$12:F$18*$G$12:$G$18)/SUMIF($B$12:$B$18,$B21,$G$12:$G$18)</f>
        <v>3.2175</v>
      </c>
      <c r="J21" s="25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1997</v>
      </c>
      <c r="B22" s="0" t="s">
        <v>1983</v>
      </c>
      <c r="C22" s="25" t="n">
        <f aca="false">SUMPRODUCT(($B$12:$B$18=$B22)*C$12:C$18*$G$12:$G$18)/SUMIF($B$12:$B$18,$B22,$G$12:$G$18)</f>
        <v>8.5385</v>
      </c>
      <c r="D22" s="25" t="n">
        <f aca="false">SUMPRODUCT(($B$12:$B$18=$B22)*D$12:D$18*$G$12:$G$18)/SUMIF($B$12:$B$18,$B22,$G$12:$G$18)</f>
        <v>10.295</v>
      </c>
      <c r="E22" s="25" t="n">
        <f aca="false">SUMPRODUCT(($B$12:$B$18=$B22)*E$12:E$18*$G$12:$G$18)/SUMIF($B$12:$B$18,$B22,$G$12:$G$18)</f>
        <v>0.99</v>
      </c>
      <c r="F22" s="25" t="n">
        <f aca="false">SUMPRODUCT(($B$12:$B$18=$B22)*F$12:F$18*$G$12:$G$18)/SUMIF($B$12:$B$18,$B22,$G$12:$G$18)</f>
        <v>6.69175</v>
      </c>
      <c r="J22" s="25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1998</v>
      </c>
      <c r="B23" s="0" t="s">
        <v>1989</v>
      </c>
      <c r="C23" s="25" t="n">
        <f aca="false">SUMPRODUCT(($B$12:$B$18=$B23)*C$12:C$18*$G$12:$G$18)/SUMIF($B$12:$B$18,$B23,$G$12:$G$18)</f>
        <v>14.8783932421875</v>
      </c>
      <c r="D23" s="25" t="n">
        <f aca="false">SUMPRODUCT(($B$12:$B$18=$B23)*D$12:D$18*$G$12:$G$18)/SUMIF($B$12:$B$18,$B23,$G$12:$G$18)</f>
        <v>18.005698828125</v>
      </c>
      <c r="E23" s="25" t="n">
        <f aca="false">SUMPRODUCT(($B$12:$B$18=$B23)*E$12:E$18*$G$12:$G$18)/SUMIF($B$12:$B$18,$B23,$G$12:$G$18)</f>
        <v>0.99</v>
      </c>
      <c r="F23" s="25" t="n">
        <f aca="false">SUMPRODUCT(($B$12:$B$18=$B23)*F$12:F$18*$G$12:$G$18)/SUMIF($B$12:$B$18,$B23,$G$12:$G$18)</f>
        <v>11.7037042382813</v>
      </c>
      <c r="J23" s="25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64" t="s">
        <v>1999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</row>
    <row r="26" customFormat="false" ht="15" hidden="false" customHeight="false" outlineLevel="0" collapsed="false">
      <c r="A26" s="112" t="s">
        <v>2000</v>
      </c>
      <c r="B26" s="24" t="s">
        <v>837</v>
      </c>
      <c r="C26" s="24" t="s">
        <v>820</v>
      </c>
      <c r="D26" s="24"/>
      <c r="F26" s="126" t="n">
        <f aca="false">IF(AND(RepriceOn=1,F$5&lt;=LastHist),ODq_H,IF(F$5&lt;PxBaseIdx,ODp_H,ODc_H))*IF(F$5&gt;LastHist,PxMult,1)*(1+PxChg_H)^(MAX(0,F$5-PxBaseIdx)/4)</f>
        <v>3.875</v>
      </c>
      <c r="G26" s="126" t="n">
        <f aca="false">IF(AND(RepriceOn=1,G$5&lt;=LastHist),ODq_H,IF(G$5&lt;PxBaseIdx,ODp_H,ODc_H))*IF(G$5&gt;LastHist,PxMult,1)*(1+PxChg_H)^(MAX(0,G$5-PxBaseIdx)/4)</f>
        <v>3.875</v>
      </c>
      <c r="H26" s="126" t="n">
        <f aca="false">IF(AND(RepriceOn=1,H$5&lt;=LastHist),ODq_H,IF(H$5&lt;PxBaseIdx,ODp_H,ODc_H))*IF(H$5&gt;LastHist,PxMult,1)*(1+PxChg_H)^(MAX(0,H$5-PxBaseIdx)/4)</f>
        <v>3.875</v>
      </c>
      <c r="I26" s="126" t="n">
        <f aca="false">IF(AND(RepriceOn=1,I$5&lt;=LastHist),ODq_H,IF(I$5&lt;PxBaseIdx,ODp_H,ODc_H))*IF(I$5&gt;LastHist,PxMult,1)*(1+PxChg_H)^(MAX(0,I$5-PxBaseIdx)/4)</f>
        <v>3.875</v>
      </c>
      <c r="J26" s="126" t="n">
        <f aca="false">IF(AND(RepriceOn=1,J$5&lt;=LastHist),ODq_H,IF(J$5&lt;PxBaseIdx,ODp_H,ODc_H))*IF(J$5&gt;LastHist,PxMult,1)*(1+PxChg_H)^(MAX(0,J$5-PxBaseIdx)/4)</f>
        <v>3.875</v>
      </c>
      <c r="K26" s="126" t="n">
        <f aca="false">IF(AND(RepriceOn=1,K$5&lt;=LastHist),ODq_H,IF(K$5&lt;PxBaseIdx,ODp_H,ODc_H))*IF(K$5&gt;LastHist,PxMult,1)*(1+PxChg_H)^(MAX(0,K$5-PxBaseIdx)/4)</f>
        <v>3.875</v>
      </c>
      <c r="L26" s="126" t="n">
        <f aca="false">IF(AND(RepriceOn=1,L$5&lt;=LastHist),ODq_H,IF(L$5&lt;PxBaseIdx,ODp_H,ODc_H))*IF(L$5&gt;LastHist,PxMult,1)*(1+PxChg_H)^(MAX(0,L$5-PxBaseIdx)/4)</f>
        <v>3.875</v>
      </c>
      <c r="M26" s="126" t="n">
        <f aca="false">IF(AND(RepriceOn=1,M$5&lt;=LastHist),ODq_H,IF(M$5&lt;PxBaseIdx,ODp_H,ODc_H))*IF(M$5&gt;LastHist,PxMult,1)*(1+PxChg_H)^(MAX(0,M$5-PxBaseIdx)/4)</f>
        <v>3.875</v>
      </c>
      <c r="N26" s="126" t="n">
        <f aca="false">IF(AND(RepriceOn=1,N$5&lt;=LastHist),ODq_H,IF(N$5&lt;PxBaseIdx,ODp_H,ODc_H))*IF(N$5&gt;LastHist,PxMult,1)*(1+PxChg_H)^(MAX(0,N$5-PxBaseIdx)/4)</f>
        <v>3.875</v>
      </c>
      <c r="O26" s="126" t="n">
        <f aca="false">IF(AND(RepriceOn=1,O$5&lt;=LastHist),ODq_H,IF(O$5&lt;PxBaseIdx,ODp_H,ODc_H))*IF(O$5&gt;LastHist,PxMult,1)*(1+PxChg_H)^(MAX(0,O$5-PxBaseIdx)/4)</f>
        <v>3.875</v>
      </c>
      <c r="P26" s="25" t="n">
        <f aca="false">IF(AND(RepriceOn=1,P$5&lt;=LastHist),ODq_H,IF(P$5&lt;PxBaseIdx,ODp_H,ODc_H))*IF(P$5&gt;LastHist,PxMult,1)*(1+PxChg_H)^(MAX(0,P$5-PxBaseIdx)/4)</f>
        <v>4.175</v>
      </c>
      <c r="Q26" s="25" t="n">
        <f aca="false">IF(AND(RepriceOn=1,Q$5&lt;=LastHist),ODq_H,IF(Q$5&lt;PxBaseIdx,ODp_H,ODc_H))*IF(Q$5&gt;LastHist,PxMult,1)*(1+PxChg_H)^(MAX(0,Q$5-PxBaseIdx)/4)</f>
        <v>4.95</v>
      </c>
      <c r="R26" s="25" t="n">
        <f aca="false">IF(AND(RepriceOn=1,R$5&lt;=LastHist),ODq_H,IF(R$5&lt;PxBaseIdx,ODp_H,ODc_H))*IF(R$5&gt;LastHist,PxMult,1)*(1+PxChg_H)^(MAX(0,R$5-PxBaseIdx)/4)</f>
        <v>4.75291371755073</v>
      </c>
      <c r="S26" s="25" t="n">
        <f aca="false">IF(AND(RepriceOn=1,S$5&lt;=LastHist),ODq_H,IF(S$5&lt;PxBaseIdx,ODp_H,ODc_H))*IF(S$5&gt;LastHist,PxMult,1)*(1+PxChg_H)^(MAX(0,S$5-PxBaseIdx)/4)</f>
        <v>4.56367450635998</v>
      </c>
      <c r="T26" s="25" t="n">
        <f aca="false">IF(AND(RepriceOn=1,T$5&lt;=LastHist),ODq_H,IF(T$5&lt;PxBaseIdx,ODp_H,ODc_H))*IF(T$5&gt;LastHist,PxMult,1)*(1+PxChg_H)^(MAX(0,T$5-PxBaseIdx)/4)</f>
        <v>4.38196993206362</v>
      </c>
      <c r="U26" s="25" t="n">
        <f aca="false">IF(AND(RepriceOn=1,U$5&lt;=LastHist),ODq_H,IF(U$5&lt;PxBaseIdx,ODp_H,ODc_H))*IF(U$5&gt;LastHist,PxMult,1)*(1+PxChg_H)^(MAX(0,U$5-PxBaseIdx)/4)</f>
        <v>4.2075</v>
      </c>
      <c r="V26" s="25" t="n">
        <f aca="false">IF(AND(RepriceOn=1,V$5&lt;=LastHist),ODq_H,IF(V$5&lt;PxBaseIdx,ODp_H,ODc_H))*IF(V$5&gt;LastHist,PxMult,1)*(1+PxChg_H)^(MAX(0,V$5-PxBaseIdx)/4)</f>
        <v>4.03997665991812</v>
      </c>
      <c r="W26" s="25" t="n">
        <f aca="false">IF(AND(RepriceOn=1,W$5&lt;=LastHist),ODq_H,IF(W$5&lt;PxBaseIdx,ODp_H,ODc_H))*IF(W$5&gt;LastHist,PxMult,1)*(1+PxChg_H)^(MAX(0,W$5-PxBaseIdx)/4)</f>
        <v>3.87912333040598</v>
      </c>
      <c r="X26" s="25" t="n">
        <f aca="false">IF(AND(RepriceOn=1,X$5&lt;=LastHist),ODq_H,IF(X$5&lt;PxBaseIdx,ODp_H,ODc_H))*IF(X$5&gt;LastHist,PxMult,1)*(1+PxChg_H)^(MAX(0,X$5-PxBaseIdx)/4)</f>
        <v>3.72467444225407</v>
      </c>
      <c r="Y26" s="25" t="n">
        <f aca="false">IF(AND(RepriceOn=1,Y$5&lt;=LastHist),ODq_H,IF(Y$5&lt;PxBaseIdx,ODp_H,ODc_H))*IF(Y$5&gt;LastHist,PxMult,1)*(1+PxChg_H)^(MAX(0,Y$5-PxBaseIdx)/4)</f>
        <v>3.576375</v>
      </c>
      <c r="Z26" s="25" t="n">
        <f aca="false">IF(AND(RepriceOn=1,Z$5&lt;=LastHist),ODq_H,IF(Z$5&lt;PxBaseIdx,ODp_H,ODc_H))*IF(Z$5&gt;LastHist,PxMult,1)*(1+PxChg_H)^(MAX(0,Z$5-PxBaseIdx)/4)</f>
        <v>3.4339801609304</v>
      </c>
      <c r="AA26" s="25" t="n">
        <f aca="false">IF(AND(RepriceOn=1,AA$5&lt;=LastHist),ODq_H,IF(AA$5&lt;PxBaseIdx,ODp_H,ODc_H))*IF(AA$5&gt;LastHist,PxMult,1)*(1+PxChg_H)^(MAX(0,AA$5-PxBaseIdx)/4)</f>
        <v>3.29725483084509</v>
      </c>
      <c r="AB26" s="25" t="n">
        <f aca="false">IF(AND(RepriceOn=1,AB$5&lt;=LastHist),ODq_H,IF(AB$5&lt;PxBaseIdx,ODp_H,ODc_H))*IF(AB$5&gt;LastHist,PxMult,1)*(1+PxChg_H)^(MAX(0,AB$5-PxBaseIdx)/4)</f>
        <v>3.16597327591596</v>
      </c>
      <c r="AC26" s="25" t="n">
        <f aca="false">IF(AND(RepriceOn=1,AC$5&lt;=LastHist),ODq_H,IF(AC$5&lt;PxBaseIdx,ODp_H,ODc_H))*IF(AC$5&gt;LastHist,PxMult,1)*(1+PxChg_H)^(MAX(0,AC$5-PxBaseIdx)/4)</f>
        <v>3.03991875</v>
      </c>
      <c r="AD26" s="25" t="n">
        <f aca="false">IF(AND(RepriceOn=1,AD$5&lt;=LastHist),ODq_H,IF(AD$5&lt;PxBaseIdx,ODp_H,ODc_H))*IF(AD$5&gt;LastHist,PxMult,1)*(1+PxChg_H)^(MAX(0,AD$5-PxBaseIdx)/4)</f>
        <v>2.91888313679084</v>
      </c>
      <c r="AE26" s="25" t="n">
        <f aca="false">IF(AND(RepriceOn=1,AE$5&lt;=LastHist),ODq_H,IF(AE$5&lt;PxBaseIdx,ODp_H,ODc_H))*IF(AE$5&gt;LastHist,PxMult,1)*(1+PxChg_H)^(MAX(0,AE$5-PxBaseIdx)/4)</f>
        <v>2.80266660621832</v>
      </c>
      <c r="AF26" s="25" t="n">
        <f aca="false">IF(AND(RepriceOn=1,AF$5&lt;=LastHist),ODq_H,IF(AF$5&lt;PxBaseIdx,ODp_H,ODc_H))*IF(AF$5&gt;LastHist,PxMult,1)*(1+PxChg_H)^(MAX(0,AF$5-PxBaseIdx)/4)</f>
        <v>2.69107728452857</v>
      </c>
      <c r="AG26" s="25" t="n">
        <f aca="false">IF(AND(RepriceOn=1,AG$5&lt;=LastHist),ODq_H,IF(AG$5&lt;PxBaseIdx,ODp_H,ODc_H))*IF(AG$5&gt;LastHist,PxMult,1)*(1+PxChg_H)^(MAX(0,AG$5-PxBaseIdx)/4)</f>
        <v>2.5839309375</v>
      </c>
      <c r="AI26" s="25" t="n">
        <f aca="false">AVERAGEIF($F$7:$AG$7,AI$7,$F26:$AG26)</f>
        <v>3.875</v>
      </c>
      <c r="AJ26" s="25" t="n">
        <f aca="false">AVERAGEIF($F$7:$AG$7,AJ$7,$F26:$AG26)</f>
        <v>3.875</v>
      </c>
      <c r="AK26" s="25" t="n">
        <f aca="false">AVERAGEIF($F$7:$AG$7,AK$7,$F26:$AG26)</f>
        <v>4.21875</v>
      </c>
      <c r="AL26" s="25" t="n">
        <f aca="false">AVERAGEIF($F$7:$AG$7,AL$7,$F26:$AG26)</f>
        <v>4.47651453899358</v>
      </c>
      <c r="AM26" s="25" t="n">
        <f aca="false">AVERAGEIF($F$7:$AG$7,AM$7,$F26:$AG26)</f>
        <v>3.80503735814454</v>
      </c>
      <c r="AN26" s="25" t="n">
        <f aca="false">AVERAGEIF($F$7:$AG$7,AN$7,$F26:$AG26)</f>
        <v>3.23428175442286</v>
      </c>
      <c r="AO26" s="25" t="n">
        <f aca="false">AVERAGEIF($F$7:$AG$7,AO$7,$F26:$AG26)</f>
        <v>2.74913949125943</v>
      </c>
    </row>
    <row r="27" customFormat="false" ht="15" hidden="false" customHeight="false" outlineLevel="0" collapsed="false">
      <c r="A27" s="112" t="s">
        <v>2001</v>
      </c>
      <c r="B27" s="24" t="s">
        <v>837</v>
      </c>
      <c r="C27" s="24" t="s">
        <v>820</v>
      </c>
      <c r="D27" s="24" t="s">
        <v>2002</v>
      </c>
      <c r="F27" s="126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26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26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26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26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26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26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26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26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26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5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5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5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5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5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5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5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5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5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5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5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5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5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5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5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5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5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5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5" t="n">
        <f aca="false">AVERAGEIF($F$7:$AG$7,AI$7,$F27:$AG27)</f>
        <v>2.79</v>
      </c>
      <c r="AJ27" s="25" t="n">
        <f aca="false">AVERAGEIF($F$7:$AG$7,AJ$7,$F27:$AG27)</f>
        <v>2.79</v>
      </c>
      <c r="AK27" s="25" t="n">
        <f aca="false">AVERAGEIF($F$7:$AG$7,AK$7,$F27:$AG27)</f>
        <v>2.845125</v>
      </c>
      <c r="AL27" s="25" t="n">
        <f aca="false">AVERAGEIF($F$7:$AG$7,AL$7,$F27:$AG27)</f>
        <v>3.01316149886423</v>
      </c>
      <c r="AM27" s="25" t="n">
        <f aca="false">AVERAGEIF($F$7:$AG$7,AM$7,$F27:$AG27)</f>
        <v>2.73591492301591</v>
      </c>
      <c r="AN27" s="25" t="n">
        <f aca="false">AVERAGEIF($F$7:$AG$7,AN$7,$F27:$AG27)</f>
        <v>2.32868286318446</v>
      </c>
      <c r="AO27" s="25" t="n">
        <f aca="false">AVERAGEIF($F$7:$AG$7,AO$7,$F27:$AG27)</f>
        <v>1.97938043370679</v>
      </c>
    </row>
    <row r="28" customFormat="false" ht="15" hidden="false" customHeight="false" outlineLevel="0" collapsed="false">
      <c r="A28" s="112" t="s">
        <v>2003</v>
      </c>
      <c r="B28" s="24" t="s">
        <v>837</v>
      </c>
      <c r="C28" s="24" t="s">
        <v>820</v>
      </c>
      <c r="D28" s="24" t="s">
        <v>2004</v>
      </c>
      <c r="F28" s="126" t="n">
        <f aca="false">Spot_H*IF(F$5&gt;LastHist,PxMult,1)*(1+PxChg_H)^(MAX(0,F$5-PxBaseIdx)/4)</f>
        <v>0.79</v>
      </c>
      <c r="G28" s="126" t="n">
        <f aca="false">Spot_H*IF(G$5&gt;LastHist,PxMult,1)*(1+PxChg_H)^(MAX(0,G$5-PxBaseIdx)/4)</f>
        <v>0.79</v>
      </c>
      <c r="H28" s="126" t="n">
        <f aca="false">Spot_H*IF(H$5&gt;LastHist,PxMult,1)*(1+PxChg_H)^(MAX(0,H$5-PxBaseIdx)/4)</f>
        <v>0.79</v>
      </c>
      <c r="I28" s="126" t="n">
        <f aca="false">Spot_H*IF(I$5&gt;LastHist,PxMult,1)*(1+PxChg_H)^(MAX(0,I$5-PxBaseIdx)/4)</f>
        <v>0.79</v>
      </c>
      <c r="J28" s="126" t="n">
        <f aca="false">Spot_H*IF(J$5&gt;LastHist,PxMult,1)*(1+PxChg_H)^(MAX(0,J$5-PxBaseIdx)/4)</f>
        <v>0.79</v>
      </c>
      <c r="K28" s="126" t="n">
        <f aca="false">Spot_H*IF(K$5&gt;LastHist,PxMult,1)*(1+PxChg_H)^(MAX(0,K$5-PxBaseIdx)/4)</f>
        <v>0.79</v>
      </c>
      <c r="L28" s="126" t="n">
        <f aca="false">Spot_H*IF(L$5&gt;LastHist,PxMult,1)*(1+PxChg_H)^(MAX(0,L$5-PxBaseIdx)/4)</f>
        <v>0.79</v>
      </c>
      <c r="M28" s="126" t="n">
        <f aca="false">Spot_H*IF(M$5&gt;LastHist,PxMult,1)*(1+PxChg_H)^(MAX(0,M$5-PxBaseIdx)/4)</f>
        <v>0.79</v>
      </c>
      <c r="N28" s="126" t="n">
        <f aca="false">Spot_H*IF(N$5&gt;LastHist,PxMult,1)*(1+PxChg_H)^(MAX(0,N$5-PxBaseIdx)/4)</f>
        <v>0.79</v>
      </c>
      <c r="O28" s="126" t="n">
        <f aca="false">Spot_H*IF(O$5&gt;LastHist,PxMult,1)*(1+PxChg_H)^(MAX(0,O$5-PxBaseIdx)/4)</f>
        <v>0.79</v>
      </c>
      <c r="P28" s="25" t="n">
        <f aca="false">Spot_H*IF(P$5&gt;LastHist,PxMult,1)*(1+PxChg_H)^(MAX(0,P$5-PxBaseIdx)/4)</f>
        <v>0.79</v>
      </c>
      <c r="Q28" s="25" t="n">
        <f aca="false">Spot_H*IF(Q$5&gt;LastHist,PxMult,1)*(1+PxChg_H)^(MAX(0,Q$5-PxBaseIdx)/4)</f>
        <v>0.79</v>
      </c>
      <c r="R28" s="25" t="n">
        <f aca="false">Spot_H*IF(R$5&gt;LastHist,PxMult,1)*(1+PxChg_H)^(MAX(0,R$5-PxBaseIdx)/4)</f>
        <v>0.758545825629308</v>
      </c>
      <c r="S28" s="25" t="n">
        <f aca="false">Spot_H*IF(S$5&gt;LastHist,PxMult,1)*(1+PxChg_H)^(MAX(0,S$5-PxBaseIdx)/4)</f>
        <v>0.728344012126138</v>
      </c>
      <c r="T28" s="25" t="n">
        <f aca="false">Spot_H*IF(T$5&gt;LastHist,PxMult,1)*(1+PxChg_H)^(MAX(0,T$5-PxBaseIdx)/4)</f>
        <v>0.699344696228335</v>
      </c>
      <c r="U28" s="25" t="n">
        <f aca="false">Spot_H*IF(U$5&gt;LastHist,PxMult,1)*(1+PxChg_H)^(MAX(0,U$5-PxBaseIdx)/4)</f>
        <v>0.6715</v>
      </c>
      <c r="V28" s="25" t="n">
        <f aca="false">Spot_H*IF(V$5&gt;LastHist,PxMult,1)*(1+PxChg_H)^(MAX(0,V$5-PxBaseIdx)/4)</f>
        <v>0.644763951784912</v>
      </c>
      <c r="W28" s="25" t="n">
        <f aca="false">Spot_H*IF(W$5&gt;LastHist,PxMult,1)*(1+PxChg_H)^(MAX(0,W$5-PxBaseIdx)/4)</f>
        <v>0.619092410307217</v>
      </c>
      <c r="X28" s="25" t="n">
        <f aca="false">Spot_H*IF(X$5&gt;LastHist,PxMult,1)*(1+PxChg_H)^(MAX(0,X$5-PxBaseIdx)/4)</f>
        <v>0.594442991794084</v>
      </c>
      <c r="Y28" s="25" t="n">
        <f aca="false">Spot_H*IF(Y$5&gt;LastHist,PxMult,1)*(1+PxChg_H)^(MAX(0,Y$5-PxBaseIdx)/4)</f>
        <v>0.570775</v>
      </c>
      <c r="Z28" s="25" t="n">
        <f aca="false">Spot_H*IF(Z$5&gt;LastHist,PxMult,1)*(1+PxChg_H)^(MAX(0,Z$5-PxBaseIdx)/4)</f>
        <v>0.548049359017175</v>
      </c>
      <c r="AA28" s="25" t="n">
        <f aca="false">Spot_H*IF(AA$5&gt;LastHist,PxMult,1)*(1+PxChg_H)^(MAX(0,AA$5-PxBaseIdx)/4)</f>
        <v>0.526228548761135</v>
      </c>
      <c r="AB28" s="25" t="n">
        <f aca="false">Spot_H*IF(AB$5&gt;LastHist,PxMult,1)*(1+PxChg_H)^(MAX(0,AB$5-PxBaseIdx)/4)</f>
        <v>0.505276543024972</v>
      </c>
      <c r="AC28" s="25" t="n">
        <f aca="false">Spot_H*IF(AC$5&gt;LastHist,PxMult,1)*(1+PxChg_H)^(MAX(0,AC$5-PxBaseIdx)/4)</f>
        <v>0.48515875</v>
      </c>
      <c r="AD28" s="25" t="n">
        <f aca="false">Spot_H*IF(AD$5&gt;LastHist,PxMult,1)*(1+PxChg_H)^(MAX(0,AD$5-PxBaseIdx)/4)</f>
        <v>0.465841955164599</v>
      </c>
      <c r="AE28" s="25" t="n">
        <f aca="false">Spot_H*IF(AE$5&gt;LastHist,PxMult,1)*(1+PxChg_H)^(MAX(0,AE$5-PxBaseIdx)/4)</f>
        <v>0.447294266446965</v>
      </c>
      <c r="AF28" s="25" t="n">
        <f aca="false">Spot_H*IF(AF$5&gt;LastHist,PxMult,1)*(1+PxChg_H)^(MAX(0,AF$5-PxBaseIdx)/4)</f>
        <v>0.429485061571226</v>
      </c>
      <c r="AG28" s="25" t="n">
        <f aca="false">Spot_H*IF(AG$5&gt;LastHist,PxMult,1)*(1+PxChg_H)^(MAX(0,AG$5-PxBaseIdx)/4)</f>
        <v>0.4123849375</v>
      </c>
      <c r="AI28" s="25" t="n">
        <f aca="false">AVERAGEIF($F$7:$AG$7,AI$7,$F28:$AG28)</f>
        <v>0.79</v>
      </c>
      <c r="AJ28" s="25" t="n">
        <f aca="false">AVERAGEIF($F$7:$AG$7,AJ$7,$F28:$AG28)</f>
        <v>0.79</v>
      </c>
      <c r="AK28" s="25" t="n">
        <f aca="false">AVERAGEIF($F$7:$AG$7,AK$7,$F28:$AG28)</f>
        <v>0.79</v>
      </c>
      <c r="AL28" s="25" t="n">
        <f aca="false">AVERAGEIF($F$7:$AG$7,AL$7,$F28:$AG28)</f>
        <v>0.714433633495945</v>
      </c>
      <c r="AM28" s="25" t="n">
        <f aca="false">AVERAGEIF($F$7:$AG$7,AM$7,$F28:$AG28)</f>
        <v>0.607268588471554</v>
      </c>
      <c r="AN28" s="25" t="n">
        <f aca="false">AVERAGEIF($F$7:$AG$7,AN$7,$F28:$AG28)</f>
        <v>0.516178300200821</v>
      </c>
      <c r="AO28" s="25" t="n">
        <f aca="false">AVERAGEIF($F$7:$AG$7,AO$7,$F28:$AG28)</f>
        <v>0.438751555170697</v>
      </c>
    </row>
    <row r="29" customFormat="false" ht="15" hidden="false" customHeight="false" outlineLevel="0" collapsed="false">
      <c r="A29" s="112" t="s">
        <v>2005</v>
      </c>
      <c r="B29" s="24" t="s">
        <v>837</v>
      </c>
      <c r="C29" s="24" t="s">
        <v>820</v>
      </c>
      <c r="D29" s="24"/>
      <c r="F29" s="126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26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26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26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26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26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26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26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26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26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5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5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5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5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5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5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5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5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5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5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5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5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5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5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5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5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5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5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5" t="n">
        <f aca="false">AVERAGEIF($F$7:$AG$7,AI$7,$F29:$AG29)</f>
        <v>8.5385</v>
      </c>
      <c r="AJ29" s="25" t="n">
        <f aca="false">AVERAGEIF($F$7:$AG$7,AJ$7,$F29:$AG29)</f>
        <v>8.5385</v>
      </c>
      <c r="AK29" s="25" t="n">
        <f aca="false">AVERAGEIF($F$7:$AG$7,AK$7,$F29:$AG29)</f>
        <v>8.977625</v>
      </c>
      <c r="AL29" s="25" t="n">
        <f aca="false">AVERAGEIF($F$7:$AG$7,AL$7,$F29:$AG29)</f>
        <v>8.8794375</v>
      </c>
      <c r="AM29" s="25" t="n">
        <f aca="false">AVERAGEIF($F$7:$AG$7,AM$7,$F29:$AG29)</f>
        <v>7.84709385001772</v>
      </c>
      <c r="AN29" s="25" t="n">
        <f aca="false">AVERAGEIF($F$7:$AG$7,AN$7,$F29:$AG29)</f>
        <v>7.37626821901666</v>
      </c>
      <c r="AO29" s="25" t="n">
        <f aca="false">AVERAGEIF($F$7:$AG$7,AO$7,$F29:$AG29)</f>
        <v>6.93369212587566</v>
      </c>
    </row>
    <row r="30" customFormat="false" ht="15" hidden="false" customHeight="false" outlineLevel="0" collapsed="false">
      <c r="A30" s="112" t="s">
        <v>2006</v>
      </c>
      <c r="B30" s="24" t="s">
        <v>837</v>
      </c>
      <c r="C30" s="24" t="s">
        <v>820</v>
      </c>
      <c r="D30" s="24" t="s">
        <v>2002</v>
      </c>
      <c r="F30" s="126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26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26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26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26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26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26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26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26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26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5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5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25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25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25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25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25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25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5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5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5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5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5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5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5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5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5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5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5" t="n">
        <f aca="false">AVERAGEIF($F$7:$AG$7,AI$7,$F30:$AG30)</f>
        <v>6.14772</v>
      </c>
      <c r="AJ30" s="25" t="n">
        <f aca="false">AVERAGEIF($F$7:$AG$7,AJ$7,$F30:$AG30)</f>
        <v>6.14772</v>
      </c>
      <c r="AK30" s="25" t="n">
        <f aca="false">AVERAGEIF($F$7:$AG$7,AK$7,$F30:$AG30)</f>
        <v>6.24287087563408</v>
      </c>
      <c r="AL30" s="25" t="n">
        <f aca="false">AVERAGEIF($F$7:$AG$7,AL$7,$F30:$AG30)</f>
        <v>6.31440075101329</v>
      </c>
      <c r="AM30" s="25" t="n">
        <f aca="false">AVERAGEIF($F$7:$AG$7,AM$7,$F30:$AG30)</f>
        <v>5.65101463799632</v>
      </c>
      <c r="AN30" s="25" t="n">
        <f aca="false">AVERAGEIF($F$7:$AG$7,AN$7,$F30:$AG30)</f>
        <v>5.31091311769199</v>
      </c>
      <c r="AO30" s="25" t="n">
        <f aca="false">AVERAGEIF($F$7:$AG$7,AO$7,$F30:$AG30)</f>
        <v>4.99225833063047</v>
      </c>
    </row>
    <row r="31" customFormat="false" ht="15" hidden="false" customHeight="false" outlineLevel="0" collapsed="false">
      <c r="A31" s="112" t="s">
        <v>2007</v>
      </c>
      <c r="B31" s="24" t="s">
        <v>837</v>
      </c>
      <c r="C31" s="24" t="s">
        <v>820</v>
      </c>
      <c r="D31" s="24" t="s">
        <v>2004</v>
      </c>
      <c r="F31" s="126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26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26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26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26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26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26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26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26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26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5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5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5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5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5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5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5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5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5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5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5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5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5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5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5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5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5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5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5" t="n">
        <f aca="false">AVERAGEIF($F$7:$AG$7,AI$7,$F31:$AG31)</f>
        <v>0.99</v>
      </c>
      <c r="AJ31" s="25" t="n">
        <f aca="false">AVERAGEIF($F$7:$AG$7,AJ$7,$F31:$AG31)</f>
        <v>0.99</v>
      </c>
      <c r="AK31" s="25" t="n">
        <f aca="false">AVERAGEIF($F$7:$AG$7,AK$7,$F31:$AG31)</f>
        <v>0.99</v>
      </c>
      <c r="AL31" s="25" t="n">
        <f aca="false">AVERAGEIF($F$7:$AG$7,AL$7,$F31:$AG31)</f>
        <v>0.99</v>
      </c>
      <c r="AM31" s="25" t="n">
        <f aca="false">AVERAGEIF($F$7:$AG$7,AM$7,$F31:$AG31)</f>
        <v>0.967437878920255</v>
      </c>
      <c r="AN31" s="25" t="n">
        <f aca="false">AVERAGEIF($F$7:$AG$7,AN$7,$F31:$AG31)</f>
        <v>0.90939160618504</v>
      </c>
      <c r="AO31" s="25" t="n">
        <f aca="false">AVERAGEIF($F$7:$AG$7,AO$7,$F31:$AG31)</f>
        <v>0.854828109813938</v>
      </c>
    </row>
    <row r="32" customFormat="false" ht="15" hidden="false" customHeight="false" outlineLevel="0" collapsed="false">
      <c r="A32" s="112" t="s">
        <v>2008</v>
      </c>
      <c r="B32" s="24" t="s">
        <v>837</v>
      </c>
      <c r="C32" s="24" t="s">
        <v>820</v>
      </c>
      <c r="D32" s="24"/>
      <c r="F32" s="126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26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26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26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26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26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26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26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26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26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25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25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25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25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25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25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25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25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25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25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25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25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25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25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25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25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25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25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25" t="n">
        <f aca="false">AVERAGEIF($F$7:$AG$7,AI$7,$F32:$AG32)</f>
        <v>14.8783932421875</v>
      </c>
      <c r="AJ32" s="25" t="n">
        <f aca="false">AVERAGEIF($F$7:$AG$7,AJ$7,$F32:$AG32)</f>
        <v>14.8783932421875</v>
      </c>
      <c r="AK32" s="25" t="n">
        <f aca="false">AVERAGEIF($F$7:$AG$7,AK$7,$F32:$AG32)</f>
        <v>15.6602196386719</v>
      </c>
      <c r="AL32" s="25" t="n">
        <f aca="false">AVERAGEIF($F$7:$AG$7,AL$7,$F32:$AG32)</f>
        <v>18.005698828125</v>
      </c>
      <c r="AM32" s="25" t="n">
        <f aca="false">AVERAGEIF($F$7:$AG$7,AM$7,$F32:$AG32)</f>
        <v>17.5953485684426</v>
      </c>
      <c r="AN32" s="25" t="n">
        <f aca="false">AVERAGEIF($F$7:$AG$7,AN$7,$F32:$AG32)</f>
        <v>16.539627654336</v>
      </c>
      <c r="AO32" s="25" t="n">
        <f aca="false">AVERAGEIF($F$7:$AG$7,AO$7,$F32:$AG32)</f>
        <v>15.5472499950759</v>
      </c>
    </row>
    <row r="33" customFormat="false" ht="15" hidden="false" customHeight="false" outlineLevel="0" collapsed="false">
      <c r="A33" s="112" t="s">
        <v>2009</v>
      </c>
      <c r="B33" s="24" t="s">
        <v>837</v>
      </c>
      <c r="C33" s="24" t="s">
        <v>820</v>
      </c>
      <c r="D33" s="24" t="s">
        <v>2002</v>
      </c>
      <c r="F33" s="126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26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26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26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26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26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26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26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26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26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25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25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25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25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25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25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25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25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25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25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25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25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25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25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25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25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25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25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25" t="n">
        <f aca="false">AVERAGEIF($F$7:$AG$7,AI$7,$F33:$AG33)</f>
        <v>10.712443134375</v>
      </c>
      <c r="AJ33" s="25" t="n">
        <f aca="false">AVERAGEIF($F$7:$AG$7,AJ$7,$F33:$AG33)</f>
        <v>10.712443134375</v>
      </c>
      <c r="AK33" s="25" t="n">
        <f aca="false">AVERAGEIF($F$7:$AG$7,AK$7,$F33:$AG33)</f>
        <v>11.2753581398438</v>
      </c>
      <c r="AL33" s="25" t="n">
        <f aca="false">AVERAGEIF($F$7:$AG$7,AL$7,$F33:$AG33)</f>
        <v>12.96410315625</v>
      </c>
      <c r="AM33" s="25" t="n">
        <f aca="false">AVERAGEIF($F$7:$AG$7,AM$7,$F33:$AG33)</f>
        <v>12.6686509692787</v>
      </c>
      <c r="AN33" s="25" t="n">
        <f aca="false">AVERAGEIF($F$7:$AG$7,AN$7,$F33:$AG33)</f>
        <v>11.908531911122</v>
      </c>
      <c r="AO33" s="25" t="n">
        <f aca="false">AVERAGEIF($F$7:$AG$7,AO$7,$F33:$AG33)</f>
        <v>11.1940199964546</v>
      </c>
    </row>
    <row r="34" customFormat="false" ht="15" hidden="false" customHeight="false" outlineLevel="0" collapsed="false">
      <c r="A34" s="112" t="s">
        <v>2010</v>
      </c>
      <c r="B34" s="24" t="s">
        <v>837</v>
      </c>
      <c r="C34" s="24" t="s">
        <v>820</v>
      </c>
      <c r="D34" s="24" t="s">
        <v>2004</v>
      </c>
      <c r="F34" s="126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26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26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26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26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26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26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26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26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26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5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5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5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5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5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5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5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5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5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5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5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5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5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5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5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5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5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5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5" t="n">
        <f aca="false">AVERAGEIF($F$7:$AG$7,AI$7,$F34:$AG34)</f>
        <v>0.99</v>
      </c>
      <c r="AJ34" s="25" t="n">
        <f aca="false">AVERAGEIF($F$7:$AG$7,AJ$7,$F34:$AG34)</f>
        <v>0.99</v>
      </c>
      <c r="AK34" s="25" t="n">
        <f aca="false">AVERAGEIF($F$7:$AG$7,AK$7,$F34:$AG34)</f>
        <v>0.99</v>
      </c>
      <c r="AL34" s="25" t="n">
        <f aca="false">AVERAGEIF($F$7:$AG$7,AL$7,$F34:$AG34)</f>
        <v>0.99</v>
      </c>
      <c r="AM34" s="25" t="n">
        <f aca="false">AVERAGEIF($F$7:$AG$7,AM$7,$F34:$AG34)</f>
        <v>0.967437878920255</v>
      </c>
      <c r="AN34" s="25" t="n">
        <f aca="false">AVERAGEIF($F$7:$AG$7,AN$7,$F34:$AG34)</f>
        <v>0.90939160618504</v>
      </c>
      <c r="AO34" s="25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2011</v>
      </c>
    </row>
    <row r="37" customFormat="false" ht="15" hidden="false" customHeight="false" outlineLevel="0" collapsed="false">
      <c r="B37" s="3" t="s">
        <v>1985</v>
      </c>
      <c r="C37" s="3" t="s">
        <v>1629</v>
      </c>
      <c r="D37" s="3" t="s">
        <v>1988</v>
      </c>
      <c r="E37" s="3" t="s">
        <v>2012</v>
      </c>
    </row>
    <row r="38" customFormat="false" ht="15" hidden="false" customHeight="false" outlineLevel="0" collapsed="false">
      <c r="A38" s="0" t="s">
        <v>2013</v>
      </c>
      <c r="B38" s="35" t="n">
        <f aca="false">GPUMW_B</f>
        <v>500</v>
      </c>
      <c r="C38" s="35" t="n">
        <f aca="false">GPUMW_B</f>
        <v>500</v>
      </c>
      <c r="D38" s="35" t="n">
        <f aca="false">GPUMW_N</f>
        <v>320</v>
      </c>
      <c r="E38" s="36" t="n">
        <f aca="false">IFERROR(D38/C38,0)</f>
        <v>0.64</v>
      </c>
    </row>
    <row r="39" customFormat="false" ht="15" hidden="false" customHeight="false" outlineLevel="0" collapsed="false">
      <c r="A39" s="0" t="s">
        <v>2014</v>
      </c>
      <c r="B39" s="25" t="n">
        <f aca="false">D16*PxMult</f>
        <v>11.59</v>
      </c>
      <c r="C39" s="25" t="n">
        <f aca="false">D17*PxMult</f>
        <v>11.59</v>
      </c>
      <c r="D39" s="25" t="n">
        <f aca="false">D18*PxMult</f>
        <v>18.005698828125</v>
      </c>
      <c r="E39" s="36" t="n">
        <f aca="false">IFERROR(D39/C39,0)</f>
        <v>1.5535546875</v>
      </c>
    </row>
    <row r="40" customFormat="false" ht="15" hidden="false" customHeight="false" outlineLevel="0" collapsed="false">
      <c r="A40" s="0" t="s">
        <v>2015</v>
      </c>
      <c r="B40" s="25" t="n">
        <f aca="false">D16*PxMult*RealRes</f>
        <v>8.3448</v>
      </c>
      <c r="C40" s="25" t="n">
        <f aca="false">D17*PxMult*RealRes</f>
        <v>8.3448</v>
      </c>
      <c r="D40" s="25" t="n">
        <f aca="false">D18*PxMult*RealRes</f>
        <v>12.96410315625</v>
      </c>
      <c r="E40" s="36" t="n">
        <f aca="false">IFERROR(D40/C40,0)</f>
        <v>1.5535546875</v>
      </c>
    </row>
    <row r="41" customFormat="false" ht="15" hidden="false" customHeight="false" outlineLevel="0" collapsed="false">
      <c r="A41" s="0" t="s">
        <v>2016</v>
      </c>
      <c r="B41" s="32" t="n">
        <f aca="false">B38*B40*8760*Util_Res/1000000</f>
        <v>27.424347870838</v>
      </c>
      <c r="C41" s="32" t="n">
        <f aca="false">C38*C40*8760*Util_Res/1000000</f>
        <v>27.424347870838</v>
      </c>
      <c r="D41" s="32" t="n">
        <f aca="false">D38*D40*8760*Util_Res/1000000</f>
        <v>27.2673434792775</v>
      </c>
      <c r="E41" s="36" t="n">
        <f aca="false">IFERROR(D41/C41,0)</f>
        <v>0.994275</v>
      </c>
    </row>
    <row r="42" customFormat="false" ht="15" hidden="false" customHeight="false" outlineLevel="0" collapsed="false">
      <c r="A42" s="0" t="s">
        <v>2017</v>
      </c>
      <c r="B42" s="32" t="n">
        <f aca="false">B41-CLT1Rent</f>
        <v>25.224347870838</v>
      </c>
      <c r="C42" s="32" t="n">
        <f aca="false">C41-CLT1Rent</f>
        <v>25.224347870838</v>
      </c>
      <c r="D42" s="32" t="n">
        <f aca="false">D41-CLT1Rent</f>
        <v>25.0673434792775</v>
      </c>
      <c r="E42" s="36" t="n">
        <f aca="false">IFERROR(D42/C42,0)</f>
        <v>0.993775680847549</v>
      </c>
    </row>
    <row r="43" customFormat="false" ht="15" hidden="false" customHeight="false" outlineLevel="0" collapsed="false">
      <c r="A43" s="0" t="s">
        <v>2018</v>
      </c>
      <c r="B43" s="32" t="n">
        <f aca="false">B41-OM_MW</f>
        <v>26.674347870838</v>
      </c>
      <c r="C43" s="32" t="n">
        <f aca="false">C41-OM_MW</f>
        <v>26.674347870838</v>
      </c>
      <c r="D43" s="32" t="n">
        <f aca="false">D41-OM_MW</f>
        <v>26.5173434792775</v>
      </c>
      <c r="E43" s="36" t="n">
        <f aca="false">IFERROR(D43/C43,0)</f>
        <v>0.994114030741415</v>
      </c>
    </row>
    <row r="44" customFormat="false" ht="15" hidden="false" customHeight="false" outlineLevel="0" collapsed="false">
      <c r="A44" s="0" t="s">
        <v>2019</v>
      </c>
      <c r="B44" s="32" t="n">
        <f aca="false">20</f>
        <v>20</v>
      </c>
      <c r="C44" s="32" t="n">
        <f aca="false">20-CLT1Rent</f>
        <v>17.8</v>
      </c>
      <c r="D44" s="32" t="n">
        <f aca="false">20-OM_MW</f>
        <v>19.25</v>
      </c>
    </row>
    <row r="45" customFormat="false" ht="15" hidden="false" customHeight="false" outlineLevel="0" collapsed="false">
      <c r="A45" s="0" t="s">
        <v>2020</v>
      </c>
      <c r="B45" s="36" t="n">
        <f aca="false">GPUMW_B/GPUMW_N</f>
        <v>1.5625</v>
      </c>
      <c r="C45" s="36" t="n">
        <f aca="false">Rubin_Prem</f>
        <v>1.5535546875</v>
      </c>
    </row>
    <row r="46" customFormat="false" ht="15" hidden="false" customHeight="false" outlineLevel="0" collapsed="false">
      <c r="A46" s="0" t="s">
        <v>2021</v>
      </c>
      <c r="B46" s="32" t="n">
        <f aca="false">INDEX(ND_MYRate,1,NewDealIdx)</f>
        <v>16</v>
      </c>
      <c r="C46" s="32" t="n">
        <f aca="false">INDEX(ND_STRate,1,NewDealIdx)*IF(STMode=1,STOcc,1)</f>
        <v>29.835</v>
      </c>
      <c r="D46" s="32" t="n">
        <f aca="false">(1-STShare)*B46+STShare*C46</f>
        <v>16.69175</v>
      </c>
      <c r="E46" s="32" t="n">
        <f aca="false">D46-CLT1Rent</f>
        <v>14.49175</v>
      </c>
      <c r="F46" s="32" t="n">
        <f aca="false">D46-OM_MW</f>
        <v>15.94175</v>
      </c>
    </row>
    <row r="47" customFormat="false" ht="15" hidden="false" customHeight="false" outlineLevel="0" collapsed="false">
      <c r="A47" s="0" t="s">
        <v>2022</v>
      </c>
      <c r="B47" s="32" t="n">
        <f aca="false">B46</f>
        <v>16</v>
      </c>
      <c r="C47" s="32" t="n">
        <f aca="false">B46-CLT1Rent</f>
        <v>13.8</v>
      </c>
      <c r="D47" s="32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766</v>
      </c>
    </row>
    <row r="2" customFormat="false" ht="15" hidden="false" customHeight="false" outlineLevel="0" collapsed="false">
      <c r="A2" s="24" t="s">
        <v>2023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2024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2025</v>
      </c>
      <c r="B11" s="3" t="s">
        <v>2026</v>
      </c>
      <c r="C11" s="3" t="s">
        <v>1969</v>
      </c>
      <c r="D11" s="3" t="s">
        <v>797</v>
      </c>
      <c r="E11" s="3" t="s">
        <v>2027</v>
      </c>
      <c r="F11" s="3" t="s">
        <v>2028</v>
      </c>
      <c r="G11" s="3" t="s">
        <v>2029</v>
      </c>
      <c r="H11" s="3" t="s">
        <v>2030</v>
      </c>
      <c r="I11" s="3" t="s">
        <v>2031</v>
      </c>
      <c r="J11" s="3" t="s">
        <v>2032</v>
      </c>
      <c r="K11" s="3" t="s">
        <v>2033</v>
      </c>
      <c r="L11" s="3" t="s">
        <v>2034</v>
      </c>
      <c r="M11" s="3" t="s">
        <v>2035</v>
      </c>
      <c r="N11" s="3" t="s">
        <v>1975</v>
      </c>
      <c r="O11" s="3" t="s">
        <v>666</v>
      </c>
      <c r="P11" s="3" t="s">
        <v>667</v>
      </c>
      <c r="Q11" s="3" t="s">
        <v>2036</v>
      </c>
      <c r="R11" s="3" t="s">
        <v>2037</v>
      </c>
      <c r="S11" s="3" t="s">
        <v>2038</v>
      </c>
      <c r="T11" s="3" t="s">
        <v>2039</v>
      </c>
      <c r="U11" s="3" t="s">
        <v>2040</v>
      </c>
    </row>
    <row r="12" customFormat="false" ht="15" hidden="false" customHeight="false" outlineLevel="0" collapsed="false">
      <c r="A12" s="0" t="s">
        <v>2041</v>
      </c>
      <c r="B12" s="0" t="s">
        <v>2042</v>
      </c>
      <c r="C12" s="111" t="s">
        <v>1983</v>
      </c>
      <c r="D12" s="127" t="n">
        <f aca="false">MSFT_MW/MSFT_N</f>
        <v>26.6666666666667</v>
      </c>
      <c r="E12" s="25" t="n">
        <f aca="false">MSFT_TCV/(5*MSFT_MW)</f>
        <v>14.4940833333333</v>
      </c>
      <c r="F12" s="30" t="n">
        <v>20</v>
      </c>
      <c r="G12" s="30" t="n">
        <v>8</v>
      </c>
      <c r="H12" s="68" t="n">
        <f aca="false">IF(R12&lt;=LastHist,R12,CHOOSE(Scen,Q12,R12,S12)+IF(R12&gt;=13,2*BloomSlipOn,0))</f>
        <v>8</v>
      </c>
      <c r="I12" s="87" t="n">
        <v>0</v>
      </c>
      <c r="J12" s="75" t="n">
        <v>0</v>
      </c>
      <c r="K12" s="35" t="n">
        <f aca="false">D12*E12*F12/4</f>
        <v>1932.54444444444</v>
      </c>
      <c r="L12" s="25" t="n">
        <f aca="false">E12*1000000/(CHOOSE(MATCH(C12,{"H";"B";"N"},0),GPUMW_H,GPUMW_B,GPUMW_N)*8760)</f>
        <v>3.30915144596652</v>
      </c>
      <c r="N12" s="24" t="s">
        <v>684</v>
      </c>
      <c r="O12" s="24" t="s">
        <v>2043</v>
      </c>
      <c r="P12" s="24" t="s">
        <v>2044</v>
      </c>
      <c r="Q12" s="31" t="n">
        <v>8</v>
      </c>
      <c r="R12" s="31" t="n">
        <v>8</v>
      </c>
      <c r="S12" s="31" t="n">
        <v>8</v>
      </c>
      <c r="T12" s="68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2045</v>
      </c>
      <c r="B13" s="0" t="s">
        <v>2042</v>
      </c>
      <c r="C13" s="111" t="s">
        <v>1983</v>
      </c>
      <c r="D13" s="127" t="n">
        <f aca="false">MSFT_MW/MSFT_N</f>
        <v>26.6666666666667</v>
      </c>
      <c r="E13" s="25" t="n">
        <f aca="false">MSFT_TCV/(5*MSFT_MW)</f>
        <v>14.4940833333333</v>
      </c>
      <c r="F13" s="30" t="n">
        <v>20</v>
      </c>
      <c r="G13" s="30" t="n">
        <v>9</v>
      </c>
      <c r="H13" s="68" t="n">
        <f aca="false">IF(R13&lt;=LastHist,R13,CHOOSE(Scen,Q13,R13,S13)+IF(R13&gt;=13,2*BloomSlipOn,0))</f>
        <v>9</v>
      </c>
      <c r="I13" s="87" t="n">
        <v>0</v>
      </c>
      <c r="J13" s="75" t="n">
        <v>0</v>
      </c>
      <c r="K13" s="35" t="n">
        <f aca="false">D13*E13*F13/4</f>
        <v>1932.54444444444</v>
      </c>
      <c r="L13" s="25" t="n">
        <f aca="false">E13*1000000/(CHOOSE(MATCH(C13,{"H";"B";"N"},0),GPUMW_H,GPUMW_B,GPUMW_N)*8760)</f>
        <v>3.30915144596652</v>
      </c>
      <c r="N13" s="24" t="s">
        <v>684</v>
      </c>
      <c r="O13" s="24" t="s">
        <v>2043</v>
      </c>
      <c r="P13" s="24" t="s">
        <v>2044</v>
      </c>
      <c r="Q13" s="31" t="n">
        <v>9</v>
      </c>
      <c r="R13" s="31" t="n">
        <v>9</v>
      </c>
      <c r="S13" s="31" t="n">
        <v>9</v>
      </c>
      <c r="T13" s="68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2046</v>
      </c>
      <c r="B14" s="0" t="s">
        <v>2042</v>
      </c>
      <c r="C14" s="111" t="s">
        <v>1983</v>
      </c>
      <c r="D14" s="127" t="n">
        <f aca="false">MSFT_MW/MSFT_N</f>
        <v>26.6666666666667</v>
      </c>
      <c r="E14" s="25" t="n">
        <f aca="false">MSFT_TCV/(5*MSFT_MW)</f>
        <v>14.4940833333333</v>
      </c>
      <c r="F14" s="30" t="n">
        <v>20</v>
      </c>
      <c r="G14" s="30" t="n">
        <v>11</v>
      </c>
      <c r="H14" s="68" t="n">
        <f aca="false">IF(R14&lt;=LastHist,R14,CHOOSE(Scen,Q14,R14,S14)+IF(R14&gt;=13,2*BloomSlipOn,0))</f>
        <v>11</v>
      </c>
      <c r="I14" s="87" t="n">
        <v>0</v>
      </c>
      <c r="J14" s="75" t="n">
        <v>0</v>
      </c>
      <c r="K14" s="35" t="n">
        <f aca="false">D14*E14*F14/4</f>
        <v>1932.54444444444</v>
      </c>
      <c r="L14" s="25" t="n">
        <f aca="false">E14*1000000/(CHOOSE(MATCH(C14,{"H";"B";"N"},0),GPUMW_H,GPUMW_B,GPUMW_N)*8760)</f>
        <v>3.30915144596652</v>
      </c>
      <c r="N14" s="24" t="s">
        <v>684</v>
      </c>
      <c r="O14" s="24" t="s">
        <v>2043</v>
      </c>
      <c r="P14" s="24" t="s">
        <v>2044</v>
      </c>
      <c r="Q14" s="31" t="n">
        <v>11</v>
      </c>
      <c r="R14" s="31" t="n">
        <v>11</v>
      </c>
      <c r="S14" s="31" t="n">
        <v>11</v>
      </c>
      <c r="T14" s="68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2047</v>
      </c>
      <c r="B15" s="0" t="s">
        <v>2042</v>
      </c>
      <c r="C15" s="111" t="s">
        <v>1983</v>
      </c>
      <c r="D15" s="127" t="n">
        <f aca="false">MSFT_MW/MSFT_N</f>
        <v>26.6666666666667</v>
      </c>
      <c r="E15" s="25" t="n">
        <f aca="false">MSFT_TCV/(5*MSFT_MW)</f>
        <v>14.4940833333333</v>
      </c>
      <c r="F15" s="30" t="n">
        <v>20</v>
      </c>
      <c r="G15" s="30" t="n">
        <v>11</v>
      </c>
      <c r="H15" s="68" t="n">
        <f aca="false">IF(R15&lt;=LastHist,R15,CHOOSE(Scen,Q15,R15,S15)+IF(R15&gt;=13,2*BloomSlipOn,0))</f>
        <v>11</v>
      </c>
      <c r="I15" s="87" t="n">
        <v>0</v>
      </c>
      <c r="J15" s="75" t="n">
        <v>0</v>
      </c>
      <c r="K15" s="35" t="n">
        <f aca="false">D15*E15*F15/4</f>
        <v>1932.54444444444</v>
      </c>
      <c r="L15" s="25" t="n">
        <f aca="false">E15*1000000/(CHOOSE(MATCH(C15,{"H";"B";"N"},0),GPUMW_H,GPUMW_B,GPUMW_N)*8760)</f>
        <v>3.30915144596652</v>
      </c>
      <c r="N15" s="24" t="s">
        <v>684</v>
      </c>
      <c r="O15" s="24" t="s">
        <v>2043</v>
      </c>
      <c r="P15" s="24" t="s">
        <v>2044</v>
      </c>
      <c r="Q15" s="31" t="n">
        <v>11</v>
      </c>
      <c r="R15" s="31" t="n">
        <v>11</v>
      </c>
      <c r="S15" s="31" t="n">
        <v>11</v>
      </c>
      <c r="T15" s="68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2048</v>
      </c>
      <c r="B16" s="0" t="s">
        <v>2042</v>
      </c>
      <c r="C16" s="111" t="s">
        <v>1983</v>
      </c>
      <c r="D16" s="127" t="n">
        <f aca="false">MSFT_MW/MSFT_N</f>
        <v>26.6666666666667</v>
      </c>
      <c r="E16" s="25" t="n">
        <f aca="false">MSFT_TCV/(5*MSFT_MW)</f>
        <v>14.4940833333333</v>
      </c>
      <c r="F16" s="30" t="n">
        <v>20</v>
      </c>
      <c r="G16" s="31" t="n">
        <v>14</v>
      </c>
      <c r="H16" s="68" t="n">
        <f aca="false">IF(R16&lt;=LastHist,R16,CHOOSE(Scen,Q16,R16,S16)+IF(R16&gt;=13,2*BloomSlipOn,0))</f>
        <v>14</v>
      </c>
      <c r="I16" s="87" t="n">
        <v>0</v>
      </c>
      <c r="J16" s="75" t="n">
        <v>0</v>
      </c>
      <c r="K16" s="35" t="n">
        <f aca="false">D16*E16*F16/4</f>
        <v>1932.54444444444</v>
      </c>
      <c r="L16" s="25" t="n">
        <f aca="false">E16*1000000/(CHOOSE(MATCH(C16,{"H";"B";"N"},0),GPUMW_H,GPUMW_B,GPUMW_N)*8760)</f>
        <v>3.30915144596652</v>
      </c>
      <c r="N16" s="24" t="s">
        <v>691</v>
      </c>
      <c r="O16" s="24" t="s">
        <v>2043</v>
      </c>
      <c r="P16" s="24" t="s">
        <v>2049</v>
      </c>
      <c r="Q16" s="31" t="n">
        <v>13</v>
      </c>
      <c r="R16" s="31" t="n">
        <v>14</v>
      </c>
      <c r="S16" s="31" t="n">
        <v>15</v>
      </c>
      <c r="T16" s="68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2050</v>
      </c>
      <c r="B17" s="0" t="s">
        <v>2042</v>
      </c>
      <c r="C17" s="111" t="s">
        <v>1983</v>
      </c>
      <c r="D17" s="127" t="n">
        <f aca="false">MSFT_MW/MSFT_N</f>
        <v>26.6666666666667</v>
      </c>
      <c r="E17" s="25" t="n">
        <f aca="false">MSFT_TCV/(5*MSFT_MW)</f>
        <v>14.4940833333333</v>
      </c>
      <c r="F17" s="30" t="n">
        <v>20</v>
      </c>
      <c r="G17" s="31" t="n">
        <v>14</v>
      </c>
      <c r="H17" s="68" t="n">
        <f aca="false">IF(R17&lt;=LastHist,R17,CHOOSE(Scen,Q17,R17,S17)+IF(R17&gt;=13,2*BloomSlipOn,0))</f>
        <v>14</v>
      </c>
      <c r="I17" s="87" t="n">
        <v>0</v>
      </c>
      <c r="J17" s="75" t="n">
        <v>0</v>
      </c>
      <c r="K17" s="35" t="n">
        <f aca="false">D17*E17*F17/4</f>
        <v>1932.54444444444</v>
      </c>
      <c r="L17" s="25" t="n">
        <f aca="false">E17*1000000/(CHOOSE(MATCH(C17,{"H";"B";"N"},0),GPUMW_H,GPUMW_B,GPUMW_N)*8760)</f>
        <v>3.30915144596652</v>
      </c>
      <c r="N17" s="24" t="s">
        <v>691</v>
      </c>
      <c r="O17" s="24" t="s">
        <v>2043</v>
      </c>
      <c r="P17" s="24" t="s">
        <v>2049</v>
      </c>
      <c r="Q17" s="31" t="n">
        <v>13</v>
      </c>
      <c r="R17" s="31" t="n">
        <v>14</v>
      </c>
      <c r="S17" s="31" t="n">
        <v>15</v>
      </c>
      <c r="T17" s="68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2051</v>
      </c>
      <c r="B18" s="0" t="s">
        <v>2042</v>
      </c>
      <c r="C18" s="111" t="s">
        <v>1983</v>
      </c>
      <c r="D18" s="127" t="n">
        <f aca="false">MSFT_MW/MSFT_N</f>
        <v>26.6666666666667</v>
      </c>
      <c r="E18" s="25" t="n">
        <f aca="false">MSFT_TCV/(5*MSFT_MW)</f>
        <v>14.4940833333333</v>
      </c>
      <c r="F18" s="30" t="n">
        <v>20</v>
      </c>
      <c r="G18" s="31" t="n">
        <v>15</v>
      </c>
      <c r="H18" s="68" t="n">
        <f aca="false">IF(R18&lt;=LastHist,R18,CHOOSE(Scen,Q18,R18,S18)+IF(R18&gt;=13,2*BloomSlipOn,0))</f>
        <v>15</v>
      </c>
      <c r="I18" s="87" t="n">
        <v>0</v>
      </c>
      <c r="J18" s="75" t="n">
        <v>0</v>
      </c>
      <c r="K18" s="35" t="n">
        <f aca="false">D18*E18*F18/4</f>
        <v>1932.54444444444</v>
      </c>
      <c r="L18" s="25" t="n">
        <f aca="false">E18*1000000/(CHOOSE(MATCH(C18,{"H";"B";"N"},0),GPUMW_H,GPUMW_B,GPUMW_N)*8760)</f>
        <v>3.30915144596652</v>
      </c>
      <c r="N18" s="24" t="s">
        <v>691</v>
      </c>
      <c r="O18" s="24" t="s">
        <v>2043</v>
      </c>
      <c r="P18" s="24" t="s">
        <v>2049</v>
      </c>
      <c r="Q18" s="31" t="n">
        <v>14</v>
      </c>
      <c r="R18" s="31" t="n">
        <v>15</v>
      </c>
      <c r="S18" s="31" t="n">
        <v>16</v>
      </c>
      <c r="T18" s="68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2052</v>
      </c>
      <c r="B19" s="0" t="s">
        <v>2042</v>
      </c>
      <c r="C19" s="111" t="s">
        <v>1983</v>
      </c>
      <c r="D19" s="127" t="n">
        <f aca="false">MSFT_MW/MSFT_N</f>
        <v>26.6666666666667</v>
      </c>
      <c r="E19" s="25" t="n">
        <f aca="false">MSFT_TCV/(5*MSFT_MW)</f>
        <v>14.4940833333333</v>
      </c>
      <c r="F19" s="30" t="n">
        <v>20</v>
      </c>
      <c r="G19" s="31" t="n">
        <v>15</v>
      </c>
      <c r="H19" s="68" t="n">
        <f aca="false">IF(R19&lt;=LastHist,R19,CHOOSE(Scen,Q19,R19,S19)+IF(R19&gt;=13,2*BloomSlipOn,0))</f>
        <v>15</v>
      </c>
      <c r="I19" s="87" t="n">
        <v>0</v>
      </c>
      <c r="J19" s="75" t="n">
        <v>0</v>
      </c>
      <c r="K19" s="35" t="n">
        <f aca="false">D19*E19*F19/4</f>
        <v>1932.54444444444</v>
      </c>
      <c r="L19" s="25" t="n">
        <f aca="false">E19*1000000/(CHOOSE(MATCH(C19,{"H";"B";"N"},0),GPUMW_H,GPUMW_B,GPUMW_N)*8760)</f>
        <v>3.30915144596652</v>
      </c>
      <c r="N19" s="24" t="s">
        <v>691</v>
      </c>
      <c r="O19" s="24" t="s">
        <v>2043</v>
      </c>
      <c r="P19" s="24" t="s">
        <v>2049</v>
      </c>
      <c r="Q19" s="31" t="n">
        <v>14</v>
      </c>
      <c r="R19" s="31" t="n">
        <v>15</v>
      </c>
      <c r="S19" s="31" t="n">
        <v>16</v>
      </c>
      <c r="T19" s="68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2053</v>
      </c>
      <c r="B20" s="0" t="s">
        <v>2042</v>
      </c>
      <c r="C20" s="111" t="s">
        <v>1983</v>
      </c>
      <c r="D20" s="127" t="n">
        <f aca="false">MSFT_MW/MSFT_N</f>
        <v>26.6666666666667</v>
      </c>
      <c r="E20" s="25" t="n">
        <f aca="false">MSFT_TCV/(5*MSFT_MW)</f>
        <v>14.4940833333333</v>
      </c>
      <c r="F20" s="30" t="n">
        <v>20</v>
      </c>
      <c r="G20" s="31" t="n">
        <v>15</v>
      </c>
      <c r="H20" s="68" t="n">
        <f aca="false">IF(R20&lt;=LastHist,R20,CHOOSE(Scen,Q20,R20,S20)+IF(R20&gt;=13,2*BloomSlipOn,0))</f>
        <v>15</v>
      </c>
      <c r="I20" s="87" t="n">
        <v>0</v>
      </c>
      <c r="J20" s="75" t="n">
        <v>0</v>
      </c>
      <c r="K20" s="35" t="n">
        <f aca="false">D20*E20*F20/4</f>
        <v>1932.54444444444</v>
      </c>
      <c r="L20" s="25" t="n">
        <f aca="false">E20*1000000/(CHOOSE(MATCH(C20,{"H";"B";"N"},0),GPUMW_H,GPUMW_B,GPUMW_N)*8760)</f>
        <v>3.30915144596652</v>
      </c>
      <c r="N20" s="24" t="s">
        <v>691</v>
      </c>
      <c r="O20" s="24" t="s">
        <v>2043</v>
      </c>
      <c r="P20" s="24" t="s">
        <v>2049</v>
      </c>
      <c r="Q20" s="31" t="n">
        <v>14</v>
      </c>
      <c r="R20" s="31" t="n">
        <v>15</v>
      </c>
      <c r="S20" s="31" t="n">
        <v>17</v>
      </c>
      <c r="T20" s="68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2054</v>
      </c>
      <c r="B21" s="0" t="s">
        <v>2042</v>
      </c>
      <c r="C21" s="111" t="s">
        <v>1983</v>
      </c>
      <c r="D21" s="128" t="n">
        <v>0</v>
      </c>
      <c r="E21" s="25" t="n">
        <f aca="false">MSFT_TCV/(5*MSFT_MW)</f>
        <v>14.4940833333333</v>
      </c>
      <c r="F21" s="30" t="n">
        <v>20</v>
      </c>
      <c r="G21" s="87" t="n">
        <v>12</v>
      </c>
      <c r="H21" s="68" t="n">
        <f aca="false">IF(R21&lt;=LastHist,R21,CHOOSE(Scen,Q21,R21,S21)+IF(R21&gt;=13,2*BloomSlipOn,0))</f>
        <v>12</v>
      </c>
      <c r="I21" s="87" t="n">
        <v>0</v>
      </c>
      <c r="J21" s="75" t="n">
        <v>0</v>
      </c>
      <c r="K21" s="35" t="n">
        <f aca="false">D21*E21*F21/4</f>
        <v>0</v>
      </c>
      <c r="L21" s="25" t="n">
        <f aca="false">E21*1000000/(CHOOSE(MATCH(C21,{"H";"B";"N"},0),GPUMW_H,GPUMW_B,GPUMW_N)*8760)</f>
        <v>3.30915144596652</v>
      </c>
      <c r="N21" s="24" t="s">
        <v>733</v>
      </c>
      <c r="O21" s="24" t="s">
        <v>2043</v>
      </c>
      <c r="P21" s="24" t="s">
        <v>2055</v>
      </c>
      <c r="Q21" s="87" t="n">
        <v>12</v>
      </c>
      <c r="R21" s="87" t="n">
        <v>12</v>
      </c>
      <c r="S21" s="87" t="n">
        <v>12</v>
      </c>
      <c r="T21" s="68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2056</v>
      </c>
      <c r="B22" s="0" t="s">
        <v>2042</v>
      </c>
      <c r="C22" s="111" t="s">
        <v>1983</v>
      </c>
      <c r="D22" s="128" t="n">
        <v>0</v>
      </c>
      <c r="E22" s="25" t="n">
        <f aca="false">MSFT_TCV/(5*MSFT_MW)</f>
        <v>14.4940833333333</v>
      </c>
      <c r="F22" s="30" t="n">
        <v>20</v>
      </c>
      <c r="G22" s="87" t="n">
        <v>12</v>
      </c>
      <c r="H22" s="68" t="n">
        <f aca="false">IF(R22&lt;=LastHist,R22,CHOOSE(Scen,Q22,R22,S22)+IF(R22&gt;=13,2*BloomSlipOn,0))</f>
        <v>12</v>
      </c>
      <c r="I22" s="87" t="n">
        <v>0</v>
      </c>
      <c r="J22" s="75" t="n">
        <v>0</v>
      </c>
      <c r="K22" s="35" t="n">
        <f aca="false">D22*E22*F22/4</f>
        <v>0</v>
      </c>
      <c r="L22" s="25" t="n">
        <f aca="false">E22*1000000/(CHOOSE(MATCH(C22,{"H";"B";"N"},0),GPUMW_H,GPUMW_B,GPUMW_N)*8760)</f>
        <v>3.30915144596652</v>
      </c>
      <c r="N22" s="24" t="s">
        <v>733</v>
      </c>
      <c r="O22" s="24" t="s">
        <v>2043</v>
      </c>
      <c r="P22" s="24" t="s">
        <v>2057</v>
      </c>
      <c r="Q22" s="87" t="n">
        <v>12</v>
      </c>
      <c r="R22" s="87" t="n">
        <v>12</v>
      </c>
      <c r="S22" s="87" t="n">
        <v>12</v>
      </c>
      <c r="T22" s="68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2058</v>
      </c>
      <c r="B23" s="0" t="s">
        <v>2059</v>
      </c>
      <c r="C23" s="111" t="s">
        <v>1983</v>
      </c>
      <c r="D23" s="39" t="n">
        <f aca="false">M23/(E23*F23/4)</f>
        <v>24.0058333333333</v>
      </c>
      <c r="E23" s="25" t="n">
        <f aca="false">ACV_2026</f>
        <v>12</v>
      </c>
      <c r="F23" s="30" t="n">
        <v>20</v>
      </c>
      <c r="G23" s="30" t="n">
        <v>8</v>
      </c>
      <c r="H23" s="68" t="n">
        <f aca="false">IF(R23&lt;=LastHist,R23,CHOOSE(Scen,Q23,R23,S23))</f>
        <v>8</v>
      </c>
      <c r="I23" s="87" t="n">
        <v>0</v>
      </c>
      <c r="J23" s="75" t="n">
        <v>0</v>
      </c>
      <c r="K23" s="35" t="n">
        <f aca="false">D23*E23*F23/4</f>
        <v>1440.35</v>
      </c>
      <c r="L23" s="25" t="n">
        <f aca="false">E23*1000000/(CHOOSE(MATCH(C23,{"H";"B";"N"},0),GPUMW_H,GPUMW_B,GPUMW_N)*8760)</f>
        <v>2.73972602739726</v>
      </c>
      <c r="M23" s="82" t="n">
        <v>1440.35</v>
      </c>
      <c r="N23" s="24" t="s">
        <v>706</v>
      </c>
      <c r="O23" s="24" t="s">
        <v>2043</v>
      </c>
      <c r="P23" s="24" t="s">
        <v>2060</v>
      </c>
      <c r="Q23" s="87" t="n">
        <v>8</v>
      </c>
      <c r="R23" s="87" t="n">
        <v>8</v>
      </c>
      <c r="S23" s="87" t="n">
        <v>8</v>
      </c>
      <c r="T23" s="68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2061</v>
      </c>
      <c r="B24" s="0" t="s">
        <v>2059</v>
      </c>
      <c r="C24" s="111" t="s">
        <v>1983</v>
      </c>
      <c r="D24" s="39" t="n">
        <f aca="false">M24/(E24*F24/4)</f>
        <v>24.0058333333333</v>
      </c>
      <c r="E24" s="25" t="n">
        <f aca="false">ACV_2026</f>
        <v>12</v>
      </c>
      <c r="F24" s="30" t="n">
        <v>20</v>
      </c>
      <c r="G24" s="30" t="n">
        <v>9</v>
      </c>
      <c r="H24" s="68" t="n">
        <f aca="false">IF(R24&lt;=LastHist,R24,CHOOSE(Scen,Q24,R24,S24))</f>
        <v>9</v>
      </c>
      <c r="I24" s="87" t="n">
        <v>0</v>
      </c>
      <c r="J24" s="75" t="n">
        <v>0</v>
      </c>
      <c r="K24" s="35" t="n">
        <f aca="false">D24*E24*F24/4</f>
        <v>1440.35</v>
      </c>
      <c r="L24" s="25" t="n">
        <f aca="false">E24*1000000/(CHOOSE(MATCH(C24,{"H";"B";"N"},0),GPUMW_H,GPUMW_B,GPUMW_N)*8760)</f>
        <v>2.73972602739726</v>
      </c>
      <c r="M24" s="82" t="n">
        <v>1440.35</v>
      </c>
      <c r="N24" s="24" t="s">
        <v>706</v>
      </c>
      <c r="O24" s="24" t="s">
        <v>2043</v>
      </c>
      <c r="P24" s="24" t="s">
        <v>2057</v>
      </c>
      <c r="Q24" s="87" t="n">
        <v>9</v>
      </c>
      <c r="R24" s="87" t="n">
        <v>9</v>
      </c>
      <c r="S24" s="87" t="n">
        <v>9</v>
      </c>
      <c r="T24" s="68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2062</v>
      </c>
      <c r="B25" s="0" t="s">
        <v>2059</v>
      </c>
      <c r="C25" s="111" t="s">
        <v>1989</v>
      </c>
      <c r="D25" s="39" t="n">
        <f aca="false">M25/(E25*F25/4)</f>
        <v>53.3333333333333</v>
      </c>
      <c r="E25" s="25" t="n">
        <f aca="false">ACV_Q2</f>
        <v>22.5</v>
      </c>
      <c r="F25" s="30" t="n">
        <v>20</v>
      </c>
      <c r="G25" s="31" t="n">
        <v>15</v>
      </c>
      <c r="H25" s="68" t="n">
        <f aca="false">IF(R25&lt;=LastHist,R25,CHOOSE(Scen,Q25,R25,S25))</f>
        <v>15</v>
      </c>
      <c r="I25" s="87" t="n">
        <v>0</v>
      </c>
      <c r="J25" s="75" t="n">
        <v>0</v>
      </c>
      <c r="K25" s="35" t="n">
        <f aca="false">D25*E25*F25/4</f>
        <v>6000</v>
      </c>
      <c r="L25" s="25" t="n">
        <f aca="false">E25*1000000/(CHOOSE(MATCH(C25,{"H";"B";"N"},0),GPUMW_H,GPUMW_B,GPUMW_N)*8760)</f>
        <v>8.02654109589041</v>
      </c>
      <c r="M25" s="80" t="n">
        <v>6000</v>
      </c>
      <c r="N25" s="24" t="s">
        <v>691</v>
      </c>
      <c r="O25" s="24" t="s">
        <v>2043</v>
      </c>
      <c r="P25" s="24" t="s">
        <v>2063</v>
      </c>
      <c r="Q25" s="31" t="n">
        <v>13</v>
      </c>
      <c r="R25" s="31" t="n">
        <v>15</v>
      </c>
      <c r="S25" s="31" t="n">
        <v>16</v>
      </c>
      <c r="T25" s="68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2064</v>
      </c>
      <c r="B26" s="0" t="s">
        <v>2059</v>
      </c>
      <c r="C26" s="111" t="s">
        <v>1989</v>
      </c>
      <c r="D26" s="39" t="n">
        <f aca="false">M26/(E26*F26/4)</f>
        <v>53.3333333333333</v>
      </c>
      <c r="E26" s="25" t="n">
        <f aca="false">ACV_Q2</f>
        <v>22.5</v>
      </c>
      <c r="F26" s="30" t="n">
        <v>20</v>
      </c>
      <c r="G26" s="31" t="n">
        <v>16</v>
      </c>
      <c r="H26" s="68" t="n">
        <f aca="false">IF(R26&lt;=LastHist,R26,CHOOSE(Scen,Q26,R26,S26))</f>
        <v>16</v>
      </c>
      <c r="I26" s="87" t="n">
        <v>0</v>
      </c>
      <c r="J26" s="75" t="n">
        <v>0</v>
      </c>
      <c r="K26" s="35" t="n">
        <f aca="false">D26*E26*F26/4</f>
        <v>6000</v>
      </c>
      <c r="L26" s="25" t="n">
        <f aca="false">E26*1000000/(CHOOSE(MATCH(C26,{"H";"B";"N"},0),GPUMW_H,GPUMW_B,GPUMW_N)*8760)</f>
        <v>8.02654109589041</v>
      </c>
      <c r="M26" s="80" t="n">
        <v>6000</v>
      </c>
      <c r="N26" s="24" t="s">
        <v>691</v>
      </c>
      <c r="O26" s="24" t="s">
        <v>2043</v>
      </c>
      <c r="P26" s="24" t="s">
        <v>2057</v>
      </c>
      <c r="Q26" s="31" t="n">
        <v>14</v>
      </c>
      <c r="R26" s="31" t="n">
        <v>16</v>
      </c>
      <c r="S26" s="31" t="n">
        <v>18</v>
      </c>
      <c r="T26" s="68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2065</v>
      </c>
      <c r="B27" s="0" t="s">
        <v>2059</v>
      </c>
      <c r="C27" s="111" t="s">
        <v>1989</v>
      </c>
      <c r="D27" s="39" t="n">
        <f aca="false">BackstopMW</f>
        <v>0</v>
      </c>
      <c r="E27" s="25" t="n">
        <f aca="false">BackstopPx</f>
        <v>16</v>
      </c>
      <c r="F27" s="30" t="n">
        <v>20</v>
      </c>
      <c r="G27" s="87" t="n">
        <v>14</v>
      </c>
      <c r="H27" s="68" t="n">
        <f aca="false">IF(R27&lt;=LastHist,R27,CHOOSE(Scen,Q27,R27,S27))</f>
        <v>15</v>
      </c>
      <c r="I27" s="129" t="n">
        <f aca="false">IF(BackstopMW&gt;0,0,1)</f>
        <v>1</v>
      </c>
      <c r="J27" s="75" t="n">
        <v>0</v>
      </c>
      <c r="K27" s="35" t="n">
        <f aca="false">D27*E27*F27/4</f>
        <v>0</v>
      </c>
      <c r="L27" s="25" t="n">
        <f aca="false">E27*1000000/(CHOOSE(MATCH(C27,{"H";"B";"N"},0),GPUMW_H,GPUMW_B,GPUMW_N)*8760)</f>
        <v>5.70776255707763</v>
      </c>
      <c r="M27" s="82" t="n">
        <v>15000</v>
      </c>
      <c r="N27" s="24" t="s">
        <v>733</v>
      </c>
      <c r="O27" s="24" t="s">
        <v>2043</v>
      </c>
      <c r="P27" s="24" t="s">
        <v>2066</v>
      </c>
      <c r="Q27" s="129" t="n">
        <f aca="false">BackstopIdx</f>
        <v>15</v>
      </c>
      <c r="R27" s="129" t="n">
        <f aca="false">BackstopIdx</f>
        <v>15</v>
      </c>
      <c r="S27" s="129" t="n">
        <f aca="false">BackstopIdx</f>
        <v>15</v>
      </c>
      <c r="T27" s="68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2067</v>
      </c>
      <c r="B28" s="0" t="s">
        <v>2068</v>
      </c>
      <c r="C28" s="111" t="s">
        <v>1989</v>
      </c>
      <c r="D28" s="128" t="n">
        <v>0</v>
      </c>
      <c r="E28" s="25" t="n">
        <f aca="false">ACV_Q2</f>
        <v>22.5</v>
      </c>
      <c r="F28" s="87" t="n">
        <v>20</v>
      </c>
      <c r="G28" s="87" t="n">
        <v>16</v>
      </c>
      <c r="H28" s="68" t="n">
        <f aca="false">IF(R28&lt;=LastHist,R28,CHOOSE(Scen,Q28,R28,S28))</f>
        <v>16</v>
      </c>
      <c r="I28" s="87" t="n">
        <v>0</v>
      </c>
      <c r="J28" s="75" t="n">
        <v>0</v>
      </c>
      <c r="K28" s="35" t="n">
        <f aca="false">D28*E28*F28/4</f>
        <v>0</v>
      </c>
      <c r="L28" s="25" t="n">
        <f aca="false">E28*1000000/(CHOOSE(MATCH(C28,{"H";"B";"N"},0),GPUMW_H,GPUMW_B,GPUMW_N)*8760)</f>
        <v>8.02654109589041</v>
      </c>
      <c r="N28" s="24" t="s">
        <v>733</v>
      </c>
      <c r="O28" s="24" t="s">
        <v>2043</v>
      </c>
      <c r="P28" s="24" t="s">
        <v>2069</v>
      </c>
      <c r="Q28" s="87" t="n">
        <v>16</v>
      </c>
      <c r="R28" s="87" t="n">
        <v>16</v>
      </c>
      <c r="S28" s="87" t="n">
        <v>16</v>
      </c>
      <c r="T28" s="68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2070</v>
      </c>
      <c r="B29" s="0" t="s">
        <v>2068</v>
      </c>
      <c r="C29" s="111" t="s">
        <v>1989</v>
      </c>
      <c r="D29" s="128" t="n">
        <v>0</v>
      </c>
      <c r="E29" s="25" t="n">
        <f aca="false">ACV_Q2</f>
        <v>22.5</v>
      </c>
      <c r="F29" s="87" t="n">
        <v>20</v>
      </c>
      <c r="G29" s="87" t="n">
        <v>20</v>
      </c>
      <c r="H29" s="68" t="n">
        <f aca="false">IF(R29&lt;=LastHist,R29,CHOOSE(Scen,Q29,R29,S29))</f>
        <v>20</v>
      </c>
      <c r="I29" s="87" t="n">
        <v>0</v>
      </c>
      <c r="J29" s="75" t="n">
        <v>0</v>
      </c>
      <c r="K29" s="35" t="n">
        <f aca="false">D29*E29*F29/4</f>
        <v>0</v>
      </c>
      <c r="L29" s="25" t="n">
        <f aca="false">E29*1000000/(CHOOSE(MATCH(C29,{"H";"B";"N"},0),GPUMW_H,GPUMW_B,GPUMW_N)*8760)</f>
        <v>8.02654109589041</v>
      </c>
      <c r="N29" s="24" t="s">
        <v>733</v>
      </c>
      <c r="O29" s="24" t="s">
        <v>2043</v>
      </c>
      <c r="P29" s="24"/>
      <c r="Q29" s="87" t="n">
        <v>20</v>
      </c>
      <c r="R29" s="87" t="n">
        <v>20</v>
      </c>
      <c r="S29" s="87" t="n">
        <v>20</v>
      </c>
      <c r="T29" s="68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2071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2072</v>
      </c>
      <c r="K31" s="5" t="n">
        <f aca="false">SUM(K12:K20)-MSFT_TCV</f>
        <v>0</v>
      </c>
    </row>
    <row r="34" customFormat="false" ht="15" hidden="false" customHeight="false" outlineLevel="0" collapsed="false">
      <c r="A34" s="64" t="s">
        <v>2073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customFormat="false" ht="15" hidden="false" customHeight="false" outlineLevel="0" collapsed="false">
      <c r="A35" s="112" t="s">
        <v>2074</v>
      </c>
      <c r="B35" s="24" t="s">
        <v>745</v>
      </c>
      <c r="C35" s="24"/>
      <c r="D35" s="24"/>
      <c r="F35" s="130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30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30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30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30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30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30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30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30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30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31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31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31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31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31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31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31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31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31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31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31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31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31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31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31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31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31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31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31" t="n">
        <f aca="false">SUMIF($F$7:$AG$7,AI$7,$F35:$AG35)</f>
        <v>0</v>
      </c>
      <c r="AJ35" s="131" t="n">
        <f aca="false">SUMIF($F$7:$AG$7,AJ$7,$F35:$AG35)</f>
        <v>12.0784027777778</v>
      </c>
      <c r="AK35" s="131" t="n">
        <f aca="false">SUMIF($F$7:$AG$7,AK$7,$F35:$AG35)</f>
        <v>314.038472222222</v>
      </c>
      <c r="AL35" s="131" t="n">
        <f aca="false">SUMIF($F$7:$AG$7,AL$7,$F35:$AG35)</f>
        <v>386.508888888889</v>
      </c>
      <c r="AM35" s="131" t="n">
        <f aca="false">SUMIF($F$7:$AG$7,AM$7,$F35:$AG35)</f>
        <v>386.508888888889</v>
      </c>
      <c r="AN35" s="131" t="n">
        <f aca="false">SUMIF($F$7:$AG$7,AN$7,$F35:$AG35)</f>
        <v>386.508888888889</v>
      </c>
      <c r="AO35" s="131" t="n">
        <f aca="false">SUMIF($F$7:$AG$7,AO$7,$F35:$AG35)</f>
        <v>338.195277777778</v>
      </c>
    </row>
    <row r="36" customFormat="false" ht="15" hidden="false" customHeight="false" outlineLevel="0" collapsed="false">
      <c r="A36" s="112" t="s">
        <v>2075</v>
      </c>
      <c r="B36" s="24" t="s">
        <v>857</v>
      </c>
      <c r="C36" s="24"/>
      <c r="D36" s="24"/>
      <c r="F36" s="121" t="n">
        <f aca="false">(1-$I$12)*(1-$J$12)*(1-VinT14Loss*VinLossOn*(F$5&gt;=VinLossIdx))*$D$12*AND(F$5&gt;=$H$12,F$5&lt;$H$12+$F$12)</f>
        <v>0</v>
      </c>
      <c r="G36" s="121" t="n">
        <f aca="false">(1-$I$12)*(1-$J$12)*(1-VinT14Loss*VinLossOn*(G$5&gt;=VinLossIdx))*$D$12*AND(G$5&gt;=$H$12,G$5&lt;$H$12+$F$12)</f>
        <v>0</v>
      </c>
      <c r="H36" s="121" t="n">
        <f aca="false">(1-$I$12)*(1-$J$12)*(1-VinT14Loss*VinLossOn*(H$5&gt;=VinLossIdx))*$D$12*AND(H$5&gt;=$H$12,H$5&lt;$H$12+$F$12)</f>
        <v>0</v>
      </c>
      <c r="I36" s="121" t="n">
        <f aca="false">(1-$I$12)*(1-$J$12)*(1-VinT14Loss*VinLossOn*(I$5&gt;=VinLossIdx))*$D$12*AND(I$5&gt;=$H$12,I$5&lt;$H$12+$F$12)</f>
        <v>0</v>
      </c>
      <c r="J36" s="121" t="n">
        <f aca="false">(1-$I$12)*(1-$J$12)*(1-VinT14Loss*VinLossOn*(J$5&gt;=VinLossIdx))*$D$12*AND(J$5&gt;=$H$12,J$5&lt;$H$12+$F$12)</f>
        <v>0</v>
      </c>
      <c r="K36" s="121" t="n">
        <f aca="false">(1-$I$12)*(1-$J$12)*(1-VinT14Loss*VinLossOn*(K$5&gt;=VinLossIdx))*$D$12*AND(K$5&gt;=$H$12,K$5&lt;$H$12+$F$12)</f>
        <v>0</v>
      </c>
      <c r="L36" s="121" t="n">
        <f aca="false">(1-$I$12)*(1-$J$12)*(1-VinT14Loss*VinLossOn*(L$5&gt;=VinLossIdx))*$D$12*AND(L$5&gt;=$H$12,L$5&lt;$H$12+$F$12)</f>
        <v>0</v>
      </c>
      <c r="M36" s="121" t="n">
        <f aca="false">(1-$I$12)*(1-$J$12)*(1-VinT14Loss*VinLossOn*(M$5&gt;=VinLossIdx))*$D$12*AND(M$5&gt;=$H$12,M$5&lt;$H$12+$F$12)</f>
        <v>26.6666666666667</v>
      </c>
      <c r="N36" s="121" t="n">
        <f aca="false">(1-$I$12)*(1-$J$12)*(1-VinT14Loss*VinLossOn*(N$5&gt;=VinLossIdx))*$D$12*AND(N$5&gt;=$H$12,N$5&lt;$H$12+$F$12)</f>
        <v>26.6666666666667</v>
      </c>
      <c r="O36" s="121" t="n">
        <f aca="false">(1-$I$12)*(1-$J$12)*(1-VinT14Loss*VinLossOn*(O$5&gt;=VinLossIdx))*$D$12*AND(O$5&gt;=$H$12,O$5&lt;$H$12+$F$12)</f>
        <v>26.6666666666667</v>
      </c>
      <c r="P36" s="39" t="n">
        <f aca="false">(1-$I$12)*(1-$J$12)*(1-VinT14Loss*VinLossOn*(P$5&gt;=VinLossIdx))*$D$12*AND(P$5&gt;=$H$12,P$5&lt;$H$12+$F$12)</f>
        <v>26.6666666666667</v>
      </c>
      <c r="Q36" s="39" t="n">
        <f aca="false">(1-$I$12)*(1-$J$12)*(1-VinT14Loss*VinLossOn*(Q$5&gt;=VinLossIdx))*$D$12*AND(Q$5&gt;=$H$12,Q$5&lt;$H$12+$F$12)</f>
        <v>26.6666666666667</v>
      </c>
      <c r="R36" s="39" t="n">
        <f aca="false">(1-$I$12)*(1-$J$12)*(1-VinT14Loss*VinLossOn*(R$5&gt;=VinLossIdx))*$D$12*AND(R$5&gt;=$H$12,R$5&lt;$H$12+$F$12)</f>
        <v>26.6666666666667</v>
      </c>
      <c r="S36" s="39" t="n">
        <f aca="false">(1-$I$12)*(1-$J$12)*(1-VinT14Loss*VinLossOn*(S$5&gt;=VinLossIdx))*$D$12*AND(S$5&gt;=$H$12,S$5&lt;$H$12+$F$12)</f>
        <v>26.6666666666667</v>
      </c>
      <c r="T36" s="39" t="n">
        <f aca="false">(1-$I$12)*(1-$J$12)*(1-VinT14Loss*VinLossOn*(T$5&gt;=VinLossIdx))*$D$12*AND(T$5&gt;=$H$12,T$5&lt;$H$12+$F$12)</f>
        <v>26.6666666666667</v>
      </c>
      <c r="U36" s="39" t="n">
        <f aca="false">(1-$I$12)*(1-$J$12)*(1-VinT14Loss*VinLossOn*(U$5&gt;=VinLossIdx))*$D$12*AND(U$5&gt;=$H$12,U$5&lt;$H$12+$F$12)</f>
        <v>26.6666666666667</v>
      </c>
      <c r="V36" s="39" t="n">
        <f aca="false">(1-$I$12)*(1-$J$12)*(1-VinT14Loss*VinLossOn*(V$5&gt;=VinLossIdx))*$D$12*AND(V$5&gt;=$H$12,V$5&lt;$H$12+$F$12)</f>
        <v>26.6666666666667</v>
      </c>
      <c r="W36" s="39" t="n">
        <f aca="false">(1-$I$12)*(1-$J$12)*(1-VinT14Loss*VinLossOn*(W$5&gt;=VinLossIdx))*$D$12*AND(W$5&gt;=$H$12,W$5&lt;$H$12+$F$12)</f>
        <v>26.6666666666667</v>
      </c>
      <c r="X36" s="39" t="n">
        <f aca="false">(1-$I$12)*(1-$J$12)*(1-VinT14Loss*VinLossOn*(X$5&gt;=VinLossIdx))*$D$12*AND(X$5&gt;=$H$12,X$5&lt;$H$12+$F$12)</f>
        <v>26.6666666666667</v>
      </c>
      <c r="Y36" s="39" t="n">
        <f aca="false">(1-$I$12)*(1-$J$12)*(1-VinT14Loss*VinLossOn*(Y$5&gt;=VinLossIdx))*$D$12*AND(Y$5&gt;=$H$12,Y$5&lt;$H$12+$F$12)</f>
        <v>26.6666666666667</v>
      </c>
      <c r="Z36" s="39" t="n">
        <f aca="false">(1-$I$12)*(1-$J$12)*(1-VinT14Loss*VinLossOn*(Z$5&gt;=VinLossIdx))*$D$12*AND(Z$5&gt;=$H$12,Z$5&lt;$H$12+$F$12)</f>
        <v>26.6666666666667</v>
      </c>
      <c r="AA36" s="39" t="n">
        <f aca="false">(1-$I$12)*(1-$J$12)*(1-VinT14Loss*VinLossOn*(AA$5&gt;=VinLossIdx))*$D$12*AND(AA$5&gt;=$H$12,AA$5&lt;$H$12+$F$12)</f>
        <v>26.6666666666667</v>
      </c>
      <c r="AB36" s="39" t="n">
        <f aca="false">(1-$I$12)*(1-$J$12)*(1-VinT14Loss*VinLossOn*(AB$5&gt;=VinLossIdx))*$D$12*AND(AB$5&gt;=$H$12,AB$5&lt;$H$12+$F$12)</f>
        <v>26.6666666666667</v>
      </c>
      <c r="AC36" s="39" t="n">
        <f aca="false">(1-$I$12)*(1-$J$12)*(1-VinT14Loss*VinLossOn*(AC$5&gt;=VinLossIdx))*$D$12*AND(AC$5&gt;=$H$12,AC$5&lt;$H$12+$F$12)</f>
        <v>26.6666666666667</v>
      </c>
      <c r="AD36" s="39" t="n">
        <f aca="false">(1-$I$12)*(1-$J$12)*(1-VinT14Loss*VinLossOn*(AD$5&gt;=VinLossIdx))*$D$12*AND(AD$5&gt;=$H$12,AD$5&lt;$H$12+$F$12)</f>
        <v>26.6666666666667</v>
      </c>
      <c r="AE36" s="39" t="n">
        <f aca="false">(1-$I$12)*(1-$J$12)*(1-VinT14Loss*VinLossOn*(AE$5&gt;=VinLossIdx))*$D$12*AND(AE$5&gt;=$H$12,AE$5&lt;$H$12+$F$12)</f>
        <v>26.6666666666667</v>
      </c>
      <c r="AF36" s="39" t="n">
        <f aca="false">(1-$I$12)*(1-$J$12)*(1-VinT14Loss*VinLossOn*(AF$5&gt;=VinLossIdx))*$D$12*AND(AF$5&gt;=$H$12,AF$5&lt;$H$12+$F$12)</f>
        <v>26.6666666666667</v>
      </c>
      <c r="AG36" s="39" t="n">
        <f aca="false">(1-$I$12)*(1-$J$12)*(1-VinT14Loss*VinLossOn*(AG$5&gt;=VinLossIdx))*$D$12*AND(AG$5&gt;=$H$12,AG$5&lt;$H$12+$F$12)</f>
        <v>0</v>
      </c>
      <c r="AI36" s="39" t="n">
        <f aca="false">INDEX($F36:$AG36,1,MATCH(AI$7,$F$7:$AG$7,1))</f>
        <v>0</v>
      </c>
      <c r="AJ36" s="39" t="n">
        <f aca="false">INDEX($F36:$AG36,1,MATCH(AJ$7,$F$7:$AG$7,1))</f>
        <v>26.6666666666667</v>
      </c>
      <c r="AK36" s="39" t="n">
        <f aca="false">INDEX($F36:$AG36,1,MATCH(AK$7,$F$7:$AG$7,1))</f>
        <v>26.6666666666667</v>
      </c>
      <c r="AL36" s="39" t="n">
        <f aca="false">INDEX($F36:$AG36,1,MATCH(AL$7,$F$7:$AG$7,1))</f>
        <v>26.6666666666667</v>
      </c>
      <c r="AM36" s="39" t="n">
        <f aca="false">INDEX($F36:$AG36,1,MATCH(AM$7,$F$7:$AG$7,1))</f>
        <v>26.6666666666667</v>
      </c>
      <c r="AN36" s="39" t="n">
        <f aca="false">INDEX($F36:$AG36,1,MATCH(AN$7,$F$7:$AG$7,1))</f>
        <v>26.6666666666667</v>
      </c>
      <c r="AO36" s="39" t="n">
        <f aca="false">INDEX($F36:$AG36,1,MATCH(AO$7,$F$7:$AG$7,1))</f>
        <v>0</v>
      </c>
    </row>
    <row r="37" customFormat="false" ht="15" hidden="false" customHeight="false" outlineLevel="0" collapsed="false">
      <c r="A37" s="112" t="s">
        <v>2076</v>
      </c>
      <c r="B37" s="24" t="s">
        <v>745</v>
      </c>
      <c r="C37" s="24"/>
      <c r="D37" s="24"/>
      <c r="F37" s="130" t="n">
        <f aca="false">-(1-$I$12)*LD_Pct*$D$12*$E$12/4*AND(F$5&gt;=$G$12,F$5&lt;$H$12)</f>
        <v>-0</v>
      </c>
      <c r="G37" s="130" t="n">
        <f aca="false">-(1-$I$12)*LD_Pct*$D$12*$E$12/4*AND(G$5&gt;=$G$12,G$5&lt;$H$12)</f>
        <v>-0</v>
      </c>
      <c r="H37" s="130" t="n">
        <f aca="false">-(1-$I$12)*LD_Pct*$D$12*$E$12/4*AND(H$5&gt;=$G$12,H$5&lt;$H$12)</f>
        <v>-0</v>
      </c>
      <c r="I37" s="130" t="n">
        <f aca="false">-(1-$I$12)*LD_Pct*$D$12*$E$12/4*AND(I$5&gt;=$G$12,I$5&lt;$H$12)</f>
        <v>-0</v>
      </c>
      <c r="J37" s="130" t="n">
        <f aca="false">-(1-$I$12)*LD_Pct*$D$12*$E$12/4*AND(J$5&gt;=$G$12,J$5&lt;$H$12)</f>
        <v>-0</v>
      </c>
      <c r="K37" s="130" t="n">
        <f aca="false">-(1-$I$12)*LD_Pct*$D$12*$E$12/4*AND(K$5&gt;=$G$12,K$5&lt;$H$12)</f>
        <v>-0</v>
      </c>
      <c r="L37" s="130" t="n">
        <f aca="false">-(1-$I$12)*LD_Pct*$D$12*$E$12/4*AND(L$5&gt;=$G$12,L$5&lt;$H$12)</f>
        <v>-0</v>
      </c>
      <c r="M37" s="130" t="n">
        <f aca="false">-(1-$I$12)*LD_Pct*$D$12*$E$12/4*AND(M$5&gt;=$G$12,M$5&lt;$H$12)</f>
        <v>-0</v>
      </c>
      <c r="N37" s="130" t="n">
        <f aca="false">-(1-$I$12)*LD_Pct*$D$12*$E$12/4*AND(N$5&gt;=$G$12,N$5&lt;$H$12)</f>
        <v>-0</v>
      </c>
      <c r="O37" s="130" t="n">
        <f aca="false">-(1-$I$12)*LD_Pct*$D$12*$E$12/4*AND(O$5&gt;=$G$12,O$5&lt;$H$12)</f>
        <v>-0</v>
      </c>
      <c r="P37" s="131" t="n">
        <f aca="false">-(1-$I$12)*LD_Pct*$D$12*$E$12/4*AND(P$5&gt;=$G$12,P$5&lt;$H$12)</f>
        <v>-0</v>
      </c>
      <c r="Q37" s="131" t="n">
        <f aca="false">-(1-$I$12)*LD_Pct*$D$12*$E$12/4*AND(Q$5&gt;=$G$12,Q$5&lt;$H$12)</f>
        <v>-0</v>
      </c>
      <c r="R37" s="131" t="n">
        <f aca="false">-(1-$I$12)*LD_Pct*$D$12*$E$12/4*AND(R$5&gt;=$G$12,R$5&lt;$H$12)</f>
        <v>-0</v>
      </c>
      <c r="S37" s="131" t="n">
        <f aca="false">-(1-$I$12)*LD_Pct*$D$12*$E$12/4*AND(S$5&gt;=$G$12,S$5&lt;$H$12)</f>
        <v>-0</v>
      </c>
      <c r="T37" s="131" t="n">
        <f aca="false">-(1-$I$12)*LD_Pct*$D$12*$E$12/4*AND(T$5&gt;=$G$12,T$5&lt;$H$12)</f>
        <v>-0</v>
      </c>
      <c r="U37" s="131" t="n">
        <f aca="false">-(1-$I$12)*LD_Pct*$D$12*$E$12/4*AND(U$5&gt;=$G$12,U$5&lt;$H$12)</f>
        <v>-0</v>
      </c>
      <c r="V37" s="131" t="n">
        <f aca="false">-(1-$I$12)*LD_Pct*$D$12*$E$12/4*AND(V$5&gt;=$G$12,V$5&lt;$H$12)</f>
        <v>-0</v>
      </c>
      <c r="W37" s="131" t="n">
        <f aca="false">-(1-$I$12)*LD_Pct*$D$12*$E$12/4*AND(W$5&gt;=$G$12,W$5&lt;$H$12)</f>
        <v>-0</v>
      </c>
      <c r="X37" s="131" t="n">
        <f aca="false">-(1-$I$12)*LD_Pct*$D$12*$E$12/4*AND(X$5&gt;=$G$12,X$5&lt;$H$12)</f>
        <v>-0</v>
      </c>
      <c r="Y37" s="131" t="n">
        <f aca="false">-(1-$I$12)*LD_Pct*$D$12*$E$12/4*AND(Y$5&gt;=$G$12,Y$5&lt;$H$12)</f>
        <v>-0</v>
      </c>
      <c r="Z37" s="131" t="n">
        <f aca="false">-(1-$I$12)*LD_Pct*$D$12*$E$12/4*AND(Z$5&gt;=$G$12,Z$5&lt;$H$12)</f>
        <v>-0</v>
      </c>
      <c r="AA37" s="131" t="n">
        <f aca="false">-(1-$I$12)*LD_Pct*$D$12*$E$12/4*AND(AA$5&gt;=$G$12,AA$5&lt;$H$12)</f>
        <v>-0</v>
      </c>
      <c r="AB37" s="131" t="n">
        <f aca="false">-(1-$I$12)*LD_Pct*$D$12*$E$12/4*AND(AB$5&gt;=$G$12,AB$5&lt;$H$12)</f>
        <v>-0</v>
      </c>
      <c r="AC37" s="131" t="n">
        <f aca="false">-(1-$I$12)*LD_Pct*$D$12*$E$12/4*AND(AC$5&gt;=$G$12,AC$5&lt;$H$12)</f>
        <v>-0</v>
      </c>
      <c r="AD37" s="131" t="n">
        <f aca="false">-(1-$I$12)*LD_Pct*$D$12*$E$12/4*AND(AD$5&gt;=$G$12,AD$5&lt;$H$12)</f>
        <v>-0</v>
      </c>
      <c r="AE37" s="131" t="n">
        <f aca="false">-(1-$I$12)*LD_Pct*$D$12*$E$12/4*AND(AE$5&gt;=$G$12,AE$5&lt;$H$12)</f>
        <v>-0</v>
      </c>
      <c r="AF37" s="131" t="n">
        <f aca="false">-(1-$I$12)*LD_Pct*$D$12*$E$12/4*AND(AF$5&gt;=$G$12,AF$5&lt;$H$12)</f>
        <v>-0</v>
      </c>
      <c r="AG37" s="131" t="n">
        <f aca="false">-(1-$I$12)*LD_Pct*$D$12*$E$12/4*AND(AG$5&gt;=$G$12,AG$5&lt;$H$12)</f>
        <v>-0</v>
      </c>
      <c r="AI37" s="131" t="n">
        <f aca="false">SUMIF($F$7:$AG$7,AI$7,$F37:$AG37)</f>
        <v>0</v>
      </c>
      <c r="AJ37" s="131" t="n">
        <f aca="false">SUMIF($F$7:$AG$7,AJ$7,$F37:$AG37)</f>
        <v>0</v>
      </c>
      <c r="AK37" s="131" t="n">
        <f aca="false">SUMIF($F$7:$AG$7,AK$7,$F37:$AG37)</f>
        <v>0</v>
      </c>
      <c r="AL37" s="131" t="n">
        <f aca="false">SUMIF($F$7:$AG$7,AL$7,$F37:$AG37)</f>
        <v>0</v>
      </c>
      <c r="AM37" s="131" t="n">
        <f aca="false">SUMIF($F$7:$AG$7,AM$7,$F37:$AG37)</f>
        <v>0</v>
      </c>
      <c r="AN37" s="131" t="n">
        <f aca="false">SUMIF($F$7:$AG$7,AN$7,$F37:$AG37)</f>
        <v>0</v>
      </c>
      <c r="AO37" s="131" t="n">
        <f aca="false">SUMIF($F$7:$AG$7,AO$7,$F37:$AG37)</f>
        <v>0</v>
      </c>
    </row>
    <row r="38" customFormat="false" ht="15" hidden="false" customHeight="false" outlineLevel="0" collapsed="false">
      <c r="A38" s="112" t="s">
        <v>2077</v>
      </c>
      <c r="B38" s="24" t="s">
        <v>857</v>
      </c>
      <c r="C38" s="24"/>
      <c r="D38" s="24"/>
      <c r="F38" s="121" t="n">
        <f aca="false">(1-$I$12)*(1-$J$12)*(1-VinT14Loss*VinLossOn*(F$5&gt;=VinLossIdx))*$D$12*(F$5&gt;=$H$12+$F$12)</f>
        <v>0</v>
      </c>
      <c r="G38" s="121" t="n">
        <f aca="false">(1-$I$12)*(1-$J$12)*(1-VinT14Loss*VinLossOn*(G$5&gt;=VinLossIdx))*$D$12*(G$5&gt;=$H$12+$F$12)</f>
        <v>0</v>
      </c>
      <c r="H38" s="121" t="n">
        <f aca="false">(1-$I$12)*(1-$J$12)*(1-VinT14Loss*VinLossOn*(H$5&gt;=VinLossIdx))*$D$12*(H$5&gt;=$H$12+$F$12)</f>
        <v>0</v>
      </c>
      <c r="I38" s="121" t="n">
        <f aca="false">(1-$I$12)*(1-$J$12)*(1-VinT14Loss*VinLossOn*(I$5&gt;=VinLossIdx))*$D$12*(I$5&gt;=$H$12+$F$12)</f>
        <v>0</v>
      </c>
      <c r="J38" s="121" t="n">
        <f aca="false">(1-$I$12)*(1-$J$12)*(1-VinT14Loss*VinLossOn*(J$5&gt;=VinLossIdx))*$D$12*(J$5&gt;=$H$12+$F$12)</f>
        <v>0</v>
      </c>
      <c r="K38" s="121" t="n">
        <f aca="false">(1-$I$12)*(1-$J$12)*(1-VinT14Loss*VinLossOn*(K$5&gt;=VinLossIdx))*$D$12*(K$5&gt;=$H$12+$F$12)</f>
        <v>0</v>
      </c>
      <c r="L38" s="121" t="n">
        <f aca="false">(1-$I$12)*(1-$J$12)*(1-VinT14Loss*VinLossOn*(L$5&gt;=VinLossIdx))*$D$12*(L$5&gt;=$H$12+$F$12)</f>
        <v>0</v>
      </c>
      <c r="M38" s="121" t="n">
        <f aca="false">(1-$I$12)*(1-$J$12)*(1-VinT14Loss*VinLossOn*(M$5&gt;=VinLossIdx))*$D$12*(M$5&gt;=$H$12+$F$12)</f>
        <v>0</v>
      </c>
      <c r="N38" s="121" t="n">
        <f aca="false">(1-$I$12)*(1-$J$12)*(1-VinT14Loss*VinLossOn*(N$5&gt;=VinLossIdx))*$D$12*(N$5&gt;=$H$12+$F$12)</f>
        <v>0</v>
      </c>
      <c r="O38" s="121" t="n">
        <f aca="false">(1-$I$12)*(1-$J$12)*(1-VinT14Loss*VinLossOn*(O$5&gt;=VinLossIdx))*$D$12*(O$5&gt;=$H$12+$F$12)</f>
        <v>0</v>
      </c>
      <c r="P38" s="39" t="n">
        <f aca="false">(1-$I$12)*(1-$J$12)*(1-VinT14Loss*VinLossOn*(P$5&gt;=VinLossIdx))*$D$12*(P$5&gt;=$H$12+$F$12)</f>
        <v>0</v>
      </c>
      <c r="Q38" s="39" t="n">
        <f aca="false">(1-$I$12)*(1-$J$12)*(1-VinT14Loss*VinLossOn*(Q$5&gt;=VinLossIdx))*$D$12*(Q$5&gt;=$H$12+$F$12)</f>
        <v>0</v>
      </c>
      <c r="R38" s="39" t="n">
        <f aca="false">(1-$I$12)*(1-$J$12)*(1-VinT14Loss*VinLossOn*(R$5&gt;=VinLossIdx))*$D$12*(R$5&gt;=$H$12+$F$12)</f>
        <v>0</v>
      </c>
      <c r="S38" s="39" t="n">
        <f aca="false">(1-$I$12)*(1-$J$12)*(1-VinT14Loss*VinLossOn*(S$5&gt;=VinLossIdx))*$D$12*(S$5&gt;=$H$12+$F$12)</f>
        <v>0</v>
      </c>
      <c r="T38" s="39" t="n">
        <f aca="false">(1-$I$12)*(1-$J$12)*(1-VinT14Loss*VinLossOn*(T$5&gt;=VinLossIdx))*$D$12*(T$5&gt;=$H$12+$F$12)</f>
        <v>0</v>
      </c>
      <c r="U38" s="39" t="n">
        <f aca="false">(1-$I$12)*(1-$J$12)*(1-VinT14Loss*VinLossOn*(U$5&gt;=VinLossIdx))*$D$12*(U$5&gt;=$H$12+$F$12)</f>
        <v>0</v>
      </c>
      <c r="V38" s="39" t="n">
        <f aca="false">(1-$I$12)*(1-$J$12)*(1-VinT14Loss*VinLossOn*(V$5&gt;=VinLossIdx))*$D$12*(V$5&gt;=$H$12+$F$12)</f>
        <v>0</v>
      </c>
      <c r="W38" s="39" t="n">
        <f aca="false">(1-$I$12)*(1-$J$12)*(1-VinT14Loss*VinLossOn*(W$5&gt;=VinLossIdx))*$D$12*(W$5&gt;=$H$12+$F$12)</f>
        <v>0</v>
      </c>
      <c r="X38" s="39" t="n">
        <f aca="false">(1-$I$12)*(1-$J$12)*(1-VinT14Loss*VinLossOn*(X$5&gt;=VinLossIdx))*$D$12*(X$5&gt;=$H$12+$F$12)</f>
        <v>0</v>
      </c>
      <c r="Y38" s="39" t="n">
        <f aca="false">(1-$I$12)*(1-$J$12)*(1-VinT14Loss*VinLossOn*(Y$5&gt;=VinLossIdx))*$D$12*(Y$5&gt;=$H$12+$F$12)</f>
        <v>0</v>
      </c>
      <c r="Z38" s="39" t="n">
        <f aca="false">(1-$I$12)*(1-$J$12)*(1-VinT14Loss*VinLossOn*(Z$5&gt;=VinLossIdx))*$D$12*(Z$5&gt;=$H$12+$F$12)</f>
        <v>0</v>
      </c>
      <c r="AA38" s="39" t="n">
        <f aca="false">(1-$I$12)*(1-$J$12)*(1-VinT14Loss*VinLossOn*(AA$5&gt;=VinLossIdx))*$D$12*(AA$5&gt;=$H$12+$F$12)</f>
        <v>0</v>
      </c>
      <c r="AB38" s="39" t="n">
        <f aca="false">(1-$I$12)*(1-$J$12)*(1-VinT14Loss*VinLossOn*(AB$5&gt;=VinLossIdx))*$D$12*(AB$5&gt;=$H$12+$F$12)</f>
        <v>0</v>
      </c>
      <c r="AC38" s="39" t="n">
        <f aca="false">(1-$I$12)*(1-$J$12)*(1-VinT14Loss*VinLossOn*(AC$5&gt;=VinLossIdx))*$D$12*(AC$5&gt;=$H$12+$F$12)</f>
        <v>0</v>
      </c>
      <c r="AD38" s="39" t="n">
        <f aca="false">(1-$I$12)*(1-$J$12)*(1-VinT14Loss*VinLossOn*(AD$5&gt;=VinLossIdx))*$D$12*(AD$5&gt;=$H$12+$F$12)</f>
        <v>0</v>
      </c>
      <c r="AE38" s="39" t="n">
        <f aca="false">(1-$I$12)*(1-$J$12)*(1-VinT14Loss*VinLossOn*(AE$5&gt;=VinLossIdx))*$D$12*(AE$5&gt;=$H$12+$F$12)</f>
        <v>0</v>
      </c>
      <c r="AF38" s="39" t="n">
        <f aca="false">(1-$I$12)*(1-$J$12)*(1-VinT14Loss*VinLossOn*(AF$5&gt;=VinLossIdx))*$D$12*(AF$5&gt;=$H$12+$F$12)</f>
        <v>0</v>
      </c>
      <c r="AG38" s="39" t="n">
        <f aca="false">(1-$I$12)*(1-$J$12)*(1-VinT14Loss*VinLossOn*(AG$5&gt;=VinLossIdx))*$D$12*(AG$5&gt;=$H$12+$F$12)</f>
        <v>26.6666666666667</v>
      </c>
      <c r="AI38" s="39" t="n">
        <f aca="false">INDEX($F38:$AG38,1,MATCH(AI$7,$F$7:$AG$7,1))</f>
        <v>0</v>
      </c>
      <c r="AJ38" s="39" t="n">
        <f aca="false">INDEX($F38:$AG38,1,MATCH(AJ$7,$F$7:$AG$7,1))</f>
        <v>0</v>
      </c>
      <c r="AK38" s="39" t="n">
        <f aca="false">INDEX($F38:$AG38,1,MATCH(AK$7,$F$7:$AG$7,1))</f>
        <v>0</v>
      </c>
      <c r="AL38" s="39" t="n">
        <f aca="false">INDEX($F38:$AG38,1,MATCH(AL$7,$F$7:$AG$7,1))</f>
        <v>0</v>
      </c>
      <c r="AM38" s="39" t="n">
        <f aca="false">INDEX($F38:$AG38,1,MATCH(AM$7,$F$7:$AG$7,1))</f>
        <v>0</v>
      </c>
      <c r="AN38" s="39" t="n">
        <f aca="false">INDEX($F38:$AG38,1,MATCH(AN$7,$F$7:$AG$7,1))</f>
        <v>0</v>
      </c>
      <c r="AO38" s="39" t="n">
        <f aca="false">INDEX($F38:$AG38,1,MATCH(AO$7,$F$7:$AG$7,1))</f>
        <v>26.6666666666667</v>
      </c>
    </row>
    <row r="39" customFormat="false" ht="15" hidden="false" customHeight="false" outlineLevel="0" collapsed="false">
      <c r="A39" s="112" t="s">
        <v>2078</v>
      </c>
      <c r="B39" s="24" t="s">
        <v>745</v>
      </c>
      <c r="C39" s="24"/>
      <c r="D39" s="24" t="s">
        <v>2079</v>
      </c>
      <c r="F39" s="130" t="n">
        <f aca="false">F38*CHOOSE(MATCH($C$12,{"H";"B";"N"},0),GPUMW_H*ODc_H,GPUMW_B*ODc_B,GPUMW_N*ODc_N)*ResidUtil*Timeline!F$9*INDEX(Curve,1,MAX(1,MIN(8,INT((F$5-$H$12)/4)+1)))/1000000</f>
        <v>0</v>
      </c>
      <c r="G39" s="130" t="n">
        <f aca="false">G38*CHOOSE(MATCH($C$12,{"H";"B";"N"},0),GPUMW_H*ODc_H,GPUMW_B*ODc_B,GPUMW_N*ODc_N)*ResidUtil*Timeline!G$9*INDEX(Curve,1,MAX(1,MIN(8,INT((G$5-$H$12)/4)+1)))/1000000</f>
        <v>0</v>
      </c>
      <c r="H39" s="130" t="n">
        <f aca="false">H38*CHOOSE(MATCH($C$12,{"H";"B";"N"},0),GPUMW_H*ODc_H,GPUMW_B*ODc_B,GPUMW_N*ODc_N)*ResidUtil*Timeline!H$9*INDEX(Curve,1,MAX(1,MIN(8,INT((H$5-$H$12)/4)+1)))/1000000</f>
        <v>0</v>
      </c>
      <c r="I39" s="130" t="n">
        <f aca="false">I38*CHOOSE(MATCH($C$12,{"H";"B";"N"},0),GPUMW_H*ODc_H,GPUMW_B*ODc_B,GPUMW_N*ODc_N)*ResidUtil*Timeline!I$9*INDEX(Curve,1,MAX(1,MIN(8,INT((I$5-$H$12)/4)+1)))/1000000</f>
        <v>0</v>
      </c>
      <c r="J39" s="130" t="n">
        <f aca="false">J38*CHOOSE(MATCH($C$12,{"H";"B";"N"},0),GPUMW_H*ODc_H,GPUMW_B*ODc_B,GPUMW_N*ODc_N)*ResidUtil*Timeline!J$9*INDEX(Curve,1,MAX(1,MIN(8,INT((J$5-$H$12)/4)+1)))/1000000</f>
        <v>0</v>
      </c>
      <c r="K39" s="130" t="n">
        <f aca="false">K38*CHOOSE(MATCH($C$12,{"H";"B";"N"},0),GPUMW_H*ODc_H,GPUMW_B*ODc_B,GPUMW_N*ODc_N)*ResidUtil*Timeline!K$9*INDEX(Curve,1,MAX(1,MIN(8,INT((K$5-$H$12)/4)+1)))/1000000</f>
        <v>0</v>
      </c>
      <c r="L39" s="130" t="n">
        <f aca="false">L38*CHOOSE(MATCH($C$12,{"H";"B";"N"},0),GPUMW_H*ODc_H,GPUMW_B*ODc_B,GPUMW_N*ODc_N)*ResidUtil*Timeline!L$9*INDEX(Curve,1,MAX(1,MIN(8,INT((L$5-$H$12)/4)+1)))/1000000</f>
        <v>0</v>
      </c>
      <c r="M39" s="130" t="n">
        <f aca="false">M38*CHOOSE(MATCH($C$12,{"H";"B";"N"},0),GPUMW_H*ODc_H,GPUMW_B*ODc_B,GPUMW_N*ODc_N)*ResidUtil*Timeline!M$9*INDEX(Curve,1,MAX(1,MIN(8,INT((M$5-$H$12)/4)+1)))/1000000</f>
        <v>0</v>
      </c>
      <c r="N39" s="130" t="n">
        <f aca="false">N38*CHOOSE(MATCH($C$12,{"H";"B";"N"},0),GPUMW_H*ODc_H,GPUMW_B*ODc_B,GPUMW_N*ODc_N)*ResidUtil*Timeline!N$9*INDEX(Curve,1,MAX(1,MIN(8,INT((N$5-$H$12)/4)+1)))/1000000</f>
        <v>0</v>
      </c>
      <c r="O39" s="130" t="n">
        <f aca="false">O38*CHOOSE(MATCH($C$12,{"H";"B";"N"},0),GPUMW_H*ODc_H,GPUMW_B*ODc_B,GPUMW_N*ODc_N)*ResidUtil*Timeline!O$9*INDEX(Curve,1,MAX(1,MIN(8,INT((O$5-$H$12)/4)+1)))/1000000</f>
        <v>0</v>
      </c>
      <c r="P39" s="131" t="n">
        <f aca="false">P38*CHOOSE(MATCH($C$12,{"H";"B";"N"},0),GPUMW_H*ODc_H,GPUMW_B*ODc_B,GPUMW_N*ODc_N)*ResidUtil*Timeline!P$9*INDEX(Curve,1,MAX(1,MIN(8,INT((P$5-$H$12)/4)+1)))/1000000</f>
        <v>0</v>
      </c>
      <c r="Q39" s="131" t="n">
        <f aca="false">Q38*CHOOSE(MATCH($C$12,{"H";"B";"N"},0),GPUMW_H*ODc_H,GPUMW_B*ODc_B,GPUMW_N*ODc_N)*ResidUtil*Timeline!Q$9*INDEX(Curve,1,MAX(1,MIN(8,INT((Q$5-$H$12)/4)+1)))/1000000</f>
        <v>0</v>
      </c>
      <c r="R39" s="131" t="n">
        <f aca="false">R38*CHOOSE(MATCH($C$12,{"H";"B";"N"},0),GPUMW_H*ODc_H,GPUMW_B*ODc_B,GPUMW_N*ODc_N)*ResidUtil*Timeline!R$9*INDEX(Curve,1,MAX(1,MIN(8,INT((R$5-$H$12)/4)+1)))/1000000</f>
        <v>0</v>
      </c>
      <c r="S39" s="131" t="n">
        <f aca="false">S38*CHOOSE(MATCH($C$12,{"H";"B";"N"},0),GPUMW_H*ODc_H,GPUMW_B*ODc_B,GPUMW_N*ODc_N)*ResidUtil*Timeline!S$9*INDEX(Curve,1,MAX(1,MIN(8,INT((S$5-$H$12)/4)+1)))/1000000</f>
        <v>0</v>
      </c>
      <c r="T39" s="131" t="n">
        <f aca="false">T38*CHOOSE(MATCH($C$12,{"H";"B";"N"},0),GPUMW_H*ODc_H,GPUMW_B*ODc_B,GPUMW_N*ODc_N)*ResidUtil*Timeline!T$9*INDEX(Curve,1,MAX(1,MIN(8,INT((T$5-$H$12)/4)+1)))/1000000</f>
        <v>0</v>
      </c>
      <c r="U39" s="131" t="n">
        <f aca="false">U38*CHOOSE(MATCH($C$12,{"H";"B";"N"},0),GPUMW_H*ODc_H,GPUMW_B*ODc_B,GPUMW_N*ODc_N)*ResidUtil*Timeline!U$9*INDEX(Curve,1,MAX(1,MIN(8,INT((U$5-$H$12)/4)+1)))/1000000</f>
        <v>0</v>
      </c>
      <c r="V39" s="131" t="n">
        <f aca="false">V38*CHOOSE(MATCH($C$12,{"H";"B";"N"},0),GPUMW_H*ODc_H,GPUMW_B*ODc_B,GPUMW_N*ODc_N)*ResidUtil*Timeline!V$9*INDEX(Curve,1,MAX(1,MIN(8,INT((V$5-$H$12)/4)+1)))/1000000</f>
        <v>0</v>
      </c>
      <c r="W39" s="131" t="n">
        <f aca="false">W38*CHOOSE(MATCH($C$12,{"H";"B";"N"},0),GPUMW_H*ODc_H,GPUMW_B*ODc_B,GPUMW_N*ODc_N)*ResidUtil*Timeline!W$9*INDEX(Curve,1,MAX(1,MIN(8,INT((W$5-$H$12)/4)+1)))/1000000</f>
        <v>0</v>
      </c>
      <c r="X39" s="131" t="n">
        <f aca="false">X38*CHOOSE(MATCH($C$12,{"H";"B";"N"},0),GPUMW_H*ODc_H,GPUMW_B*ODc_B,GPUMW_N*ODc_N)*ResidUtil*Timeline!X$9*INDEX(Curve,1,MAX(1,MIN(8,INT((X$5-$H$12)/4)+1)))/1000000</f>
        <v>0</v>
      </c>
      <c r="Y39" s="131" t="n">
        <f aca="false">Y38*CHOOSE(MATCH($C$12,{"H";"B";"N"},0),GPUMW_H*ODc_H,GPUMW_B*ODc_B,GPUMW_N*ODc_N)*ResidUtil*Timeline!Y$9*INDEX(Curve,1,MAX(1,MIN(8,INT((Y$5-$H$12)/4)+1)))/1000000</f>
        <v>0</v>
      </c>
      <c r="Z39" s="131" t="n">
        <f aca="false">Z38*CHOOSE(MATCH($C$12,{"H";"B";"N"},0),GPUMW_H*ODc_H,GPUMW_B*ODc_B,GPUMW_N*ODc_N)*ResidUtil*Timeline!Z$9*INDEX(Curve,1,MAX(1,MIN(8,INT((Z$5-$H$12)/4)+1)))/1000000</f>
        <v>0</v>
      </c>
      <c r="AA39" s="131" t="n">
        <f aca="false">AA38*CHOOSE(MATCH($C$12,{"H";"B";"N"},0),GPUMW_H*ODc_H,GPUMW_B*ODc_B,GPUMW_N*ODc_N)*ResidUtil*Timeline!AA$9*INDEX(Curve,1,MAX(1,MIN(8,INT((AA$5-$H$12)/4)+1)))/1000000</f>
        <v>0</v>
      </c>
      <c r="AB39" s="131" t="n">
        <f aca="false">AB38*CHOOSE(MATCH($C$12,{"H";"B";"N"},0),GPUMW_H*ODc_H,GPUMW_B*ODc_B,GPUMW_N*ODc_N)*ResidUtil*Timeline!AB$9*INDEX(Curve,1,MAX(1,MIN(8,INT((AB$5-$H$12)/4)+1)))/1000000</f>
        <v>0</v>
      </c>
      <c r="AC39" s="131" t="n">
        <f aca="false">AC38*CHOOSE(MATCH($C$12,{"H";"B";"N"},0),GPUMW_H*ODc_H,GPUMW_B*ODc_B,GPUMW_N*ODc_N)*ResidUtil*Timeline!AC$9*INDEX(Curve,1,MAX(1,MIN(8,INT((AC$5-$H$12)/4)+1)))/1000000</f>
        <v>0</v>
      </c>
      <c r="AD39" s="131" t="n">
        <f aca="false">AD38*CHOOSE(MATCH($C$12,{"H";"B";"N"},0),GPUMW_H*ODc_H,GPUMW_B*ODc_B,GPUMW_N*ODc_N)*ResidUtil*Timeline!AD$9*INDEX(Curve,1,MAX(1,MIN(8,INT((AD$5-$H$12)/4)+1)))/1000000</f>
        <v>0</v>
      </c>
      <c r="AE39" s="131" t="n">
        <f aca="false">AE38*CHOOSE(MATCH($C$12,{"H";"B";"N"},0),GPUMW_H*ODc_H,GPUMW_B*ODc_B,GPUMW_N*ODc_N)*ResidUtil*Timeline!AE$9*INDEX(Curve,1,MAX(1,MIN(8,INT((AE$5-$H$12)/4)+1)))/1000000</f>
        <v>0</v>
      </c>
      <c r="AF39" s="131" t="n">
        <f aca="false">AF38*CHOOSE(MATCH($C$12,{"H";"B";"N"},0),GPUMW_H*ODc_H,GPUMW_B*ODc_B,GPUMW_N*ODc_N)*ResidUtil*Timeline!AF$9*INDEX(Curve,1,MAX(1,MIN(8,INT((AF$5-$H$12)/4)+1)))/1000000</f>
        <v>0</v>
      </c>
      <c r="AG39" s="131" t="n">
        <f aca="false">AG38*CHOOSE(MATCH($C$12,{"H";"B";"N"},0),GPUMW_H*ODc_H,GPUMW_B*ODc_B,GPUMW_N*ODc_N)*ResidUtil*Timeline!AG$9*INDEX(Curve,1,MAX(1,MIN(8,INT((AG$5-$H$12)/4)+1)))/1000000</f>
        <v>108.352816</v>
      </c>
      <c r="AI39" s="131" t="n">
        <f aca="false">SUMIF($F$7:$AG$7,AI$7,$F39:$AG39)</f>
        <v>0</v>
      </c>
      <c r="AJ39" s="131" t="n">
        <f aca="false">SUMIF($F$7:$AG$7,AJ$7,$F39:$AG39)</f>
        <v>0</v>
      </c>
      <c r="AK39" s="131" t="n">
        <f aca="false">SUMIF($F$7:$AG$7,AK$7,$F39:$AG39)</f>
        <v>0</v>
      </c>
      <c r="AL39" s="131" t="n">
        <f aca="false">SUMIF($F$7:$AG$7,AL$7,$F39:$AG39)</f>
        <v>0</v>
      </c>
      <c r="AM39" s="131" t="n">
        <f aca="false">SUMIF($F$7:$AG$7,AM$7,$F39:$AG39)</f>
        <v>0</v>
      </c>
      <c r="AN39" s="131" t="n">
        <f aca="false">SUMIF($F$7:$AG$7,AN$7,$F39:$AG39)</f>
        <v>0</v>
      </c>
      <c r="AO39" s="131" t="n">
        <f aca="false">SUMIF($F$7:$AG$7,AO$7,$F39:$AG39)</f>
        <v>108.352816</v>
      </c>
    </row>
    <row r="40" customFormat="false" ht="15" hidden="false" customHeight="false" outlineLevel="0" collapsed="false">
      <c r="A40" s="112" t="s">
        <v>2080</v>
      </c>
      <c r="B40" s="24" t="s">
        <v>745</v>
      </c>
      <c r="C40" s="24"/>
      <c r="D40" s="24"/>
      <c r="F40" s="130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30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30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30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30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30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30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30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30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30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31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31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31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31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31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31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31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31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31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31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31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31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31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31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31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31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31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31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31" t="n">
        <f aca="false">SUMIF($F$7:$AG$7,AI$7,$F40:$AG40)</f>
        <v>0</v>
      </c>
      <c r="AJ40" s="131" t="n">
        <f aca="false">SUMIF($F$7:$AG$7,AJ$7,$F40:$AG40)</f>
        <v>0</v>
      </c>
      <c r="AK40" s="131" t="n">
        <f aca="false">SUMIF($F$7:$AG$7,AK$7,$F40:$AG40)</f>
        <v>229.489652777778</v>
      </c>
      <c r="AL40" s="131" t="n">
        <f aca="false">SUMIF($F$7:$AG$7,AL$7,$F40:$AG40)</f>
        <v>386.508888888889</v>
      </c>
      <c r="AM40" s="131" t="n">
        <f aca="false">SUMIF($F$7:$AG$7,AM$7,$F40:$AG40)</f>
        <v>386.508888888889</v>
      </c>
      <c r="AN40" s="131" t="n">
        <f aca="false">SUMIF($F$7:$AG$7,AN$7,$F40:$AG40)</f>
        <v>386.508888888889</v>
      </c>
      <c r="AO40" s="131" t="n">
        <f aca="false">SUMIF($F$7:$AG$7,AO$7,$F40:$AG40)</f>
        <v>386.508888888889</v>
      </c>
    </row>
    <row r="41" customFormat="false" ht="15" hidden="false" customHeight="false" outlineLevel="0" collapsed="false">
      <c r="A41" s="112" t="s">
        <v>2081</v>
      </c>
      <c r="B41" s="24" t="s">
        <v>857</v>
      </c>
      <c r="C41" s="24"/>
      <c r="D41" s="24"/>
      <c r="F41" s="121" t="n">
        <f aca="false">(1-$I$13)*(1-$J$13)*(1-VinT14Loss*VinLossOn*(F$5&gt;=VinLossIdx))*$D$13*AND(F$5&gt;=$H$13,F$5&lt;$H$13+$F$13)</f>
        <v>0</v>
      </c>
      <c r="G41" s="121" t="n">
        <f aca="false">(1-$I$13)*(1-$J$13)*(1-VinT14Loss*VinLossOn*(G$5&gt;=VinLossIdx))*$D$13*AND(G$5&gt;=$H$13,G$5&lt;$H$13+$F$13)</f>
        <v>0</v>
      </c>
      <c r="H41" s="121" t="n">
        <f aca="false">(1-$I$13)*(1-$J$13)*(1-VinT14Loss*VinLossOn*(H$5&gt;=VinLossIdx))*$D$13*AND(H$5&gt;=$H$13,H$5&lt;$H$13+$F$13)</f>
        <v>0</v>
      </c>
      <c r="I41" s="121" t="n">
        <f aca="false">(1-$I$13)*(1-$J$13)*(1-VinT14Loss*VinLossOn*(I$5&gt;=VinLossIdx))*$D$13*AND(I$5&gt;=$H$13,I$5&lt;$H$13+$F$13)</f>
        <v>0</v>
      </c>
      <c r="J41" s="121" t="n">
        <f aca="false">(1-$I$13)*(1-$J$13)*(1-VinT14Loss*VinLossOn*(J$5&gt;=VinLossIdx))*$D$13*AND(J$5&gt;=$H$13,J$5&lt;$H$13+$F$13)</f>
        <v>0</v>
      </c>
      <c r="K41" s="121" t="n">
        <f aca="false">(1-$I$13)*(1-$J$13)*(1-VinT14Loss*VinLossOn*(K$5&gt;=VinLossIdx))*$D$13*AND(K$5&gt;=$H$13,K$5&lt;$H$13+$F$13)</f>
        <v>0</v>
      </c>
      <c r="L41" s="121" t="n">
        <f aca="false">(1-$I$13)*(1-$J$13)*(1-VinT14Loss*VinLossOn*(L$5&gt;=VinLossIdx))*$D$13*AND(L$5&gt;=$H$13,L$5&lt;$H$13+$F$13)</f>
        <v>0</v>
      </c>
      <c r="M41" s="121" t="n">
        <f aca="false">(1-$I$13)*(1-$J$13)*(1-VinT14Loss*VinLossOn*(M$5&gt;=VinLossIdx))*$D$13*AND(M$5&gt;=$H$13,M$5&lt;$H$13+$F$13)</f>
        <v>0</v>
      </c>
      <c r="N41" s="121" t="n">
        <f aca="false">(1-$I$13)*(1-$J$13)*(1-VinT14Loss*VinLossOn*(N$5&gt;=VinLossIdx))*$D$13*AND(N$5&gt;=$H$13,N$5&lt;$H$13+$F$13)</f>
        <v>26.6666666666667</v>
      </c>
      <c r="O41" s="121" t="n">
        <f aca="false">(1-$I$13)*(1-$J$13)*(1-VinT14Loss*VinLossOn*(O$5&gt;=VinLossIdx))*$D$13*AND(O$5&gt;=$H$13,O$5&lt;$H$13+$F$13)</f>
        <v>26.6666666666667</v>
      </c>
      <c r="P41" s="39" t="n">
        <f aca="false">(1-$I$13)*(1-$J$13)*(1-VinT14Loss*VinLossOn*(P$5&gt;=VinLossIdx))*$D$13*AND(P$5&gt;=$H$13,P$5&lt;$H$13+$F$13)</f>
        <v>26.6666666666667</v>
      </c>
      <c r="Q41" s="39" t="n">
        <f aca="false">(1-$I$13)*(1-$J$13)*(1-VinT14Loss*VinLossOn*(Q$5&gt;=VinLossIdx))*$D$13*AND(Q$5&gt;=$H$13,Q$5&lt;$H$13+$F$13)</f>
        <v>26.6666666666667</v>
      </c>
      <c r="R41" s="39" t="n">
        <f aca="false">(1-$I$13)*(1-$J$13)*(1-VinT14Loss*VinLossOn*(R$5&gt;=VinLossIdx))*$D$13*AND(R$5&gt;=$H$13,R$5&lt;$H$13+$F$13)</f>
        <v>26.6666666666667</v>
      </c>
      <c r="S41" s="39" t="n">
        <f aca="false">(1-$I$13)*(1-$J$13)*(1-VinT14Loss*VinLossOn*(S$5&gt;=VinLossIdx))*$D$13*AND(S$5&gt;=$H$13,S$5&lt;$H$13+$F$13)</f>
        <v>26.6666666666667</v>
      </c>
      <c r="T41" s="39" t="n">
        <f aca="false">(1-$I$13)*(1-$J$13)*(1-VinT14Loss*VinLossOn*(T$5&gt;=VinLossIdx))*$D$13*AND(T$5&gt;=$H$13,T$5&lt;$H$13+$F$13)</f>
        <v>26.6666666666667</v>
      </c>
      <c r="U41" s="39" t="n">
        <f aca="false">(1-$I$13)*(1-$J$13)*(1-VinT14Loss*VinLossOn*(U$5&gt;=VinLossIdx))*$D$13*AND(U$5&gt;=$H$13,U$5&lt;$H$13+$F$13)</f>
        <v>26.6666666666667</v>
      </c>
      <c r="V41" s="39" t="n">
        <f aca="false">(1-$I$13)*(1-$J$13)*(1-VinT14Loss*VinLossOn*(V$5&gt;=VinLossIdx))*$D$13*AND(V$5&gt;=$H$13,V$5&lt;$H$13+$F$13)</f>
        <v>26.6666666666667</v>
      </c>
      <c r="W41" s="39" t="n">
        <f aca="false">(1-$I$13)*(1-$J$13)*(1-VinT14Loss*VinLossOn*(W$5&gt;=VinLossIdx))*$D$13*AND(W$5&gt;=$H$13,W$5&lt;$H$13+$F$13)</f>
        <v>26.6666666666667</v>
      </c>
      <c r="X41" s="39" t="n">
        <f aca="false">(1-$I$13)*(1-$J$13)*(1-VinT14Loss*VinLossOn*(X$5&gt;=VinLossIdx))*$D$13*AND(X$5&gt;=$H$13,X$5&lt;$H$13+$F$13)</f>
        <v>26.6666666666667</v>
      </c>
      <c r="Y41" s="39" t="n">
        <f aca="false">(1-$I$13)*(1-$J$13)*(1-VinT14Loss*VinLossOn*(Y$5&gt;=VinLossIdx))*$D$13*AND(Y$5&gt;=$H$13,Y$5&lt;$H$13+$F$13)</f>
        <v>26.6666666666667</v>
      </c>
      <c r="Z41" s="39" t="n">
        <f aca="false">(1-$I$13)*(1-$J$13)*(1-VinT14Loss*VinLossOn*(Z$5&gt;=VinLossIdx))*$D$13*AND(Z$5&gt;=$H$13,Z$5&lt;$H$13+$F$13)</f>
        <v>26.6666666666667</v>
      </c>
      <c r="AA41" s="39" t="n">
        <f aca="false">(1-$I$13)*(1-$J$13)*(1-VinT14Loss*VinLossOn*(AA$5&gt;=VinLossIdx))*$D$13*AND(AA$5&gt;=$H$13,AA$5&lt;$H$13+$F$13)</f>
        <v>26.6666666666667</v>
      </c>
      <c r="AB41" s="39" t="n">
        <f aca="false">(1-$I$13)*(1-$J$13)*(1-VinT14Loss*VinLossOn*(AB$5&gt;=VinLossIdx))*$D$13*AND(AB$5&gt;=$H$13,AB$5&lt;$H$13+$F$13)</f>
        <v>26.6666666666667</v>
      </c>
      <c r="AC41" s="39" t="n">
        <f aca="false">(1-$I$13)*(1-$J$13)*(1-VinT14Loss*VinLossOn*(AC$5&gt;=VinLossIdx))*$D$13*AND(AC$5&gt;=$H$13,AC$5&lt;$H$13+$F$13)</f>
        <v>26.6666666666667</v>
      </c>
      <c r="AD41" s="39" t="n">
        <f aca="false">(1-$I$13)*(1-$J$13)*(1-VinT14Loss*VinLossOn*(AD$5&gt;=VinLossIdx))*$D$13*AND(AD$5&gt;=$H$13,AD$5&lt;$H$13+$F$13)</f>
        <v>26.6666666666667</v>
      </c>
      <c r="AE41" s="39" t="n">
        <f aca="false">(1-$I$13)*(1-$J$13)*(1-VinT14Loss*VinLossOn*(AE$5&gt;=VinLossIdx))*$D$13*AND(AE$5&gt;=$H$13,AE$5&lt;$H$13+$F$13)</f>
        <v>26.6666666666667</v>
      </c>
      <c r="AF41" s="39" t="n">
        <f aca="false">(1-$I$13)*(1-$J$13)*(1-VinT14Loss*VinLossOn*(AF$5&gt;=VinLossIdx))*$D$13*AND(AF$5&gt;=$H$13,AF$5&lt;$H$13+$F$13)</f>
        <v>26.6666666666667</v>
      </c>
      <c r="AG41" s="39" t="n">
        <f aca="false">(1-$I$13)*(1-$J$13)*(1-VinT14Loss*VinLossOn*(AG$5&gt;=VinLossIdx))*$D$13*AND(AG$5&gt;=$H$13,AG$5&lt;$H$13+$F$13)</f>
        <v>26.6666666666667</v>
      </c>
      <c r="AI41" s="39" t="n">
        <f aca="false">INDEX($F41:$AG41,1,MATCH(AI$7,$F$7:$AG$7,1))</f>
        <v>0</v>
      </c>
      <c r="AJ41" s="39" t="n">
        <f aca="false">INDEX($F41:$AG41,1,MATCH(AJ$7,$F$7:$AG$7,1))</f>
        <v>0</v>
      </c>
      <c r="AK41" s="39" t="n">
        <f aca="false">INDEX($F41:$AG41,1,MATCH(AK$7,$F$7:$AG$7,1))</f>
        <v>26.6666666666667</v>
      </c>
      <c r="AL41" s="39" t="n">
        <f aca="false">INDEX($F41:$AG41,1,MATCH(AL$7,$F$7:$AG$7,1))</f>
        <v>26.6666666666667</v>
      </c>
      <c r="AM41" s="39" t="n">
        <f aca="false">INDEX($F41:$AG41,1,MATCH(AM$7,$F$7:$AG$7,1))</f>
        <v>26.6666666666667</v>
      </c>
      <c r="AN41" s="39" t="n">
        <f aca="false">INDEX($F41:$AG41,1,MATCH(AN$7,$F$7:$AG$7,1))</f>
        <v>26.6666666666667</v>
      </c>
      <c r="AO41" s="39" t="n">
        <f aca="false">INDEX($F41:$AG41,1,MATCH(AO$7,$F$7:$AG$7,1))</f>
        <v>26.6666666666667</v>
      </c>
    </row>
    <row r="42" customFormat="false" ht="15" hidden="false" customHeight="false" outlineLevel="0" collapsed="false">
      <c r="A42" s="112" t="s">
        <v>2082</v>
      </c>
      <c r="B42" s="24" t="s">
        <v>745</v>
      </c>
      <c r="C42" s="24"/>
      <c r="D42" s="24"/>
      <c r="F42" s="130" t="n">
        <f aca="false">-(1-$I$13)*LD_Pct*$D$13*$E$13/4*AND(F$5&gt;=$G$13,F$5&lt;$H$13)</f>
        <v>-0</v>
      </c>
      <c r="G42" s="130" t="n">
        <f aca="false">-(1-$I$13)*LD_Pct*$D$13*$E$13/4*AND(G$5&gt;=$G$13,G$5&lt;$H$13)</f>
        <v>-0</v>
      </c>
      <c r="H42" s="130" t="n">
        <f aca="false">-(1-$I$13)*LD_Pct*$D$13*$E$13/4*AND(H$5&gt;=$G$13,H$5&lt;$H$13)</f>
        <v>-0</v>
      </c>
      <c r="I42" s="130" t="n">
        <f aca="false">-(1-$I$13)*LD_Pct*$D$13*$E$13/4*AND(I$5&gt;=$G$13,I$5&lt;$H$13)</f>
        <v>-0</v>
      </c>
      <c r="J42" s="130" t="n">
        <f aca="false">-(1-$I$13)*LD_Pct*$D$13*$E$13/4*AND(J$5&gt;=$G$13,J$5&lt;$H$13)</f>
        <v>-0</v>
      </c>
      <c r="K42" s="130" t="n">
        <f aca="false">-(1-$I$13)*LD_Pct*$D$13*$E$13/4*AND(K$5&gt;=$G$13,K$5&lt;$H$13)</f>
        <v>-0</v>
      </c>
      <c r="L42" s="130" t="n">
        <f aca="false">-(1-$I$13)*LD_Pct*$D$13*$E$13/4*AND(L$5&gt;=$G$13,L$5&lt;$H$13)</f>
        <v>-0</v>
      </c>
      <c r="M42" s="130" t="n">
        <f aca="false">-(1-$I$13)*LD_Pct*$D$13*$E$13/4*AND(M$5&gt;=$G$13,M$5&lt;$H$13)</f>
        <v>-0</v>
      </c>
      <c r="N42" s="130" t="n">
        <f aca="false">-(1-$I$13)*LD_Pct*$D$13*$E$13/4*AND(N$5&gt;=$G$13,N$5&lt;$H$13)</f>
        <v>-0</v>
      </c>
      <c r="O42" s="130" t="n">
        <f aca="false">-(1-$I$13)*LD_Pct*$D$13*$E$13/4*AND(O$5&gt;=$G$13,O$5&lt;$H$13)</f>
        <v>-0</v>
      </c>
      <c r="P42" s="131" t="n">
        <f aca="false">-(1-$I$13)*LD_Pct*$D$13*$E$13/4*AND(P$5&gt;=$G$13,P$5&lt;$H$13)</f>
        <v>-0</v>
      </c>
      <c r="Q42" s="131" t="n">
        <f aca="false">-(1-$I$13)*LD_Pct*$D$13*$E$13/4*AND(Q$5&gt;=$G$13,Q$5&lt;$H$13)</f>
        <v>-0</v>
      </c>
      <c r="R42" s="131" t="n">
        <f aca="false">-(1-$I$13)*LD_Pct*$D$13*$E$13/4*AND(R$5&gt;=$G$13,R$5&lt;$H$13)</f>
        <v>-0</v>
      </c>
      <c r="S42" s="131" t="n">
        <f aca="false">-(1-$I$13)*LD_Pct*$D$13*$E$13/4*AND(S$5&gt;=$G$13,S$5&lt;$H$13)</f>
        <v>-0</v>
      </c>
      <c r="T42" s="131" t="n">
        <f aca="false">-(1-$I$13)*LD_Pct*$D$13*$E$13/4*AND(T$5&gt;=$G$13,T$5&lt;$H$13)</f>
        <v>-0</v>
      </c>
      <c r="U42" s="131" t="n">
        <f aca="false">-(1-$I$13)*LD_Pct*$D$13*$E$13/4*AND(U$5&gt;=$G$13,U$5&lt;$H$13)</f>
        <v>-0</v>
      </c>
      <c r="V42" s="131" t="n">
        <f aca="false">-(1-$I$13)*LD_Pct*$D$13*$E$13/4*AND(V$5&gt;=$G$13,V$5&lt;$H$13)</f>
        <v>-0</v>
      </c>
      <c r="W42" s="131" t="n">
        <f aca="false">-(1-$I$13)*LD_Pct*$D$13*$E$13/4*AND(W$5&gt;=$G$13,W$5&lt;$H$13)</f>
        <v>-0</v>
      </c>
      <c r="X42" s="131" t="n">
        <f aca="false">-(1-$I$13)*LD_Pct*$D$13*$E$13/4*AND(X$5&gt;=$G$13,X$5&lt;$H$13)</f>
        <v>-0</v>
      </c>
      <c r="Y42" s="131" t="n">
        <f aca="false">-(1-$I$13)*LD_Pct*$D$13*$E$13/4*AND(Y$5&gt;=$G$13,Y$5&lt;$H$13)</f>
        <v>-0</v>
      </c>
      <c r="Z42" s="131" t="n">
        <f aca="false">-(1-$I$13)*LD_Pct*$D$13*$E$13/4*AND(Z$5&gt;=$G$13,Z$5&lt;$H$13)</f>
        <v>-0</v>
      </c>
      <c r="AA42" s="131" t="n">
        <f aca="false">-(1-$I$13)*LD_Pct*$D$13*$E$13/4*AND(AA$5&gt;=$G$13,AA$5&lt;$H$13)</f>
        <v>-0</v>
      </c>
      <c r="AB42" s="131" t="n">
        <f aca="false">-(1-$I$13)*LD_Pct*$D$13*$E$13/4*AND(AB$5&gt;=$G$13,AB$5&lt;$H$13)</f>
        <v>-0</v>
      </c>
      <c r="AC42" s="131" t="n">
        <f aca="false">-(1-$I$13)*LD_Pct*$D$13*$E$13/4*AND(AC$5&gt;=$G$13,AC$5&lt;$H$13)</f>
        <v>-0</v>
      </c>
      <c r="AD42" s="131" t="n">
        <f aca="false">-(1-$I$13)*LD_Pct*$D$13*$E$13/4*AND(AD$5&gt;=$G$13,AD$5&lt;$H$13)</f>
        <v>-0</v>
      </c>
      <c r="AE42" s="131" t="n">
        <f aca="false">-(1-$I$13)*LD_Pct*$D$13*$E$13/4*AND(AE$5&gt;=$G$13,AE$5&lt;$H$13)</f>
        <v>-0</v>
      </c>
      <c r="AF42" s="131" t="n">
        <f aca="false">-(1-$I$13)*LD_Pct*$D$13*$E$13/4*AND(AF$5&gt;=$G$13,AF$5&lt;$H$13)</f>
        <v>-0</v>
      </c>
      <c r="AG42" s="131" t="n">
        <f aca="false">-(1-$I$13)*LD_Pct*$D$13*$E$13/4*AND(AG$5&gt;=$G$13,AG$5&lt;$H$13)</f>
        <v>-0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0</v>
      </c>
      <c r="AL42" s="131" t="n">
        <f aca="false">SUMIF($F$7:$AG$7,AL$7,$F42:$AG42)</f>
        <v>0</v>
      </c>
      <c r="AM42" s="131" t="n">
        <f aca="false">SUMIF($F$7:$AG$7,AM$7,$F42:$AG42)</f>
        <v>0</v>
      </c>
      <c r="AN42" s="131" t="n">
        <f aca="false">SUMIF($F$7:$AG$7,AN$7,$F42:$AG42)</f>
        <v>0</v>
      </c>
      <c r="AO42" s="131" t="n">
        <f aca="false">SUMIF($F$7:$AG$7,AO$7,$F42:$AG42)</f>
        <v>0</v>
      </c>
    </row>
    <row r="43" customFormat="false" ht="15" hidden="false" customHeight="false" outlineLevel="0" collapsed="false">
      <c r="A43" s="112" t="s">
        <v>2083</v>
      </c>
      <c r="B43" s="24" t="s">
        <v>857</v>
      </c>
      <c r="C43" s="24"/>
      <c r="D43" s="24"/>
      <c r="F43" s="121" t="n">
        <f aca="false">(1-$I$13)*(1-$J$13)*(1-VinT14Loss*VinLossOn*(F$5&gt;=VinLossIdx))*$D$13*(F$5&gt;=$H$13+$F$13)</f>
        <v>0</v>
      </c>
      <c r="G43" s="121" t="n">
        <f aca="false">(1-$I$13)*(1-$J$13)*(1-VinT14Loss*VinLossOn*(G$5&gt;=VinLossIdx))*$D$13*(G$5&gt;=$H$13+$F$13)</f>
        <v>0</v>
      </c>
      <c r="H43" s="121" t="n">
        <f aca="false">(1-$I$13)*(1-$J$13)*(1-VinT14Loss*VinLossOn*(H$5&gt;=VinLossIdx))*$D$13*(H$5&gt;=$H$13+$F$13)</f>
        <v>0</v>
      </c>
      <c r="I43" s="121" t="n">
        <f aca="false">(1-$I$13)*(1-$J$13)*(1-VinT14Loss*VinLossOn*(I$5&gt;=VinLossIdx))*$D$13*(I$5&gt;=$H$13+$F$13)</f>
        <v>0</v>
      </c>
      <c r="J43" s="121" t="n">
        <f aca="false">(1-$I$13)*(1-$J$13)*(1-VinT14Loss*VinLossOn*(J$5&gt;=VinLossIdx))*$D$13*(J$5&gt;=$H$13+$F$13)</f>
        <v>0</v>
      </c>
      <c r="K43" s="121" t="n">
        <f aca="false">(1-$I$13)*(1-$J$13)*(1-VinT14Loss*VinLossOn*(K$5&gt;=VinLossIdx))*$D$13*(K$5&gt;=$H$13+$F$13)</f>
        <v>0</v>
      </c>
      <c r="L43" s="121" t="n">
        <f aca="false">(1-$I$13)*(1-$J$13)*(1-VinT14Loss*VinLossOn*(L$5&gt;=VinLossIdx))*$D$13*(L$5&gt;=$H$13+$F$13)</f>
        <v>0</v>
      </c>
      <c r="M43" s="121" t="n">
        <f aca="false">(1-$I$13)*(1-$J$13)*(1-VinT14Loss*VinLossOn*(M$5&gt;=VinLossIdx))*$D$13*(M$5&gt;=$H$13+$F$13)</f>
        <v>0</v>
      </c>
      <c r="N43" s="121" t="n">
        <f aca="false">(1-$I$13)*(1-$J$13)*(1-VinT14Loss*VinLossOn*(N$5&gt;=VinLossIdx))*$D$13*(N$5&gt;=$H$13+$F$13)</f>
        <v>0</v>
      </c>
      <c r="O43" s="121" t="n">
        <f aca="false">(1-$I$13)*(1-$J$13)*(1-VinT14Loss*VinLossOn*(O$5&gt;=VinLossIdx))*$D$13*(O$5&gt;=$H$13+$F$13)</f>
        <v>0</v>
      </c>
      <c r="P43" s="39" t="n">
        <f aca="false">(1-$I$13)*(1-$J$13)*(1-VinT14Loss*VinLossOn*(P$5&gt;=VinLossIdx))*$D$13*(P$5&gt;=$H$13+$F$13)</f>
        <v>0</v>
      </c>
      <c r="Q43" s="39" t="n">
        <f aca="false">(1-$I$13)*(1-$J$13)*(1-VinT14Loss*VinLossOn*(Q$5&gt;=VinLossIdx))*$D$13*(Q$5&gt;=$H$13+$F$13)</f>
        <v>0</v>
      </c>
      <c r="R43" s="39" t="n">
        <f aca="false">(1-$I$13)*(1-$J$13)*(1-VinT14Loss*VinLossOn*(R$5&gt;=VinLossIdx))*$D$13*(R$5&gt;=$H$13+$F$13)</f>
        <v>0</v>
      </c>
      <c r="S43" s="39" t="n">
        <f aca="false">(1-$I$13)*(1-$J$13)*(1-VinT14Loss*VinLossOn*(S$5&gt;=VinLossIdx))*$D$13*(S$5&gt;=$H$13+$F$13)</f>
        <v>0</v>
      </c>
      <c r="T43" s="39" t="n">
        <f aca="false">(1-$I$13)*(1-$J$13)*(1-VinT14Loss*VinLossOn*(T$5&gt;=VinLossIdx))*$D$13*(T$5&gt;=$H$13+$F$13)</f>
        <v>0</v>
      </c>
      <c r="U43" s="39" t="n">
        <f aca="false">(1-$I$13)*(1-$J$13)*(1-VinT14Loss*VinLossOn*(U$5&gt;=VinLossIdx))*$D$13*(U$5&gt;=$H$13+$F$13)</f>
        <v>0</v>
      </c>
      <c r="V43" s="39" t="n">
        <f aca="false">(1-$I$13)*(1-$J$13)*(1-VinT14Loss*VinLossOn*(V$5&gt;=VinLossIdx))*$D$13*(V$5&gt;=$H$13+$F$13)</f>
        <v>0</v>
      </c>
      <c r="W43" s="39" t="n">
        <f aca="false">(1-$I$13)*(1-$J$13)*(1-VinT14Loss*VinLossOn*(W$5&gt;=VinLossIdx))*$D$13*(W$5&gt;=$H$13+$F$13)</f>
        <v>0</v>
      </c>
      <c r="X43" s="39" t="n">
        <f aca="false">(1-$I$13)*(1-$J$13)*(1-VinT14Loss*VinLossOn*(X$5&gt;=VinLossIdx))*$D$13*(X$5&gt;=$H$13+$F$13)</f>
        <v>0</v>
      </c>
      <c r="Y43" s="39" t="n">
        <f aca="false">(1-$I$13)*(1-$J$13)*(1-VinT14Loss*VinLossOn*(Y$5&gt;=VinLossIdx))*$D$13*(Y$5&gt;=$H$13+$F$13)</f>
        <v>0</v>
      </c>
      <c r="Z43" s="39" t="n">
        <f aca="false">(1-$I$13)*(1-$J$13)*(1-VinT14Loss*VinLossOn*(Z$5&gt;=VinLossIdx))*$D$13*(Z$5&gt;=$H$13+$F$13)</f>
        <v>0</v>
      </c>
      <c r="AA43" s="39" t="n">
        <f aca="false">(1-$I$13)*(1-$J$13)*(1-VinT14Loss*VinLossOn*(AA$5&gt;=VinLossIdx))*$D$13*(AA$5&gt;=$H$13+$F$13)</f>
        <v>0</v>
      </c>
      <c r="AB43" s="39" t="n">
        <f aca="false">(1-$I$13)*(1-$J$13)*(1-VinT14Loss*VinLossOn*(AB$5&gt;=VinLossIdx))*$D$13*(AB$5&gt;=$H$13+$F$13)</f>
        <v>0</v>
      </c>
      <c r="AC43" s="39" t="n">
        <f aca="false">(1-$I$13)*(1-$J$13)*(1-VinT14Loss*VinLossOn*(AC$5&gt;=VinLossIdx))*$D$13*(AC$5&gt;=$H$13+$F$13)</f>
        <v>0</v>
      </c>
      <c r="AD43" s="39" t="n">
        <f aca="false">(1-$I$13)*(1-$J$13)*(1-VinT14Loss*VinLossOn*(AD$5&gt;=VinLossIdx))*$D$13*(AD$5&gt;=$H$13+$F$13)</f>
        <v>0</v>
      </c>
      <c r="AE43" s="39" t="n">
        <f aca="false">(1-$I$13)*(1-$J$13)*(1-VinT14Loss*VinLossOn*(AE$5&gt;=VinLossIdx))*$D$13*(AE$5&gt;=$H$13+$F$13)</f>
        <v>0</v>
      </c>
      <c r="AF43" s="39" t="n">
        <f aca="false">(1-$I$13)*(1-$J$13)*(1-VinT14Loss*VinLossOn*(AF$5&gt;=VinLossIdx))*$D$13*(AF$5&gt;=$H$13+$F$13)</f>
        <v>0</v>
      </c>
      <c r="AG43" s="39" t="n">
        <f aca="false">(1-$I$13)*(1-$J$13)*(1-VinT14Loss*VinLossOn*(AG$5&gt;=VinLossIdx))*$D$13*(AG$5&gt;=$H$13+$F$13)</f>
        <v>0</v>
      </c>
      <c r="AI43" s="39" t="n">
        <f aca="false">INDEX($F43:$AG43,1,MATCH(AI$7,$F$7:$AG$7,1))</f>
        <v>0</v>
      </c>
      <c r="AJ43" s="39" t="n">
        <f aca="false">INDEX($F43:$AG43,1,MATCH(AJ$7,$F$7:$AG$7,1))</f>
        <v>0</v>
      </c>
      <c r="AK43" s="39" t="n">
        <f aca="false">INDEX($F43:$AG43,1,MATCH(AK$7,$F$7:$AG$7,1))</f>
        <v>0</v>
      </c>
      <c r="AL43" s="39" t="n">
        <f aca="false">INDEX($F43:$AG43,1,MATCH(AL$7,$F$7:$AG$7,1))</f>
        <v>0</v>
      </c>
      <c r="AM43" s="39" t="n">
        <f aca="false">INDEX($F43:$AG43,1,MATCH(AM$7,$F$7:$AG$7,1))</f>
        <v>0</v>
      </c>
      <c r="AN43" s="39" t="n">
        <f aca="false">INDEX($F43:$AG43,1,MATCH(AN$7,$F$7:$AG$7,1))</f>
        <v>0</v>
      </c>
      <c r="AO43" s="39" t="n">
        <f aca="false">INDEX($F43:$AG43,1,MATCH(AO$7,$F$7:$AG$7,1))</f>
        <v>0</v>
      </c>
    </row>
    <row r="44" customFormat="false" ht="15" hidden="false" customHeight="false" outlineLevel="0" collapsed="false">
      <c r="A44" s="112" t="s">
        <v>2084</v>
      </c>
      <c r="B44" s="24" t="s">
        <v>745</v>
      </c>
      <c r="C44" s="24"/>
      <c r="D44" s="24" t="s">
        <v>2079</v>
      </c>
      <c r="F44" s="130" t="n">
        <f aca="false">F43*CHOOSE(MATCH($C$13,{"H";"B";"N"},0),GPUMW_H*ODc_H,GPUMW_B*ODc_B,GPUMW_N*ODc_N)*ResidUtil*Timeline!F$9*INDEX(Curve,1,MAX(1,MIN(8,INT((F$5-$H$13)/4)+1)))/1000000</f>
        <v>0</v>
      </c>
      <c r="G44" s="130" t="n">
        <f aca="false">G43*CHOOSE(MATCH($C$13,{"H";"B";"N"},0),GPUMW_H*ODc_H,GPUMW_B*ODc_B,GPUMW_N*ODc_N)*ResidUtil*Timeline!G$9*INDEX(Curve,1,MAX(1,MIN(8,INT((G$5-$H$13)/4)+1)))/1000000</f>
        <v>0</v>
      </c>
      <c r="H44" s="130" t="n">
        <f aca="false">H43*CHOOSE(MATCH($C$13,{"H";"B";"N"},0),GPUMW_H*ODc_H,GPUMW_B*ODc_B,GPUMW_N*ODc_N)*ResidUtil*Timeline!H$9*INDEX(Curve,1,MAX(1,MIN(8,INT((H$5-$H$13)/4)+1)))/1000000</f>
        <v>0</v>
      </c>
      <c r="I44" s="130" t="n">
        <f aca="false">I43*CHOOSE(MATCH($C$13,{"H";"B";"N"},0),GPUMW_H*ODc_H,GPUMW_B*ODc_B,GPUMW_N*ODc_N)*ResidUtil*Timeline!I$9*INDEX(Curve,1,MAX(1,MIN(8,INT((I$5-$H$13)/4)+1)))/1000000</f>
        <v>0</v>
      </c>
      <c r="J44" s="130" t="n">
        <f aca="false">J43*CHOOSE(MATCH($C$13,{"H";"B";"N"},0),GPUMW_H*ODc_H,GPUMW_B*ODc_B,GPUMW_N*ODc_N)*ResidUtil*Timeline!J$9*INDEX(Curve,1,MAX(1,MIN(8,INT((J$5-$H$13)/4)+1)))/1000000</f>
        <v>0</v>
      </c>
      <c r="K44" s="130" t="n">
        <f aca="false">K43*CHOOSE(MATCH($C$13,{"H";"B";"N"},0),GPUMW_H*ODc_H,GPUMW_B*ODc_B,GPUMW_N*ODc_N)*ResidUtil*Timeline!K$9*INDEX(Curve,1,MAX(1,MIN(8,INT((K$5-$H$13)/4)+1)))/1000000</f>
        <v>0</v>
      </c>
      <c r="L44" s="130" t="n">
        <f aca="false">L43*CHOOSE(MATCH($C$13,{"H";"B";"N"},0),GPUMW_H*ODc_H,GPUMW_B*ODc_B,GPUMW_N*ODc_N)*ResidUtil*Timeline!L$9*INDEX(Curve,1,MAX(1,MIN(8,INT((L$5-$H$13)/4)+1)))/1000000</f>
        <v>0</v>
      </c>
      <c r="M44" s="130" t="n">
        <f aca="false">M43*CHOOSE(MATCH($C$13,{"H";"B";"N"},0),GPUMW_H*ODc_H,GPUMW_B*ODc_B,GPUMW_N*ODc_N)*ResidUtil*Timeline!M$9*INDEX(Curve,1,MAX(1,MIN(8,INT((M$5-$H$13)/4)+1)))/1000000</f>
        <v>0</v>
      </c>
      <c r="N44" s="130" t="n">
        <f aca="false">N43*CHOOSE(MATCH($C$13,{"H";"B";"N"},0),GPUMW_H*ODc_H,GPUMW_B*ODc_B,GPUMW_N*ODc_N)*ResidUtil*Timeline!N$9*INDEX(Curve,1,MAX(1,MIN(8,INT((N$5-$H$13)/4)+1)))/1000000</f>
        <v>0</v>
      </c>
      <c r="O44" s="130" t="n">
        <f aca="false">O43*CHOOSE(MATCH($C$13,{"H";"B";"N"},0),GPUMW_H*ODc_H,GPUMW_B*ODc_B,GPUMW_N*ODc_N)*ResidUtil*Timeline!O$9*INDEX(Curve,1,MAX(1,MIN(8,INT((O$5-$H$13)/4)+1)))/1000000</f>
        <v>0</v>
      </c>
      <c r="P44" s="131" t="n">
        <f aca="false">P43*CHOOSE(MATCH($C$13,{"H";"B";"N"},0),GPUMW_H*ODc_H,GPUMW_B*ODc_B,GPUMW_N*ODc_N)*ResidUtil*Timeline!P$9*INDEX(Curve,1,MAX(1,MIN(8,INT((P$5-$H$13)/4)+1)))/1000000</f>
        <v>0</v>
      </c>
      <c r="Q44" s="131" t="n">
        <f aca="false">Q43*CHOOSE(MATCH($C$13,{"H";"B";"N"},0),GPUMW_H*ODc_H,GPUMW_B*ODc_B,GPUMW_N*ODc_N)*ResidUtil*Timeline!Q$9*INDEX(Curve,1,MAX(1,MIN(8,INT((Q$5-$H$13)/4)+1)))/1000000</f>
        <v>0</v>
      </c>
      <c r="R44" s="131" t="n">
        <f aca="false">R43*CHOOSE(MATCH($C$13,{"H";"B";"N"},0),GPUMW_H*ODc_H,GPUMW_B*ODc_B,GPUMW_N*ODc_N)*ResidUtil*Timeline!R$9*INDEX(Curve,1,MAX(1,MIN(8,INT((R$5-$H$13)/4)+1)))/1000000</f>
        <v>0</v>
      </c>
      <c r="S44" s="131" t="n">
        <f aca="false">S43*CHOOSE(MATCH($C$13,{"H";"B";"N"},0),GPUMW_H*ODc_H,GPUMW_B*ODc_B,GPUMW_N*ODc_N)*ResidUtil*Timeline!S$9*INDEX(Curve,1,MAX(1,MIN(8,INT((S$5-$H$13)/4)+1)))/1000000</f>
        <v>0</v>
      </c>
      <c r="T44" s="131" t="n">
        <f aca="false">T43*CHOOSE(MATCH($C$13,{"H";"B";"N"},0),GPUMW_H*ODc_H,GPUMW_B*ODc_B,GPUMW_N*ODc_N)*ResidUtil*Timeline!T$9*INDEX(Curve,1,MAX(1,MIN(8,INT((T$5-$H$13)/4)+1)))/1000000</f>
        <v>0</v>
      </c>
      <c r="U44" s="131" t="n">
        <f aca="false">U43*CHOOSE(MATCH($C$13,{"H";"B";"N"},0),GPUMW_H*ODc_H,GPUMW_B*ODc_B,GPUMW_N*ODc_N)*ResidUtil*Timeline!U$9*INDEX(Curve,1,MAX(1,MIN(8,INT((U$5-$H$13)/4)+1)))/1000000</f>
        <v>0</v>
      </c>
      <c r="V44" s="131" t="n">
        <f aca="false">V43*CHOOSE(MATCH($C$13,{"H";"B";"N"},0),GPUMW_H*ODc_H,GPUMW_B*ODc_B,GPUMW_N*ODc_N)*ResidUtil*Timeline!V$9*INDEX(Curve,1,MAX(1,MIN(8,INT((V$5-$H$13)/4)+1)))/1000000</f>
        <v>0</v>
      </c>
      <c r="W44" s="131" t="n">
        <f aca="false">W43*CHOOSE(MATCH($C$13,{"H";"B";"N"},0),GPUMW_H*ODc_H,GPUMW_B*ODc_B,GPUMW_N*ODc_N)*ResidUtil*Timeline!W$9*INDEX(Curve,1,MAX(1,MIN(8,INT((W$5-$H$13)/4)+1)))/1000000</f>
        <v>0</v>
      </c>
      <c r="X44" s="131" t="n">
        <f aca="false">X43*CHOOSE(MATCH($C$13,{"H";"B";"N"},0),GPUMW_H*ODc_H,GPUMW_B*ODc_B,GPUMW_N*ODc_N)*ResidUtil*Timeline!X$9*INDEX(Curve,1,MAX(1,MIN(8,INT((X$5-$H$13)/4)+1)))/1000000</f>
        <v>0</v>
      </c>
      <c r="Y44" s="131" t="n">
        <f aca="false">Y43*CHOOSE(MATCH($C$13,{"H";"B";"N"},0),GPUMW_H*ODc_H,GPUMW_B*ODc_B,GPUMW_N*ODc_N)*ResidUtil*Timeline!Y$9*INDEX(Curve,1,MAX(1,MIN(8,INT((Y$5-$H$13)/4)+1)))/1000000</f>
        <v>0</v>
      </c>
      <c r="Z44" s="131" t="n">
        <f aca="false">Z43*CHOOSE(MATCH($C$13,{"H";"B";"N"},0),GPUMW_H*ODc_H,GPUMW_B*ODc_B,GPUMW_N*ODc_N)*ResidUtil*Timeline!Z$9*INDEX(Curve,1,MAX(1,MIN(8,INT((Z$5-$H$13)/4)+1)))/1000000</f>
        <v>0</v>
      </c>
      <c r="AA44" s="131" t="n">
        <f aca="false">AA43*CHOOSE(MATCH($C$13,{"H";"B";"N"},0),GPUMW_H*ODc_H,GPUMW_B*ODc_B,GPUMW_N*ODc_N)*ResidUtil*Timeline!AA$9*INDEX(Curve,1,MAX(1,MIN(8,INT((AA$5-$H$13)/4)+1)))/1000000</f>
        <v>0</v>
      </c>
      <c r="AB44" s="131" t="n">
        <f aca="false">AB43*CHOOSE(MATCH($C$13,{"H";"B";"N"},0),GPUMW_H*ODc_H,GPUMW_B*ODc_B,GPUMW_N*ODc_N)*ResidUtil*Timeline!AB$9*INDEX(Curve,1,MAX(1,MIN(8,INT((AB$5-$H$13)/4)+1)))/1000000</f>
        <v>0</v>
      </c>
      <c r="AC44" s="131" t="n">
        <f aca="false">AC43*CHOOSE(MATCH($C$13,{"H";"B";"N"},0),GPUMW_H*ODc_H,GPUMW_B*ODc_B,GPUMW_N*ODc_N)*ResidUtil*Timeline!AC$9*INDEX(Curve,1,MAX(1,MIN(8,INT((AC$5-$H$13)/4)+1)))/1000000</f>
        <v>0</v>
      </c>
      <c r="AD44" s="131" t="n">
        <f aca="false">AD43*CHOOSE(MATCH($C$13,{"H";"B";"N"},0),GPUMW_H*ODc_H,GPUMW_B*ODc_B,GPUMW_N*ODc_N)*ResidUtil*Timeline!AD$9*INDEX(Curve,1,MAX(1,MIN(8,INT((AD$5-$H$13)/4)+1)))/1000000</f>
        <v>0</v>
      </c>
      <c r="AE44" s="131" t="n">
        <f aca="false">AE43*CHOOSE(MATCH($C$13,{"H";"B";"N"},0),GPUMW_H*ODc_H,GPUMW_B*ODc_B,GPUMW_N*ODc_N)*ResidUtil*Timeline!AE$9*INDEX(Curve,1,MAX(1,MIN(8,INT((AE$5-$H$13)/4)+1)))/1000000</f>
        <v>0</v>
      </c>
      <c r="AF44" s="131" t="n">
        <f aca="false">AF43*CHOOSE(MATCH($C$13,{"H";"B";"N"},0),GPUMW_H*ODc_H,GPUMW_B*ODc_B,GPUMW_N*ODc_N)*ResidUtil*Timeline!AF$9*INDEX(Curve,1,MAX(1,MIN(8,INT((AF$5-$H$13)/4)+1)))/1000000</f>
        <v>0</v>
      </c>
      <c r="AG44" s="131" t="n">
        <f aca="false">AG43*CHOOSE(MATCH($C$13,{"H";"B";"N"},0),GPUMW_H*ODc_H,GPUMW_B*ODc_B,GPUMW_N*ODc_N)*ResidUtil*Timeline!AG$9*INDEX(Curve,1,MAX(1,MIN(8,INT((AG$5-$H$13)/4)+1)))/1000000</f>
        <v>0</v>
      </c>
      <c r="AI44" s="131" t="n">
        <f aca="false">SUMIF($F$7:$AG$7,AI$7,$F44:$AG44)</f>
        <v>0</v>
      </c>
      <c r="AJ44" s="131" t="n">
        <f aca="false">SUMIF($F$7:$AG$7,AJ$7,$F44:$AG44)</f>
        <v>0</v>
      </c>
      <c r="AK44" s="131" t="n">
        <f aca="false">SUMIF($F$7:$AG$7,AK$7,$F44:$AG44)</f>
        <v>0</v>
      </c>
      <c r="AL44" s="131" t="n">
        <f aca="false">SUMIF($F$7:$AG$7,AL$7,$F44:$AG44)</f>
        <v>0</v>
      </c>
      <c r="AM44" s="131" t="n">
        <f aca="false">SUMIF($F$7:$AG$7,AM$7,$F44:$AG44)</f>
        <v>0</v>
      </c>
      <c r="AN44" s="131" t="n">
        <f aca="false">SUMIF($F$7:$AG$7,AN$7,$F44:$AG44)</f>
        <v>0</v>
      </c>
      <c r="AO44" s="131" t="n">
        <f aca="false">SUMIF($F$7:$AG$7,AO$7,$F44:$AG44)</f>
        <v>0</v>
      </c>
    </row>
    <row r="45" customFormat="false" ht="15" hidden="false" customHeight="false" outlineLevel="0" collapsed="false">
      <c r="A45" s="112" t="s">
        <v>2085</v>
      </c>
      <c r="B45" s="24" t="s">
        <v>745</v>
      </c>
      <c r="C45" s="24"/>
      <c r="D45" s="24"/>
      <c r="F45" s="130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30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30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30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30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30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30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30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30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30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31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31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31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31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31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31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31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31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31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31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31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31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31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31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31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31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31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31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31" t="n">
        <f aca="false">SUMIF($F$7:$AG$7,AI$7,$F45:$AG45)</f>
        <v>0</v>
      </c>
      <c r="AJ45" s="131" t="n">
        <f aca="false">SUMIF($F$7:$AG$7,AJ$7,$F45:$AG45)</f>
        <v>0</v>
      </c>
      <c r="AK45" s="131" t="n">
        <f aca="false">SUMIF($F$7:$AG$7,AK$7,$F45:$AG45)</f>
        <v>60.3920138888889</v>
      </c>
      <c r="AL45" s="131" t="n">
        <f aca="false">SUMIF($F$7:$AG$7,AL$7,$F45:$AG45)</f>
        <v>362.352083333333</v>
      </c>
      <c r="AM45" s="131" t="n">
        <f aca="false">SUMIF($F$7:$AG$7,AM$7,$F45:$AG45)</f>
        <v>386.508888888889</v>
      </c>
      <c r="AN45" s="131" t="n">
        <f aca="false">SUMIF($F$7:$AG$7,AN$7,$F45:$AG45)</f>
        <v>386.508888888889</v>
      </c>
      <c r="AO45" s="131" t="n">
        <f aca="false">SUMIF($F$7:$AG$7,AO$7,$F45:$AG45)</f>
        <v>386.508888888889</v>
      </c>
    </row>
    <row r="46" customFormat="false" ht="15" hidden="false" customHeight="false" outlineLevel="0" collapsed="false">
      <c r="A46" s="112" t="s">
        <v>2086</v>
      </c>
      <c r="B46" s="24" t="s">
        <v>857</v>
      </c>
      <c r="C46" s="24"/>
      <c r="D46" s="24"/>
      <c r="F46" s="121" t="n">
        <f aca="false">(1-$I$14)*(1-$J$14)*(1-VinT14Loss*VinLossOn*(F$5&gt;=VinLossIdx))*$D$14*AND(F$5&gt;=$H$14,F$5&lt;$H$14+$F$14)</f>
        <v>0</v>
      </c>
      <c r="G46" s="121" t="n">
        <f aca="false">(1-$I$14)*(1-$J$14)*(1-VinT14Loss*VinLossOn*(G$5&gt;=VinLossIdx))*$D$14*AND(G$5&gt;=$H$14,G$5&lt;$H$14+$F$14)</f>
        <v>0</v>
      </c>
      <c r="H46" s="121" t="n">
        <f aca="false">(1-$I$14)*(1-$J$14)*(1-VinT14Loss*VinLossOn*(H$5&gt;=VinLossIdx))*$D$14*AND(H$5&gt;=$H$14,H$5&lt;$H$14+$F$14)</f>
        <v>0</v>
      </c>
      <c r="I46" s="121" t="n">
        <f aca="false">(1-$I$14)*(1-$J$14)*(1-VinT14Loss*VinLossOn*(I$5&gt;=VinLossIdx))*$D$14*AND(I$5&gt;=$H$14,I$5&lt;$H$14+$F$14)</f>
        <v>0</v>
      </c>
      <c r="J46" s="121" t="n">
        <f aca="false">(1-$I$14)*(1-$J$14)*(1-VinT14Loss*VinLossOn*(J$5&gt;=VinLossIdx))*$D$14*AND(J$5&gt;=$H$14,J$5&lt;$H$14+$F$14)</f>
        <v>0</v>
      </c>
      <c r="K46" s="121" t="n">
        <f aca="false">(1-$I$14)*(1-$J$14)*(1-VinT14Loss*VinLossOn*(K$5&gt;=VinLossIdx))*$D$14*AND(K$5&gt;=$H$14,K$5&lt;$H$14+$F$14)</f>
        <v>0</v>
      </c>
      <c r="L46" s="121" t="n">
        <f aca="false">(1-$I$14)*(1-$J$14)*(1-VinT14Loss*VinLossOn*(L$5&gt;=VinLossIdx))*$D$14*AND(L$5&gt;=$H$14,L$5&lt;$H$14+$F$14)</f>
        <v>0</v>
      </c>
      <c r="M46" s="121" t="n">
        <f aca="false">(1-$I$14)*(1-$J$14)*(1-VinT14Loss*VinLossOn*(M$5&gt;=VinLossIdx))*$D$14*AND(M$5&gt;=$H$14,M$5&lt;$H$14+$F$14)</f>
        <v>0</v>
      </c>
      <c r="N46" s="121" t="n">
        <f aca="false">(1-$I$14)*(1-$J$14)*(1-VinT14Loss*VinLossOn*(N$5&gt;=VinLossIdx))*$D$14*AND(N$5&gt;=$H$14,N$5&lt;$H$14+$F$14)</f>
        <v>0</v>
      </c>
      <c r="O46" s="121" t="n">
        <f aca="false">(1-$I$14)*(1-$J$14)*(1-VinT14Loss*VinLossOn*(O$5&gt;=VinLossIdx))*$D$14*AND(O$5&gt;=$H$14,O$5&lt;$H$14+$F$14)</f>
        <v>0</v>
      </c>
      <c r="P46" s="39" t="n">
        <f aca="false">(1-$I$14)*(1-$J$14)*(1-VinT14Loss*VinLossOn*(P$5&gt;=VinLossIdx))*$D$14*AND(P$5&gt;=$H$14,P$5&lt;$H$14+$F$14)</f>
        <v>26.6666666666667</v>
      </c>
      <c r="Q46" s="39" t="n">
        <f aca="false">(1-$I$14)*(1-$J$14)*(1-VinT14Loss*VinLossOn*(Q$5&gt;=VinLossIdx))*$D$14*AND(Q$5&gt;=$H$14,Q$5&lt;$H$14+$F$14)</f>
        <v>26.6666666666667</v>
      </c>
      <c r="R46" s="39" t="n">
        <f aca="false">(1-$I$14)*(1-$J$14)*(1-VinT14Loss*VinLossOn*(R$5&gt;=VinLossIdx))*$D$14*AND(R$5&gt;=$H$14,R$5&lt;$H$14+$F$14)</f>
        <v>26.6666666666667</v>
      </c>
      <c r="S46" s="39" t="n">
        <f aca="false">(1-$I$14)*(1-$J$14)*(1-VinT14Loss*VinLossOn*(S$5&gt;=VinLossIdx))*$D$14*AND(S$5&gt;=$H$14,S$5&lt;$H$14+$F$14)</f>
        <v>26.6666666666667</v>
      </c>
      <c r="T46" s="39" t="n">
        <f aca="false">(1-$I$14)*(1-$J$14)*(1-VinT14Loss*VinLossOn*(T$5&gt;=VinLossIdx))*$D$14*AND(T$5&gt;=$H$14,T$5&lt;$H$14+$F$14)</f>
        <v>26.6666666666667</v>
      </c>
      <c r="U46" s="39" t="n">
        <f aca="false">(1-$I$14)*(1-$J$14)*(1-VinT14Loss*VinLossOn*(U$5&gt;=VinLossIdx))*$D$14*AND(U$5&gt;=$H$14,U$5&lt;$H$14+$F$14)</f>
        <v>26.6666666666667</v>
      </c>
      <c r="V46" s="39" t="n">
        <f aca="false">(1-$I$14)*(1-$J$14)*(1-VinT14Loss*VinLossOn*(V$5&gt;=VinLossIdx))*$D$14*AND(V$5&gt;=$H$14,V$5&lt;$H$14+$F$14)</f>
        <v>26.6666666666667</v>
      </c>
      <c r="W46" s="39" t="n">
        <f aca="false">(1-$I$14)*(1-$J$14)*(1-VinT14Loss*VinLossOn*(W$5&gt;=VinLossIdx))*$D$14*AND(W$5&gt;=$H$14,W$5&lt;$H$14+$F$14)</f>
        <v>26.6666666666667</v>
      </c>
      <c r="X46" s="39" t="n">
        <f aca="false">(1-$I$14)*(1-$J$14)*(1-VinT14Loss*VinLossOn*(X$5&gt;=VinLossIdx))*$D$14*AND(X$5&gt;=$H$14,X$5&lt;$H$14+$F$14)</f>
        <v>26.6666666666667</v>
      </c>
      <c r="Y46" s="39" t="n">
        <f aca="false">(1-$I$14)*(1-$J$14)*(1-VinT14Loss*VinLossOn*(Y$5&gt;=VinLossIdx))*$D$14*AND(Y$5&gt;=$H$14,Y$5&lt;$H$14+$F$14)</f>
        <v>26.6666666666667</v>
      </c>
      <c r="Z46" s="39" t="n">
        <f aca="false">(1-$I$14)*(1-$J$14)*(1-VinT14Loss*VinLossOn*(Z$5&gt;=VinLossIdx))*$D$14*AND(Z$5&gt;=$H$14,Z$5&lt;$H$14+$F$14)</f>
        <v>26.6666666666667</v>
      </c>
      <c r="AA46" s="39" t="n">
        <f aca="false">(1-$I$14)*(1-$J$14)*(1-VinT14Loss*VinLossOn*(AA$5&gt;=VinLossIdx))*$D$14*AND(AA$5&gt;=$H$14,AA$5&lt;$H$14+$F$14)</f>
        <v>26.6666666666667</v>
      </c>
      <c r="AB46" s="39" t="n">
        <f aca="false">(1-$I$14)*(1-$J$14)*(1-VinT14Loss*VinLossOn*(AB$5&gt;=VinLossIdx))*$D$14*AND(AB$5&gt;=$H$14,AB$5&lt;$H$14+$F$14)</f>
        <v>26.6666666666667</v>
      </c>
      <c r="AC46" s="39" t="n">
        <f aca="false">(1-$I$14)*(1-$J$14)*(1-VinT14Loss*VinLossOn*(AC$5&gt;=VinLossIdx))*$D$14*AND(AC$5&gt;=$H$14,AC$5&lt;$H$14+$F$14)</f>
        <v>26.6666666666667</v>
      </c>
      <c r="AD46" s="39" t="n">
        <f aca="false">(1-$I$14)*(1-$J$14)*(1-VinT14Loss*VinLossOn*(AD$5&gt;=VinLossIdx))*$D$14*AND(AD$5&gt;=$H$14,AD$5&lt;$H$14+$F$14)</f>
        <v>26.6666666666667</v>
      </c>
      <c r="AE46" s="39" t="n">
        <f aca="false">(1-$I$14)*(1-$J$14)*(1-VinT14Loss*VinLossOn*(AE$5&gt;=VinLossIdx))*$D$14*AND(AE$5&gt;=$H$14,AE$5&lt;$H$14+$F$14)</f>
        <v>26.6666666666667</v>
      </c>
      <c r="AF46" s="39" t="n">
        <f aca="false">(1-$I$14)*(1-$J$14)*(1-VinT14Loss*VinLossOn*(AF$5&gt;=VinLossIdx))*$D$14*AND(AF$5&gt;=$H$14,AF$5&lt;$H$14+$F$14)</f>
        <v>26.6666666666667</v>
      </c>
      <c r="AG46" s="39" t="n">
        <f aca="false">(1-$I$14)*(1-$J$14)*(1-VinT14Loss*VinLossOn*(AG$5&gt;=VinLossIdx))*$D$14*AND(AG$5&gt;=$H$14,AG$5&lt;$H$14+$F$14)</f>
        <v>26.6666666666667</v>
      </c>
      <c r="AI46" s="39" t="n">
        <f aca="false">INDEX($F46:$AG46,1,MATCH(AI$7,$F$7:$AG$7,1))</f>
        <v>0</v>
      </c>
      <c r="AJ46" s="39" t="n">
        <f aca="false">INDEX($F46:$AG46,1,MATCH(AJ$7,$F$7:$AG$7,1))</f>
        <v>0</v>
      </c>
      <c r="AK46" s="39" t="n">
        <f aca="false">INDEX($F46:$AG46,1,MATCH(AK$7,$F$7:$AG$7,1))</f>
        <v>26.6666666666667</v>
      </c>
      <c r="AL46" s="39" t="n">
        <f aca="false">INDEX($F46:$AG46,1,MATCH(AL$7,$F$7:$AG$7,1))</f>
        <v>26.6666666666667</v>
      </c>
      <c r="AM46" s="39" t="n">
        <f aca="false">INDEX($F46:$AG46,1,MATCH(AM$7,$F$7:$AG$7,1))</f>
        <v>26.6666666666667</v>
      </c>
      <c r="AN46" s="39" t="n">
        <f aca="false">INDEX($F46:$AG46,1,MATCH(AN$7,$F$7:$AG$7,1))</f>
        <v>26.6666666666667</v>
      </c>
      <c r="AO46" s="39" t="n">
        <f aca="false">INDEX($F46:$AG46,1,MATCH(AO$7,$F$7:$AG$7,1))</f>
        <v>26.6666666666667</v>
      </c>
    </row>
    <row r="47" customFormat="false" ht="15" hidden="false" customHeight="false" outlineLevel="0" collapsed="false">
      <c r="A47" s="112" t="s">
        <v>2087</v>
      </c>
      <c r="B47" s="24" t="s">
        <v>745</v>
      </c>
      <c r="C47" s="24"/>
      <c r="D47" s="24"/>
      <c r="F47" s="130" t="n">
        <f aca="false">-(1-$I$14)*LD_Pct*$D$14*$E$14/4*AND(F$5&gt;=$G$14,F$5&lt;$H$14)</f>
        <v>-0</v>
      </c>
      <c r="G47" s="130" t="n">
        <f aca="false">-(1-$I$14)*LD_Pct*$D$14*$E$14/4*AND(G$5&gt;=$G$14,G$5&lt;$H$14)</f>
        <v>-0</v>
      </c>
      <c r="H47" s="130" t="n">
        <f aca="false">-(1-$I$14)*LD_Pct*$D$14*$E$14/4*AND(H$5&gt;=$G$14,H$5&lt;$H$14)</f>
        <v>-0</v>
      </c>
      <c r="I47" s="130" t="n">
        <f aca="false">-(1-$I$14)*LD_Pct*$D$14*$E$14/4*AND(I$5&gt;=$G$14,I$5&lt;$H$14)</f>
        <v>-0</v>
      </c>
      <c r="J47" s="130" t="n">
        <f aca="false">-(1-$I$14)*LD_Pct*$D$14*$E$14/4*AND(J$5&gt;=$G$14,J$5&lt;$H$14)</f>
        <v>-0</v>
      </c>
      <c r="K47" s="130" t="n">
        <f aca="false">-(1-$I$14)*LD_Pct*$D$14*$E$14/4*AND(K$5&gt;=$G$14,K$5&lt;$H$14)</f>
        <v>-0</v>
      </c>
      <c r="L47" s="130" t="n">
        <f aca="false">-(1-$I$14)*LD_Pct*$D$14*$E$14/4*AND(L$5&gt;=$G$14,L$5&lt;$H$14)</f>
        <v>-0</v>
      </c>
      <c r="M47" s="130" t="n">
        <f aca="false">-(1-$I$14)*LD_Pct*$D$14*$E$14/4*AND(M$5&gt;=$G$14,M$5&lt;$H$14)</f>
        <v>-0</v>
      </c>
      <c r="N47" s="130" t="n">
        <f aca="false">-(1-$I$14)*LD_Pct*$D$14*$E$14/4*AND(N$5&gt;=$G$14,N$5&lt;$H$14)</f>
        <v>-0</v>
      </c>
      <c r="O47" s="130" t="n">
        <f aca="false">-(1-$I$14)*LD_Pct*$D$14*$E$14/4*AND(O$5&gt;=$G$14,O$5&lt;$H$14)</f>
        <v>-0</v>
      </c>
      <c r="P47" s="131" t="n">
        <f aca="false">-(1-$I$14)*LD_Pct*$D$14*$E$14/4*AND(P$5&gt;=$G$14,P$5&lt;$H$14)</f>
        <v>-0</v>
      </c>
      <c r="Q47" s="131" t="n">
        <f aca="false">-(1-$I$14)*LD_Pct*$D$14*$E$14/4*AND(Q$5&gt;=$G$14,Q$5&lt;$H$14)</f>
        <v>-0</v>
      </c>
      <c r="R47" s="131" t="n">
        <f aca="false">-(1-$I$14)*LD_Pct*$D$14*$E$14/4*AND(R$5&gt;=$G$14,R$5&lt;$H$14)</f>
        <v>-0</v>
      </c>
      <c r="S47" s="131" t="n">
        <f aca="false">-(1-$I$14)*LD_Pct*$D$14*$E$14/4*AND(S$5&gt;=$G$14,S$5&lt;$H$14)</f>
        <v>-0</v>
      </c>
      <c r="T47" s="131" t="n">
        <f aca="false">-(1-$I$14)*LD_Pct*$D$14*$E$14/4*AND(T$5&gt;=$G$14,T$5&lt;$H$14)</f>
        <v>-0</v>
      </c>
      <c r="U47" s="131" t="n">
        <f aca="false">-(1-$I$14)*LD_Pct*$D$14*$E$14/4*AND(U$5&gt;=$G$14,U$5&lt;$H$14)</f>
        <v>-0</v>
      </c>
      <c r="V47" s="131" t="n">
        <f aca="false">-(1-$I$14)*LD_Pct*$D$14*$E$14/4*AND(V$5&gt;=$G$14,V$5&lt;$H$14)</f>
        <v>-0</v>
      </c>
      <c r="W47" s="131" t="n">
        <f aca="false">-(1-$I$14)*LD_Pct*$D$14*$E$14/4*AND(W$5&gt;=$G$14,W$5&lt;$H$14)</f>
        <v>-0</v>
      </c>
      <c r="X47" s="131" t="n">
        <f aca="false">-(1-$I$14)*LD_Pct*$D$14*$E$14/4*AND(X$5&gt;=$G$14,X$5&lt;$H$14)</f>
        <v>-0</v>
      </c>
      <c r="Y47" s="131" t="n">
        <f aca="false">-(1-$I$14)*LD_Pct*$D$14*$E$14/4*AND(Y$5&gt;=$G$14,Y$5&lt;$H$14)</f>
        <v>-0</v>
      </c>
      <c r="Z47" s="131" t="n">
        <f aca="false">-(1-$I$14)*LD_Pct*$D$14*$E$14/4*AND(Z$5&gt;=$G$14,Z$5&lt;$H$14)</f>
        <v>-0</v>
      </c>
      <c r="AA47" s="131" t="n">
        <f aca="false">-(1-$I$14)*LD_Pct*$D$14*$E$14/4*AND(AA$5&gt;=$G$14,AA$5&lt;$H$14)</f>
        <v>-0</v>
      </c>
      <c r="AB47" s="131" t="n">
        <f aca="false">-(1-$I$14)*LD_Pct*$D$14*$E$14/4*AND(AB$5&gt;=$G$14,AB$5&lt;$H$14)</f>
        <v>-0</v>
      </c>
      <c r="AC47" s="131" t="n">
        <f aca="false">-(1-$I$14)*LD_Pct*$D$14*$E$14/4*AND(AC$5&gt;=$G$14,AC$5&lt;$H$14)</f>
        <v>-0</v>
      </c>
      <c r="AD47" s="131" t="n">
        <f aca="false">-(1-$I$14)*LD_Pct*$D$14*$E$14/4*AND(AD$5&gt;=$G$14,AD$5&lt;$H$14)</f>
        <v>-0</v>
      </c>
      <c r="AE47" s="131" t="n">
        <f aca="false">-(1-$I$14)*LD_Pct*$D$14*$E$14/4*AND(AE$5&gt;=$G$14,AE$5&lt;$H$14)</f>
        <v>-0</v>
      </c>
      <c r="AF47" s="131" t="n">
        <f aca="false">-(1-$I$14)*LD_Pct*$D$14*$E$14/4*AND(AF$5&gt;=$G$14,AF$5&lt;$H$14)</f>
        <v>-0</v>
      </c>
      <c r="AG47" s="131" t="n">
        <f aca="false">-(1-$I$14)*LD_Pct*$D$14*$E$14/4*AND(AG$5&gt;=$G$14,AG$5&lt;$H$14)</f>
        <v>-0</v>
      </c>
      <c r="AI47" s="131" t="n">
        <f aca="false">SUMIF($F$7:$AG$7,AI$7,$F47:$AG47)</f>
        <v>0</v>
      </c>
      <c r="AJ47" s="131" t="n">
        <f aca="false">SUMIF($F$7:$AG$7,AJ$7,$F47:$AG47)</f>
        <v>0</v>
      </c>
      <c r="AK47" s="131" t="n">
        <f aca="false">SUMIF($F$7:$AG$7,AK$7,$F47:$AG47)</f>
        <v>0</v>
      </c>
      <c r="AL47" s="131" t="n">
        <f aca="false">SUMIF($F$7:$AG$7,AL$7,$F47:$AG47)</f>
        <v>0</v>
      </c>
      <c r="AM47" s="131" t="n">
        <f aca="false">SUMIF($F$7:$AG$7,AM$7,$F47:$AG47)</f>
        <v>0</v>
      </c>
      <c r="AN47" s="131" t="n">
        <f aca="false">SUMIF($F$7:$AG$7,AN$7,$F47:$AG47)</f>
        <v>0</v>
      </c>
      <c r="AO47" s="131" t="n">
        <f aca="false">SUMIF($F$7:$AG$7,AO$7,$F47:$AG47)</f>
        <v>0</v>
      </c>
    </row>
    <row r="48" customFormat="false" ht="15" hidden="false" customHeight="false" outlineLevel="0" collapsed="false">
      <c r="A48" s="112" t="s">
        <v>2088</v>
      </c>
      <c r="B48" s="24" t="s">
        <v>857</v>
      </c>
      <c r="C48" s="24"/>
      <c r="D48" s="24"/>
      <c r="F48" s="121" t="n">
        <f aca="false">(1-$I$14)*(1-$J$14)*(1-VinT14Loss*VinLossOn*(F$5&gt;=VinLossIdx))*$D$14*(F$5&gt;=$H$14+$F$14)</f>
        <v>0</v>
      </c>
      <c r="G48" s="121" t="n">
        <f aca="false">(1-$I$14)*(1-$J$14)*(1-VinT14Loss*VinLossOn*(G$5&gt;=VinLossIdx))*$D$14*(G$5&gt;=$H$14+$F$14)</f>
        <v>0</v>
      </c>
      <c r="H48" s="121" t="n">
        <f aca="false">(1-$I$14)*(1-$J$14)*(1-VinT14Loss*VinLossOn*(H$5&gt;=VinLossIdx))*$D$14*(H$5&gt;=$H$14+$F$14)</f>
        <v>0</v>
      </c>
      <c r="I48" s="121" t="n">
        <f aca="false">(1-$I$14)*(1-$J$14)*(1-VinT14Loss*VinLossOn*(I$5&gt;=VinLossIdx))*$D$14*(I$5&gt;=$H$14+$F$14)</f>
        <v>0</v>
      </c>
      <c r="J48" s="121" t="n">
        <f aca="false">(1-$I$14)*(1-$J$14)*(1-VinT14Loss*VinLossOn*(J$5&gt;=VinLossIdx))*$D$14*(J$5&gt;=$H$14+$F$14)</f>
        <v>0</v>
      </c>
      <c r="K48" s="121" t="n">
        <f aca="false">(1-$I$14)*(1-$J$14)*(1-VinT14Loss*VinLossOn*(K$5&gt;=VinLossIdx))*$D$14*(K$5&gt;=$H$14+$F$14)</f>
        <v>0</v>
      </c>
      <c r="L48" s="121" t="n">
        <f aca="false">(1-$I$14)*(1-$J$14)*(1-VinT14Loss*VinLossOn*(L$5&gt;=VinLossIdx))*$D$14*(L$5&gt;=$H$14+$F$14)</f>
        <v>0</v>
      </c>
      <c r="M48" s="121" t="n">
        <f aca="false">(1-$I$14)*(1-$J$14)*(1-VinT14Loss*VinLossOn*(M$5&gt;=VinLossIdx))*$D$14*(M$5&gt;=$H$14+$F$14)</f>
        <v>0</v>
      </c>
      <c r="N48" s="121" t="n">
        <f aca="false">(1-$I$14)*(1-$J$14)*(1-VinT14Loss*VinLossOn*(N$5&gt;=VinLossIdx))*$D$14*(N$5&gt;=$H$14+$F$14)</f>
        <v>0</v>
      </c>
      <c r="O48" s="121" t="n">
        <f aca="false">(1-$I$14)*(1-$J$14)*(1-VinT14Loss*VinLossOn*(O$5&gt;=VinLossIdx))*$D$14*(O$5&gt;=$H$14+$F$14)</f>
        <v>0</v>
      </c>
      <c r="P48" s="39" t="n">
        <f aca="false">(1-$I$14)*(1-$J$14)*(1-VinT14Loss*VinLossOn*(P$5&gt;=VinLossIdx))*$D$14*(P$5&gt;=$H$14+$F$14)</f>
        <v>0</v>
      </c>
      <c r="Q48" s="39" t="n">
        <f aca="false">(1-$I$14)*(1-$J$14)*(1-VinT14Loss*VinLossOn*(Q$5&gt;=VinLossIdx))*$D$14*(Q$5&gt;=$H$14+$F$14)</f>
        <v>0</v>
      </c>
      <c r="R48" s="39" t="n">
        <f aca="false">(1-$I$14)*(1-$J$14)*(1-VinT14Loss*VinLossOn*(R$5&gt;=VinLossIdx))*$D$14*(R$5&gt;=$H$14+$F$14)</f>
        <v>0</v>
      </c>
      <c r="S48" s="39" t="n">
        <f aca="false">(1-$I$14)*(1-$J$14)*(1-VinT14Loss*VinLossOn*(S$5&gt;=VinLossIdx))*$D$14*(S$5&gt;=$H$14+$F$14)</f>
        <v>0</v>
      </c>
      <c r="T48" s="39" t="n">
        <f aca="false">(1-$I$14)*(1-$J$14)*(1-VinT14Loss*VinLossOn*(T$5&gt;=VinLossIdx))*$D$14*(T$5&gt;=$H$14+$F$14)</f>
        <v>0</v>
      </c>
      <c r="U48" s="39" t="n">
        <f aca="false">(1-$I$14)*(1-$J$14)*(1-VinT14Loss*VinLossOn*(U$5&gt;=VinLossIdx))*$D$14*(U$5&gt;=$H$14+$F$14)</f>
        <v>0</v>
      </c>
      <c r="V48" s="39" t="n">
        <f aca="false">(1-$I$14)*(1-$J$14)*(1-VinT14Loss*VinLossOn*(V$5&gt;=VinLossIdx))*$D$14*(V$5&gt;=$H$14+$F$14)</f>
        <v>0</v>
      </c>
      <c r="W48" s="39" t="n">
        <f aca="false">(1-$I$14)*(1-$J$14)*(1-VinT14Loss*VinLossOn*(W$5&gt;=VinLossIdx))*$D$14*(W$5&gt;=$H$14+$F$14)</f>
        <v>0</v>
      </c>
      <c r="X48" s="39" t="n">
        <f aca="false">(1-$I$14)*(1-$J$14)*(1-VinT14Loss*VinLossOn*(X$5&gt;=VinLossIdx))*$D$14*(X$5&gt;=$H$14+$F$14)</f>
        <v>0</v>
      </c>
      <c r="Y48" s="39" t="n">
        <f aca="false">(1-$I$14)*(1-$J$14)*(1-VinT14Loss*VinLossOn*(Y$5&gt;=VinLossIdx))*$D$14*(Y$5&gt;=$H$14+$F$14)</f>
        <v>0</v>
      </c>
      <c r="Z48" s="39" t="n">
        <f aca="false">(1-$I$14)*(1-$J$14)*(1-VinT14Loss*VinLossOn*(Z$5&gt;=VinLossIdx))*$D$14*(Z$5&gt;=$H$14+$F$14)</f>
        <v>0</v>
      </c>
      <c r="AA48" s="39" t="n">
        <f aca="false">(1-$I$14)*(1-$J$14)*(1-VinT14Loss*VinLossOn*(AA$5&gt;=VinLossIdx))*$D$14*(AA$5&gt;=$H$14+$F$14)</f>
        <v>0</v>
      </c>
      <c r="AB48" s="39" t="n">
        <f aca="false">(1-$I$14)*(1-$J$14)*(1-VinT14Loss*VinLossOn*(AB$5&gt;=VinLossIdx))*$D$14*(AB$5&gt;=$H$14+$F$14)</f>
        <v>0</v>
      </c>
      <c r="AC48" s="39" t="n">
        <f aca="false">(1-$I$14)*(1-$J$14)*(1-VinT14Loss*VinLossOn*(AC$5&gt;=VinLossIdx))*$D$14*(AC$5&gt;=$H$14+$F$14)</f>
        <v>0</v>
      </c>
      <c r="AD48" s="39" t="n">
        <f aca="false">(1-$I$14)*(1-$J$14)*(1-VinT14Loss*VinLossOn*(AD$5&gt;=VinLossIdx))*$D$14*(AD$5&gt;=$H$14+$F$14)</f>
        <v>0</v>
      </c>
      <c r="AE48" s="39" t="n">
        <f aca="false">(1-$I$14)*(1-$J$14)*(1-VinT14Loss*VinLossOn*(AE$5&gt;=VinLossIdx))*$D$14*(AE$5&gt;=$H$14+$F$14)</f>
        <v>0</v>
      </c>
      <c r="AF48" s="39" t="n">
        <f aca="false">(1-$I$14)*(1-$J$14)*(1-VinT14Loss*VinLossOn*(AF$5&gt;=VinLossIdx))*$D$14*(AF$5&gt;=$H$14+$F$14)</f>
        <v>0</v>
      </c>
      <c r="AG48" s="39" t="n">
        <f aca="false">(1-$I$14)*(1-$J$14)*(1-VinT14Loss*VinLossOn*(AG$5&gt;=VinLossIdx))*$D$14*(AG$5&gt;=$H$14+$F$14)</f>
        <v>0</v>
      </c>
      <c r="AI48" s="39" t="n">
        <f aca="false">INDEX($F48:$AG48,1,MATCH(AI$7,$F$7:$AG$7,1))</f>
        <v>0</v>
      </c>
      <c r="AJ48" s="39" t="n">
        <f aca="false">INDEX($F48:$AG48,1,MATCH(AJ$7,$F$7:$AG$7,1))</f>
        <v>0</v>
      </c>
      <c r="AK48" s="39" t="n">
        <f aca="false">INDEX($F48:$AG48,1,MATCH(AK$7,$F$7:$AG$7,1))</f>
        <v>0</v>
      </c>
      <c r="AL48" s="39" t="n">
        <f aca="false">INDEX($F48:$AG48,1,MATCH(AL$7,$F$7:$AG$7,1))</f>
        <v>0</v>
      </c>
      <c r="AM48" s="39" t="n">
        <f aca="false">INDEX($F48:$AG48,1,MATCH(AM$7,$F$7:$AG$7,1))</f>
        <v>0</v>
      </c>
      <c r="AN48" s="39" t="n">
        <f aca="false">INDEX($F48:$AG48,1,MATCH(AN$7,$F$7:$AG$7,1))</f>
        <v>0</v>
      </c>
      <c r="AO48" s="39" t="n">
        <f aca="false">INDEX($F48:$AG48,1,MATCH(AO$7,$F$7:$AG$7,1))</f>
        <v>0</v>
      </c>
    </row>
    <row r="49" customFormat="false" ht="15" hidden="false" customHeight="false" outlineLevel="0" collapsed="false">
      <c r="A49" s="112" t="s">
        <v>2089</v>
      </c>
      <c r="B49" s="24" t="s">
        <v>745</v>
      </c>
      <c r="C49" s="24"/>
      <c r="D49" s="24" t="s">
        <v>2079</v>
      </c>
      <c r="F49" s="130" t="n">
        <f aca="false">F48*CHOOSE(MATCH($C$14,{"H";"B";"N"},0),GPUMW_H*ODc_H,GPUMW_B*ODc_B,GPUMW_N*ODc_N)*ResidUtil*Timeline!F$9*INDEX(Curve,1,MAX(1,MIN(8,INT((F$5-$H$14)/4)+1)))/1000000</f>
        <v>0</v>
      </c>
      <c r="G49" s="130" t="n">
        <f aca="false">G48*CHOOSE(MATCH($C$14,{"H";"B";"N"},0),GPUMW_H*ODc_H,GPUMW_B*ODc_B,GPUMW_N*ODc_N)*ResidUtil*Timeline!G$9*INDEX(Curve,1,MAX(1,MIN(8,INT((G$5-$H$14)/4)+1)))/1000000</f>
        <v>0</v>
      </c>
      <c r="H49" s="130" t="n">
        <f aca="false">H48*CHOOSE(MATCH($C$14,{"H";"B";"N"},0),GPUMW_H*ODc_H,GPUMW_B*ODc_B,GPUMW_N*ODc_N)*ResidUtil*Timeline!H$9*INDEX(Curve,1,MAX(1,MIN(8,INT((H$5-$H$14)/4)+1)))/1000000</f>
        <v>0</v>
      </c>
      <c r="I49" s="130" t="n">
        <f aca="false">I48*CHOOSE(MATCH($C$14,{"H";"B";"N"},0),GPUMW_H*ODc_H,GPUMW_B*ODc_B,GPUMW_N*ODc_N)*ResidUtil*Timeline!I$9*INDEX(Curve,1,MAX(1,MIN(8,INT((I$5-$H$14)/4)+1)))/1000000</f>
        <v>0</v>
      </c>
      <c r="J49" s="130" t="n">
        <f aca="false">J48*CHOOSE(MATCH($C$14,{"H";"B";"N"},0),GPUMW_H*ODc_H,GPUMW_B*ODc_B,GPUMW_N*ODc_N)*ResidUtil*Timeline!J$9*INDEX(Curve,1,MAX(1,MIN(8,INT((J$5-$H$14)/4)+1)))/1000000</f>
        <v>0</v>
      </c>
      <c r="K49" s="130" t="n">
        <f aca="false">K48*CHOOSE(MATCH($C$14,{"H";"B";"N"},0),GPUMW_H*ODc_H,GPUMW_B*ODc_B,GPUMW_N*ODc_N)*ResidUtil*Timeline!K$9*INDEX(Curve,1,MAX(1,MIN(8,INT((K$5-$H$14)/4)+1)))/1000000</f>
        <v>0</v>
      </c>
      <c r="L49" s="130" t="n">
        <f aca="false">L48*CHOOSE(MATCH($C$14,{"H";"B";"N"},0),GPUMW_H*ODc_H,GPUMW_B*ODc_B,GPUMW_N*ODc_N)*ResidUtil*Timeline!L$9*INDEX(Curve,1,MAX(1,MIN(8,INT((L$5-$H$14)/4)+1)))/1000000</f>
        <v>0</v>
      </c>
      <c r="M49" s="130" t="n">
        <f aca="false">M48*CHOOSE(MATCH($C$14,{"H";"B";"N"},0),GPUMW_H*ODc_H,GPUMW_B*ODc_B,GPUMW_N*ODc_N)*ResidUtil*Timeline!M$9*INDEX(Curve,1,MAX(1,MIN(8,INT((M$5-$H$14)/4)+1)))/1000000</f>
        <v>0</v>
      </c>
      <c r="N49" s="130" t="n">
        <f aca="false">N48*CHOOSE(MATCH($C$14,{"H";"B";"N"},0),GPUMW_H*ODc_H,GPUMW_B*ODc_B,GPUMW_N*ODc_N)*ResidUtil*Timeline!N$9*INDEX(Curve,1,MAX(1,MIN(8,INT((N$5-$H$14)/4)+1)))/1000000</f>
        <v>0</v>
      </c>
      <c r="O49" s="130" t="n">
        <f aca="false">O48*CHOOSE(MATCH($C$14,{"H";"B";"N"},0),GPUMW_H*ODc_H,GPUMW_B*ODc_B,GPUMW_N*ODc_N)*ResidUtil*Timeline!O$9*INDEX(Curve,1,MAX(1,MIN(8,INT((O$5-$H$14)/4)+1)))/1000000</f>
        <v>0</v>
      </c>
      <c r="P49" s="131" t="n">
        <f aca="false">P48*CHOOSE(MATCH($C$14,{"H";"B";"N"},0),GPUMW_H*ODc_H,GPUMW_B*ODc_B,GPUMW_N*ODc_N)*ResidUtil*Timeline!P$9*INDEX(Curve,1,MAX(1,MIN(8,INT((P$5-$H$14)/4)+1)))/1000000</f>
        <v>0</v>
      </c>
      <c r="Q49" s="131" t="n">
        <f aca="false">Q48*CHOOSE(MATCH($C$14,{"H";"B";"N"},0),GPUMW_H*ODc_H,GPUMW_B*ODc_B,GPUMW_N*ODc_N)*ResidUtil*Timeline!Q$9*INDEX(Curve,1,MAX(1,MIN(8,INT((Q$5-$H$14)/4)+1)))/1000000</f>
        <v>0</v>
      </c>
      <c r="R49" s="131" t="n">
        <f aca="false">R48*CHOOSE(MATCH($C$14,{"H";"B";"N"},0),GPUMW_H*ODc_H,GPUMW_B*ODc_B,GPUMW_N*ODc_N)*ResidUtil*Timeline!R$9*INDEX(Curve,1,MAX(1,MIN(8,INT((R$5-$H$14)/4)+1)))/1000000</f>
        <v>0</v>
      </c>
      <c r="S49" s="131" t="n">
        <f aca="false">S48*CHOOSE(MATCH($C$14,{"H";"B";"N"},0),GPUMW_H*ODc_H,GPUMW_B*ODc_B,GPUMW_N*ODc_N)*ResidUtil*Timeline!S$9*INDEX(Curve,1,MAX(1,MIN(8,INT((S$5-$H$14)/4)+1)))/1000000</f>
        <v>0</v>
      </c>
      <c r="T49" s="131" t="n">
        <f aca="false">T48*CHOOSE(MATCH($C$14,{"H";"B";"N"},0),GPUMW_H*ODc_H,GPUMW_B*ODc_B,GPUMW_N*ODc_N)*ResidUtil*Timeline!T$9*INDEX(Curve,1,MAX(1,MIN(8,INT((T$5-$H$14)/4)+1)))/1000000</f>
        <v>0</v>
      </c>
      <c r="U49" s="131" t="n">
        <f aca="false">U48*CHOOSE(MATCH($C$14,{"H";"B";"N"},0),GPUMW_H*ODc_H,GPUMW_B*ODc_B,GPUMW_N*ODc_N)*ResidUtil*Timeline!U$9*INDEX(Curve,1,MAX(1,MIN(8,INT((U$5-$H$14)/4)+1)))/1000000</f>
        <v>0</v>
      </c>
      <c r="V49" s="131" t="n">
        <f aca="false">V48*CHOOSE(MATCH($C$14,{"H";"B";"N"},0),GPUMW_H*ODc_H,GPUMW_B*ODc_B,GPUMW_N*ODc_N)*ResidUtil*Timeline!V$9*INDEX(Curve,1,MAX(1,MIN(8,INT((V$5-$H$14)/4)+1)))/1000000</f>
        <v>0</v>
      </c>
      <c r="W49" s="131" t="n">
        <f aca="false">W48*CHOOSE(MATCH($C$14,{"H";"B";"N"},0),GPUMW_H*ODc_H,GPUMW_B*ODc_B,GPUMW_N*ODc_N)*ResidUtil*Timeline!W$9*INDEX(Curve,1,MAX(1,MIN(8,INT((W$5-$H$14)/4)+1)))/1000000</f>
        <v>0</v>
      </c>
      <c r="X49" s="131" t="n">
        <f aca="false">X48*CHOOSE(MATCH($C$14,{"H";"B";"N"},0),GPUMW_H*ODc_H,GPUMW_B*ODc_B,GPUMW_N*ODc_N)*ResidUtil*Timeline!X$9*INDEX(Curve,1,MAX(1,MIN(8,INT((X$5-$H$14)/4)+1)))/1000000</f>
        <v>0</v>
      </c>
      <c r="Y49" s="131" t="n">
        <f aca="false">Y48*CHOOSE(MATCH($C$14,{"H";"B";"N"},0),GPUMW_H*ODc_H,GPUMW_B*ODc_B,GPUMW_N*ODc_N)*ResidUtil*Timeline!Y$9*INDEX(Curve,1,MAX(1,MIN(8,INT((Y$5-$H$14)/4)+1)))/1000000</f>
        <v>0</v>
      </c>
      <c r="Z49" s="131" t="n">
        <f aca="false">Z48*CHOOSE(MATCH($C$14,{"H";"B";"N"},0),GPUMW_H*ODc_H,GPUMW_B*ODc_B,GPUMW_N*ODc_N)*ResidUtil*Timeline!Z$9*INDEX(Curve,1,MAX(1,MIN(8,INT((Z$5-$H$14)/4)+1)))/1000000</f>
        <v>0</v>
      </c>
      <c r="AA49" s="131" t="n">
        <f aca="false">AA48*CHOOSE(MATCH($C$14,{"H";"B";"N"},0),GPUMW_H*ODc_H,GPUMW_B*ODc_B,GPUMW_N*ODc_N)*ResidUtil*Timeline!AA$9*INDEX(Curve,1,MAX(1,MIN(8,INT((AA$5-$H$14)/4)+1)))/1000000</f>
        <v>0</v>
      </c>
      <c r="AB49" s="131" t="n">
        <f aca="false">AB48*CHOOSE(MATCH($C$14,{"H";"B";"N"},0),GPUMW_H*ODc_H,GPUMW_B*ODc_B,GPUMW_N*ODc_N)*ResidUtil*Timeline!AB$9*INDEX(Curve,1,MAX(1,MIN(8,INT((AB$5-$H$14)/4)+1)))/1000000</f>
        <v>0</v>
      </c>
      <c r="AC49" s="131" t="n">
        <f aca="false">AC48*CHOOSE(MATCH($C$14,{"H";"B";"N"},0),GPUMW_H*ODc_H,GPUMW_B*ODc_B,GPUMW_N*ODc_N)*ResidUtil*Timeline!AC$9*INDEX(Curve,1,MAX(1,MIN(8,INT((AC$5-$H$14)/4)+1)))/1000000</f>
        <v>0</v>
      </c>
      <c r="AD49" s="131" t="n">
        <f aca="false">AD48*CHOOSE(MATCH($C$14,{"H";"B";"N"},0),GPUMW_H*ODc_H,GPUMW_B*ODc_B,GPUMW_N*ODc_N)*ResidUtil*Timeline!AD$9*INDEX(Curve,1,MAX(1,MIN(8,INT((AD$5-$H$14)/4)+1)))/1000000</f>
        <v>0</v>
      </c>
      <c r="AE49" s="131" t="n">
        <f aca="false">AE48*CHOOSE(MATCH($C$14,{"H";"B";"N"},0),GPUMW_H*ODc_H,GPUMW_B*ODc_B,GPUMW_N*ODc_N)*ResidUtil*Timeline!AE$9*INDEX(Curve,1,MAX(1,MIN(8,INT((AE$5-$H$14)/4)+1)))/1000000</f>
        <v>0</v>
      </c>
      <c r="AF49" s="131" t="n">
        <f aca="false">AF48*CHOOSE(MATCH($C$14,{"H";"B";"N"},0),GPUMW_H*ODc_H,GPUMW_B*ODc_B,GPUMW_N*ODc_N)*ResidUtil*Timeline!AF$9*INDEX(Curve,1,MAX(1,MIN(8,INT((AF$5-$H$14)/4)+1)))/1000000</f>
        <v>0</v>
      </c>
      <c r="AG49" s="131" t="n">
        <f aca="false">AG48*CHOOSE(MATCH($C$14,{"H";"B";"N"},0),GPUMW_H*ODc_H,GPUMW_B*ODc_B,GPUMW_N*ODc_N)*ResidUtil*Timeline!AG$9*INDEX(Curve,1,MAX(1,MIN(8,INT((AG$5-$H$14)/4)+1)))/1000000</f>
        <v>0</v>
      </c>
      <c r="AI49" s="131" t="n">
        <f aca="false">SUMIF($F$7:$AG$7,AI$7,$F49:$AG49)</f>
        <v>0</v>
      </c>
      <c r="AJ49" s="131" t="n">
        <f aca="false">SUMIF($F$7:$AG$7,AJ$7,$F49:$AG49)</f>
        <v>0</v>
      </c>
      <c r="AK49" s="131" t="n">
        <f aca="false">SUMIF($F$7:$AG$7,AK$7,$F49:$AG49)</f>
        <v>0</v>
      </c>
      <c r="AL49" s="131" t="n">
        <f aca="false">SUMIF($F$7:$AG$7,AL$7,$F49:$AG49)</f>
        <v>0</v>
      </c>
      <c r="AM49" s="131" t="n">
        <f aca="false">SUMIF($F$7:$AG$7,AM$7,$F49:$AG49)</f>
        <v>0</v>
      </c>
      <c r="AN49" s="131" t="n">
        <f aca="false">SUMIF($F$7:$AG$7,AN$7,$F49:$AG49)</f>
        <v>0</v>
      </c>
      <c r="AO49" s="131" t="n">
        <f aca="false">SUMIF($F$7:$AG$7,AO$7,$F49:$AG49)</f>
        <v>0</v>
      </c>
    </row>
    <row r="50" customFormat="false" ht="15" hidden="false" customHeight="false" outlineLevel="0" collapsed="false">
      <c r="A50" s="112" t="s">
        <v>2090</v>
      </c>
      <c r="B50" s="24" t="s">
        <v>745</v>
      </c>
      <c r="C50" s="24"/>
      <c r="D50" s="24"/>
      <c r="F50" s="130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30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30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30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30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30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30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30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30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30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31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31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31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31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31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31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31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31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31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31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31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31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31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31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31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31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31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31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31" t="n">
        <f aca="false">SUMIF($F$7:$AG$7,AI$7,$F50:$AG50)</f>
        <v>0</v>
      </c>
      <c r="AJ50" s="131" t="n">
        <f aca="false">SUMIF($F$7:$AG$7,AJ$7,$F50:$AG50)</f>
        <v>0</v>
      </c>
      <c r="AK50" s="131" t="n">
        <f aca="false">SUMIF($F$7:$AG$7,AK$7,$F50:$AG50)</f>
        <v>60.3920138888889</v>
      </c>
      <c r="AL50" s="131" t="n">
        <f aca="false">SUMIF($F$7:$AG$7,AL$7,$F50:$AG50)</f>
        <v>362.352083333333</v>
      </c>
      <c r="AM50" s="131" t="n">
        <f aca="false">SUMIF($F$7:$AG$7,AM$7,$F50:$AG50)</f>
        <v>386.508888888889</v>
      </c>
      <c r="AN50" s="131" t="n">
        <f aca="false">SUMIF($F$7:$AG$7,AN$7,$F50:$AG50)</f>
        <v>386.508888888889</v>
      </c>
      <c r="AO50" s="131" t="n">
        <f aca="false">SUMIF($F$7:$AG$7,AO$7,$F50:$AG50)</f>
        <v>386.508888888889</v>
      </c>
    </row>
    <row r="51" customFormat="false" ht="15" hidden="false" customHeight="false" outlineLevel="0" collapsed="false">
      <c r="A51" s="112" t="s">
        <v>2091</v>
      </c>
      <c r="B51" s="24" t="s">
        <v>857</v>
      </c>
      <c r="C51" s="24"/>
      <c r="D51" s="24"/>
      <c r="F51" s="121" t="n">
        <f aca="false">(1-$I$15)*(1-$J$15)*(1-VinT14Loss*VinLossOn*(F$5&gt;=VinLossIdx))*$D$15*AND(F$5&gt;=$H$15,F$5&lt;$H$15+$F$15)</f>
        <v>0</v>
      </c>
      <c r="G51" s="121" t="n">
        <f aca="false">(1-$I$15)*(1-$J$15)*(1-VinT14Loss*VinLossOn*(G$5&gt;=VinLossIdx))*$D$15*AND(G$5&gt;=$H$15,G$5&lt;$H$15+$F$15)</f>
        <v>0</v>
      </c>
      <c r="H51" s="121" t="n">
        <f aca="false">(1-$I$15)*(1-$J$15)*(1-VinT14Loss*VinLossOn*(H$5&gt;=VinLossIdx))*$D$15*AND(H$5&gt;=$H$15,H$5&lt;$H$15+$F$15)</f>
        <v>0</v>
      </c>
      <c r="I51" s="121" t="n">
        <f aca="false">(1-$I$15)*(1-$J$15)*(1-VinT14Loss*VinLossOn*(I$5&gt;=VinLossIdx))*$D$15*AND(I$5&gt;=$H$15,I$5&lt;$H$15+$F$15)</f>
        <v>0</v>
      </c>
      <c r="J51" s="121" t="n">
        <f aca="false">(1-$I$15)*(1-$J$15)*(1-VinT14Loss*VinLossOn*(J$5&gt;=VinLossIdx))*$D$15*AND(J$5&gt;=$H$15,J$5&lt;$H$15+$F$15)</f>
        <v>0</v>
      </c>
      <c r="K51" s="121" t="n">
        <f aca="false">(1-$I$15)*(1-$J$15)*(1-VinT14Loss*VinLossOn*(K$5&gt;=VinLossIdx))*$D$15*AND(K$5&gt;=$H$15,K$5&lt;$H$15+$F$15)</f>
        <v>0</v>
      </c>
      <c r="L51" s="121" t="n">
        <f aca="false">(1-$I$15)*(1-$J$15)*(1-VinT14Loss*VinLossOn*(L$5&gt;=VinLossIdx))*$D$15*AND(L$5&gt;=$H$15,L$5&lt;$H$15+$F$15)</f>
        <v>0</v>
      </c>
      <c r="M51" s="121" t="n">
        <f aca="false">(1-$I$15)*(1-$J$15)*(1-VinT14Loss*VinLossOn*(M$5&gt;=VinLossIdx))*$D$15*AND(M$5&gt;=$H$15,M$5&lt;$H$15+$F$15)</f>
        <v>0</v>
      </c>
      <c r="N51" s="121" t="n">
        <f aca="false">(1-$I$15)*(1-$J$15)*(1-VinT14Loss*VinLossOn*(N$5&gt;=VinLossIdx))*$D$15*AND(N$5&gt;=$H$15,N$5&lt;$H$15+$F$15)</f>
        <v>0</v>
      </c>
      <c r="O51" s="121" t="n">
        <f aca="false">(1-$I$15)*(1-$J$15)*(1-VinT14Loss*VinLossOn*(O$5&gt;=VinLossIdx))*$D$15*AND(O$5&gt;=$H$15,O$5&lt;$H$15+$F$15)</f>
        <v>0</v>
      </c>
      <c r="P51" s="39" t="n">
        <f aca="false">(1-$I$15)*(1-$J$15)*(1-VinT14Loss*VinLossOn*(P$5&gt;=VinLossIdx))*$D$15*AND(P$5&gt;=$H$15,P$5&lt;$H$15+$F$15)</f>
        <v>26.6666666666667</v>
      </c>
      <c r="Q51" s="39" t="n">
        <f aca="false">(1-$I$15)*(1-$J$15)*(1-VinT14Loss*VinLossOn*(Q$5&gt;=VinLossIdx))*$D$15*AND(Q$5&gt;=$H$15,Q$5&lt;$H$15+$F$15)</f>
        <v>26.6666666666667</v>
      </c>
      <c r="R51" s="39" t="n">
        <f aca="false">(1-$I$15)*(1-$J$15)*(1-VinT14Loss*VinLossOn*(R$5&gt;=VinLossIdx))*$D$15*AND(R$5&gt;=$H$15,R$5&lt;$H$15+$F$15)</f>
        <v>26.6666666666667</v>
      </c>
      <c r="S51" s="39" t="n">
        <f aca="false">(1-$I$15)*(1-$J$15)*(1-VinT14Loss*VinLossOn*(S$5&gt;=VinLossIdx))*$D$15*AND(S$5&gt;=$H$15,S$5&lt;$H$15+$F$15)</f>
        <v>26.6666666666667</v>
      </c>
      <c r="T51" s="39" t="n">
        <f aca="false">(1-$I$15)*(1-$J$15)*(1-VinT14Loss*VinLossOn*(T$5&gt;=VinLossIdx))*$D$15*AND(T$5&gt;=$H$15,T$5&lt;$H$15+$F$15)</f>
        <v>26.6666666666667</v>
      </c>
      <c r="U51" s="39" t="n">
        <f aca="false">(1-$I$15)*(1-$J$15)*(1-VinT14Loss*VinLossOn*(U$5&gt;=VinLossIdx))*$D$15*AND(U$5&gt;=$H$15,U$5&lt;$H$15+$F$15)</f>
        <v>26.6666666666667</v>
      </c>
      <c r="V51" s="39" t="n">
        <f aca="false">(1-$I$15)*(1-$J$15)*(1-VinT14Loss*VinLossOn*(V$5&gt;=VinLossIdx))*$D$15*AND(V$5&gt;=$H$15,V$5&lt;$H$15+$F$15)</f>
        <v>26.6666666666667</v>
      </c>
      <c r="W51" s="39" t="n">
        <f aca="false">(1-$I$15)*(1-$J$15)*(1-VinT14Loss*VinLossOn*(W$5&gt;=VinLossIdx))*$D$15*AND(W$5&gt;=$H$15,W$5&lt;$H$15+$F$15)</f>
        <v>26.6666666666667</v>
      </c>
      <c r="X51" s="39" t="n">
        <f aca="false">(1-$I$15)*(1-$J$15)*(1-VinT14Loss*VinLossOn*(X$5&gt;=VinLossIdx))*$D$15*AND(X$5&gt;=$H$15,X$5&lt;$H$15+$F$15)</f>
        <v>26.6666666666667</v>
      </c>
      <c r="Y51" s="39" t="n">
        <f aca="false">(1-$I$15)*(1-$J$15)*(1-VinT14Loss*VinLossOn*(Y$5&gt;=VinLossIdx))*$D$15*AND(Y$5&gt;=$H$15,Y$5&lt;$H$15+$F$15)</f>
        <v>26.6666666666667</v>
      </c>
      <c r="Z51" s="39" t="n">
        <f aca="false">(1-$I$15)*(1-$J$15)*(1-VinT14Loss*VinLossOn*(Z$5&gt;=VinLossIdx))*$D$15*AND(Z$5&gt;=$H$15,Z$5&lt;$H$15+$F$15)</f>
        <v>26.6666666666667</v>
      </c>
      <c r="AA51" s="39" t="n">
        <f aca="false">(1-$I$15)*(1-$J$15)*(1-VinT14Loss*VinLossOn*(AA$5&gt;=VinLossIdx))*$D$15*AND(AA$5&gt;=$H$15,AA$5&lt;$H$15+$F$15)</f>
        <v>26.6666666666667</v>
      </c>
      <c r="AB51" s="39" t="n">
        <f aca="false">(1-$I$15)*(1-$J$15)*(1-VinT14Loss*VinLossOn*(AB$5&gt;=VinLossIdx))*$D$15*AND(AB$5&gt;=$H$15,AB$5&lt;$H$15+$F$15)</f>
        <v>26.6666666666667</v>
      </c>
      <c r="AC51" s="39" t="n">
        <f aca="false">(1-$I$15)*(1-$J$15)*(1-VinT14Loss*VinLossOn*(AC$5&gt;=VinLossIdx))*$D$15*AND(AC$5&gt;=$H$15,AC$5&lt;$H$15+$F$15)</f>
        <v>26.6666666666667</v>
      </c>
      <c r="AD51" s="39" t="n">
        <f aca="false">(1-$I$15)*(1-$J$15)*(1-VinT14Loss*VinLossOn*(AD$5&gt;=VinLossIdx))*$D$15*AND(AD$5&gt;=$H$15,AD$5&lt;$H$15+$F$15)</f>
        <v>26.6666666666667</v>
      </c>
      <c r="AE51" s="39" t="n">
        <f aca="false">(1-$I$15)*(1-$J$15)*(1-VinT14Loss*VinLossOn*(AE$5&gt;=VinLossIdx))*$D$15*AND(AE$5&gt;=$H$15,AE$5&lt;$H$15+$F$15)</f>
        <v>26.6666666666667</v>
      </c>
      <c r="AF51" s="39" t="n">
        <f aca="false">(1-$I$15)*(1-$J$15)*(1-VinT14Loss*VinLossOn*(AF$5&gt;=VinLossIdx))*$D$15*AND(AF$5&gt;=$H$15,AF$5&lt;$H$15+$F$15)</f>
        <v>26.6666666666667</v>
      </c>
      <c r="AG51" s="39" t="n">
        <f aca="false">(1-$I$15)*(1-$J$15)*(1-VinT14Loss*VinLossOn*(AG$5&gt;=VinLossIdx))*$D$15*AND(AG$5&gt;=$H$15,AG$5&lt;$H$15+$F$15)</f>
        <v>26.6666666666667</v>
      </c>
      <c r="AI51" s="39" t="n">
        <f aca="false">INDEX($F51:$AG51,1,MATCH(AI$7,$F$7:$AG$7,1))</f>
        <v>0</v>
      </c>
      <c r="AJ51" s="39" t="n">
        <f aca="false">INDEX($F51:$AG51,1,MATCH(AJ$7,$F$7:$AG$7,1))</f>
        <v>0</v>
      </c>
      <c r="AK51" s="39" t="n">
        <f aca="false">INDEX($F51:$AG51,1,MATCH(AK$7,$F$7:$AG$7,1))</f>
        <v>26.6666666666667</v>
      </c>
      <c r="AL51" s="39" t="n">
        <f aca="false">INDEX($F51:$AG51,1,MATCH(AL$7,$F$7:$AG$7,1))</f>
        <v>26.6666666666667</v>
      </c>
      <c r="AM51" s="39" t="n">
        <f aca="false">INDEX($F51:$AG51,1,MATCH(AM$7,$F$7:$AG$7,1))</f>
        <v>26.6666666666667</v>
      </c>
      <c r="AN51" s="39" t="n">
        <f aca="false">INDEX($F51:$AG51,1,MATCH(AN$7,$F$7:$AG$7,1))</f>
        <v>26.6666666666667</v>
      </c>
      <c r="AO51" s="39" t="n">
        <f aca="false">INDEX($F51:$AG51,1,MATCH(AO$7,$F$7:$AG$7,1))</f>
        <v>26.6666666666667</v>
      </c>
    </row>
    <row r="52" customFormat="false" ht="15" hidden="false" customHeight="false" outlineLevel="0" collapsed="false">
      <c r="A52" s="112" t="s">
        <v>2092</v>
      </c>
      <c r="B52" s="24" t="s">
        <v>745</v>
      </c>
      <c r="C52" s="24"/>
      <c r="D52" s="24"/>
      <c r="F52" s="130" t="n">
        <f aca="false">-(1-$I$15)*LD_Pct*$D$15*$E$15/4*AND(F$5&gt;=$G$15,F$5&lt;$H$15)</f>
        <v>-0</v>
      </c>
      <c r="G52" s="130" t="n">
        <f aca="false">-(1-$I$15)*LD_Pct*$D$15*$E$15/4*AND(G$5&gt;=$G$15,G$5&lt;$H$15)</f>
        <v>-0</v>
      </c>
      <c r="H52" s="130" t="n">
        <f aca="false">-(1-$I$15)*LD_Pct*$D$15*$E$15/4*AND(H$5&gt;=$G$15,H$5&lt;$H$15)</f>
        <v>-0</v>
      </c>
      <c r="I52" s="130" t="n">
        <f aca="false">-(1-$I$15)*LD_Pct*$D$15*$E$15/4*AND(I$5&gt;=$G$15,I$5&lt;$H$15)</f>
        <v>-0</v>
      </c>
      <c r="J52" s="130" t="n">
        <f aca="false">-(1-$I$15)*LD_Pct*$D$15*$E$15/4*AND(J$5&gt;=$G$15,J$5&lt;$H$15)</f>
        <v>-0</v>
      </c>
      <c r="K52" s="130" t="n">
        <f aca="false">-(1-$I$15)*LD_Pct*$D$15*$E$15/4*AND(K$5&gt;=$G$15,K$5&lt;$H$15)</f>
        <v>-0</v>
      </c>
      <c r="L52" s="130" t="n">
        <f aca="false">-(1-$I$15)*LD_Pct*$D$15*$E$15/4*AND(L$5&gt;=$G$15,L$5&lt;$H$15)</f>
        <v>-0</v>
      </c>
      <c r="M52" s="130" t="n">
        <f aca="false">-(1-$I$15)*LD_Pct*$D$15*$E$15/4*AND(M$5&gt;=$G$15,M$5&lt;$H$15)</f>
        <v>-0</v>
      </c>
      <c r="N52" s="130" t="n">
        <f aca="false">-(1-$I$15)*LD_Pct*$D$15*$E$15/4*AND(N$5&gt;=$G$15,N$5&lt;$H$15)</f>
        <v>-0</v>
      </c>
      <c r="O52" s="130" t="n">
        <f aca="false">-(1-$I$15)*LD_Pct*$D$15*$E$15/4*AND(O$5&gt;=$G$15,O$5&lt;$H$15)</f>
        <v>-0</v>
      </c>
      <c r="P52" s="131" t="n">
        <f aca="false">-(1-$I$15)*LD_Pct*$D$15*$E$15/4*AND(P$5&gt;=$G$15,P$5&lt;$H$15)</f>
        <v>-0</v>
      </c>
      <c r="Q52" s="131" t="n">
        <f aca="false">-(1-$I$15)*LD_Pct*$D$15*$E$15/4*AND(Q$5&gt;=$G$15,Q$5&lt;$H$15)</f>
        <v>-0</v>
      </c>
      <c r="R52" s="131" t="n">
        <f aca="false">-(1-$I$15)*LD_Pct*$D$15*$E$15/4*AND(R$5&gt;=$G$15,R$5&lt;$H$15)</f>
        <v>-0</v>
      </c>
      <c r="S52" s="131" t="n">
        <f aca="false">-(1-$I$15)*LD_Pct*$D$15*$E$15/4*AND(S$5&gt;=$G$15,S$5&lt;$H$15)</f>
        <v>-0</v>
      </c>
      <c r="T52" s="131" t="n">
        <f aca="false">-(1-$I$15)*LD_Pct*$D$15*$E$15/4*AND(T$5&gt;=$G$15,T$5&lt;$H$15)</f>
        <v>-0</v>
      </c>
      <c r="U52" s="131" t="n">
        <f aca="false">-(1-$I$15)*LD_Pct*$D$15*$E$15/4*AND(U$5&gt;=$G$15,U$5&lt;$H$15)</f>
        <v>-0</v>
      </c>
      <c r="V52" s="131" t="n">
        <f aca="false">-(1-$I$15)*LD_Pct*$D$15*$E$15/4*AND(V$5&gt;=$G$15,V$5&lt;$H$15)</f>
        <v>-0</v>
      </c>
      <c r="W52" s="131" t="n">
        <f aca="false">-(1-$I$15)*LD_Pct*$D$15*$E$15/4*AND(W$5&gt;=$G$15,W$5&lt;$H$15)</f>
        <v>-0</v>
      </c>
      <c r="X52" s="131" t="n">
        <f aca="false">-(1-$I$15)*LD_Pct*$D$15*$E$15/4*AND(X$5&gt;=$G$15,X$5&lt;$H$15)</f>
        <v>-0</v>
      </c>
      <c r="Y52" s="131" t="n">
        <f aca="false">-(1-$I$15)*LD_Pct*$D$15*$E$15/4*AND(Y$5&gt;=$G$15,Y$5&lt;$H$15)</f>
        <v>-0</v>
      </c>
      <c r="Z52" s="131" t="n">
        <f aca="false">-(1-$I$15)*LD_Pct*$D$15*$E$15/4*AND(Z$5&gt;=$G$15,Z$5&lt;$H$15)</f>
        <v>-0</v>
      </c>
      <c r="AA52" s="131" t="n">
        <f aca="false">-(1-$I$15)*LD_Pct*$D$15*$E$15/4*AND(AA$5&gt;=$G$15,AA$5&lt;$H$15)</f>
        <v>-0</v>
      </c>
      <c r="AB52" s="131" t="n">
        <f aca="false">-(1-$I$15)*LD_Pct*$D$15*$E$15/4*AND(AB$5&gt;=$G$15,AB$5&lt;$H$15)</f>
        <v>-0</v>
      </c>
      <c r="AC52" s="131" t="n">
        <f aca="false">-(1-$I$15)*LD_Pct*$D$15*$E$15/4*AND(AC$5&gt;=$G$15,AC$5&lt;$H$15)</f>
        <v>-0</v>
      </c>
      <c r="AD52" s="131" t="n">
        <f aca="false">-(1-$I$15)*LD_Pct*$D$15*$E$15/4*AND(AD$5&gt;=$G$15,AD$5&lt;$H$15)</f>
        <v>-0</v>
      </c>
      <c r="AE52" s="131" t="n">
        <f aca="false">-(1-$I$15)*LD_Pct*$D$15*$E$15/4*AND(AE$5&gt;=$G$15,AE$5&lt;$H$15)</f>
        <v>-0</v>
      </c>
      <c r="AF52" s="131" t="n">
        <f aca="false">-(1-$I$15)*LD_Pct*$D$15*$E$15/4*AND(AF$5&gt;=$G$15,AF$5&lt;$H$15)</f>
        <v>-0</v>
      </c>
      <c r="AG52" s="131" t="n">
        <f aca="false">-(1-$I$15)*LD_Pct*$D$15*$E$15/4*AND(AG$5&gt;=$G$15,AG$5&lt;$H$15)</f>
        <v>-0</v>
      </c>
      <c r="AI52" s="131" t="n">
        <f aca="false">SUMIF($F$7:$AG$7,AI$7,$F52:$AG52)</f>
        <v>0</v>
      </c>
      <c r="AJ52" s="131" t="n">
        <f aca="false">SUMIF($F$7:$AG$7,AJ$7,$F52:$AG52)</f>
        <v>0</v>
      </c>
      <c r="AK52" s="131" t="n">
        <f aca="false">SUMIF($F$7:$AG$7,AK$7,$F52:$AG52)</f>
        <v>0</v>
      </c>
      <c r="AL52" s="131" t="n">
        <f aca="false">SUMIF($F$7:$AG$7,AL$7,$F52:$AG52)</f>
        <v>0</v>
      </c>
      <c r="AM52" s="131" t="n">
        <f aca="false">SUMIF($F$7:$AG$7,AM$7,$F52:$AG52)</f>
        <v>0</v>
      </c>
      <c r="AN52" s="131" t="n">
        <f aca="false">SUMIF($F$7:$AG$7,AN$7,$F52:$AG52)</f>
        <v>0</v>
      </c>
      <c r="AO52" s="131" t="n">
        <f aca="false">SUMIF($F$7:$AG$7,AO$7,$F52:$AG52)</f>
        <v>0</v>
      </c>
    </row>
    <row r="53" customFormat="false" ht="15" hidden="false" customHeight="false" outlineLevel="0" collapsed="false">
      <c r="A53" s="112" t="s">
        <v>2093</v>
      </c>
      <c r="B53" s="24" t="s">
        <v>857</v>
      </c>
      <c r="C53" s="24"/>
      <c r="D53" s="24"/>
      <c r="F53" s="121" t="n">
        <f aca="false">(1-$I$15)*(1-$J$15)*(1-VinT14Loss*VinLossOn*(F$5&gt;=VinLossIdx))*$D$15*(F$5&gt;=$H$15+$F$15)</f>
        <v>0</v>
      </c>
      <c r="G53" s="121" t="n">
        <f aca="false">(1-$I$15)*(1-$J$15)*(1-VinT14Loss*VinLossOn*(G$5&gt;=VinLossIdx))*$D$15*(G$5&gt;=$H$15+$F$15)</f>
        <v>0</v>
      </c>
      <c r="H53" s="121" t="n">
        <f aca="false">(1-$I$15)*(1-$J$15)*(1-VinT14Loss*VinLossOn*(H$5&gt;=VinLossIdx))*$D$15*(H$5&gt;=$H$15+$F$15)</f>
        <v>0</v>
      </c>
      <c r="I53" s="121" t="n">
        <f aca="false">(1-$I$15)*(1-$J$15)*(1-VinT14Loss*VinLossOn*(I$5&gt;=VinLossIdx))*$D$15*(I$5&gt;=$H$15+$F$15)</f>
        <v>0</v>
      </c>
      <c r="J53" s="121" t="n">
        <f aca="false">(1-$I$15)*(1-$J$15)*(1-VinT14Loss*VinLossOn*(J$5&gt;=VinLossIdx))*$D$15*(J$5&gt;=$H$15+$F$15)</f>
        <v>0</v>
      </c>
      <c r="K53" s="121" t="n">
        <f aca="false">(1-$I$15)*(1-$J$15)*(1-VinT14Loss*VinLossOn*(K$5&gt;=VinLossIdx))*$D$15*(K$5&gt;=$H$15+$F$15)</f>
        <v>0</v>
      </c>
      <c r="L53" s="121" t="n">
        <f aca="false">(1-$I$15)*(1-$J$15)*(1-VinT14Loss*VinLossOn*(L$5&gt;=VinLossIdx))*$D$15*(L$5&gt;=$H$15+$F$15)</f>
        <v>0</v>
      </c>
      <c r="M53" s="121" t="n">
        <f aca="false">(1-$I$15)*(1-$J$15)*(1-VinT14Loss*VinLossOn*(M$5&gt;=VinLossIdx))*$D$15*(M$5&gt;=$H$15+$F$15)</f>
        <v>0</v>
      </c>
      <c r="N53" s="121" t="n">
        <f aca="false">(1-$I$15)*(1-$J$15)*(1-VinT14Loss*VinLossOn*(N$5&gt;=VinLossIdx))*$D$15*(N$5&gt;=$H$15+$F$15)</f>
        <v>0</v>
      </c>
      <c r="O53" s="121" t="n">
        <f aca="false">(1-$I$15)*(1-$J$15)*(1-VinT14Loss*VinLossOn*(O$5&gt;=VinLossIdx))*$D$15*(O$5&gt;=$H$15+$F$15)</f>
        <v>0</v>
      </c>
      <c r="P53" s="39" t="n">
        <f aca="false">(1-$I$15)*(1-$J$15)*(1-VinT14Loss*VinLossOn*(P$5&gt;=VinLossIdx))*$D$15*(P$5&gt;=$H$15+$F$15)</f>
        <v>0</v>
      </c>
      <c r="Q53" s="39" t="n">
        <f aca="false">(1-$I$15)*(1-$J$15)*(1-VinT14Loss*VinLossOn*(Q$5&gt;=VinLossIdx))*$D$15*(Q$5&gt;=$H$15+$F$15)</f>
        <v>0</v>
      </c>
      <c r="R53" s="39" t="n">
        <f aca="false">(1-$I$15)*(1-$J$15)*(1-VinT14Loss*VinLossOn*(R$5&gt;=VinLossIdx))*$D$15*(R$5&gt;=$H$15+$F$15)</f>
        <v>0</v>
      </c>
      <c r="S53" s="39" t="n">
        <f aca="false">(1-$I$15)*(1-$J$15)*(1-VinT14Loss*VinLossOn*(S$5&gt;=VinLossIdx))*$D$15*(S$5&gt;=$H$15+$F$15)</f>
        <v>0</v>
      </c>
      <c r="T53" s="39" t="n">
        <f aca="false">(1-$I$15)*(1-$J$15)*(1-VinT14Loss*VinLossOn*(T$5&gt;=VinLossIdx))*$D$15*(T$5&gt;=$H$15+$F$15)</f>
        <v>0</v>
      </c>
      <c r="U53" s="39" t="n">
        <f aca="false">(1-$I$15)*(1-$J$15)*(1-VinT14Loss*VinLossOn*(U$5&gt;=VinLossIdx))*$D$15*(U$5&gt;=$H$15+$F$15)</f>
        <v>0</v>
      </c>
      <c r="V53" s="39" t="n">
        <f aca="false">(1-$I$15)*(1-$J$15)*(1-VinT14Loss*VinLossOn*(V$5&gt;=VinLossIdx))*$D$15*(V$5&gt;=$H$15+$F$15)</f>
        <v>0</v>
      </c>
      <c r="W53" s="39" t="n">
        <f aca="false">(1-$I$15)*(1-$J$15)*(1-VinT14Loss*VinLossOn*(W$5&gt;=VinLossIdx))*$D$15*(W$5&gt;=$H$15+$F$15)</f>
        <v>0</v>
      </c>
      <c r="X53" s="39" t="n">
        <f aca="false">(1-$I$15)*(1-$J$15)*(1-VinT14Loss*VinLossOn*(X$5&gt;=VinLossIdx))*$D$15*(X$5&gt;=$H$15+$F$15)</f>
        <v>0</v>
      </c>
      <c r="Y53" s="39" t="n">
        <f aca="false">(1-$I$15)*(1-$J$15)*(1-VinT14Loss*VinLossOn*(Y$5&gt;=VinLossIdx))*$D$15*(Y$5&gt;=$H$15+$F$15)</f>
        <v>0</v>
      </c>
      <c r="Z53" s="39" t="n">
        <f aca="false">(1-$I$15)*(1-$J$15)*(1-VinT14Loss*VinLossOn*(Z$5&gt;=VinLossIdx))*$D$15*(Z$5&gt;=$H$15+$F$15)</f>
        <v>0</v>
      </c>
      <c r="AA53" s="39" t="n">
        <f aca="false">(1-$I$15)*(1-$J$15)*(1-VinT14Loss*VinLossOn*(AA$5&gt;=VinLossIdx))*$D$15*(AA$5&gt;=$H$15+$F$15)</f>
        <v>0</v>
      </c>
      <c r="AB53" s="39" t="n">
        <f aca="false">(1-$I$15)*(1-$J$15)*(1-VinT14Loss*VinLossOn*(AB$5&gt;=VinLossIdx))*$D$15*(AB$5&gt;=$H$15+$F$15)</f>
        <v>0</v>
      </c>
      <c r="AC53" s="39" t="n">
        <f aca="false">(1-$I$15)*(1-$J$15)*(1-VinT14Loss*VinLossOn*(AC$5&gt;=VinLossIdx))*$D$15*(AC$5&gt;=$H$15+$F$15)</f>
        <v>0</v>
      </c>
      <c r="AD53" s="39" t="n">
        <f aca="false">(1-$I$15)*(1-$J$15)*(1-VinT14Loss*VinLossOn*(AD$5&gt;=VinLossIdx))*$D$15*(AD$5&gt;=$H$15+$F$15)</f>
        <v>0</v>
      </c>
      <c r="AE53" s="39" t="n">
        <f aca="false">(1-$I$15)*(1-$J$15)*(1-VinT14Loss*VinLossOn*(AE$5&gt;=VinLossIdx))*$D$15*(AE$5&gt;=$H$15+$F$15)</f>
        <v>0</v>
      </c>
      <c r="AF53" s="39" t="n">
        <f aca="false">(1-$I$15)*(1-$J$15)*(1-VinT14Loss*VinLossOn*(AF$5&gt;=VinLossIdx))*$D$15*(AF$5&gt;=$H$15+$F$15)</f>
        <v>0</v>
      </c>
      <c r="AG53" s="39" t="n">
        <f aca="false">(1-$I$15)*(1-$J$15)*(1-VinT14Loss*VinLossOn*(AG$5&gt;=VinLossIdx))*$D$15*(AG$5&gt;=$H$15+$F$15)</f>
        <v>0</v>
      </c>
      <c r="AI53" s="39" t="n">
        <f aca="false">INDEX($F53:$AG53,1,MATCH(AI$7,$F$7:$AG$7,1))</f>
        <v>0</v>
      </c>
      <c r="AJ53" s="39" t="n">
        <f aca="false">INDEX($F53:$AG53,1,MATCH(AJ$7,$F$7:$AG$7,1))</f>
        <v>0</v>
      </c>
      <c r="AK53" s="39" t="n">
        <f aca="false">INDEX($F53:$AG53,1,MATCH(AK$7,$F$7:$AG$7,1))</f>
        <v>0</v>
      </c>
      <c r="AL53" s="39" t="n">
        <f aca="false">INDEX($F53:$AG53,1,MATCH(AL$7,$F$7:$AG$7,1))</f>
        <v>0</v>
      </c>
      <c r="AM53" s="39" t="n">
        <f aca="false">INDEX($F53:$AG53,1,MATCH(AM$7,$F$7:$AG$7,1))</f>
        <v>0</v>
      </c>
      <c r="AN53" s="39" t="n">
        <f aca="false">INDEX($F53:$AG53,1,MATCH(AN$7,$F$7:$AG$7,1))</f>
        <v>0</v>
      </c>
      <c r="AO53" s="39" t="n">
        <f aca="false">INDEX($F53:$AG53,1,MATCH(AO$7,$F$7:$AG$7,1))</f>
        <v>0</v>
      </c>
    </row>
    <row r="54" customFormat="false" ht="15" hidden="false" customHeight="false" outlineLevel="0" collapsed="false">
      <c r="A54" s="112" t="s">
        <v>2094</v>
      </c>
      <c r="B54" s="24" t="s">
        <v>745</v>
      </c>
      <c r="C54" s="24"/>
      <c r="D54" s="24" t="s">
        <v>2079</v>
      </c>
      <c r="F54" s="130" t="n">
        <f aca="false">F53*CHOOSE(MATCH($C$15,{"H";"B";"N"},0),GPUMW_H*ODc_H,GPUMW_B*ODc_B,GPUMW_N*ODc_N)*ResidUtil*Timeline!F$9*INDEX(Curve,1,MAX(1,MIN(8,INT((F$5-$H$15)/4)+1)))/1000000</f>
        <v>0</v>
      </c>
      <c r="G54" s="130" t="n">
        <f aca="false">G53*CHOOSE(MATCH($C$15,{"H";"B";"N"},0),GPUMW_H*ODc_H,GPUMW_B*ODc_B,GPUMW_N*ODc_N)*ResidUtil*Timeline!G$9*INDEX(Curve,1,MAX(1,MIN(8,INT((G$5-$H$15)/4)+1)))/1000000</f>
        <v>0</v>
      </c>
      <c r="H54" s="130" t="n">
        <f aca="false">H53*CHOOSE(MATCH($C$15,{"H";"B";"N"},0),GPUMW_H*ODc_H,GPUMW_B*ODc_B,GPUMW_N*ODc_N)*ResidUtil*Timeline!H$9*INDEX(Curve,1,MAX(1,MIN(8,INT((H$5-$H$15)/4)+1)))/1000000</f>
        <v>0</v>
      </c>
      <c r="I54" s="130" t="n">
        <f aca="false">I53*CHOOSE(MATCH($C$15,{"H";"B";"N"},0),GPUMW_H*ODc_H,GPUMW_B*ODc_B,GPUMW_N*ODc_N)*ResidUtil*Timeline!I$9*INDEX(Curve,1,MAX(1,MIN(8,INT((I$5-$H$15)/4)+1)))/1000000</f>
        <v>0</v>
      </c>
      <c r="J54" s="130" t="n">
        <f aca="false">J53*CHOOSE(MATCH($C$15,{"H";"B";"N"},0),GPUMW_H*ODc_H,GPUMW_B*ODc_B,GPUMW_N*ODc_N)*ResidUtil*Timeline!J$9*INDEX(Curve,1,MAX(1,MIN(8,INT((J$5-$H$15)/4)+1)))/1000000</f>
        <v>0</v>
      </c>
      <c r="K54" s="130" t="n">
        <f aca="false">K53*CHOOSE(MATCH($C$15,{"H";"B";"N"},0),GPUMW_H*ODc_H,GPUMW_B*ODc_B,GPUMW_N*ODc_N)*ResidUtil*Timeline!K$9*INDEX(Curve,1,MAX(1,MIN(8,INT((K$5-$H$15)/4)+1)))/1000000</f>
        <v>0</v>
      </c>
      <c r="L54" s="130" t="n">
        <f aca="false">L53*CHOOSE(MATCH($C$15,{"H";"B";"N"},0),GPUMW_H*ODc_H,GPUMW_B*ODc_B,GPUMW_N*ODc_N)*ResidUtil*Timeline!L$9*INDEX(Curve,1,MAX(1,MIN(8,INT((L$5-$H$15)/4)+1)))/1000000</f>
        <v>0</v>
      </c>
      <c r="M54" s="130" t="n">
        <f aca="false">M53*CHOOSE(MATCH($C$15,{"H";"B";"N"},0),GPUMW_H*ODc_H,GPUMW_B*ODc_B,GPUMW_N*ODc_N)*ResidUtil*Timeline!M$9*INDEX(Curve,1,MAX(1,MIN(8,INT((M$5-$H$15)/4)+1)))/1000000</f>
        <v>0</v>
      </c>
      <c r="N54" s="130" t="n">
        <f aca="false">N53*CHOOSE(MATCH($C$15,{"H";"B";"N"},0),GPUMW_H*ODc_H,GPUMW_B*ODc_B,GPUMW_N*ODc_N)*ResidUtil*Timeline!N$9*INDEX(Curve,1,MAX(1,MIN(8,INT((N$5-$H$15)/4)+1)))/1000000</f>
        <v>0</v>
      </c>
      <c r="O54" s="130" t="n">
        <f aca="false">O53*CHOOSE(MATCH($C$15,{"H";"B";"N"},0),GPUMW_H*ODc_H,GPUMW_B*ODc_B,GPUMW_N*ODc_N)*ResidUtil*Timeline!O$9*INDEX(Curve,1,MAX(1,MIN(8,INT((O$5-$H$15)/4)+1)))/1000000</f>
        <v>0</v>
      </c>
      <c r="P54" s="131" t="n">
        <f aca="false">P53*CHOOSE(MATCH($C$15,{"H";"B";"N"},0),GPUMW_H*ODc_H,GPUMW_B*ODc_B,GPUMW_N*ODc_N)*ResidUtil*Timeline!P$9*INDEX(Curve,1,MAX(1,MIN(8,INT((P$5-$H$15)/4)+1)))/1000000</f>
        <v>0</v>
      </c>
      <c r="Q54" s="131" t="n">
        <f aca="false">Q53*CHOOSE(MATCH($C$15,{"H";"B";"N"},0),GPUMW_H*ODc_H,GPUMW_B*ODc_B,GPUMW_N*ODc_N)*ResidUtil*Timeline!Q$9*INDEX(Curve,1,MAX(1,MIN(8,INT((Q$5-$H$15)/4)+1)))/1000000</f>
        <v>0</v>
      </c>
      <c r="R54" s="131" t="n">
        <f aca="false">R53*CHOOSE(MATCH($C$15,{"H";"B";"N"},0),GPUMW_H*ODc_H,GPUMW_B*ODc_B,GPUMW_N*ODc_N)*ResidUtil*Timeline!R$9*INDEX(Curve,1,MAX(1,MIN(8,INT((R$5-$H$15)/4)+1)))/1000000</f>
        <v>0</v>
      </c>
      <c r="S54" s="131" t="n">
        <f aca="false">S53*CHOOSE(MATCH($C$15,{"H";"B";"N"},0),GPUMW_H*ODc_H,GPUMW_B*ODc_B,GPUMW_N*ODc_N)*ResidUtil*Timeline!S$9*INDEX(Curve,1,MAX(1,MIN(8,INT((S$5-$H$15)/4)+1)))/1000000</f>
        <v>0</v>
      </c>
      <c r="T54" s="131" t="n">
        <f aca="false">T53*CHOOSE(MATCH($C$15,{"H";"B";"N"},0),GPUMW_H*ODc_H,GPUMW_B*ODc_B,GPUMW_N*ODc_N)*ResidUtil*Timeline!T$9*INDEX(Curve,1,MAX(1,MIN(8,INT((T$5-$H$15)/4)+1)))/1000000</f>
        <v>0</v>
      </c>
      <c r="U54" s="131" t="n">
        <f aca="false">U53*CHOOSE(MATCH($C$15,{"H";"B";"N"},0),GPUMW_H*ODc_H,GPUMW_B*ODc_B,GPUMW_N*ODc_N)*ResidUtil*Timeline!U$9*INDEX(Curve,1,MAX(1,MIN(8,INT((U$5-$H$15)/4)+1)))/1000000</f>
        <v>0</v>
      </c>
      <c r="V54" s="131" t="n">
        <f aca="false">V53*CHOOSE(MATCH($C$15,{"H";"B";"N"},0),GPUMW_H*ODc_H,GPUMW_B*ODc_B,GPUMW_N*ODc_N)*ResidUtil*Timeline!V$9*INDEX(Curve,1,MAX(1,MIN(8,INT((V$5-$H$15)/4)+1)))/1000000</f>
        <v>0</v>
      </c>
      <c r="W54" s="131" t="n">
        <f aca="false">W53*CHOOSE(MATCH($C$15,{"H";"B";"N"},0),GPUMW_H*ODc_H,GPUMW_B*ODc_B,GPUMW_N*ODc_N)*ResidUtil*Timeline!W$9*INDEX(Curve,1,MAX(1,MIN(8,INT((W$5-$H$15)/4)+1)))/1000000</f>
        <v>0</v>
      </c>
      <c r="X54" s="131" t="n">
        <f aca="false">X53*CHOOSE(MATCH($C$15,{"H";"B";"N"},0),GPUMW_H*ODc_H,GPUMW_B*ODc_B,GPUMW_N*ODc_N)*ResidUtil*Timeline!X$9*INDEX(Curve,1,MAX(1,MIN(8,INT((X$5-$H$15)/4)+1)))/1000000</f>
        <v>0</v>
      </c>
      <c r="Y54" s="131" t="n">
        <f aca="false">Y53*CHOOSE(MATCH($C$15,{"H";"B";"N"},0),GPUMW_H*ODc_H,GPUMW_B*ODc_B,GPUMW_N*ODc_N)*ResidUtil*Timeline!Y$9*INDEX(Curve,1,MAX(1,MIN(8,INT((Y$5-$H$15)/4)+1)))/1000000</f>
        <v>0</v>
      </c>
      <c r="Z54" s="131" t="n">
        <f aca="false">Z53*CHOOSE(MATCH($C$15,{"H";"B";"N"},0),GPUMW_H*ODc_H,GPUMW_B*ODc_B,GPUMW_N*ODc_N)*ResidUtil*Timeline!Z$9*INDEX(Curve,1,MAX(1,MIN(8,INT((Z$5-$H$15)/4)+1)))/1000000</f>
        <v>0</v>
      </c>
      <c r="AA54" s="131" t="n">
        <f aca="false">AA53*CHOOSE(MATCH($C$15,{"H";"B";"N"},0),GPUMW_H*ODc_H,GPUMW_B*ODc_B,GPUMW_N*ODc_N)*ResidUtil*Timeline!AA$9*INDEX(Curve,1,MAX(1,MIN(8,INT((AA$5-$H$15)/4)+1)))/1000000</f>
        <v>0</v>
      </c>
      <c r="AB54" s="131" t="n">
        <f aca="false">AB53*CHOOSE(MATCH($C$15,{"H";"B";"N"},0),GPUMW_H*ODc_H,GPUMW_B*ODc_B,GPUMW_N*ODc_N)*ResidUtil*Timeline!AB$9*INDEX(Curve,1,MAX(1,MIN(8,INT((AB$5-$H$15)/4)+1)))/1000000</f>
        <v>0</v>
      </c>
      <c r="AC54" s="131" t="n">
        <f aca="false">AC53*CHOOSE(MATCH($C$15,{"H";"B";"N"},0),GPUMW_H*ODc_H,GPUMW_B*ODc_B,GPUMW_N*ODc_N)*ResidUtil*Timeline!AC$9*INDEX(Curve,1,MAX(1,MIN(8,INT((AC$5-$H$15)/4)+1)))/1000000</f>
        <v>0</v>
      </c>
      <c r="AD54" s="131" t="n">
        <f aca="false">AD53*CHOOSE(MATCH($C$15,{"H";"B";"N"},0),GPUMW_H*ODc_H,GPUMW_B*ODc_B,GPUMW_N*ODc_N)*ResidUtil*Timeline!AD$9*INDEX(Curve,1,MAX(1,MIN(8,INT((AD$5-$H$15)/4)+1)))/1000000</f>
        <v>0</v>
      </c>
      <c r="AE54" s="131" t="n">
        <f aca="false">AE53*CHOOSE(MATCH($C$15,{"H";"B";"N"},0),GPUMW_H*ODc_H,GPUMW_B*ODc_B,GPUMW_N*ODc_N)*ResidUtil*Timeline!AE$9*INDEX(Curve,1,MAX(1,MIN(8,INT((AE$5-$H$15)/4)+1)))/1000000</f>
        <v>0</v>
      </c>
      <c r="AF54" s="131" t="n">
        <f aca="false">AF53*CHOOSE(MATCH($C$15,{"H";"B";"N"},0),GPUMW_H*ODc_H,GPUMW_B*ODc_B,GPUMW_N*ODc_N)*ResidUtil*Timeline!AF$9*INDEX(Curve,1,MAX(1,MIN(8,INT((AF$5-$H$15)/4)+1)))/1000000</f>
        <v>0</v>
      </c>
      <c r="AG54" s="131" t="n">
        <f aca="false">AG53*CHOOSE(MATCH($C$15,{"H";"B";"N"},0),GPUMW_H*ODc_H,GPUMW_B*ODc_B,GPUMW_N*ODc_N)*ResidUtil*Timeline!AG$9*INDEX(Curve,1,MAX(1,MIN(8,INT((AG$5-$H$15)/4)+1)))/1000000</f>
        <v>0</v>
      </c>
      <c r="AI54" s="131" t="n">
        <f aca="false">SUMIF($F$7:$AG$7,AI$7,$F54:$AG54)</f>
        <v>0</v>
      </c>
      <c r="AJ54" s="131" t="n">
        <f aca="false">SUMIF($F$7:$AG$7,AJ$7,$F54:$AG54)</f>
        <v>0</v>
      </c>
      <c r="AK54" s="131" t="n">
        <f aca="false">SUMIF($F$7:$AG$7,AK$7,$F54:$AG54)</f>
        <v>0</v>
      </c>
      <c r="AL54" s="131" t="n">
        <f aca="false">SUMIF($F$7:$AG$7,AL$7,$F54:$AG54)</f>
        <v>0</v>
      </c>
      <c r="AM54" s="131" t="n">
        <f aca="false">SUMIF($F$7:$AG$7,AM$7,$F54:$AG54)</f>
        <v>0</v>
      </c>
      <c r="AN54" s="131" t="n">
        <f aca="false">SUMIF($F$7:$AG$7,AN$7,$F54:$AG54)</f>
        <v>0</v>
      </c>
      <c r="AO54" s="131" t="n">
        <f aca="false">SUMIF($F$7:$AG$7,AO$7,$F54:$AG54)</f>
        <v>0</v>
      </c>
    </row>
    <row r="55" customFormat="false" ht="15" hidden="false" customHeight="false" outlineLevel="0" collapsed="false">
      <c r="A55" s="112" t="s">
        <v>2095</v>
      </c>
      <c r="B55" s="24" t="s">
        <v>745</v>
      </c>
      <c r="C55" s="24"/>
      <c r="D55" s="24"/>
      <c r="F55" s="130" t="n">
        <f aca="false">(1-$I$16)*(1-$J$16)*$D$16*$E$16/4*MIN(1,MAX(0,(F$5-$H$16+1)/$T$16))*IF(F$5=$H$16,$U$16,IF(AND(F$5&gt;$H$16,F$5&lt;$H$16+$F$16),1,IF(F$5=$H$16+$F$16,1-$U$16,0)))</f>
        <v>0</v>
      </c>
      <c r="G55" s="130" t="n">
        <f aca="false">(1-$I$16)*(1-$J$16)*$D$16*$E$16/4*MIN(1,MAX(0,(G$5-$H$16+1)/$T$16))*IF(G$5=$H$16,$U$16,IF(AND(G$5&gt;$H$16,G$5&lt;$H$16+$F$16),1,IF(G$5=$H$16+$F$16,1-$U$16,0)))</f>
        <v>0</v>
      </c>
      <c r="H55" s="130" t="n">
        <f aca="false">(1-$I$16)*(1-$J$16)*$D$16*$E$16/4*MIN(1,MAX(0,(H$5-$H$16+1)/$T$16))*IF(H$5=$H$16,$U$16,IF(AND(H$5&gt;$H$16,H$5&lt;$H$16+$F$16),1,IF(H$5=$H$16+$F$16,1-$U$16,0)))</f>
        <v>0</v>
      </c>
      <c r="I55" s="130" t="n">
        <f aca="false">(1-$I$16)*(1-$J$16)*$D$16*$E$16/4*MIN(1,MAX(0,(I$5-$H$16+1)/$T$16))*IF(I$5=$H$16,$U$16,IF(AND(I$5&gt;$H$16,I$5&lt;$H$16+$F$16),1,IF(I$5=$H$16+$F$16,1-$U$16,0)))</f>
        <v>0</v>
      </c>
      <c r="J55" s="130" t="n">
        <f aca="false">(1-$I$16)*(1-$J$16)*$D$16*$E$16/4*MIN(1,MAX(0,(J$5-$H$16+1)/$T$16))*IF(J$5=$H$16,$U$16,IF(AND(J$5&gt;$H$16,J$5&lt;$H$16+$F$16),1,IF(J$5=$H$16+$F$16,1-$U$16,0)))</f>
        <v>0</v>
      </c>
      <c r="K55" s="130" t="n">
        <f aca="false">(1-$I$16)*(1-$J$16)*$D$16*$E$16/4*MIN(1,MAX(0,(K$5-$H$16+1)/$T$16))*IF(K$5=$H$16,$U$16,IF(AND(K$5&gt;$H$16,K$5&lt;$H$16+$F$16),1,IF(K$5=$H$16+$F$16,1-$U$16,0)))</f>
        <v>0</v>
      </c>
      <c r="L55" s="130" t="n">
        <f aca="false">(1-$I$16)*(1-$J$16)*$D$16*$E$16/4*MIN(1,MAX(0,(L$5-$H$16+1)/$T$16))*IF(L$5=$H$16,$U$16,IF(AND(L$5&gt;$H$16,L$5&lt;$H$16+$F$16),1,IF(L$5=$H$16+$F$16,1-$U$16,0)))</f>
        <v>0</v>
      </c>
      <c r="M55" s="130" t="n">
        <f aca="false">(1-$I$16)*(1-$J$16)*$D$16*$E$16/4*MIN(1,MAX(0,(M$5-$H$16+1)/$T$16))*IF(M$5=$H$16,$U$16,IF(AND(M$5&gt;$H$16,M$5&lt;$H$16+$F$16),1,IF(M$5=$H$16+$F$16,1-$U$16,0)))</f>
        <v>0</v>
      </c>
      <c r="N55" s="130" t="n">
        <f aca="false">(1-$I$16)*(1-$J$16)*$D$16*$E$16/4*MIN(1,MAX(0,(N$5-$H$16+1)/$T$16))*IF(N$5=$H$16,$U$16,IF(AND(N$5&gt;$H$16,N$5&lt;$H$16+$F$16),1,IF(N$5=$H$16+$F$16,1-$U$16,0)))</f>
        <v>0</v>
      </c>
      <c r="O55" s="130" t="n">
        <f aca="false">(1-$I$16)*(1-$J$16)*$D$16*$E$16/4*MIN(1,MAX(0,(O$5-$H$16+1)/$T$16))*IF(O$5=$H$16,$U$16,IF(AND(O$5&gt;$H$16,O$5&lt;$H$16+$F$16),1,IF(O$5=$H$16+$F$16,1-$U$16,0)))</f>
        <v>0</v>
      </c>
      <c r="P55" s="131" t="n">
        <f aca="false">(1-$I$16)*(1-$J$16)*$D$16*$E$16/4*MIN(1,MAX(0,(P$5-$H$16+1)/$T$16))*IF(P$5=$H$16,$U$16,IF(AND(P$5&gt;$H$16,P$5&lt;$H$16+$F$16),1,IF(P$5=$H$16+$F$16,1-$U$16,0)))</f>
        <v>0</v>
      </c>
      <c r="Q55" s="131" t="n">
        <f aca="false">(1-$I$16)*(1-$J$16)*$D$16*$E$16/4*MIN(1,MAX(0,(Q$5-$H$16+1)/$T$16))*IF(Q$5=$H$16,$U$16,IF(AND(Q$5&gt;$H$16,Q$5&lt;$H$16+$F$16),1,IF(Q$5=$H$16+$F$16,1-$U$16,0)))</f>
        <v>0</v>
      </c>
      <c r="R55" s="131" t="n">
        <f aca="false">(1-$I$16)*(1-$J$16)*$D$16*$E$16/4*MIN(1,MAX(0,(R$5-$H$16+1)/$T$16))*IF(R$5=$H$16,$U$16,IF(AND(R$5&gt;$H$16,R$5&lt;$H$16+$F$16),1,IF(R$5=$H$16+$F$16,1-$U$16,0)))</f>
        <v>0</v>
      </c>
      <c r="S55" s="131" t="n">
        <f aca="false">(1-$I$16)*(1-$J$16)*$D$16*$E$16/4*MIN(1,MAX(0,(S$5-$H$16+1)/$T$16))*IF(S$5=$H$16,$U$16,IF(AND(S$5&gt;$H$16,S$5&lt;$H$16+$F$16),1,IF(S$5=$H$16+$F$16,1-$U$16,0)))</f>
        <v>96.6272222222222</v>
      </c>
      <c r="T55" s="131" t="n">
        <f aca="false">(1-$I$16)*(1-$J$16)*$D$16*$E$16/4*MIN(1,MAX(0,(T$5-$H$16+1)/$T$16))*IF(T$5=$H$16,$U$16,IF(AND(T$5&gt;$H$16,T$5&lt;$H$16+$F$16),1,IF(T$5=$H$16+$F$16,1-$U$16,0)))</f>
        <v>96.6272222222222</v>
      </c>
      <c r="U55" s="131" t="n">
        <f aca="false">(1-$I$16)*(1-$J$16)*$D$16*$E$16/4*MIN(1,MAX(0,(U$5-$H$16+1)/$T$16))*IF(U$5=$H$16,$U$16,IF(AND(U$5&gt;$H$16,U$5&lt;$H$16+$F$16),1,IF(U$5=$H$16+$F$16,1-$U$16,0)))</f>
        <v>96.6272222222222</v>
      </c>
      <c r="V55" s="131" t="n">
        <f aca="false">(1-$I$16)*(1-$J$16)*$D$16*$E$16/4*MIN(1,MAX(0,(V$5-$H$16+1)/$T$16))*IF(V$5=$H$16,$U$16,IF(AND(V$5&gt;$H$16,V$5&lt;$H$16+$F$16),1,IF(V$5=$H$16+$F$16,1-$U$16,0)))</f>
        <v>96.6272222222222</v>
      </c>
      <c r="W55" s="131" t="n">
        <f aca="false">(1-$I$16)*(1-$J$16)*$D$16*$E$16/4*MIN(1,MAX(0,(W$5-$H$16+1)/$T$16))*IF(W$5=$H$16,$U$16,IF(AND(W$5&gt;$H$16,W$5&lt;$H$16+$F$16),1,IF(W$5=$H$16+$F$16,1-$U$16,0)))</f>
        <v>96.6272222222222</v>
      </c>
      <c r="X55" s="131" t="n">
        <f aca="false">(1-$I$16)*(1-$J$16)*$D$16*$E$16/4*MIN(1,MAX(0,(X$5-$H$16+1)/$T$16))*IF(X$5=$H$16,$U$16,IF(AND(X$5&gt;$H$16,X$5&lt;$H$16+$F$16),1,IF(X$5=$H$16+$F$16,1-$U$16,0)))</f>
        <v>96.6272222222222</v>
      </c>
      <c r="Y55" s="131" t="n">
        <f aca="false">(1-$I$16)*(1-$J$16)*$D$16*$E$16/4*MIN(1,MAX(0,(Y$5-$H$16+1)/$T$16))*IF(Y$5=$H$16,$U$16,IF(AND(Y$5&gt;$H$16,Y$5&lt;$H$16+$F$16),1,IF(Y$5=$H$16+$F$16,1-$U$16,0)))</f>
        <v>96.6272222222222</v>
      </c>
      <c r="Z55" s="131" t="n">
        <f aca="false">(1-$I$16)*(1-$J$16)*$D$16*$E$16/4*MIN(1,MAX(0,(Z$5-$H$16+1)/$T$16))*IF(Z$5=$H$16,$U$16,IF(AND(Z$5&gt;$H$16,Z$5&lt;$H$16+$F$16),1,IF(Z$5=$H$16+$F$16,1-$U$16,0)))</f>
        <v>96.6272222222222</v>
      </c>
      <c r="AA55" s="131" t="n">
        <f aca="false">(1-$I$16)*(1-$J$16)*$D$16*$E$16/4*MIN(1,MAX(0,(AA$5-$H$16+1)/$T$16))*IF(AA$5=$H$16,$U$16,IF(AND(AA$5&gt;$H$16,AA$5&lt;$H$16+$F$16),1,IF(AA$5=$H$16+$F$16,1-$U$16,0)))</f>
        <v>96.6272222222222</v>
      </c>
      <c r="AB55" s="131" t="n">
        <f aca="false">(1-$I$16)*(1-$J$16)*$D$16*$E$16/4*MIN(1,MAX(0,(AB$5-$H$16+1)/$T$16))*IF(AB$5=$H$16,$U$16,IF(AND(AB$5&gt;$H$16,AB$5&lt;$H$16+$F$16),1,IF(AB$5=$H$16+$F$16,1-$U$16,0)))</f>
        <v>96.6272222222222</v>
      </c>
      <c r="AC55" s="131" t="n">
        <f aca="false">(1-$I$16)*(1-$J$16)*$D$16*$E$16/4*MIN(1,MAX(0,(AC$5-$H$16+1)/$T$16))*IF(AC$5=$H$16,$U$16,IF(AND(AC$5&gt;$H$16,AC$5&lt;$H$16+$F$16),1,IF(AC$5=$H$16+$F$16,1-$U$16,0)))</f>
        <v>96.6272222222222</v>
      </c>
      <c r="AD55" s="131" t="n">
        <f aca="false">(1-$I$16)*(1-$J$16)*$D$16*$E$16/4*MIN(1,MAX(0,(AD$5-$H$16+1)/$T$16))*IF(AD$5=$H$16,$U$16,IF(AND(AD$5&gt;$H$16,AD$5&lt;$H$16+$F$16),1,IF(AD$5=$H$16+$F$16,1-$U$16,0)))</f>
        <v>96.6272222222222</v>
      </c>
      <c r="AE55" s="131" t="n">
        <f aca="false">(1-$I$16)*(1-$J$16)*$D$16*$E$16/4*MIN(1,MAX(0,(AE$5-$H$16+1)/$T$16))*IF(AE$5=$H$16,$U$16,IF(AND(AE$5&gt;$H$16,AE$5&lt;$H$16+$F$16),1,IF(AE$5=$H$16+$F$16,1-$U$16,0)))</f>
        <v>96.6272222222222</v>
      </c>
      <c r="AF55" s="131" t="n">
        <f aca="false">(1-$I$16)*(1-$J$16)*$D$16*$E$16/4*MIN(1,MAX(0,(AF$5-$H$16+1)/$T$16))*IF(AF$5=$H$16,$U$16,IF(AND(AF$5&gt;$H$16,AF$5&lt;$H$16+$F$16),1,IF(AF$5=$H$16+$F$16,1-$U$16,0)))</f>
        <v>96.6272222222222</v>
      </c>
      <c r="AG55" s="131" t="n">
        <f aca="false">(1-$I$16)*(1-$J$16)*$D$16*$E$16/4*MIN(1,MAX(0,(AG$5-$H$16+1)/$T$16))*IF(AG$5=$H$16,$U$16,IF(AND(AG$5&gt;$H$16,AG$5&lt;$H$16+$F$16),1,IF(AG$5=$H$16+$F$16,1-$U$16,0)))</f>
        <v>96.6272222222222</v>
      </c>
      <c r="AI55" s="131" t="n">
        <f aca="false">SUMIF($F$7:$AG$7,AI$7,$F55:$AG55)</f>
        <v>0</v>
      </c>
      <c r="AJ55" s="131" t="n">
        <f aca="false">SUMIF($F$7:$AG$7,AJ$7,$F55:$AG55)</f>
        <v>0</v>
      </c>
      <c r="AK55" s="131" t="n">
        <f aca="false">SUMIF($F$7:$AG$7,AK$7,$F55:$AG55)</f>
        <v>0</v>
      </c>
      <c r="AL55" s="131" t="n">
        <f aca="false">SUMIF($F$7:$AG$7,AL$7,$F55:$AG55)</f>
        <v>289.881666666667</v>
      </c>
      <c r="AM55" s="131" t="n">
        <f aca="false">SUMIF($F$7:$AG$7,AM$7,$F55:$AG55)</f>
        <v>386.508888888889</v>
      </c>
      <c r="AN55" s="131" t="n">
        <f aca="false">SUMIF($F$7:$AG$7,AN$7,$F55:$AG55)</f>
        <v>386.508888888889</v>
      </c>
      <c r="AO55" s="131" t="n">
        <f aca="false">SUMIF($F$7:$AG$7,AO$7,$F55:$AG55)</f>
        <v>386.508888888889</v>
      </c>
    </row>
    <row r="56" customFormat="false" ht="15" hidden="false" customHeight="false" outlineLevel="0" collapsed="false">
      <c r="A56" s="112" t="s">
        <v>2096</v>
      </c>
      <c r="B56" s="24" t="s">
        <v>857</v>
      </c>
      <c r="C56" s="24"/>
      <c r="D56" s="24"/>
      <c r="F56" s="121" t="n">
        <f aca="false">(1-$I$16)*(1-$J$16)*$D$16*AND(F$5&gt;=$H$16,F$5&lt;$H$16+$F$16)</f>
        <v>0</v>
      </c>
      <c r="G56" s="121" t="n">
        <f aca="false">(1-$I$16)*(1-$J$16)*$D$16*AND(G$5&gt;=$H$16,G$5&lt;$H$16+$F$16)</f>
        <v>0</v>
      </c>
      <c r="H56" s="121" t="n">
        <f aca="false">(1-$I$16)*(1-$J$16)*$D$16*AND(H$5&gt;=$H$16,H$5&lt;$H$16+$F$16)</f>
        <v>0</v>
      </c>
      <c r="I56" s="121" t="n">
        <f aca="false">(1-$I$16)*(1-$J$16)*$D$16*AND(I$5&gt;=$H$16,I$5&lt;$H$16+$F$16)</f>
        <v>0</v>
      </c>
      <c r="J56" s="121" t="n">
        <f aca="false">(1-$I$16)*(1-$J$16)*$D$16*AND(J$5&gt;=$H$16,J$5&lt;$H$16+$F$16)</f>
        <v>0</v>
      </c>
      <c r="K56" s="121" t="n">
        <f aca="false">(1-$I$16)*(1-$J$16)*$D$16*AND(K$5&gt;=$H$16,K$5&lt;$H$16+$F$16)</f>
        <v>0</v>
      </c>
      <c r="L56" s="121" t="n">
        <f aca="false">(1-$I$16)*(1-$J$16)*$D$16*AND(L$5&gt;=$H$16,L$5&lt;$H$16+$F$16)</f>
        <v>0</v>
      </c>
      <c r="M56" s="121" t="n">
        <f aca="false">(1-$I$16)*(1-$J$16)*$D$16*AND(M$5&gt;=$H$16,M$5&lt;$H$16+$F$16)</f>
        <v>0</v>
      </c>
      <c r="N56" s="121" t="n">
        <f aca="false">(1-$I$16)*(1-$J$16)*$D$16*AND(N$5&gt;=$H$16,N$5&lt;$H$16+$F$16)</f>
        <v>0</v>
      </c>
      <c r="O56" s="121" t="n">
        <f aca="false">(1-$I$16)*(1-$J$16)*$D$16*AND(O$5&gt;=$H$16,O$5&lt;$H$16+$F$16)</f>
        <v>0</v>
      </c>
      <c r="P56" s="39" t="n">
        <f aca="false">(1-$I$16)*(1-$J$16)*$D$16*AND(P$5&gt;=$H$16,P$5&lt;$H$16+$F$16)</f>
        <v>0</v>
      </c>
      <c r="Q56" s="39" t="n">
        <f aca="false">(1-$I$16)*(1-$J$16)*$D$16*AND(Q$5&gt;=$H$16,Q$5&lt;$H$16+$F$16)</f>
        <v>0</v>
      </c>
      <c r="R56" s="39" t="n">
        <f aca="false">(1-$I$16)*(1-$J$16)*$D$16*AND(R$5&gt;=$H$16,R$5&lt;$H$16+$F$16)</f>
        <v>0</v>
      </c>
      <c r="S56" s="39" t="n">
        <f aca="false">(1-$I$16)*(1-$J$16)*$D$16*AND(S$5&gt;=$H$16,S$5&lt;$H$16+$F$16)</f>
        <v>26.6666666666667</v>
      </c>
      <c r="T56" s="39" t="n">
        <f aca="false">(1-$I$16)*(1-$J$16)*$D$16*AND(T$5&gt;=$H$16,T$5&lt;$H$16+$F$16)</f>
        <v>26.6666666666667</v>
      </c>
      <c r="U56" s="39" t="n">
        <f aca="false">(1-$I$16)*(1-$J$16)*$D$16*AND(U$5&gt;=$H$16,U$5&lt;$H$16+$F$16)</f>
        <v>26.6666666666667</v>
      </c>
      <c r="V56" s="39" t="n">
        <f aca="false">(1-$I$16)*(1-$J$16)*$D$16*AND(V$5&gt;=$H$16,V$5&lt;$H$16+$F$16)</f>
        <v>26.6666666666667</v>
      </c>
      <c r="W56" s="39" t="n">
        <f aca="false">(1-$I$16)*(1-$J$16)*$D$16*AND(W$5&gt;=$H$16,W$5&lt;$H$16+$F$16)</f>
        <v>26.6666666666667</v>
      </c>
      <c r="X56" s="39" t="n">
        <f aca="false">(1-$I$16)*(1-$J$16)*$D$16*AND(X$5&gt;=$H$16,X$5&lt;$H$16+$F$16)</f>
        <v>26.6666666666667</v>
      </c>
      <c r="Y56" s="39" t="n">
        <f aca="false">(1-$I$16)*(1-$J$16)*$D$16*AND(Y$5&gt;=$H$16,Y$5&lt;$H$16+$F$16)</f>
        <v>26.6666666666667</v>
      </c>
      <c r="Z56" s="39" t="n">
        <f aca="false">(1-$I$16)*(1-$J$16)*$D$16*AND(Z$5&gt;=$H$16,Z$5&lt;$H$16+$F$16)</f>
        <v>26.6666666666667</v>
      </c>
      <c r="AA56" s="39" t="n">
        <f aca="false">(1-$I$16)*(1-$J$16)*$D$16*AND(AA$5&gt;=$H$16,AA$5&lt;$H$16+$F$16)</f>
        <v>26.6666666666667</v>
      </c>
      <c r="AB56" s="39" t="n">
        <f aca="false">(1-$I$16)*(1-$J$16)*$D$16*AND(AB$5&gt;=$H$16,AB$5&lt;$H$16+$F$16)</f>
        <v>26.6666666666667</v>
      </c>
      <c r="AC56" s="39" t="n">
        <f aca="false">(1-$I$16)*(1-$J$16)*$D$16*AND(AC$5&gt;=$H$16,AC$5&lt;$H$16+$F$16)</f>
        <v>26.6666666666667</v>
      </c>
      <c r="AD56" s="39" t="n">
        <f aca="false">(1-$I$16)*(1-$J$16)*$D$16*AND(AD$5&gt;=$H$16,AD$5&lt;$H$16+$F$16)</f>
        <v>26.6666666666667</v>
      </c>
      <c r="AE56" s="39" t="n">
        <f aca="false">(1-$I$16)*(1-$J$16)*$D$16*AND(AE$5&gt;=$H$16,AE$5&lt;$H$16+$F$16)</f>
        <v>26.6666666666667</v>
      </c>
      <c r="AF56" s="39" t="n">
        <f aca="false">(1-$I$16)*(1-$J$16)*$D$16*AND(AF$5&gt;=$H$16,AF$5&lt;$H$16+$F$16)</f>
        <v>26.6666666666667</v>
      </c>
      <c r="AG56" s="39" t="n">
        <f aca="false">(1-$I$16)*(1-$J$16)*$D$16*AND(AG$5&gt;=$H$16,AG$5&lt;$H$16+$F$16)</f>
        <v>26.6666666666667</v>
      </c>
      <c r="AI56" s="39" t="n">
        <f aca="false">INDEX($F56:$AG56,1,MATCH(AI$7,$F$7:$AG$7,1))</f>
        <v>0</v>
      </c>
      <c r="AJ56" s="39" t="n">
        <f aca="false">INDEX($F56:$AG56,1,MATCH(AJ$7,$F$7:$AG$7,1))</f>
        <v>0</v>
      </c>
      <c r="AK56" s="39" t="n">
        <f aca="false">INDEX($F56:$AG56,1,MATCH(AK$7,$F$7:$AG$7,1))</f>
        <v>0</v>
      </c>
      <c r="AL56" s="39" t="n">
        <f aca="false">INDEX($F56:$AG56,1,MATCH(AL$7,$F$7:$AG$7,1))</f>
        <v>26.6666666666667</v>
      </c>
      <c r="AM56" s="39" t="n">
        <f aca="false">INDEX($F56:$AG56,1,MATCH(AM$7,$F$7:$AG$7,1))</f>
        <v>26.6666666666667</v>
      </c>
      <c r="AN56" s="39" t="n">
        <f aca="false">INDEX($F56:$AG56,1,MATCH(AN$7,$F$7:$AG$7,1))</f>
        <v>26.6666666666667</v>
      </c>
      <c r="AO56" s="39" t="n">
        <f aca="false">INDEX($F56:$AG56,1,MATCH(AO$7,$F$7:$AG$7,1))</f>
        <v>26.6666666666667</v>
      </c>
    </row>
    <row r="57" customFormat="false" ht="15" hidden="false" customHeight="false" outlineLevel="0" collapsed="false">
      <c r="A57" s="112" t="s">
        <v>2097</v>
      </c>
      <c r="B57" s="24" t="s">
        <v>745</v>
      </c>
      <c r="C57" s="24"/>
      <c r="D57" s="24"/>
      <c r="F57" s="130" t="n">
        <f aca="false">-(1-$I$16)*LD_Pct*$D$16*$E$16/4*AND(F$5&gt;=$G$16,F$5&lt;$H$16)</f>
        <v>-0</v>
      </c>
      <c r="G57" s="130" t="n">
        <f aca="false">-(1-$I$16)*LD_Pct*$D$16*$E$16/4*AND(G$5&gt;=$G$16,G$5&lt;$H$16)</f>
        <v>-0</v>
      </c>
      <c r="H57" s="130" t="n">
        <f aca="false">-(1-$I$16)*LD_Pct*$D$16*$E$16/4*AND(H$5&gt;=$G$16,H$5&lt;$H$16)</f>
        <v>-0</v>
      </c>
      <c r="I57" s="130" t="n">
        <f aca="false">-(1-$I$16)*LD_Pct*$D$16*$E$16/4*AND(I$5&gt;=$G$16,I$5&lt;$H$16)</f>
        <v>-0</v>
      </c>
      <c r="J57" s="130" t="n">
        <f aca="false">-(1-$I$16)*LD_Pct*$D$16*$E$16/4*AND(J$5&gt;=$G$16,J$5&lt;$H$16)</f>
        <v>-0</v>
      </c>
      <c r="K57" s="130" t="n">
        <f aca="false">-(1-$I$16)*LD_Pct*$D$16*$E$16/4*AND(K$5&gt;=$G$16,K$5&lt;$H$16)</f>
        <v>-0</v>
      </c>
      <c r="L57" s="130" t="n">
        <f aca="false">-(1-$I$16)*LD_Pct*$D$16*$E$16/4*AND(L$5&gt;=$G$16,L$5&lt;$H$16)</f>
        <v>-0</v>
      </c>
      <c r="M57" s="130" t="n">
        <f aca="false">-(1-$I$16)*LD_Pct*$D$16*$E$16/4*AND(M$5&gt;=$G$16,M$5&lt;$H$16)</f>
        <v>-0</v>
      </c>
      <c r="N57" s="130" t="n">
        <f aca="false">-(1-$I$16)*LD_Pct*$D$16*$E$16/4*AND(N$5&gt;=$G$16,N$5&lt;$H$16)</f>
        <v>-0</v>
      </c>
      <c r="O57" s="130" t="n">
        <f aca="false">-(1-$I$16)*LD_Pct*$D$16*$E$16/4*AND(O$5&gt;=$G$16,O$5&lt;$H$16)</f>
        <v>-0</v>
      </c>
      <c r="P57" s="131" t="n">
        <f aca="false">-(1-$I$16)*LD_Pct*$D$16*$E$16/4*AND(P$5&gt;=$G$16,P$5&lt;$H$16)</f>
        <v>-0</v>
      </c>
      <c r="Q57" s="131" t="n">
        <f aca="false">-(1-$I$16)*LD_Pct*$D$16*$E$16/4*AND(Q$5&gt;=$G$16,Q$5&lt;$H$16)</f>
        <v>-0</v>
      </c>
      <c r="R57" s="131" t="n">
        <f aca="false">-(1-$I$16)*LD_Pct*$D$16*$E$16/4*AND(R$5&gt;=$G$16,R$5&lt;$H$16)</f>
        <v>-0</v>
      </c>
      <c r="S57" s="131" t="n">
        <f aca="false">-(1-$I$16)*LD_Pct*$D$16*$E$16/4*AND(S$5&gt;=$G$16,S$5&lt;$H$16)</f>
        <v>-0</v>
      </c>
      <c r="T57" s="131" t="n">
        <f aca="false">-(1-$I$16)*LD_Pct*$D$16*$E$16/4*AND(T$5&gt;=$G$16,T$5&lt;$H$16)</f>
        <v>-0</v>
      </c>
      <c r="U57" s="131" t="n">
        <f aca="false">-(1-$I$16)*LD_Pct*$D$16*$E$16/4*AND(U$5&gt;=$G$16,U$5&lt;$H$16)</f>
        <v>-0</v>
      </c>
      <c r="V57" s="131" t="n">
        <f aca="false">-(1-$I$16)*LD_Pct*$D$16*$E$16/4*AND(V$5&gt;=$G$16,V$5&lt;$H$16)</f>
        <v>-0</v>
      </c>
      <c r="W57" s="131" t="n">
        <f aca="false">-(1-$I$16)*LD_Pct*$D$16*$E$16/4*AND(W$5&gt;=$G$16,W$5&lt;$H$16)</f>
        <v>-0</v>
      </c>
      <c r="X57" s="131" t="n">
        <f aca="false">-(1-$I$16)*LD_Pct*$D$16*$E$16/4*AND(X$5&gt;=$G$16,X$5&lt;$H$16)</f>
        <v>-0</v>
      </c>
      <c r="Y57" s="131" t="n">
        <f aca="false">-(1-$I$16)*LD_Pct*$D$16*$E$16/4*AND(Y$5&gt;=$G$16,Y$5&lt;$H$16)</f>
        <v>-0</v>
      </c>
      <c r="Z57" s="131" t="n">
        <f aca="false">-(1-$I$16)*LD_Pct*$D$16*$E$16/4*AND(Z$5&gt;=$G$16,Z$5&lt;$H$16)</f>
        <v>-0</v>
      </c>
      <c r="AA57" s="131" t="n">
        <f aca="false">-(1-$I$16)*LD_Pct*$D$16*$E$16/4*AND(AA$5&gt;=$G$16,AA$5&lt;$H$16)</f>
        <v>-0</v>
      </c>
      <c r="AB57" s="131" t="n">
        <f aca="false">-(1-$I$16)*LD_Pct*$D$16*$E$16/4*AND(AB$5&gt;=$G$16,AB$5&lt;$H$16)</f>
        <v>-0</v>
      </c>
      <c r="AC57" s="131" t="n">
        <f aca="false">-(1-$I$16)*LD_Pct*$D$16*$E$16/4*AND(AC$5&gt;=$G$16,AC$5&lt;$H$16)</f>
        <v>-0</v>
      </c>
      <c r="AD57" s="131" t="n">
        <f aca="false">-(1-$I$16)*LD_Pct*$D$16*$E$16/4*AND(AD$5&gt;=$G$16,AD$5&lt;$H$16)</f>
        <v>-0</v>
      </c>
      <c r="AE57" s="131" t="n">
        <f aca="false">-(1-$I$16)*LD_Pct*$D$16*$E$16/4*AND(AE$5&gt;=$G$16,AE$5&lt;$H$16)</f>
        <v>-0</v>
      </c>
      <c r="AF57" s="131" t="n">
        <f aca="false">-(1-$I$16)*LD_Pct*$D$16*$E$16/4*AND(AF$5&gt;=$G$16,AF$5&lt;$H$16)</f>
        <v>-0</v>
      </c>
      <c r="AG57" s="131" t="n">
        <f aca="false">-(1-$I$16)*LD_Pct*$D$16*$E$16/4*AND(AG$5&gt;=$G$16,AG$5&lt;$H$16)</f>
        <v>-0</v>
      </c>
      <c r="AI57" s="131" t="n">
        <f aca="false">SUMIF($F$7:$AG$7,AI$7,$F57:$AG57)</f>
        <v>0</v>
      </c>
      <c r="AJ57" s="131" t="n">
        <f aca="false">SUMIF($F$7:$AG$7,AJ$7,$F57:$AG57)</f>
        <v>0</v>
      </c>
      <c r="AK57" s="131" t="n">
        <f aca="false">SUMIF($F$7:$AG$7,AK$7,$F57:$AG57)</f>
        <v>0</v>
      </c>
      <c r="AL57" s="131" t="n">
        <f aca="false">SUMIF($F$7:$AG$7,AL$7,$F57:$AG57)</f>
        <v>0</v>
      </c>
      <c r="AM57" s="131" t="n">
        <f aca="false">SUMIF($F$7:$AG$7,AM$7,$F57:$AG57)</f>
        <v>0</v>
      </c>
      <c r="AN57" s="131" t="n">
        <f aca="false">SUMIF($F$7:$AG$7,AN$7,$F57:$AG57)</f>
        <v>0</v>
      </c>
      <c r="AO57" s="131" t="n">
        <f aca="false">SUMIF($F$7:$AG$7,AO$7,$F57:$AG57)</f>
        <v>0</v>
      </c>
    </row>
    <row r="58" customFormat="false" ht="15" hidden="false" customHeight="false" outlineLevel="0" collapsed="false">
      <c r="A58" s="112" t="s">
        <v>2098</v>
      </c>
      <c r="B58" s="24" t="s">
        <v>857</v>
      </c>
      <c r="C58" s="24"/>
      <c r="D58" s="24"/>
      <c r="F58" s="121" t="n">
        <f aca="false">(1-$I$16)*(1-$J$16)*$D$16*(F$5&gt;=$H$16+$F$16)</f>
        <v>0</v>
      </c>
      <c r="G58" s="121" t="n">
        <f aca="false">(1-$I$16)*(1-$J$16)*$D$16*(G$5&gt;=$H$16+$F$16)</f>
        <v>0</v>
      </c>
      <c r="H58" s="121" t="n">
        <f aca="false">(1-$I$16)*(1-$J$16)*$D$16*(H$5&gt;=$H$16+$F$16)</f>
        <v>0</v>
      </c>
      <c r="I58" s="121" t="n">
        <f aca="false">(1-$I$16)*(1-$J$16)*$D$16*(I$5&gt;=$H$16+$F$16)</f>
        <v>0</v>
      </c>
      <c r="J58" s="121" t="n">
        <f aca="false">(1-$I$16)*(1-$J$16)*$D$16*(J$5&gt;=$H$16+$F$16)</f>
        <v>0</v>
      </c>
      <c r="K58" s="121" t="n">
        <f aca="false">(1-$I$16)*(1-$J$16)*$D$16*(K$5&gt;=$H$16+$F$16)</f>
        <v>0</v>
      </c>
      <c r="L58" s="121" t="n">
        <f aca="false">(1-$I$16)*(1-$J$16)*$D$16*(L$5&gt;=$H$16+$F$16)</f>
        <v>0</v>
      </c>
      <c r="M58" s="121" t="n">
        <f aca="false">(1-$I$16)*(1-$J$16)*$D$16*(M$5&gt;=$H$16+$F$16)</f>
        <v>0</v>
      </c>
      <c r="N58" s="121" t="n">
        <f aca="false">(1-$I$16)*(1-$J$16)*$D$16*(N$5&gt;=$H$16+$F$16)</f>
        <v>0</v>
      </c>
      <c r="O58" s="121" t="n">
        <f aca="false">(1-$I$16)*(1-$J$16)*$D$16*(O$5&gt;=$H$16+$F$16)</f>
        <v>0</v>
      </c>
      <c r="P58" s="39" t="n">
        <f aca="false">(1-$I$16)*(1-$J$16)*$D$16*(P$5&gt;=$H$16+$F$16)</f>
        <v>0</v>
      </c>
      <c r="Q58" s="39" t="n">
        <f aca="false">(1-$I$16)*(1-$J$16)*$D$16*(Q$5&gt;=$H$16+$F$16)</f>
        <v>0</v>
      </c>
      <c r="R58" s="39" t="n">
        <f aca="false">(1-$I$16)*(1-$J$16)*$D$16*(R$5&gt;=$H$16+$F$16)</f>
        <v>0</v>
      </c>
      <c r="S58" s="39" t="n">
        <f aca="false">(1-$I$16)*(1-$J$16)*$D$16*(S$5&gt;=$H$16+$F$16)</f>
        <v>0</v>
      </c>
      <c r="T58" s="39" t="n">
        <f aca="false">(1-$I$16)*(1-$J$16)*$D$16*(T$5&gt;=$H$16+$F$16)</f>
        <v>0</v>
      </c>
      <c r="U58" s="39" t="n">
        <f aca="false">(1-$I$16)*(1-$J$16)*$D$16*(U$5&gt;=$H$16+$F$16)</f>
        <v>0</v>
      </c>
      <c r="V58" s="39" t="n">
        <f aca="false">(1-$I$16)*(1-$J$16)*$D$16*(V$5&gt;=$H$16+$F$16)</f>
        <v>0</v>
      </c>
      <c r="W58" s="39" t="n">
        <f aca="false">(1-$I$16)*(1-$J$16)*$D$16*(W$5&gt;=$H$16+$F$16)</f>
        <v>0</v>
      </c>
      <c r="X58" s="39" t="n">
        <f aca="false">(1-$I$16)*(1-$J$16)*$D$16*(X$5&gt;=$H$16+$F$16)</f>
        <v>0</v>
      </c>
      <c r="Y58" s="39" t="n">
        <f aca="false">(1-$I$16)*(1-$J$16)*$D$16*(Y$5&gt;=$H$16+$F$16)</f>
        <v>0</v>
      </c>
      <c r="Z58" s="39" t="n">
        <f aca="false">(1-$I$16)*(1-$J$16)*$D$16*(Z$5&gt;=$H$16+$F$16)</f>
        <v>0</v>
      </c>
      <c r="AA58" s="39" t="n">
        <f aca="false">(1-$I$16)*(1-$J$16)*$D$16*(AA$5&gt;=$H$16+$F$16)</f>
        <v>0</v>
      </c>
      <c r="AB58" s="39" t="n">
        <f aca="false">(1-$I$16)*(1-$J$16)*$D$16*(AB$5&gt;=$H$16+$F$16)</f>
        <v>0</v>
      </c>
      <c r="AC58" s="39" t="n">
        <f aca="false">(1-$I$16)*(1-$J$16)*$D$16*(AC$5&gt;=$H$16+$F$16)</f>
        <v>0</v>
      </c>
      <c r="AD58" s="39" t="n">
        <f aca="false">(1-$I$16)*(1-$J$16)*$D$16*(AD$5&gt;=$H$16+$F$16)</f>
        <v>0</v>
      </c>
      <c r="AE58" s="39" t="n">
        <f aca="false">(1-$I$16)*(1-$J$16)*$D$16*(AE$5&gt;=$H$16+$F$16)</f>
        <v>0</v>
      </c>
      <c r="AF58" s="39" t="n">
        <f aca="false">(1-$I$16)*(1-$J$16)*$D$16*(AF$5&gt;=$H$16+$F$16)</f>
        <v>0</v>
      </c>
      <c r="AG58" s="39" t="n">
        <f aca="false">(1-$I$16)*(1-$J$16)*$D$16*(AG$5&gt;=$H$16+$F$16)</f>
        <v>0</v>
      </c>
      <c r="AI58" s="39" t="n">
        <f aca="false">INDEX($F58:$AG58,1,MATCH(AI$7,$F$7:$AG$7,1))</f>
        <v>0</v>
      </c>
      <c r="AJ58" s="39" t="n">
        <f aca="false">INDEX($F58:$AG58,1,MATCH(AJ$7,$F$7:$AG$7,1))</f>
        <v>0</v>
      </c>
      <c r="AK58" s="39" t="n">
        <f aca="false">INDEX($F58:$AG58,1,MATCH(AK$7,$F$7:$AG$7,1))</f>
        <v>0</v>
      </c>
      <c r="AL58" s="39" t="n">
        <f aca="false">INDEX($F58:$AG58,1,MATCH(AL$7,$F$7:$AG$7,1))</f>
        <v>0</v>
      </c>
      <c r="AM58" s="39" t="n">
        <f aca="false">INDEX($F58:$AG58,1,MATCH(AM$7,$F$7:$AG$7,1))</f>
        <v>0</v>
      </c>
      <c r="AN58" s="39" t="n">
        <f aca="false">INDEX($F58:$AG58,1,MATCH(AN$7,$F$7:$AG$7,1))</f>
        <v>0</v>
      </c>
      <c r="AO58" s="39" t="n">
        <f aca="false">INDEX($F58:$AG58,1,MATCH(AO$7,$F$7:$AG$7,1))</f>
        <v>0</v>
      </c>
    </row>
    <row r="59" customFormat="false" ht="15" hidden="false" customHeight="false" outlineLevel="0" collapsed="false">
      <c r="A59" s="112" t="s">
        <v>2099</v>
      </c>
      <c r="B59" s="24" t="s">
        <v>745</v>
      </c>
      <c r="C59" s="24"/>
      <c r="D59" s="24" t="s">
        <v>2079</v>
      </c>
      <c r="F59" s="130" t="n">
        <f aca="false">F58*CHOOSE(MATCH($C$16,{"H";"B";"N"},0),GPUMW_H*ODc_H,GPUMW_B*ODc_B,GPUMW_N*ODc_N)*ResidUtil*Timeline!F$9*INDEX(Curve,1,MAX(1,MIN(8,INT((F$5-$H$16)/4)+1)))/1000000</f>
        <v>0</v>
      </c>
      <c r="G59" s="130" t="n">
        <f aca="false">G58*CHOOSE(MATCH($C$16,{"H";"B";"N"},0),GPUMW_H*ODc_H,GPUMW_B*ODc_B,GPUMW_N*ODc_N)*ResidUtil*Timeline!G$9*INDEX(Curve,1,MAX(1,MIN(8,INT((G$5-$H$16)/4)+1)))/1000000</f>
        <v>0</v>
      </c>
      <c r="H59" s="130" t="n">
        <f aca="false">H58*CHOOSE(MATCH($C$16,{"H";"B";"N"},0),GPUMW_H*ODc_H,GPUMW_B*ODc_B,GPUMW_N*ODc_N)*ResidUtil*Timeline!H$9*INDEX(Curve,1,MAX(1,MIN(8,INT((H$5-$H$16)/4)+1)))/1000000</f>
        <v>0</v>
      </c>
      <c r="I59" s="130" t="n">
        <f aca="false">I58*CHOOSE(MATCH($C$16,{"H";"B";"N"},0),GPUMW_H*ODc_H,GPUMW_B*ODc_B,GPUMW_N*ODc_N)*ResidUtil*Timeline!I$9*INDEX(Curve,1,MAX(1,MIN(8,INT((I$5-$H$16)/4)+1)))/1000000</f>
        <v>0</v>
      </c>
      <c r="J59" s="130" t="n">
        <f aca="false">J58*CHOOSE(MATCH($C$16,{"H";"B";"N"},0),GPUMW_H*ODc_H,GPUMW_B*ODc_B,GPUMW_N*ODc_N)*ResidUtil*Timeline!J$9*INDEX(Curve,1,MAX(1,MIN(8,INT((J$5-$H$16)/4)+1)))/1000000</f>
        <v>0</v>
      </c>
      <c r="K59" s="130" t="n">
        <f aca="false">K58*CHOOSE(MATCH($C$16,{"H";"B";"N"},0),GPUMW_H*ODc_H,GPUMW_B*ODc_B,GPUMW_N*ODc_N)*ResidUtil*Timeline!K$9*INDEX(Curve,1,MAX(1,MIN(8,INT((K$5-$H$16)/4)+1)))/1000000</f>
        <v>0</v>
      </c>
      <c r="L59" s="130" t="n">
        <f aca="false">L58*CHOOSE(MATCH($C$16,{"H";"B";"N"},0),GPUMW_H*ODc_H,GPUMW_B*ODc_B,GPUMW_N*ODc_N)*ResidUtil*Timeline!L$9*INDEX(Curve,1,MAX(1,MIN(8,INT((L$5-$H$16)/4)+1)))/1000000</f>
        <v>0</v>
      </c>
      <c r="M59" s="130" t="n">
        <f aca="false">M58*CHOOSE(MATCH($C$16,{"H";"B";"N"},0),GPUMW_H*ODc_H,GPUMW_B*ODc_B,GPUMW_N*ODc_N)*ResidUtil*Timeline!M$9*INDEX(Curve,1,MAX(1,MIN(8,INT((M$5-$H$16)/4)+1)))/1000000</f>
        <v>0</v>
      </c>
      <c r="N59" s="130" t="n">
        <f aca="false">N58*CHOOSE(MATCH($C$16,{"H";"B";"N"},0),GPUMW_H*ODc_H,GPUMW_B*ODc_B,GPUMW_N*ODc_N)*ResidUtil*Timeline!N$9*INDEX(Curve,1,MAX(1,MIN(8,INT((N$5-$H$16)/4)+1)))/1000000</f>
        <v>0</v>
      </c>
      <c r="O59" s="130" t="n">
        <f aca="false">O58*CHOOSE(MATCH($C$16,{"H";"B";"N"},0),GPUMW_H*ODc_H,GPUMW_B*ODc_B,GPUMW_N*ODc_N)*ResidUtil*Timeline!O$9*INDEX(Curve,1,MAX(1,MIN(8,INT((O$5-$H$16)/4)+1)))/1000000</f>
        <v>0</v>
      </c>
      <c r="P59" s="131" t="n">
        <f aca="false">P58*CHOOSE(MATCH($C$16,{"H";"B";"N"},0),GPUMW_H*ODc_H,GPUMW_B*ODc_B,GPUMW_N*ODc_N)*ResidUtil*Timeline!P$9*INDEX(Curve,1,MAX(1,MIN(8,INT((P$5-$H$16)/4)+1)))/1000000</f>
        <v>0</v>
      </c>
      <c r="Q59" s="131" t="n">
        <f aca="false">Q58*CHOOSE(MATCH($C$16,{"H";"B";"N"},0),GPUMW_H*ODc_H,GPUMW_B*ODc_B,GPUMW_N*ODc_N)*ResidUtil*Timeline!Q$9*INDEX(Curve,1,MAX(1,MIN(8,INT((Q$5-$H$16)/4)+1)))/1000000</f>
        <v>0</v>
      </c>
      <c r="R59" s="131" t="n">
        <f aca="false">R58*CHOOSE(MATCH($C$16,{"H";"B";"N"},0),GPUMW_H*ODc_H,GPUMW_B*ODc_B,GPUMW_N*ODc_N)*ResidUtil*Timeline!R$9*INDEX(Curve,1,MAX(1,MIN(8,INT((R$5-$H$16)/4)+1)))/1000000</f>
        <v>0</v>
      </c>
      <c r="S59" s="131" t="n">
        <f aca="false">S58*CHOOSE(MATCH($C$16,{"H";"B";"N"},0),GPUMW_H*ODc_H,GPUMW_B*ODc_B,GPUMW_N*ODc_N)*ResidUtil*Timeline!S$9*INDEX(Curve,1,MAX(1,MIN(8,INT((S$5-$H$16)/4)+1)))/1000000</f>
        <v>0</v>
      </c>
      <c r="T59" s="131" t="n">
        <f aca="false">T58*CHOOSE(MATCH($C$16,{"H";"B";"N"},0),GPUMW_H*ODc_H,GPUMW_B*ODc_B,GPUMW_N*ODc_N)*ResidUtil*Timeline!T$9*INDEX(Curve,1,MAX(1,MIN(8,INT((T$5-$H$16)/4)+1)))/1000000</f>
        <v>0</v>
      </c>
      <c r="U59" s="131" t="n">
        <f aca="false">U58*CHOOSE(MATCH($C$16,{"H";"B";"N"},0),GPUMW_H*ODc_H,GPUMW_B*ODc_B,GPUMW_N*ODc_N)*ResidUtil*Timeline!U$9*INDEX(Curve,1,MAX(1,MIN(8,INT((U$5-$H$16)/4)+1)))/1000000</f>
        <v>0</v>
      </c>
      <c r="V59" s="131" t="n">
        <f aca="false">V58*CHOOSE(MATCH($C$16,{"H";"B";"N"},0),GPUMW_H*ODc_H,GPUMW_B*ODc_B,GPUMW_N*ODc_N)*ResidUtil*Timeline!V$9*INDEX(Curve,1,MAX(1,MIN(8,INT((V$5-$H$16)/4)+1)))/1000000</f>
        <v>0</v>
      </c>
      <c r="W59" s="131" t="n">
        <f aca="false">W58*CHOOSE(MATCH($C$16,{"H";"B";"N"},0),GPUMW_H*ODc_H,GPUMW_B*ODc_B,GPUMW_N*ODc_N)*ResidUtil*Timeline!W$9*INDEX(Curve,1,MAX(1,MIN(8,INT((W$5-$H$16)/4)+1)))/1000000</f>
        <v>0</v>
      </c>
      <c r="X59" s="131" t="n">
        <f aca="false">X58*CHOOSE(MATCH($C$16,{"H";"B";"N"},0),GPUMW_H*ODc_H,GPUMW_B*ODc_B,GPUMW_N*ODc_N)*ResidUtil*Timeline!X$9*INDEX(Curve,1,MAX(1,MIN(8,INT((X$5-$H$16)/4)+1)))/1000000</f>
        <v>0</v>
      </c>
      <c r="Y59" s="131" t="n">
        <f aca="false">Y58*CHOOSE(MATCH($C$16,{"H";"B";"N"},0),GPUMW_H*ODc_H,GPUMW_B*ODc_B,GPUMW_N*ODc_N)*ResidUtil*Timeline!Y$9*INDEX(Curve,1,MAX(1,MIN(8,INT((Y$5-$H$16)/4)+1)))/1000000</f>
        <v>0</v>
      </c>
      <c r="Z59" s="131" t="n">
        <f aca="false">Z58*CHOOSE(MATCH($C$16,{"H";"B";"N"},0),GPUMW_H*ODc_H,GPUMW_B*ODc_B,GPUMW_N*ODc_N)*ResidUtil*Timeline!Z$9*INDEX(Curve,1,MAX(1,MIN(8,INT((Z$5-$H$16)/4)+1)))/1000000</f>
        <v>0</v>
      </c>
      <c r="AA59" s="131" t="n">
        <f aca="false">AA58*CHOOSE(MATCH($C$16,{"H";"B";"N"},0),GPUMW_H*ODc_H,GPUMW_B*ODc_B,GPUMW_N*ODc_N)*ResidUtil*Timeline!AA$9*INDEX(Curve,1,MAX(1,MIN(8,INT((AA$5-$H$16)/4)+1)))/1000000</f>
        <v>0</v>
      </c>
      <c r="AB59" s="131" t="n">
        <f aca="false">AB58*CHOOSE(MATCH($C$16,{"H";"B";"N"},0),GPUMW_H*ODc_H,GPUMW_B*ODc_B,GPUMW_N*ODc_N)*ResidUtil*Timeline!AB$9*INDEX(Curve,1,MAX(1,MIN(8,INT((AB$5-$H$16)/4)+1)))/1000000</f>
        <v>0</v>
      </c>
      <c r="AC59" s="131" t="n">
        <f aca="false">AC58*CHOOSE(MATCH($C$16,{"H";"B";"N"},0),GPUMW_H*ODc_H,GPUMW_B*ODc_B,GPUMW_N*ODc_N)*ResidUtil*Timeline!AC$9*INDEX(Curve,1,MAX(1,MIN(8,INT((AC$5-$H$16)/4)+1)))/1000000</f>
        <v>0</v>
      </c>
      <c r="AD59" s="131" t="n">
        <f aca="false">AD58*CHOOSE(MATCH($C$16,{"H";"B";"N"},0),GPUMW_H*ODc_H,GPUMW_B*ODc_B,GPUMW_N*ODc_N)*ResidUtil*Timeline!AD$9*INDEX(Curve,1,MAX(1,MIN(8,INT((AD$5-$H$16)/4)+1)))/1000000</f>
        <v>0</v>
      </c>
      <c r="AE59" s="131" t="n">
        <f aca="false">AE58*CHOOSE(MATCH($C$16,{"H";"B";"N"},0),GPUMW_H*ODc_H,GPUMW_B*ODc_B,GPUMW_N*ODc_N)*ResidUtil*Timeline!AE$9*INDEX(Curve,1,MAX(1,MIN(8,INT((AE$5-$H$16)/4)+1)))/1000000</f>
        <v>0</v>
      </c>
      <c r="AF59" s="131" t="n">
        <f aca="false">AF58*CHOOSE(MATCH($C$16,{"H";"B";"N"},0),GPUMW_H*ODc_H,GPUMW_B*ODc_B,GPUMW_N*ODc_N)*ResidUtil*Timeline!AF$9*INDEX(Curve,1,MAX(1,MIN(8,INT((AF$5-$H$16)/4)+1)))/1000000</f>
        <v>0</v>
      </c>
      <c r="AG59" s="131" t="n">
        <f aca="false">AG58*CHOOSE(MATCH($C$16,{"H";"B";"N"},0),GPUMW_H*ODc_H,GPUMW_B*ODc_B,GPUMW_N*ODc_N)*ResidUtil*Timeline!AG$9*INDEX(Curve,1,MAX(1,MIN(8,INT((AG$5-$H$16)/4)+1)))/1000000</f>
        <v>0</v>
      </c>
      <c r="AI59" s="131" t="n">
        <f aca="false">SUMIF($F$7:$AG$7,AI$7,$F59:$AG59)</f>
        <v>0</v>
      </c>
      <c r="AJ59" s="131" t="n">
        <f aca="false">SUMIF($F$7:$AG$7,AJ$7,$F59:$AG59)</f>
        <v>0</v>
      </c>
      <c r="AK59" s="131" t="n">
        <f aca="false">SUMIF($F$7:$AG$7,AK$7,$F59:$AG59)</f>
        <v>0</v>
      </c>
      <c r="AL59" s="131" t="n">
        <f aca="false">SUMIF($F$7:$AG$7,AL$7,$F59:$AG59)</f>
        <v>0</v>
      </c>
      <c r="AM59" s="131" t="n">
        <f aca="false">SUMIF($F$7:$AG$7,AM$7,$F59:$AG59)</f>
        <v>0</v>
      </c>
      <c r="AN59" s="131" t="n">
        <f aca="false">SUMIF($F$7:$AG$7,AN$7,$F59:$AG59)</f>
        <v>0</v>
      </c>
      <c r="AO59" s="131" t="n">
        <f aca="false">SUMIF($F$7:$AG$7,AO$7,$F59:$AG59)</f>
        <v>0</v>
      </c>
    </row>
    <row r="60" customFormat="false" ht="15" hidden="false" customHeight="false" outlineLevel="0" collapsed="false">
      <c r="A60" s="112" t="s">
        <v>2100</v>
      </c>
      <c r="B60" s="24" t="s">
        <v>745</v>
      </c>
      <c r="C60" s="24"/>
      <c r="D60" s="24"/>
      <c r="F60" s="130" t="n">
        <f aca="false">(1-$I$17)*(1-$J$17)*$D$17*$E$17/4*MIN(1,MAX(0,(F$5-$H$17+1)/$T$17))*IF(F$5=$H$17,$U$17,IF(AND(F$5&gt;$H$17,F$5&lt;$H$17+$F$17),1,IF(F$5=$H$17+$F$17,1-$U$17,0)))</f>
        <v>0</v>
      </c>
      <c r="G60" s="130" t="n">
        <f aca="false">(1-$I$17)*(1-$J$17)*$D$17*$E$17/4*MIN(1,MAX(0,(G$5-$H$17+1)/$T$17))*IF(G$5=$H$17,$U$17,IF(AND(G$5&gt;$H$17,G$5&lt;$H$17+$F$17),1,IF(G$5=$H$17+$F$17,1-$U$17,0)))</f>
        <v>0</v>
      </c>
      <c r="H60" s="130" t="n">
        <f aca="false">(1-$I$17)*(1-$J$17)*$D$17*$E$17/4*MIN(1,MAX(0,(H$5-$H$17+1)/$T$17))*IF(H$5=$H$17,$U$17,IF(AND(H$5&gt;$H$17,H$5&lt;$H$17+$F$17),1,IF(H$5=$H$17+$F$17,1-$U$17,0)))</f>
        <v>0</v>
      </c>
      <c r="I60" s="130" t="n">
        <f aca="false">(1-$I$17)*(1-$J$17)*$D$17*$E$17/4*MIN(1,MAX(0,(I$5-$H$17+1)/$T$17))*IF(I$5=$H$17,$U$17,IF(AND(I$5&gt;$H$17,I$5&lt;$H$17+$F$17),1,IF(I$5=$H$17+$F$17,1-$U$17,0)))</f>
        <v>0</v>
      </c>
      <c r="J60" s="130" t="n">
        <f aca="false">(1-$I$17)*(1-$J$17)*$D$17*$E$17/4*MIN(1,MAX(0,(J$5-$H$17+1)/$T$17))*IF(J$5=$H$17,$U$17,IF(AND(J$5&gt;$H$17,J$5&lt;$H$17+$F$17),1,IF(J$5=$H$17+$F$17,1-$U$17,0)))</f>
        <v>0</v>
      </c>
      <c r="K60" s="130" t="n">
        <f aca="false">(1-$I$17)*(1-$J$17)*$D$17*$E$17/4*MIN(1,MAX(0,(K$5-$H$17+1)/$T$17))*IF(K$5=$H$17,$U$17,IF(AND(K$5&gt;$H$17,K$5&lt;$H$17+$F$17),1,IF(K$5=$H$17+$F$17,1-$U$17,0)))</f>
        <v>0</v>
      </c>
      <c r="L60" s="130" t="n">
        <f aca="false">(1-$I$17)*(1-$J$17)*$D$17*$E$17/4*MIN(1,MAX(0,(L$5-$H$17+1)/$T$17))*IF(L$5=$H$17,$U$17,IF(AND(L$5&gt;$H$17,L$5&lt;$H$17+$F$17),1,IF(L$5=$H$17+$F$17,1-$U$17,0)))</f>
        <v>0</v>
      </c>
      <c r="M60" s="130" t="n">
        <f aca="false">(1-$I$17)*(1-$J$17)*$D$17*$E$17/4*MIN(1,MAX(0,(M$5-$H$17+1)/$T$17))*IF(M$5=$H$17,$U$17,IF(AND(M$5&gt;$H$17,M$5&lt;$H$17+$F$17),1,IF(M$5=$H$17+$F$17,1-$U$17,0)))</f>
        <v>0</v>
      </c>
      <c r="N60" s="130" t="n">
        <f aca="false">(1-$I$17)*(1-$J$17)*$D$17*$E$17/4*MIN(1,MAX(0,(N$5-$H$17+1)/$T$17))*IF(N$5=$H$17,$U$17,IF(AND(N$5&gt;$H$17,N$5&lt;$H$17+$F$17),1,IF(N$5=$H$17+$F$17,1-$U$17,0)))</f>
        <v>0</v>
      </c>
      <c r="O60" s="130" t="n">
        <f aca="false">(1-$I$17)*(1-$J$17)*$D$17*$E$17/4*MIN(1,MAX(0,(O$5-$H$17+1)/$T$17))*IF(O$5=$H$17,$U$17,IF(AND(O$5&gt;$H$17,O$5&lt;$H$17+$F$17),1,IF(O$5=$H$17+$F$17,1-$U$17,0)))</f>
        <v>0</v>
      </c>
      <c r="P60" s="131" t="n">
        <f aca="false">(1-$I$17)*(1-$J$17)*$D$17*$E$17/4*MIN(1,MAX(0,(P$5-$H$17+1)/$T$17))*IF(P$5=$H$17,$U$17,IF(AND(P$5&gt;$H$17,P$5&lt;$H$17+$F$17),1,IF(P$5=$H$17+$F$17,1-$U$17,0)))</f>
        <v>0</v>
      </c>
      <c r="Q60" s="131" t="n">
        <f aca="false">(1-$I$17)*(1-$J$17)*$D$17*$E$17/4*MIN(1,MAX(0,(Q$5-$H$17+1)/$T$17))*IF(Q$5=$H$17,$U$17,IF(AND(Q$5&gt;$H$17,Q$5&lt;$H$17+$F$17),1,IF(Q$5=$H$17+$F$17,1-$U$17,0)))</f>
        <v>0</v>
      </c>
      <c r="R60" s="131" t="n">
        <f aca="false">(1-$I$17)*(1-$J$17)*$D$17*$E$17/4*MIN(1,MAX(0,(R$5-$H$17+1)/$T$17))*IF(R$5=$H$17,$U$17,IF(AND(R$5&gt;$H$17,R$5&lt;$H$17+$F$17),1,IF(R$5=$H$17+$F$17,1-$U$17,0)))</f>
        <v>0</v>
      </c>
      <c r="S60" s="131" t="n">
        <f aca="false">(1-$I$17)*(1-$J$17)*$D$17*$E$17/4*MIN(1,MAX(0,(S$5-$H$17+1)/$T$17))*IF(S$5=$H$17,$U$17,IF(AND(S$5&gt;$H$17,S$5&lt;$H$17+$F$17),1,IF(S$5=$H$17+$F$17,1-$U$17,0)))</f>
        <v>96.6272222222222</v>
      </c>
      <c r="T60" s="131" t="n">
        <f aca="false">(1-$I$17)*(1-$J$17)*$D$17*$E$17/4*MIN(1,MAX(0,(T$5-$H$17+1)/$T$17))*IF(T$5=$H$17,$U$17,IF(AND(T$5&gt;$H$17,T$5&lt;$H$17+$F$17),1,IF(T$5=$H$17+$F$17,1-$U$17,0)))</f>
        <v>96.6272222222222</v>
      </c>
      <c r="U60" s="131" t="n">
        <f aca="false">(1-$I$17)*(1-$J$17)*$D$17*$E$17/4*MIN(1,MAX(0,(U$5-$H$17+1)/$T$17))*IF(U$5=$H$17,$U$17,IF(AND(U$5&gt;$H$17,U$5&lt;$H$17+$F$17),1,IF(U$5=$H$17+$F$17,1-$U$17,0)))</f>
        <v>96.6272222222222</v>
      </c>
      <c r="V60" s="131" t="n">
        <f aca="false">(1-$I$17)*(1-$J$17)*$D$17*$E$17/4*MIN(1,MAX(0,(V$5-$H$17+1)/$T$17))*IF(V$5=$H$17,$U$17,IF(AND(V$5&gt;$H$17,V$5&lt;$H$17+$F$17),1,IF(V$5=$H$17+$F$17,1-$U$17,0)))</f>
        <v>96.6272222222222</v>
      </c>
      <c r="W60" s="131" t="n">
        <f aca="false">(1-$I$17)*(1-$J$17)*$D$17*$E$17/4*MIN(1,MAX(0,(W$5-$H$17+1)/$T$17))*IF(W$5=$H$17,$U$17,IF(AND(W$5&gt;$H$17,W$5&lt;$H$17+$F$17),1,IF(W$5=$H$17+$F$17,1-$U$17,0)))</f>
        <v>96.6272222222222</v>
      </c>
      <c r="X60" s="131" t="n">
        <f aca="false">(1-$I$17)*(1-$J$17)*$D$17*$E$17/4*MIN(1,MAX(0,(X$5-$H$17+1)/$T$17))*IF(X$5=$H$17,$U$17,IF(AND(X$5&gt;$H$17,X$5&lt;$H$17+$F$17),1,IF(X$5=$H$17+$F$17,1-$U$17,0)))</f>
        <v>96.6272222222222</v>
      </c>
      <c r="Y60" s="131" t="n">
        <f aca="false">(1-$I$17)*(1-$J$17)*$D$17*$E$17/4*MIN(1,MAX(0,(Y$5-$H$17+1)/$T$17))*IF(Y$5=$H$17,$U$17,IF(AND(Y$5&gt;$H$17,Y$5&lt;$H$17+$F$17),1,IF(Y$5=$H$17+$F$17,1-$U$17,0)))</f>
        <v>96.6272222222222</v>
      </c>
      <c r="Z60" s="131" t="n">
        <f aca="false">(1-$I$17)*(1-$J$17)*$D$17*$E$17/4*MIN(1,MAX(0,(Z$5-$H$17+1)/$T$17))*IF(Z$5=$H$17,$U$17,IF(AND(Z$5&gt;$H$17,Z$5&lt;$H$17+$F$17),1,IF(Z$5=$H$17+$F$17,1-$U$17,0)))</f>
        <v>96.6272222222222</v>
      </c>
      <c r="AA60" s="131" t="n">
        <f aca="false">(1-$I$17)*(1-$J$17)*$D$17*$E$17/4*MIN(1,MAX(0,(AA$5-$H$17+1)/$T$17))*IF(AA$5=$H$17,$U$17,IF(AND(AA$5&gt;$H$17,AA$5&lt;$H$17+$F$17),1,IF(AA$5=$H$17+$F$17,1-$U$17,0)))</f>
        <v>96.6272222222222</v>
      </c>
      <c r="AB60" s="131" t="n">
        <f aca="false">(1-$I$17)*(1-$J$17)*$D$17*$E$17/4*MIN(1,MAX(0,(AB$5-$H$17+1)/$T$17))*IF(AB$5=$H$17,$U$17,IF(AND(AB$5&gt;$H$17,AB$5&lt;$H$17+$F$17),1,IF(AB$5=$H$17+$F$17,1-$U$17,0)))</f>
        <v>96.6272222222222</v>
      </c>
      <c r="AC60" s="131" t="n">
        <f aca="false">(1-$I$17)*(1-$J$17)*$D$17*$E$17/4*MIN(1,MAX(0,(AC$5-$H$17+1)/$T$17))*IF(AC$5=$H$17,$U$17,IF(AND(AC$5&gt;$H$17,AC$5&lt;$H$17+$F$17),1,IF(AC$5=$H$17+$F$17,1-$U$17,0)))</f>
        <v>96.6272222222222</v>
      </c>
      <c r="AD60" s="131" t="n">
        <f aca="false">(1-$I$17)*(1-$J$17)*$D$17*$E$17/4*MIN(1,MAX(0,(AD$5-$H$17+1)/$T$17))*IF(AD$5=$H$17,$U$17,IF(AND(AD$5&gt;$H$17,AD$5&lt;$H$17+$F$17),1,IF(AD$5=$H$17+$F$17,1-$U$17,0)))</f>
        <v>96.6272222222222</v>
      </c>
      <c r="AE60" s="131" t="n">
        <f aca="false">(1-$I$17)*(1-$J$17)*$D$17*$E$17/4*MIN(1,MAX(0,(AE$5-$H$17+1)/$T$17))*IF(AE$5=$H$17,$U$17,IF(AND(AE$5&gt;$H$17,AE$5&lt;$H$17+$F$17),1,IF(AE$5=$H$17+$F$17,1-$U$17,0)))</f>
        <v>96.6272222222222</v>
      </c>
      <c r="AF60" s="131" t="n">
        <f aca="false">(1-$I$17)*(1-$J$17)*$D$17*$E$17/4*MIN(1,MAX(0,(AF$5-$H$17+1)/$T$17))*IF(AF$5=$H$17,$U$17,IF(AND(AF$5&gt;$H$17,AF$5&lt;$H$17+$F$17),1,IF(AF$5=$H$17+$F$17,1-$U$17,0)))</f>
        <v>96.6272222222222</v>
      </c>
      <c r="AG60" s="131" t="n">
        <f aca="false">(1-$I$17)*(1-$J$17)*$D$17*$E$17/4*MIN(1,MAX(0,(AG$5-$H$17+1)/$T$17))*IF(AG$5=$H$17,$U$17,IF(AND(AG$5&gt;$H$17,AG$5&lt;$H$17+$F$17),1,IF(AG$5=$H$17+$F$17,1-$U$17,0)))</f>
        <v>96.6272222222222</v>
      </c>
      <c r="AI60" s="131" t="n">
        <f aca="false">SUMIF($F$7:$AG$7,AI$7,$F60:$AG60)</f>
        <v>0</v>
      </c>
      <c r="AJ60" s="131" t="n">
        <f aca="false">SUMIF($F$7:$AG$7,AJ$7,$F60:$AG60)</f>
        <v>0</v>
      </c>
      <c r="AK60" s="131" t="n">
        <f aca="false">SUMIF($F$7:$AG$7,AK$7,$F60:$AG60)</f>
        <v>0</v>
      </c>
      <c r="AL60" s="131" t="n">
        <f aca="false">SUMIF($F$7:$AG$7,AL$7,$F60:$AG60)</f>
        <v>289.881666666667</v>
      </c>
      <c r="AM60" s="131" t="n">
        <f aca="false">SUMIF($F$7:$AG$7,AM$7,$F60:$AG60)</f>
        <v>386.508888888889</v>
      </c>
      <c r="AN60" s="131" t="n">
        <f aca="false">SUMIF($F$7:$AG$7,AN$7,$F60:$AG60)</f>
        <v>386.508888888889</v>
      </c>
      <c r="AO60" s="131" t="n">
        <f aca="false">SUMIF($F$7:$AG$7,AO$7,$F60:$AG60)</f>
        <v>386.508888888889</v>
      </c>
    </row>
    <row r="61" customFormat="false" ht="15" hidden="false" customHeight="false" outlineLevel="0" collapsed="false">
      <c r="A61" s="112" t="s">
        <v>2101</v>
      </c>
      <c r="B61" s="24" t="s">
        <v>857</v>
      </c>
      <c r="C61" s="24"/>
      <c r="D61" s="24"/>
      <c r="F61" s="121" t="n">
        <f aca="false">(1-$I$17)*(1-$J$17)*$D$17*AND(F$5&gt;=$H$17,F$5&lt;$H$17+$F$17)</f>
        <v>0</v>
      </c>
      <c r="G61" s="121" t="n">
        <f aca="false">(1-$I$17)*(1-$J$17)*$D$17*AND(G$5&gt;=$H$17,G$5&lt;$H$17+$F$17)</f>
        <v>0</v>
      </c>
      <c r="H61" s="121" t="n">
        <f aca="false">(1-$I$17)*(1-$J$17)*$D$17*AND(H$5&gt;=$H$17,H$5&lt;$H$17+$F$17)</f>
        <v>0</v>
      </c>
      <c r="I61" s="121" t="n">
        <f aca="false">(1-$I$17)*(1-$J$17)*$D$17*AND(I$5&gt;=$H$17,I$5&lt;$H$17+$F$17)</f>
        <v>0</v>
      </c>
      <c r="J61" s="121" t="n">
        <f aca="false">(1-$I$17)*(1-$J$17)*$D$17*AND(J$5&gt;=$H$17,J$5&lt;$H$17+$F$17)</f>
        <v>0</v>
      </c>
      <c r="K61" s="121" t="n">
        <f aca="false">(1-$I$17)*(1-$J$17)*$D$17*AND(K$5&gt;=$H$17,K$5&lt;$H$17+$F$17)</f>
        <v>0</v>
      </c>
      <c r="L61" s="121" t="n">
        <f aca="false">(1-$I$17)*(1-$J$17)*$D$17*AND(L$5&gt;=$H$17,L$5&lt;$H$17+$F$17)</f>
        <v>0</v>
      </c>
      <c r="M61" s="121" t="n">
        <f aca="false">(1-$I$17)*(1-$J$17)*$D$17*AND(M$5&gt;=$H$17,M$5&lt;$H$17+$F$17)</f>
        <v>0</v>
      </c>
      <c r="N61" s="121" t="n">
        <f aca="false">(1-$I$17)*(1-$J$17)*$D$17*AND(N$5&gt;=$H$17,N$5&lt;$H$17+$F$17)</f>
        <v>0</v>
      </c>
      <c r="O61" s="121" t="n">
        <f aca="false">(1-$I$17)*(1-$J$17)*$D$17*AND(O$5&gt;=$H$17,O$5&lt;$H$17+$F$17)</f>
        <v>0</v>
      </c>
      <c r="P61" s="39" t="n">
        <f aca="false">(1-$I$17)*(1-$J$17)*$D$17*AND(P$5&gt;=$H$17,P$5&lt;$H$17+$F$17)</f>
        <v>0</v>
      </c>
      <c r="Q61" s="39" t="n">
        <f aca="false">(1-$I$17)*(1-$J$17)*$D$17*AND(Q$5&gt;=$H$17,Q$5&lt;$H$17+$F$17)</f>
        <v>0</v>
      </c>
      <c r="R61" s="39" t="n">
        <f aca="false">(1-$I$17)*(1-$J$17)*$D$17*AND(R$5&gt;=$H$17,R$5&lt;$H$17+$F$17)</f>
        <v>0</v>
      </c>
      <c r="S61" s="39" t="n">
        <f aca="false">(1-$I$17)*(1-$J$17)*$D$17*AND(S$5&gt;=$H$17,S$5&lt;$H$17+$F$17)</f>
        <v>26.6666666666667</v>
      </c>
      <c r="T61" s="39" t="n">
        <f aca="false">(1-$I$17)*(1-$J$17)*$D$17*AND(T$5&gt;=$H$17,T$5&lt;$H$17+$F$17)</f>
        <v>26.6666666666667</v>
      </c>
      <c r="U61" s="39" t="n">
        <f aca="false">(1-$I$17)*(1-$J$17)*$D$17*AND(U$5&gt;=$H$17,U$5&lt;$H$17+$F$17)</f>
        <v>26.6666666666667</v>
      </c>
      <c r="V61" s="39" t="n">
        <f aca="false">(1-$I$17)*(1-$J$17)*$D$17*AND(V$5&gt;=$H$17,V$5&lt;$H$17+$F$17)</f>
        <v>26.6666666666667</v>
      </c>
      <c r="W61" s="39" t="n">
        <f aca="false">(1-$I$17)*(1-$J$17)*$D$17*AND(W$5&gt;=$H$17,W$5&lt;$H$17+$F$17)</f>
        <v>26.6666666666667</v>
      </c>
      <c r="X61" s="39" t="n">
        <f aca="false">(1-$I$17)*(1-$J$17)*$D$17*AND(X$5&gt;=$H$17,X$5&lt;$H$17+$F$17)</f>
        <v>26.6666666666667</v>
      </c>
      <c r="Y61" s="39" t="n">
        <f aca="false">(1-$I$17)*(1-$J$17)*$D$17*AND(Y$5&gt;=$H$17,Y$5&lt;$H$17+$F$17)</f>
        <v>26.6666666666667</v>
      </c>
      <c r="Z61" s="39" t="n">
        <f aca="false">(1-$I$17)*(1-$J$17)*$D$17*AND(Z$5&gt;=$H$17,Z$5&lt;$H$17+$F$17)</f>
        <v>26.6666666666667</v>
      </c>
      <c r="AA61" s="39" t="n">
        <f aca="false">(1-$I$17)*(1-$J$17)*$D$17*AND(AA$5&gt;=$H$17,AA$5&lt;$H$17+$F$17)</f>
        <v>26.6666666666667</v>
      </c>
      <c r="AB61" s="39" t="n">
        <f aca="false">(1-$I$17)*(1-$J$17)*$D$17*AND(AB$5&gt;=$H$17,AB$5&lt;$H$17+$F$17)</f>
        <v>26.6666666666667</v>
      </c>
      <c r="AC61" s="39" t="n">
        <f aca="false">(1-$I$17)*(1-$J$17)*$D$17*AND(AC$5&gt;=$H$17,AC$5&lt;$H$17+$F$17)</f>
        <v>26.6666666666667</v>
      </c>
      <c r="AD61" s="39" t="n">
        <f aca="false">(1-$I$17)*(1-$J$17)*$D$17*AND(AD$5&gt;=$H$17,AD$5&lt;$H$17+$F$17)</f>
        <v>26.6666666666667</v>
      </c>
      <c r="AE61" s="39" t="n">
        <f aca="false">(1-$I$17)*(1-$J$17)*$D$17*AND(AE$5&gt;=$H$17,AE$5&lt;$H$17+$F$17)</f>
        <v>26.6666666666667</v>
      </c>
      <c r="AF61" s="39" t="n">
        <f aca="false">(1-$I$17)*(1-$J$17)*$D$17*AND(AF$5&gt;=$H$17,AF$5&lt;$H$17+$F$17)</f>
        <v>26.6666666666667</v>
      </c>
      <c r="AG61" s="39" t="n">
        <f aca="false">(1-$I$17)*(1-$J$17)*$D$17*AND(AG$5&gt;=$H$17,AG$5&lt;$H$17+$F$17)</f>
        <v>26.6666666666667</v>
      </c>
      <c r="AI61" s="39" t="n">
        <f aca="false">INDEX($F61:$AG61,1,MATCH(AI$7,$F$7:$AG$7,1))</f>
        <v>0</v>
      </c>
      <c r="AJ61" s="39" t="n">
        <f aca="false">INDEX($F61:$AG61,1,MATCH(AJ$7,$F$7:$AG$7,1))</f>
        <v>0</v>
      </c>
      <c r="AK61" s="39" t="n">
        <f aca="false">INDEX($F61:$AG61,1,MATCH(AK$7,$F$7:$AG$7,1))</f>
        <v>0</v>
      </c>
      <c r="AL61" s="39" t="n">
        <f aca="false">INDEX($F61:$AG61,1,MATCH(AL$7,$F$7:$AG$7,1))</f>
        <v>26.6666666666667</v>
      </c>
      <c r="AM61" s="39" t="n">
        <f aca="false">INDEX($F61:$AG61,1,MATCH(AM$7,$F$7:$AG$7,1))</f>
        <v>26.6666666666667</v>
      </c>
      <c r="AN61" s="39" t="n">
        <f aca="false">INDEX($F61:$AG61,1,MATCH(AN$7,$F$7:$AG$7,1))</f>
        <v>26.6666666666667</v>
      </c>
      <c r="AO61" s="39" t="n">
        <f aca="false">INDEX($F61:$AG61,1,MATCH(AO$7,$F$7:$AG$7,1))</f>
        <v>26.6666666666667</v>
      </c>
    </row>
    <row r="62" customFormat="false" ht="15" hidden="false" customHeight="false" outlineLevel="0" collapsed="false">
      <c r="A62" s="112" t="s">
        <v>2102</v>
      </c>
      <c r="B62" s="24" t="s">
        <v>745</v>
      </c>
      <c r="C62" s="24"/>
      <c r="D62" s="24"/>
      <c r="F62" s="130" t="n">
        <f aca="false">-(1-$I$17)*LD_Pct*$D$17*$E$17/4*AND(F$5&gt;=$G$17,F$5&lt;$H$17)</f>
        <v>-0</v>
      </c>
      <c r="G62" s="130" t="n">
        <f aca="false">-(1-$I$17)*LD_Pct*$D$17*$E$17/4*AND(G$5&gt;=$G$17,G$5&lt;$H$17)</f>
        <v>-0</v>
      </c>
      <c r="H62" s="130" t="n">
        <f aca="false">-(1-$I$17)*LD_Pct*$D$17*$E$17/4*AND(H$5&gt;=$G$17,H$5&lt;$H$17)</f>
        <v>-0</v>
      </c>
      <c r="I62" s="130" t="n">
        <f aca="false">-(1-$I$17)*LD_Pct*$D$17*$E$17/4*AND(I$5&gt;=$G$17,I$5&lt;$H$17)</f>
        <v>-0</v>
      </c>
      <c r="J62" s="130" t="n">
        <f aca="false">-(1-$I$17)*LD_Pct*$D$17*$E$17/4*AND(J$5&gt;=$G$17,J$5&lt;$H$17)</f>
        <v>-0</v>
      </c>
      <c r="K62" s="130" t="n">
        <f aca="false">-(1-$I$17)*LD_Pct*$D$17*$E$17/4*AND(K$5&gt;=$G$17,K$5&lt;$H$17)</f>
        <v>-0</v>
      </c>
      <c r="L62" s="130" t="n">
        <f aca="false">-(1-$I$17)*LD_Pct*$D$17*$E$17/4*AND(L$5&gt;=$G$17,L$5&lt;$H$17)</f>
        <v>-0</v>
      </c>
      <c r="M62" s="130" t="n">
        <f aca="false">-(1-$I$17)*LD_Pct*$D$17*$E$17/4*AND(M$5&gt;=$G$17,M$5&lt;$H$17)</f>
        <v>-0</v>
      </c>
      <c r="N62" s="130" t="n">
        <f aca="false">-(1-$I$17)*LD_Pct*$D$17*$E$17/4*AND(N$5&gt;=$G$17,N$5&lt;$H$17)</f>
        <v>-0</v>
      </c>
      <c r="O62" s="130" t="n">
        <f aca="false">-(1-$I$17)*LD_Pct*$D$17*$E$17/4*AND(O$5&gt;=$G$17,O$5&lt;$H$17)</f>
        <v>-0</v>
      </c>
      <c r="P62" s="131" t="n">
        <f aca="false">-(1-$I$17)*LD_Pct*$D$17*$E$17/4*AND(P$5&gt;=$G$17,P$5&lt;$H$17)</f>
        <v>-0</v>
      </c>
      <c r="Q62" s="131" t="n">
        <f aca="false">-(1-$I$17)*LD_Pct*$D$17*$E$17/4*AND(Q$5&gt;=$G$17,Q$5&lt;$H$17)</f>
        <v>-0</v>
      </c>
      <c r="R62" s="131" t="n">
        <f aca="false">-(1-$I$17)*LD_Pct*$D$17*$E$17/4*AND(R$5&gt;=$G$17,R$5&lt;$H$17)</f>
        <v>-0</v>
      </c>
      <c r="S62" s="131" t="n">
        <f aca="false">-(1-$I$17)*LD_Pct*$D$17*$E$17/4*AND(S$5&gt;=$G$17,S$5&lt;$H$17)</f>
        <v>-0</v>
      </c>
      <c r="T62" s="131" t="n">
        <f aca="false">-(1-$I$17)*LD_Pct*$D$17*$E$17/4*AND(T$5&gt;=$G$17,T$5&lt;$H$17)</f>
        <v>-0</v>
      </c>
      <c r="U62" s="131" t="n">
        <f aca="false">-(1-$I$17)*LD_Pct*$D$17*$E$17/4*AND(U$5&gt;=$G$17,U$5&lt;$H$17)</f>
        <v>-0</v>
      </c>
      <c r="V62" s="131" t="n">
        <f aca="false">-(1-$I$17)*LD_Pct*$D$17*$E$17/4*AND(V$5&gt;=$G$17,V$5&lt;$H$17)</f>
        <v>-0</v>
      </c>
      <c r="W62" s="131" t="n">
        <f aca="false">-(1-$I$17)*LD_Pct*$D$17*$E$17/4*AND(W$5&gt;=$G$17,W$5&lt;$H$17)</f>
        <v>-0</v>
      </c>
      <c r="X62" s="131" t="n">
        <f aca="false">-(1-$I$17)*LD_Pct*$D$17*$E$17/4*AND(X$5&gt;=$G$17,X$5&lt;$H$17)</f>
        <v>-0</v>
      </c>
      <c r="Y62" s="131" t="n">
        <f aca="false">-(1-$I$17)*LD_Pct*$D$17*$E$17/4*AND(Y$5&gt;=$G$17,Y$5&lt;$H$17)</f>
        <v>-0</v>
      </c>
      <c r="Z62" s="131" t="n">
        <f aca="false">-(1-$I$17)*LD_Pct*$D$17*$E$17/4*AND(Z$5&gt;=$G$17,Z$5&lt;$H$17)</f>
        <v>-0</v>
      </c>
      <c r="AA62" s="131" t="n">
        <f aca="false">-(1-$I$17)*LD_Pct*$D$17*$E$17/4*AND(AA$5&gt;=$G$17,AA$5&lt;$H$17)</f>
        <v>-0</v>
      </c>
      <c r="AB62" s="131" t="n">
        <f aca="false">-(1-$I$17)*LD_Pct*$D$17*$E$17/4*AND(AB$5&gt;=$G$17,AB$5&lt;$H$17)</f>
        <v>-0</v>
      </c>
      <c r="AC62" s="131" t="n">
        <f aca="false">-(1-$I$17)*LD_Pct*$D$17*$E$17/4*AND(AC$5&gt;=$G$17,AC$5&lt;$H$17)</f>
        <v>-0</v>
      </c>
      <c r="AD62" s="131" t="n">
        <f aca="false">-(1-$I$17)*LD_Pct*$D$17*$E$17/4*AND(AD$5&gt;=$G$17,AD$5&lt;$H$17)</f>
        <v>-0</v>
      </c>
      <c r="AE62" s="131" t="n">
        <f aca="false">-(1-$I$17)*LD_Pct*$D$17*$E$17/4*AND(AE$5&gt;=$G$17,AE$5&lt;$H$17)</f>
        <v>-0</v>
      </c>
      <c r="AF62" s="131" t="n">
        <f aca="false">-(1-$I$17)*LD_Pct*$D$17*$E$17/4*AND(AF$5&gt;=$G$17,AF$5&lt;$H$17)</f>
        <v>-0</v>
      </c>
      <c r="AG62" s="131" t="n">
        <f aca="false">-(1-$I$17)*LD_Pct*$D$17*$E$17/4*AND(AG$5&gt;=$G$17,AG$5&lt;$H$17)</f>
        <v>-0</v>
      </c>
      <c r="AI62" s="131" t="n">
        <f aca="false">SUMIF($F$7:$AG$7,AI$7,$F62:$AG62)</f>
        <v>0</v>
      </c>
      <c r="AJ62" s="131" t="n">
        <f aca="false">SUMIF($F$7:$AG$7,AJ$7,$F62:$AG62)</f>
        <v>0</v>
      </c>
      <c r="AK62" s="131" t="n">
        <f aca="false">SUMIF($F$7:$AG$7,AK$7,$F62:$AG62)</f>
        <v>0</v>
      </c>
      <c r="AL62" s="131" t="n">
        <f aca="false">SUMIF($F$7:$AG$7,AL$7,$F62:$AG62)</f>
        <v>0</v>
      </c>
      <c r="AM62" s="131" t="n">
        <f aca="false">SUMIF($F$7:$AG$7,AM$7,$F62:$AG62)</f>
        <v>0</v>
      </c>
      <c r="AN62" s="131" t="n">
        <f aca="false">SUMIF($F$7:$AG$7,AN$7,$F62:$AG62)</f>
        <v>0</v>
      </c>
      <c r="AO62" s="131" t="n">
        <f aca="false">SUMIF($F$7:$AG$7,AO$7,$F62:$AG62)</f>
        <v>0</v>
      </c>
    </row>
    <row r="63" customFormat="false" ht="15" hidden="false" customHeight="false" outlineLevel="0" collapsed="false">
      <c r="A63" s="112" t="s">
        <v>2103</v>
      </c>
      <c r="B63" s="24" t="s">
        <v>857</v>
      </c>
      <c r="C63" s="24"/>
      <c r="D63" s="24"/>
      <c r="F63" s="121" t="n">
        <f aca="false">(1-$I$17)*(1-$J$17)*$D$17*(F$5&gt;=$H$17+$F$17)</f>
        <v>0</v>
      </c>
      <c r="G63" s="121" t="n">
        <f aca="false">(1-$I$17)*(1-$J$17)*$D$17*(G$5&gt;=$H$17+$F$17)</f>
        <v>0</v>
      </c>
      <c r="H63" s="121" t="n">
        <f aca="false">(1-$I$17)*(1-$J$17)*$D$17*(H$5&gt;=$H$17+$F$17)</f>
        <v>0</v>
      </c>
      <c r="I63" s="121" t="n">
        <f aca="false">(1-$I$17)*(1-$J$17)*$D$17*(I$5&gt;=$H$17+$F$17)</f>
        <v>0</v>
      </c>
      <c r="J63" s="121" t="n">
        <f aca="false">(1-$I$17)*(1-$J$17)*$D$17*(J$5&gt;=$H$17+$F$17)</f>
        <v>0</v>
      </c>
      <c r="K63" s="121" t="n">
        <f aca="false">(1-$I$17)*(1-$J$17)*$D$17*(K$5&gt;=$H$17+$F$17)</f>
        <v>0</v>
      </c>
      <c r="L63" s="121" t="n">
        <f aca="false">(1-$I$17)*(1-$J$17)*$D$17*(L$5&gt;=$H$17+$F$17)</f>
        <v>0</v>
      </c>
      <c r="M63" s="121" t="n">
        <f aca="false">(1-$I$17)*(1-$J$17)*$D$17*(M$5&gt;=$H$17+$F$17)</f>
        <v>0</v>
      </c>
      <c r="N63" s="121" t="n">
        <f aca="false">(1-$I$17)*(1-$J$17)*$D$17*(N$5&gt;=$H$17+$F$17)</f>
        <v>0</v>
      </c>
      <c r="O63" s="121" t="n">
        <f aca="false">(1-$I$17)*(1-$J$17)*$D$17*(O$5&gt;=$H$17+$F$17)</f>
        <v>0</v>
      </c>
      <c r="P63" s="39" t="n">
        <f aca="false">(1-$I$17)*(1-$J$17)*$D$17*(P$5&gt;=$H$17+$F$17)</f>
        <v>0</v>
      </c>
      <c r="Q63" s="39" t="n">
        <f aca="false">(1-$I$17)*(1-$J$17)*$D$17*(Q$5&gt;=$H$17+$F$17)</f>
        <v>0</v>
      </c>
      <c r="R63" s="39" t="n">
        <f aca="false">(1-$I$17)*(1-$J$17)*$D$17*(R$5&gt;=$H$17+$F$17)</f>
        <v>0</v>
      </c>
      <c r="S63" s="39" t="n">
        <f aca="false">(1-$I$17)*(1-$J$17)*$D$17*(S$5&gt;=$H$17+$F$17)</f>
        <v>0</v>
      </c>
      <c r="T63" s="39" t="n">
        <f aca="false">(1-$I$17)*(1-$J$17)*$D$17*(T$5&gt;=$H$17+$F$17)</f>
        <v>0</v>
      </c>
      <c r="U63" s="39" t="n">
        <f aca="false">(1-$I$17)*(1-$J$17)*$D$17*(U$5&gt;=$H$17+$F$17)</f>
        <v>0</v>
      </c>
      <c r="V63" s="39" t="n">
        <f aca="false">(1-$I$17)*(1-$J$17)*$D$17*(V$5&gt;=$H$17+$F$17)</f>
        <v>0</v>
      </c>
      <c r="W63" s="39" t="n">
        <f aca="false">(1-$I$17)*(1-$J$17)*$D$17*(W$5&gt;=$H$17+$F$17)</f>
        <v>0</v>
      </c>
      <c r="X63" s="39" t="n">
        <f aca="false">(1-$I$17)*(1-$J$17)*$D$17*(X$5&gt;=$H$17+$F$17)</f>
        <v>0</v>
      </c>
      <c r="Y63" s="39" t="n">
        <f aca="false">(1-$I$17)*(1-$J$17)*$D$17*(Y$5&gt;=$H$17+$F$17)</f>
        <v>0</v>
      </c>
      <c r="Z63" s="39" t="n">
        <f aca="false">(1-$I$17)*(1-$J$17)*$D$17*(Z$5&gt;=$H$17+$F$17)</f>
        <v>0</v>
      </c>
      <c r="AA63" s="39" t="n">
        <f aca="false">(1-$I$17)*(1-$J$17)*$D$17*(AA$5&gt;=$H$17+$F$17)</f>
        <v>0</v>
      </c>
      <c r="AB63" s="39" t="n">
        <f aca="false">(1-$I$17)*(1-$J$17)*$D$17*(AB$5&gt;=$H$17+$F$17)</f>
        <v>0</v>
      </c>
      <c r="AC63" s="39" t="n">
        <f aca="false">(1-$I$17)*(1-$J$17)*$D$17*(AC$5&gt;=$H$17+$F$17)</f>
        <v>0</v>
      </c>
      <c r="AD63" s="39" t="n">
        <f aca="false">(1-$I$17)*(1-$J$17)*$D$17*(AD$5&gt;=$H$17+$F$17)</f>
        <v>0</v>
      </c>
      <c r="AE63" s="39" t="n">
        <f aca="false">(1-$I$17)*(1-$J$17)*$D$17*(AE$5&gt;=$H$17+$F$17)</f>
        <v>0</v>
      </c>
      <c r="AF63" s="39" t="n">
        <f aca="false">(1-$I$17)*(1-$J$17)*$D$17*(AF$5&gt;=$H$17+$F$17)</f>
        <v>0</v>
      </c>
      <c r="AG63" s="39" t="n">
        <f aca="false">(1-$I$17)*(1-$J$17)*$D$17*(AG$5&gt;=$H$17+$F$17)</f>
        <v>0</v>
      </c>
      <c r="AI63" s="39" t="n">
        <f aca="false">INDEX($F63:$AG63,1,MATCH(AI$7,$F$7:$AG$7,1))</f>
        <v>0</v>
      </c>
      <c r="AJ63" s="39" t="n">
        <f aca="false">INDEX($F63:$AG63,1,MATCH(AJ$7,$F$7:$AG$7,1))</f>
        <v>0</v>
      </c>
      <c r="AK63" s="39" t="n">
        <f aca="false">INDEX($F63:$AG63,1,MATCH(AK$7,$F$7:$AG$7,1))</f>
        <v>0</v>
      </c>
      <c r="AL63" s="39" t="n">
        <f aca="false">INDEX($F63:$AG63,1,MATCH(AL$7,$F$7:$AG$7,1))</f>
        <v>0</v>
      </c>
      <c r="AM63" s="39" t="n">
        <f aca="false">INDEX($F63:$AG63,1,MATCH(AM$7,$F$7:$AG$7,1))</f>
        <v>0</v>
      </c>
      <c r="AN63" s="39" t="n">
        <f aca="false">INDEX($F63:$AG63,1,MATCH(AN$7,$F$7:$AG$7,1))</f>
        <v>0</v>
      </c>
      <c r="AO63" s="39" t="n">
        <f aca="false">INDEX($F63:$AG63,1,MATCH(AO$7,$F$7:$AG$7,1))</f>
        <v>0</v>
      </c>
    </row>
    <row r="64" customFormat="false" ht="15" hidden="false" customHeight="false" outlineLevel="0" collapsed="false">
      <c r="A64" s="112" t="s">
        <v>2104</v>
      </c>
      <c r="B64" s="24" t="s">
        <v>745</v>
      </c>
      <c r="C64" s="24"/>
      <c r="D64" s="24" t="s">
        <v>2079</v>
      </c>
      <c r="F64" s="130" t="n">
        <f aca="false">F63*CHOOSE(MATCH($C$17,{"H";"B";"N"},0),GPUMW_H*ODc_H,GPUMW_B*ODc_B,GPUMW_N*ODc_N)*ResidUtil*Timeline!F$9*INDEX(Curve,1,MAX(1,MIN(8,INT((F$5-$H$17)/4)+1)))/1000000</f>
        <v>0</v>
      </c>
      <c r="G64" s="130" t="n">
        <f aca="false">G63*CHOOSE(MATCH($C$17,{"H";"B";"N"},0),GPUMW_H*ODc_H,GPUMW_B*ODc_B,GPUMW_N*ODc_N)*ResidUtil*Timeline!G$9*INDEX(Curve,1,MAX(1,MIN(8,INT((G$5-$H$17)/4)+1)))/1000000</f>
        <v>0</v>
      </c>
      <c r="H64" s="130" t="n">
        <f aca="false">H63*CHOOSE(MATCH($C$17,{"H";"B";"N"},0),GPUMW_H*ODc_H,GPUMW_B*ODc_B,GPUMW_N*ODc_N)*ResidUtil*Timeline!H$9*INDEX(Curve,1,MAX(1,MIN(8,INT((H$5-$H$17)/4)+1)))/1000000</f>
        <v>0</v>
      </c>
      <c r="I64" s="130" t="n">
        <f aca="false">I63*CHOOSE(MATCH($C$17,{"H";"B";"N"},0),GPUMW_H*ODc_H,GPUMW_B*ODc_B,GPUMW_N*ODc_N)*ResidUtil*Timeline!I$9*INDEX(Curve,1,MAX(1,MIN(8,INT((I$5-$H$17)/4)+1)))/1000000</f>
        <v>0</v>
      </c>
      <c r="J64" s="130" t="n">
        <f aca="false">J63*CHOOSE(MATCH($C$17,{"H";"B";"N"},0),GPUMW_H*ODc_H,GPUMW_B*ODc_B,GPUMW_N*ODc_N)*ResidUtil*Timeline!J$9*INDEX(Curve,1,MAX(1,MIN(8,INT((J$5-$H$17)/4)+1)))/1000000</f>
        <v>0</v>
      </c>
      <c r="K64" s="130" t="n">
        <f aca="false">K63*CHOOSE(MATCH($C$17,{"H";"B";"N"},0),GPUMW_H*ODc_H,GPUMW_B*ODc_B,GPUMW_N*ODc_N)*ResidUtil*Timeline!K$9*INDEX(Curve,1,MAX(1,MIN(8,INT((K$5-$H$17)/4)+1)))/1000000</f>
        <v>0</v>
      </c>
      <c r="L64" s="130" t="n">
        <f aca="false">L63*CHOOSE(MATCH($C$17,{"H";"B";"N"},0),GPUMW_H*ODc_H,GPUMW_B*ODc_B,GPUMW_N*ODc_N)*ResidUtil*Timeline!L$9*INDEX(Curve,1,MAX(1,MIN(8,INT((L$5-$H$17)/4)+1)))/1000000</f>
        <v>0</v>
      </c>
      <c r="M64" s="130" t="n">
        <f aca="false">M63*CHOOSE(MATCH($C$17,{"H";"B";"N"},0),GPUMW_H*ODc_H,GPUMW_B*ODc_B,GPUMW_N*ODc_N)*ResidUtil*Timeline!M$9*INDEX(Curve,1,MAX(1,MIN(8,INT((M$5-$H$17)/4)+1)))/1000000</f>
        <v>0</v>
      </c>
      <c r="N64" s="130" t="n">
        <f aca="false">N63*CHOOSE(MATCH($C$17,{"H";"B";"N"},0),GPUMW_H*ODc_H,GPUMW_B*ODc_B,GPUMW_N*ODc_N)*ResidUtil*Timeline!N$9*INDEX(Curve,1,MAX(1,MIN(8,INT((N$5-$H$17)/4)+1)))/1000000</f>
        <v>0</v>
      </c>
      <c r="O64" s="130" t="n">
        <f aca="false">O63*CHOOSE(MATCH($C$17,{"H";"B";"N"},0),GPUMW_H*ODc_H,GPUMW_B*ODc_B,GPUMW_N*ODc_N)*ResidUtil*Timeline!O$9*INDEX(Curve,1,MAX(1,MIN(8,INT((O$5-$H$17)/4)+1)))/1000000</f>
        <v>0</v>
      </c>
      <c r="P64" s="131" t="n">
        <f aca="false">P63*CHOOSE(MATCH($C$17,{"H";"B";"N"},0),GPUMW_H*ODc_H,GPUMW_B*ODc_B,GPUMW_N*ODc_N)*ResidUtil*Timeline!P$9*INDEX(Curve,1,MAX(1,MIN(8,INT((P$5-$H$17)/4)+1)))/1000000</f>
        <v>0</v>
      </c>
      <c r="Q64" s="131" t="n">
        <f aca="false">Q63*CHOOSE(MATCH($C$17,{"H";"B";"N"},0),GPUMW_H*ODc_H,GPUMW_B*ODc_B,GPUMW_N*ODc_N)*ResidUtil*Timeline!Q$9*INDEX(Curve,1,MAX(1,MIN(8,INT((Q$5-$H$17)/4)+1)))/1000000</f>
        <v>0</v>
      </c>
      <c r="R64" s="131" t="n">
        <f aca="false">R63*CHOOSE(MATCH($C$17,{"H";"B";"N"},0),GPUMW_H*ODc_H,GPUMW_B*ODc_B,GPUMW_N*ODc_N)*ResidUtil*Timeline!R$9*INDEX(Curve,1,MAX(1,MIN(8,INT((R$5-$H$17)/4)+1)))/1000000</f>
        <v>0</v>
      </c>
      <c r="S64" s="131" t="n">
        <f aca="false">S63*CHOOSE(MATCH($C$17,{"H";"B";"N"},0),GPUMW_H*ODc_H,GPUMW_B*ODc_B,GPUMW_N*ODc_N)*ResidUtil*Timeline!S$9*INDEX(Curve,1,MAX(1,MIN(8,INT((S$5-$H$17)/4)+1)))/1000000</f>
        <v>0</v>
      </c>
      <c r="T64" s="131" t="n">
        <f aca="false">T63*CHOOSE(MATCH($C$17,{"H";"B";"N"},0),GPUMW_H*ODc_H,GPUMW_B*ODc_B,GPUMW_N*ODc_N)*ResidUtil*Timeline!T$9*INDEX(Curve,1,MAX(1,MIN(8,INT((T$5-$H$17)/4)+1)))/1000000</f>
        <v>0</v>
      </c>
      <c r="U64" s="131" t="n">
        <f aca="false">U63*CHOOSE(MATCH($C$17,{"H";"B";"N"},0),GPUMW_H*ODc_H,GPUMW_B*ODc_B,GPUMW_N*ODc_N)*ResidUtil*Timeline!U$9*INDEX(Curve,1,MAX(1,MIN(8,INT((U$5-$H$17)/4)+1)))/1000000</f>
        <v>0</v>
      </c>
      <c r="V64" s="131" t="n">
        <f aca="false">V63*CHOOSE(MATCH($C$17,{"H";"B";"N"},0),GPUMW_H*ODc_H,GPUMW_B*ODc_B,GPUMW_N*ODc_N)*ResidUtil*Timeline!V$9*INDEX(Curve,1,MAX(1,MIN(8,INT((V$5-$H$17)/4)+1)))/1000000</f>
        <v>0</v>
      </c>
      <c r="W64" s="131" t="n">
        <f aca="false">W63*CHOOSE(MATCH($C$17,{"H";"B";"N"},0),GPUMW_H*ODc_H,GPUMW_B*ODc_B,GPUMW_N*ODc_N)*ResidUtil*Timeline!W$9*INDEX(Curve,1,MAX(1,MIN(8,INT((W$5-$H$17)/4)+1)))/1000000</f>
        <v>0</v>
      </c>
      <c r="X64" s="131" t="n">
        <f aca="false">X63*CHOOSE(MATCH($C$17,{"H";"B";"N"},0),GPUMW_H*ODc_H,GPUMW_B*ODc_B,GPUMW_N*ODc_N)*ResidUtil*Timeline!X$9*INDEX(Curve,1,MAX(1,MIN(8,INT((X$5-$H$17)/4)+1)))/1000000</f>
        <v>0</v>
      </c>
      <c r="Y64" s="131" t="n">
        <f aca="false">Y63*CHOOSE(MATCH($C$17,{"H";"B";"N"},0),GPUMW_H*ODc_H,GPUMW_B*ODc_B,GPUMW_N*ODc_N)*ResidUtil*Timeline!Y$9*INDEX(Curve,1,MAX(1,MIN(8,INT((Y$5-$H$17)/4)+1)))/1000000</f>
        <v>0</v>
      </c>
      <c r="Z64" s="131" t="n">
        <f aca="false">Z63*CHOOSE(MATCH($C$17,{"H";"B";"N"},0),GPUMW_H*ODc_H,GPUMW_B*ODc_B,GPUMW_N*ODc_N)*ResidUtil*Timeline!Z$9*INDEX(Curve,1,MAX(1,MIN(8,INT((Z$5-$H$17)/4)+1)))/1000000</f>
        <v>0</v>
      </c>
      <c r="AA64" s="131" t="n">
        <f aca="false">AA63*CHOOSE(MATCH($C$17,{"H";"B";"N"},0),GPUMW_H*ODc_H,GPUMW_B*ODc_B,GPUMW_N*ODc_N)*ResidUtil*Timeline!AA$9*INDEX(Curve,1,MAX(1,MIN(8,INT((AA$5-$H$17)/4)+1)))/1000000</f>
        <v>0</v>
      </c>
      <c r="AB64" s="131" t="n">
        <f aca="false">AB63*CHOOSE(MATCH($C$17,{"H";"B";"N"},0),GPUMW_H*ODc_H,GPUMW_B*ODc_B,GPUMW_N*ODc_N)*ResidUtil*Timeline!AB$9*INDEX(Curve,1,MAX(1,MIN(8,INT((AB$5-$H$17)/4)+1)))/1000000</f>
        <v>0</v>
      </c>
      <c r="AC64" s="131" t="n">
        <f aca="false">AC63*CHOOSE(MATCH($C$17,{"H";"B";"N"},0),GPUMW_H*ODc_H,GPUMW_B*ODc_B,GPUMW_N*ODc_N)*ResidUtil*Timeline!AC$9*INDEX(Curve,1,MAX(1,MIN(8,INT((AC$5-$H$17)/4)+1)))/1000000</f>
        <v>0</v>
      </c>
      <c r="AD64" s="131" t="n">
        <f aca="false">AD63*CHOOSE(MATCH($C$17,{"H";"B";"N"},0),GPUMW_H*ODc_H,GPUMW_B*ODc_B,GPUMW_N*ODc_N)*ResidUtil*Timeline!AD$9*INDEX(Curve,1,MAX(1,MIN(8,INT((AD$5-$H$17)/4)+1)))/1000000</f>
        <v>0</v>
      </c>
      <c r="AE64" s="131" t="n">
        <f aca="false">AE63*CHOOSE(MATCH($C$17,{"H";"B";"N"},0),GPUMW_H*ODc_H,GPUMW_B*ODc_B,GPUMW_N*ODc_N)*ResidUtil*Timeline!AE$9*INDEX(Curve,1,MAX(1,MIN(8,INT((AE$5-$H$17)/4)+1)))/1000000</f>
        <v>0</v>
      </c>
      <c r="AF64" s="131" t="n">
        <f aca="false">AF63*CHOOSE(MATCH($C$17,{"H";"B";"N"},0),GPUMW_H*ODc_H,GPUMW_B*ODc_B,GPUMW_N*ODc_N)*ResidUtil*Timeline!AF$9*INDEX(Curve,1,MAX(1,MIN(8,INT((AF$5-$H$17)/4)+1)))/1000000</f>
        <v>0</v>
      </c>
      <c r="AG64" s="131" t="n">
        <f aca="false">AG63*CHOOSE(MATCH($C$17,{"H";"B";"N"},0),GPUMW_H*ODc_H,GPUMW_B*ODc_B,GPUMW_N*ODc_N)*ResidUtil*Timeline!AG$9*INDEX(Curve,1,MAX(1,MIN(8,INT((AG$5-$H$17)/4)+1)))/1000000</f>
        <v>0</v>
      </c>
      <c r="AI64" s="131" t="n">
        <f aca="false">SUMIF($F$7:$AG$7,AI$7,$F64:$AG64)</f>
        <v>0</v>
      </c>
      <c r="AJ64" s="131" t="n">
        <f aca="false">SUMIF($F$7:$AG$7,AJ$7,$F64:$AG64)</f>
        <v>0</v>
      </c>
      <c r="AK64" s="131" t="n">
        <f aca="false">SUMIF($F$7:$AG$7,AK$7,$F64:$AG64)</f>
        <v>0</v>
      </c>
      <c r="AL64" s="131" t="n">
        <f aca="false">SUMIF($F$7:$AG$7,AL$7,$F64:$AG64)</f>
        <v>0</v>
      </c>
      <c r="AM64" s="131" t="n">
        <f aca="false">SUMIF($F$7:$AG$7,AM$7,$F64:$AG64)</f>
        <v>0</v>
      </c>
      <c r="AN64" s="131" t="n">
        <f aca="false">SUMIF($F$7:$AG$7,AN$7,$F64:$AG64)</f>
        <v>0</v>
      </c>
      <c r="AO64" s="131" t="n">
        <f aca="false">SUMIF($F$7:$AG$7,AO$7,$F64:$AG64)</f>
        <v>0</v>
      </c>
    </row>
    <row r="65" customFormat="false" ht="15" hidden="false" customHeight="false" outlineLevel="0" collapsed="false">
      <c r="A65" s="112" t="s">
        <v>2105</v>
      </c>
      <c r="B65" s="24" t="s">
        <v>745</v>
      </c>
      <c r="C65" s="24"/>
      <c r="D65" s="24"/>
      <c r="F65" s="130" t="n">
        <f aca="false">(1-$I$18)*(1-$J$18)*$D$18*$E$18/4*MIN(1,MAX(0,(F$5-$H$18+1)/$T$18))*IF(F$5=$H$18,$U$18,IF(AND(F$5&gt;$H$18,F$5&lt;$H$18+$F$18),1,IF(F$5=$H$18+$F$18,1-$U$18,0)))</f>
        <v>0</v>
      </c>
      <c r="G65" s="130" t="n">
        <f aca="false">(1-$I$18)*(1-$J$18)*$D$18*$E$18/4*MIN(1,MAX(0,(G$5-$H$18+1)/$T$18))*IF(G$5=$H$18,$U$18,IF(AND(G$5&gt;$H$18,G$5&lt;$H$18+$F$18),1,IF(G$5=$H$18+$F$18,1-$U$18,0)))</f>
        <v>0</v>
      </c>
      <c r="H65" s="130" t="n">
        <f aca="false">(1-$I$18)*(1-$J$18)*$D$18*$E$18/4*MIN(1,MAX(0,(H$5-$H$18+1)/$T$18))*IF(H$5=$H$18,$U$18,IF(AND(H$5&gt;$H$18,H$5&lt;$H$18+$F$18),1,IF(H$5=$H$18+$F$18,1-$U$18,0)))</f>
        <v>0</v>
      </c>
      <c r="I65" s="130" t="n">
        <f aca="false">(1-$I$18)*(1-$J$18)*$D$18*$E$18/4*MIN(1,MAX(0,(I$5-$H$18+1)/$T$18))*IF(I$5=$H$18,$U$18,IF(AND(I$5&gt;$H$18,I$5&lt;$H$18+$F$18),1,IF(I$5=$H$18+$F$18,1-$U$18,0)))</f>
        <v>0</v>
      </c>
      <c r="J65" s="130" t="n">
        <f aca="false">(1-$I$18)*(1-$J$18)*$D$18*$E$18/4*MIN(1,MAX(0,(J$5-$H$18+1)/$T$18))*IF(J$5=$H$18,$U$18,IF(AND(J$5&gt;$H$18,J$5&lt;$H$18+$F$18),1,IF(J$5=$H$18+$F$18,1-$U$18,0)))</f>
        <v>0</v>
      </c>
      <c r="K65" s="130" t="n">
        <f aca="false">(1-$I$18)*(1-$J$18)*$D$18*$E$18/4*MIN(1,MAX(0,(K$5-$H$18+1)/$T$18))*IF(K$5=$H$18,$U$18,IF(AND(K$5&gt;$H$18,K$5&lt;$H$18+$F$18),1,IF(K$5=$H$18+$F$18,1-$U$18,0)))</f>
        <v>0</v>
      </c>
      <c r="L65" s="130" t="n">
        <f aca="false">(1-$I$18)*(1-$J$18)*$D$18*$E$18/4*MIN(1,MAX(0,(L$5-$H$18+1)/$T$18))*IF(L$5=$H$18,$U$18,IF(AND(L$5&gt;$H$18,L$5&lt;$H$18+$F$18),1,IF(L$5=$H$18+$F$18,1-$U$18,0)))</f>
        <v>0</v>
      </c>
      <c r="M65" s="130" t="n">
        <f aca="false">(1-$I$18)*(1-$J$18)*$D$18*$E$18/4*MIN(1,MAX(0,(M$5-$H$18+1)/$T$18))*IF(M$5=$H$18,$U$18,IF(AND(M$5&gt;$H$18,M$5&lt;$H$18+$F$18),1,IF(M$5=$H$18+$F$18,1-$U$18,0)))</f>
        <v>0</v>
      </c>
      <c r="N65" s="130" t="n">
        <f aca="false">(1-$I$18)*(1-$J$18)*$D$18*$E$18/4*MIN(1,MAX(0,(N$5-$H$18+1)/$T$18))*IF(N$5=$H$18,$U$18,IF(AND(N$5&gt;$H$18,N$5&lt;$H$18+$F$18),1,IF(N$5=$H$18+$F$18,1-$U$18,0)))</f>
        <v>0</v>
      </c>
      <c r="O65" s="130" t="n">
        <f aca="false">(1-$I$18)*(1-$J$18)*$D$18*$E$18/4*MIN(1,MAX(0,(O$5-$H$18+1)/$T$18))*IF(O$5=$H$18,$U$18,IF(AND(O$5&gt;$H$18,O$5&lt;$H$18+$F$18),1,IF(O$5=$H$18+$F$18,1-$U$18,0)))</f>
        <v>0</v>
      </c>
      <c r="P65" s="131" t="n">
        <f aca="false">(1-$I$18)*(1-$J$18)*$D$18*$E$18/4*MIN(1,MAX(0,(P$5-$H$18+1)/$T$18))*IF(P$5=$H$18,$U$18,IF(AND(P$5&gt;$H$18,P$5&lt;$H$18+$F$18),1,IF(P$5=$H$18+$F$18,1-$U$18,0)))</f>
        <v>0</v>
      </c>
      <c r="Q65" s="131" t="n">
        <f aca="false">(1-$I$18)*(1-$J$18)*$D$18*$E$18/4*MIN(1,MAX(0,(Q$5-$H$18+1)/$T$18))*IF(Q$5=$H$18,$U$18,IF(AND(Q$5&gt;$H$18,Q$5&lt;$H$18+$F$18),1,IF(Q$5=$H$18+$F$18,1-$U$18,0)))</f>
        <v>0</v>
      </c>
      <c r="R65" s="131" t="n">
        <f aca="false">(1-$I$18)*(1-$J$18)*$D$18*$E$18/4*MIN(1,MAX(0,(R$5-$H$18+1)/$T$18))*IF(R$5=$H$18,$U$18,IF(AND(R$5&gt;$H$18,R$5&lt;$H$18+$F$18),1,IF(R$5=$H$18+$F$18,1-$U$18,0)))</f>
        <v>0</v>
      </c>
      <c r="S65" s="131" t="n">
        <f aca="false">(1-$I$18)*(1-$J$18)*$D$18*$E$18/4*MIN(1,MAX(0,(S$5-$H$18+1)/$T$18))*IF(S$5=$H$18,$U$18,IF(AND(S$5&gt;$H$18,S$5&lt;$H$18+$F$18),1,IF(S$5=$H$18+$F$18,1-$U$18,0)))</f>
        <v>0</v>
      </c>
      <c r="T65" s="131" t="n">
        <f aca="false">(1-$I$18)*(1-$J$18)*$D$18*$E$18/4*MIN(1,MAX(0,(T$5-$H$18+1)/$T$18))*IF(T$5=$H$18,$U$18,IF(AND(T$5&gt;$H$18,T$5&lt;$H$18+$F$18),1,IF(T$5=$H$18+$F$18,1-$U$18,0)))</f>
        <v>96.6272222222222</v>
      </c>
      <c r="U65" s="131" t="n">
        <f aca="false">(1-$I$18)*(1-$J$18)*$D$18*$E$18/4*MIN(1,MAX(0,(U$5-$H$18+1)/$T$18))*IF(U$5=$H$18,$U$18,IF(AND(U$5&gt;$H$18,U$5&lt;$H$18+$F$18),1,IF(U$5=$H$18+$F$18,1-$U$18,0)))</f>
        <v>96.6272222222222</v>
      </c>
      <c r="V65" s="131" t="n">
        <f aca="false">(1-$I$18)*(1-$J$18)*$D$18*$E$18/4*MIN(1,MAX(0,(V$5-$H$18+1)/$T$18))*IF(V$5=$H$18,$U$18,IF(AND(V$5&gt;$H$18,V$5&lt;$H$18+$F$18),1,IF(V$5=$H$18+$F$18,1-$U$18,0)))</f>
        <v>96.6272222222222</v>
      </c>
      <c r="W65" s="131" t="n">
        <f aca="false">(1-$I$18)*(1-$J$18)*$D$18*$E$18/4*MIN(1,MAX(0,(W$5-$H$18+1)/$T$18))*IF(W$5=$H$18,$U$18,IF(AND(W$5&gt;$H$18,W$5&lt;$H$18+$F$18),1,IF(W$5=$H$18+$F$18,1-$U$18,0)))</f>
        <v>96.6272222222222</v>
      </c>
      <c r="X65" s="131" t="n">
        <f aca="false">(1-$I$18)*(1-$J$18)*$D$18*$E$18/4*MIN(1,MAX(0,(X$5-$H$18+1)/$T$18))*IF(X$5=$H$18,$U$18,IF(AND(X$5&gt;$H$18,X$5&lt;$H$18+$F$18),1,IF(X$5=$H$18+$F$18,1-$U$18,0)))</f>
        <v>96.6272222222222</v>
      </c>
      <c r="Y65" s="131" t="n">
        <f aca="false">(1-$I$18)*(1-$J$18)*$D$18*$E$18/4*MIN(1,MAX(0,(Y$5-$H$18+1)/$T$18))*IF(Y$5=$H$18,$U$18,IF(AND(Y$5&gt;$H$18,Y$5&lt;$H$18+$F$18),1,IF(Y$5=$H$18+$F$18,1-$U$18,0)))</f>
        <v>96.6272222222222</v>
      </c>
      <c r="Z65" s="131" t="n">
        <f aca="false">(1-$I$18)*(1-$J$18)*$D$18*$E$18/4*MIN(1,MAX(0,(Z$5-$H$18+1)/$T$18))*IF(Z$5=$H$18,$U$18,IF(AND(Z$5&gt;$H$18,Z$5&lt;$H$18+$F$18),1,IF(Z$5=$H$18+$F$18,1-$U$18,0)))</f>
        <v>96.6272222222222</v>
      </c>
      <c r="AA65" s="131" t="n">
        <f aca="false">(1-$I$18)*(1-$J$18)*$D$18*$E$18/4*MIN(1,MAX(0,(AA$5-$H$18+1)/$T$18))*IF(AA$5=$H$18,$U$18,IF(AND(AA$5&gt;$H$18,AA$5&lt;$H$18+$F$18),1,IF(AA$5=$H$18+$F$18,1-$U$18,0)))</f>
        <v>96.6272222222222</v>
      </c>
      <c r="AB65" s="131" t="n">
        <f aca="false">(1-$I$18)*(1-$J$18)*$D$18*$E$18/4*MIN(1,MAX(0,(AB$5-$H$18+1)/$T$18))*IF(AB$5=$H$18,$U$18,IF(AND(AB$5&gt;$H$18,AB$5&lt;$H$18+$F$18),1,IF(AB$5=$H$18+$F$18,1-$U$18,0)))</f>
        <v>96.6272222222222</v>
      </c>
      <c r="AC65" s="131" t="n">
        <f aca="false">(1-$I$18)*(1-$J$18)*$D$18*$E$18/4*MIN(1,MAX(0,(AC$5-$H$18+1)/$T$18))*IF(AC$5=$H$18,$U$18,IF(AND(AC$5&gt;$H$18,AC$5&lt;$H$18+$F$18),1,IF(AC$5=$H$18+$F$18,1-$U$18,0)))</f>
        <v>96.6272222222222</v>
      </c>
      <c r="AD65" s="131" t="n">
        <f aca="false">(1-$I$18)*(1-$J$18)*$D$18*$E$18/4*MIN(1,MAX(0,(AD$5-$H$18+1)/$T$18))*IF(AD$5=$H$18,$U$18,IF(AND(AD$5&gt;$H$18,AD$5&lt;$H$18+$F$18),1,IF(AD$5=$H$18+$F$18,1-$U$18,0)))</f>
        <v>96.6272222222222</v>
      </c>
      <c r="AE65" s="131" t="n">
        <f aca="false">(1-$I$18)*(1-$J$18)*$D$18*$E$18/4*MIN(1,MAX(0,(AE$5-$H$18+1)/$T$18))*IF(AE$5=$H$18,$U$18,IF(AND(AE$5&gt;$H$18,AE$5&lt;$H$18+$F$18),1,IF(AE$5=$H$18+$F$18,1-$U$18,0)))</f>
        <v>96.6272222222222</v>
      </c>
      <c r="AF65" s="131" t="n">
        <f aca="false">(1-$I$18)*(1-$J$18)*$D$18*$E$18/4*MIN(1,MAX(0,(AF$5-$H$18+1)/$T$18))*IF(AF$5=$H$18,$U$18,IF(AND(AF$5&gt;$H$18,AF$5&lt;$H$18+$F$18),1,IF(AF$5=$H$18+$F$18,1-$U$18,0)))</f>
        <v>96.6272222222222</v>
      </c>
      <c r="AG65" s="131" t="n">
        <f aca="false">(1-$I$18)*(1-$J$18)*$D$18*$E$18/4*MIN(1,MAX(0,(AG$5-$H$18+1)/$T$18))*IF(AG$5=$H$18,$U$18,IF(AND(AG$5&gt;$H$18,AG$5&lt;$H$18+$F$18),1,IF(AG$5=$H$18+$F$18,1-$U$18,0)))</f>
        <v>96.6272222222222</v>
      </c>
      <c r="AI65" s="131" t="n">
        <f aca="false">SUMIF($F$7:$AG$7,AI$7,$F65:$AG65)</f>
        <v>0</v>
      </c>
      <c r="AJ65" s="131" t="n">
        <f aca="false">SUMIF($F$7:$AG$7,AJ$7,$F65:$AG65)</f>
        <v>0</v>
      </c>
      <c r="AK65" s="131" t="n">
        <f aca="false">SUMIF($F$7:$AG$7,AK$7,$F65:$AG65)</f>
        <v>0</v>
      </c>
      <c r="AL65" s="131" t="n">
        <f aca="false">SUMIF($F$7:$AG$7,AL$7,$F65:$AG65)</f>
        <v>193.254444444444</v>
      </c>
      <c r="AM65" s="131" t="n">
        <f aca="false">SUMIF($F$7:$AG$7,AM$7,$F65:$AG65)</f>
        <v>386.508888888889</v>
      </c>
      <c r="AN65" s="131" t="n">
        <f aca="false">SUMIF($F$7:$AG$7,AN$7,$F65:$AG65)</f>
        <v>386.508888888889</v>
      </c>
      <c r="AO65" s="131" t="n">
        <f aca="false">SUMIF($F$7:$AG$7,AO$7,$F65:$AG65)</f>
        <v>386.508888888889</v>
      </c>
    </row>
    <row r="66" customFormat="false" ht="15" hidden="false" customHeight="false" outlineLevel="0" collapsed="false">
      <c r="A66" s="112" t="s">
        <v>2106</v>
      </c>
      <c r="B66" s="24" t="s">
        <v>857</v>
      </c>
      <c r="C66" s="24"/>
      <c r="D66" s="24"/>
      <c r="F66" s="121" t="n">
        <f aca="false">(1-$I$18)*(1-$J$18)*$D$18*AND(F$5&gt;=$H$18,F$5&lt;$H$18+$F$18)</f>
        <v>0</v>
      </c>
      <c r="G66" s="121" t="n">
        <f aca="false">(1-$I$18)*(1-$J$18)*$D$18*AND(G$5&gt;=$H$18,G$5&lt;$H$18+$F$18)</f>
        <v>0</v>
      </c>
      <c r="H66" s="121" t="n">
        <f aca="false">(1-$I$18)*(1-$J$18)*$D$18*AND(H$5&gt;=$H$18,H$5&lt;$H$18+$F$18)</f>
        <v>0</v>
      </c>
      <c r="I66" s="121" t="n">
        <f aca="false">(1-$I$18)*(1-$J$18)*$D$18*AND(I$5&gt;=$H$18,I$5&lt;$H$18+$F$18)</f>
        <v>0</v>
      </c>
      <c r="J66" s="121" t="n">
        <f aca="false">(1-$I$18)*(1-$J$18)*$D$18*AND(J$5&gt;=$H$18,J$5&lt;$H$18+$F$18)</f>
        <v>0</v>
      </c>
      <c r="K66" s="121" t="n">
        <f aca="false">(1-$I$18)*(1-$J$18)*$D$18*AND(K$5&gt;=$H$18,K$5&lt;$H$18+$F$18)</f>
        <v>0</v>
      </c>
      <c r="L66" s="121" t="n">
        <f aca="false">(1-$I$18)*(1-$J$18)*$D$18*AND(L$5&gt;=$H$18,L$5&lt;$H$18+$F$18)</f>
        <v>0</v>
      </c>
      <c r="M66" s="121" t="n">
        <f aca="false">(1-$I$18)*(1-$J$18)*$D$18*AND(M$5&gt;=$H$18,M$5&lt;$H$18+$F$18)</f>
        <v>0</v>
      </c>
      <c r="N66" s="121" t="n">
        <f aca="false">(1-$I$18)*(1-$J$18)*$D$18*AND(N$5&gt;=$H$18,N$5&lt;$H$18+$F$18)</f>
        <v>0</v>
      </c>
      <c r="O66" s="121" t="n">
        <f aca="false">(1-$I$18)*(1-$J$18)*$D$18*AND(O$5&gt;=$H$18,O$5&lt;$H$18+$F$18)</f>
        <v>0</v>
      </c>
      <c r="P66" s="39" t="n">
        <f aca="false">(1-$I$18)*(1-$J$18)*$D$18*AND(P$5&gt;=$H$18,P$5&lt;$H$18+$F$18)</f>
        <v>0</v>
      </c>
      <c r="Q66" s="39" t="n">
        <f aca="false">(1-$I$18)*(1-$J$18)*$D$18*AND(Q$5&gt;=$H$18,Q$5&lt;$H$18+$F$18)</f>
        <v>0</v>
      </c>
      <c r="R66" s="39" t="n">
        <f aca="false">(1-$I$18)*(1-$J$18)*$D$18*AND(R$5&gt;=$H$18,R$5&lt;$H$18+$F$18)</f>
        <v>0</v>
      </c>
      <c r="S66" s="39" t="n">
        <f aca="false">(1-$I$18)*(1-$J$18)*$D$18*AND(S$5&gt;=$H$18,S$5&lt;$H$18+$F$18)</f>
        <v>0</v>
      </c>
      <c r="T66" s="39" t="n">
        <f aca="false">(1-$I$18)*(1-$J$18)*$D$18*AND(T$5&gt;=$H$18,T$5&lt;$H$18+$F$18)</f>
        <v>26.6666666666667</v>
      </c>
      <c r="U66" s="39" t="n">
        <f aca="false">(1-$I$18)*(1-$J$18)*$D$18*AND(U$5&gt;=$H$18,U$5&lt;$H$18+$F$18)</f>
        <v>26.6666666666667</v>
      </c>
      <c r="V66" s="39" t="n">
        <f aca="false">(1-$I$18)*(1-$J$18)*$D$18*AND(V$5&gt;=$H$18,V$5&lt;$H$18+$F$18)</f>
        <v>26.6666666666667</v>
      </c>
      <c r="W66" s="39" t="n">
        <f aca="false">(1-$I$18)*(1-$J$18)*$D$18*AND(W$5&gt;=$H$18,W$5&lt;$H$18+$F$18)</f>
        <v>26.6666666666667</v>
      </c>
      <c r="X66" s="39" t="n">
        <f aca="false">(1-$I$18)*(1-$J$18)*$D$18*AND(X$5&gt;=$H$18,X$5&lt;$H$18+$F$18)</f>
        <v>26.6666666666667</v>
      </c>
      <c r="Y66" s="39" t="n">
        <f aca="false">(1-$I$18)*(1-$J$18)*$D$18*AND(Y$5&gt;=$H$18,Y$5&lt;$H$18+$F$18)</f>
        <v>26.6666666666667</v>
      </c>
      <c r="Z66" s="39" t="n">
        <f aca="false">(1-$I$18)*(1-$J$18)*$D$18*AND(Z$5&gt;=$H$18,Z$5&lt;$H$18+$F$18)</f>
        <v>26.6666666666667</v>
      </c>
      <c r="AA66" s="39" t="n">
        <f aca="false">(1-$I$18)*(1-$J$18)*$D$18*AND(AA$5&gt;=$H$18,AA$5&lt;$H$18+$F$18)</f>
        <v>26.6666666666667</v>
      </c>
      <c r="AB66" s="39" t="n">
        <f aca="false">(1-$I$18)*(1-$J$18)*$D$18*AND(AB$5&gt;=$H$18,AB$5&lt;$H$18+$F$18)</f>
        <v>26.6666666666667</v>
      </c>
      <c r="AC66" s="39" t="n">
        <f aca="false">(1-$I$18)*(1-$J$18)*$D$18*AND(AC$5&gt;=$H$18,AC$5&lt;$H$18+$F$18)</f>
        <v>26.6666666666667</v>
      </c>
      <c r="AD66" s="39" t="n">
        <f aca="false">(1-$I$18)*(1-$J$18)*$D$18*AND(AD$5&gt;=$H$18,AD$5&lt;$H$18+$F$18)</f>
        <v>26.6666666666667</v>
      </c>
      <c r="AE66" s="39" t="n">
        <f aca="false">(1-$I$18)*(1-$J$18)*$D$18*AND(AE$5&gt;=$H$18,AE$5&lt;$H$18+$F$18)</f>
        <v>26.6666666666667</v>
      </c>
      <c r="AF66" s="39" t="n">
        <f aca="false">(1-$I$18)*(1-$J$18)*$D$18*AND(AF$5&gt;=$H$18,AF$5&lt;$H$18+$F$18)</f>
        <v>26.6666666666667</v>
      </c>
      <c r="AG66" s="39" t="n">
        <f aca="false">(1-$I$18)*(1-$J$18)*$D$18*AND(AG$5&gt;=$H$18,AG$5&lt;$H$18+$F$18)</f>
        <v>26.6666666666667</v>
      </c>
      <c r="AI66" s="39" t="n">
        <f aca="false">INDEX($F66:$AG66,1,MATCH(AI$7,$F$7:$AG$7,1))</f>
        <v>0</v>
      </c>
      <c r="AJ66" s="39" t="n">
        <f aca="false">INDEX($F66:$AG66,1,MATCH(AJ$7,$F$7:$AG$7,1))</f>
        <v>0</v>
      </c>
      <c r="AK66" s="39" t="n">
        <f aca="false">INDEX($F66:$AG66,1,MATCH(AK$7,$F$7:$AG$7,1))</f>
        <v>0</v>
      </c>
      <c r="AL66" s="39" t="n">
        <f aca="false">INDEX($F66:$AG66,1,MATCH(AL$7,$F$7:$AG$7,1))</f>
        <v>26.6666666666667</v>
      </c>
      <c r="AM66" s="39" t="n">
        <f aca="false">INDEX($F66:$AG66,1,MATCH(AM$7,$F$7:$AG$7,1))</f>
        <v>26.6666666666667</v>
      </c>
      <c r="AN66" s="39" t="n">
        <f aca="false">INDEX($F66:$AG66,1,MATCH(AN$7,$F$7:$AG$7,1))</f>
        <v>26.6666666666667</v>
      </c>
      <c r="AO66" s="39" t="n">
        <f aca="false">INDEX($F66:$AG66,1,MATCH(AO$7,$F$7:$AG$7,1))</f>
        <v>26.6666666666667</v>
      </c>
    </row>
    <row r="67" customFormat="false" ht="15" hidden="false" customHeight="false" outlineLevel="0" collapsed="false">
      <c r="A67" s="112" t="s">
        <v>2107</v>
      </c>
      <c r="B67" s="24" t="s">
        <v>745</v>
      </c>
      <c r="C67" s="24"/>
      <c r="D67" s="24"/>
      <c r="F67" s="130" t="n">
        <f aca="false">-(1-$I$18)*LD_Pct*$D$18*$E$18/4*AND(F$5&gt;=$G$18,F$5&lt;$H$18)</f>
        <v>-0</v>
      </c>
      <c r="G67" s="130" t="n">
        <f aca="false">-(1-$I$18)*LD_Pct*$D$18*$E$18/4*AND(G$5&gt;=$G$18,G$5&lt;$H$18)</f>
        <v>-0</v>
      </c>
      <c r="H67" s="130" t="n">
        <f aca="false">-(1-$I$18)*LD_Pct*$D$18*$E$18/4*AND(H$5&gt;=$G$18,H$5&lt;$H$18)</f>
        <v>-0</v>
      </c>
      <c r="I67" s="130" t="n">
        <f aca="false">-(1-$I$18)*LD_Pct*$D$18*$E$18/4*AND(I$5&gt;=$G$18,I$5&lt;$H$18)</f>
        <v>-0</v>
      </c>
      <c r="J67" s="130" t="n">
        <f aca="false">-(1-$I$18)*LD_Pct*$D$18*$E$18/4*AND(J$5&gt;=$G$18,J$5&lt;$H$18)</f>
        <v>-0</v>
      </c>
      <c r="K67" s="130" t="n">
        <f aca="false">-(1-$I$18)*LD_Pct*$D$18*$E$18/4*AND(K$5&gt;=$G$18,K$5&lt;$H$18)</f>
        <v>-0</v>
      </c>
      <c r="L67" s="130" t="n">
        <f aca="false">-(1-$I$18)*LD_Pct*$D$18*$E$18/4*AND(L$5&gt;=$G$18,L$5&lt;$H$18)</f>
        <v>-0</v>
      </c>
      <c r="M67" s="130" t="n">
        <f aca="false">-(1-$I$18)*LD_Pct*$D$18*$E$18/4*AND(M$5&gt;=$G$18,M$5&lt;$H$18)</f>
        <v>-0</v>
      </c>
      <c r="N67" s="130" t="n">
        <f aca="false">-(1-$I$18)*LD_Pct*$D$18*$E$18/4*AND(N$5&gt;=$G$18,N$5&lt;$H$18)</f>
        <v>-0</v>
      </c>
      <c r="O67" s="130" t="n">
        <f aca="false">-(1-$I$18)*LD_Pct*$D$18*$E$18/4*AND(O$5&gt;=$G$18,O$5&lt;$H$18)</f>
        <v>-0</v>
      </c>
      <c r="P67" s="131" t="n">
        <f aca="false">-(1-$I$18)*LD_Pct*$D$18*$E$18/4*AND(P$5&gt;=$G$18,P$5&lt;$H$18)</f>
        <v>-0</v>
      </c>
      <c r="Q67" s="131" t="n">
        <f aca="false">-(1-$I$18)*LD_Pct*$D$18*$E$18/4*AND(Q$5&gt;=$G$18,Q$5&lt;$H$18)</f>
        <v>-0</v>
      </c>
      <c r="R67" s="131" t="n">
        <f aca="false">-(1-$I$18)*LD_Pct*$D$18*$E$18/4*AND(R$5&gt;=$G$18,R$5&lt;$H$18)</f>
        <v>-0</v>
      </c>
      <c r="S67" s="131" t="n">
        <f aca="false">-(1-$I$18)*LD_Pct*$D$18*$E$18/4*AND(S$5&gt;=$G$18,S$5&lt;$H$18)</f>
        <v>-0</v>
      </c>
      <c r="T67" s="131" t="n">
        <f aca="false">-(1-$I$18)*LD_Pct*$D$18*$E$18/4*AND(T$5&gt;=$G$18,T$5&lt;$H$18)</f>
        <v>-0</v>
      </c>
      <c r="U67" s="131" t="n">
        <f aca="false">-(1-$I$18)*LD_Pct*$D$18*$E$18/4*AND(U$5&gt;=$G$18,U$5&lt;$H$18)</f>
        <v>-0</v>
      </c>
      <c r="V67" s="131" t="n">
        <f aca="false">-(1-$I$18)*LD_Pct*$D$18*$E$18/4*AND(V$5&gt;=$G$18,V$5&lt;$H$18)</f>
        <v>-0</v>
      </c>
      <c r="W67" s="131" t="n">
        <f aca="false">-(1-$I$18)*LD_Pct*$D$18*$E$18/4*AND(W$5&gt;=$G$18,W$5&lt;$H$18)</f>
        <v>-0</v>
      </c>
      <c r="X67" s="131" t="n">
        <f aca="false">-(1-$I$18)*LD_Pct*$D$18*$E$18/4*AND(X$5&gt;=$G$18,X$5&lt;$H$18)</f>
        <v>-0</v>
      </c>
      <c r="Y67" s="131" t="n">
        <f aca="false">-(1-$I$18)*LD_Pct*$D$18*$E$18/4*AND(Y$5&gt;=$G$18,Y$5&lt;$H$18)</f>
        <v>-0</v>
      </c>
      <c r="Z67" s="131" t="n">
        <f aca="false">-(1-$I$18)*LD_Pct*$D$18*$E$18/4*AND(Z$5&gt;=$G$18,Z$5&lt;$H$18)</f>
        <v>-0</v>
      </c>
      <c r="AA67" s="131" t="n">
        <f aca="false">-(1-$I$18)*LD_Pct*$D$18*$E$18/4*AND(AA$5&gt;=$G$18,AA$5&lt;$H$18)</f>
        <v>-0</v>
      </c>
      <c r="AB67" s="131" t="n">
        <f aca="false">-(1-$I$18)*LD_Pct*$D$18*$E$18/4*AND(AB$5&gt;=$G$18,AB$5&lt;$H$18)</f>
        <v>-0</v>
      </c>
      <c r="AC67" s="131" t="n">
        <f aca="false">-(1-$I$18)*LD_Pct*$D$18*$E$18/4*AND(AC$5&gt;=$G$18,AC$5&lt;$H$18)</f>
        <v>-0</v>
      </c>
      <c r="AD67" s="131" t="n">
        <f aca="false">-(1-$I$18)*LD_Pct*$D$18*$E$18/4*AND(AD$5&gt;=$G$18,AD$5&lt;$H$18)</f>
        <v>-0</v>
      </c>
      <c r="AE67" s="131" t="n">
        <f aca="false">-(1-$I$18)*LD_Pct*$D$18*$E$18/4*AND(AE$5&gt;=$G$18,AE$5&lt;$H$18)</f>
        <v>-0</v>
      </c>
      <c r="AF67" s="131" t="n">
        <f aca="false">-(1-$I$18)*LD_Pct*$D$18*$E$18/4*AND(AF$5&gt;=$G$18,AF$5&lt;$H$18)</f>
        <v>-0</v>
      </c>
      <c r="AG67" s="131" t="n">
        <f aca="false">-(1-$I$18)*LD_Pct*$D$18*$E$18/4*AND(AG$5&gt;=$G$18,AG$5&lt;$H$18)</f>
        <v>-0</v>
      </c>
      <c r="AI67" s="131" t="n">
        <f aca="false">SUMIF($F$7:$AG$7,AI$7,$F67:$AG67)</f>
        <v>0</v>
      </c>
      <c r="AJ67" s="131" t="n">
        <f aca="false">SUMIF($F$7:$AG$7,AJ$7,$F67:$AG67)</f>
        <v>0</v>
      </c>
      <c r="AK67" s="131" t="n">
        <f aca="false">SUMIF($F$7:$AG$7,AK$7,$F67:$AG67)</f>
        <v>0</v>
      </c>
      <c r="AL67" s="131" t="n">
        <f aca="false">SUMIF($F$7:$AG$7,AL$7,$F67:$AG67)</f>
        <v>0</v>
      </c>
      <c r="AM67" s="131" t="n">
        <f aca="false">SUMIF($F$7:$AG$7,AM$7,$F67:$AG67)</f>
        <v>0</v>
      </c>
      <c r="AN67" s="131" t="n">
        <f aca="false">SUMIF($F$7:$AG$7,AN$7,$F67:$AG67)</f>
        <v>0</v>
      </c>
      <c r="AO67" s="131" t="n">
        <f aca="false">SUMIF($F$7:$AG$7,AO$7,$F67:$AG67)</f>
        <v>0</v>
      </c>
    </row>
    <row r="68" customFormat="false" ht="15" hidden="false" customHeight="false" outlineLevel="0" collapsed="false">
      <c r="A68" s="112" t="s">
        <v>2108</v>
      </c>
      <c r="B68" s="24" t="s">
        <v>857</v>
      </c>
      <c r="C68" s="24"/>
      <c r="D68" s="24"/>
      <c r="F68" s="121" t="n">
        <f aca="false">(1-$I$18)*(1-$J$18)*$D$18*(F$5&gt;=$H$18+$F$18)</f>
        <v>0</v>
      </c>
      <c r="G68" s="121" t="n">
        <f aca="false">(1-$I$18)*(1-$J$18)*$D$18*(G$5&gt;=$H$18+$F$18)</f>
        <v>0</v>
      </c>
      <c r="H68" s="121" t="n">
        <f aca="false">(1-$I$18)*(1-$J$18)*$D$18*(H$5&gt;=$H$18+$F$18)</f>
        <v>0</v>
      </c>
      <c r="I68" s="121" t="n">
        <f aca="false">(1-$I$18)*(1-$J$18)*$D$18*(I$5&gt;=$H$18+$F$18)</f>
        <v>0</v>
      </c>
      <c r="J68" s="121" t="n">
        <f aca="false">(1-$I$18)*(1-$J$18)*$D$18*(J$5&gt;=$H$18+$F$18)</f>
        <v>0</v>
      </c>
      <c r="K68" s="121" t="n">
        <f aca="false">(1-$I$18)*(1-$J$18)*$D$18*(K$5&gt;=$H$18+$F$18)</f>
        <v>0</v>
      </c>
      <c r="L68" s="121" t="n">
        <f aca="false">(1-$I$18)*(1-$J$18)*$D$18*(L$5&gt;=$H$18+$F$18)</f>
        <v>0</v>
      </c>
      <c r="M68" s="121" t="n">
        <f aca="false">(1-$I$18)*(1-$J$18)*$D$18*(M$5&gt;=$H$18+$F$18)</f>
        <v>0</v>
      </c>
      <c r="N68" s="121" t="n">
        <f aca="false">(1-$I$18)*(1-$J$18)*$D$18*(N$5&gt;=$H$18+$F$18)</f>
        <v>0</v>
      </c>
      <c r="O68" s="121" t="n">
        <f aca="false">(1-$I$18)*(1-$J$18)*$D$18*(O$5&gt;=$H$18+$F$18)</f>
        <v>0</v>
      </c>
      <c r="P68" s="39" t="n">
        <f aca="false">(1-$I$18)*(1-$J$18)*$D$18*(P$5&gt;=$H$18+$F$18)</f>
        <v>0</v>
      </c>
      <c r="Q68" s="39" t="n">
        <f aca="false">(1-$I$18)*(1-$J$18)*$D$18*(Q$5&gt;=$H$18+$F$18)</f>
        <v>0</v>
      </c>
      <c r="R68" s="39" t="n">
        <f aca="false">(1-$I$18)*(1-$J$18)*$D$18*(R$5&gt;=$H$18+$F$18)</f>
        <v>0</v>
      </c>
      <c r="S68" s="39" t="n">
        <f aca="false">(1-$I$18)*(1-$J$18)*$D$18*(S$5&gt;=$H$18+$F$18)</f>
        <v>0</v>
      </c>
      <c r="T68" s="39" t="n">
        <f aca="false">(1-$I$18)*(1-$J$18)*$D$18*(T$5&gt;=$H$18+$F$18)</f>
        <v>0</v>
      </c>
      <c r="U68" s="39" t="n">
        <f aca="false">(1-$I$18)*(1-$J$18)*$D$18*(U$5&gt;=$H$18+$F$18)</f>
        <v>0</v>
      </c>
      <c r="V68" s="39" t="n">
        <f aca="false">(1-$I$18)*(1-$J$18)*$D$18*(V$5&gt;=$H$18+$F$18)</f>
        <v>0</v>
      </c>
      <c r="W68" s="39" t="n">
        <f aca="false">(1-$I$18)*(1-$J$18)*$D$18*(W$5&gt;=$H$18+$F$18)</f>
        <v>0</v>
      </c>
      <c r="X68" s="39" t="n">
        <f aca="false">(1-$I$18)*(1-$J$18)*$D$18*(X$5&gt;=$H$18+$F$18)</f>
        <v>0</v>
      </c>
      <c r="Y68" s="39" t="n">
        <f aca="false">(1-$I$18)*(1-$J$18)*$D$18*(Y$5&gt;=$H$18+$F$18)</f>
        <v>0</v>
      </c>
      <c r="Z68" s="39" t="n">
        <f aca="false">(1-$I$18)*(1-$J$18)*$D$18*(Z$5&gt;=$H$18+$F$18)</f>
        <v>0</v>
      </c>
      <c r="AA68" s="39" t="n">
        <f aca="false">(1-$I$18)*(1-$J$18)*$D$18*(AA$5&gt;=$H$18+$F$18)</f>
        <v>0</v>
      </c>
      <c r="AB68" s="39" t="n">
        <f aca="false">(1-$I$18)*(1-$J$18)*$D$18*(AB$5&gt;=$H$18+$F$18)</f>
        <v>0</v>
      </c>
      <c r="AC68" s="39" t="n">
        <f aca="false">(1-$I$18)*(1-$J$18)*$D$18*(AC$5&gt;=$H$18+$F$18)</f>
        <v>0</v>
      </c>
      <c r="AD68" s="39" t="n">
        <f aca="false">(1-$I$18)*(1-$J$18)*$D$18*(AD$5&gt;=$H$18+$F$18)</f>
        <v>0</v>
      </c>
      <c r="AE68" s="39" t="n">
        <f aca="false">(1-$I$18)*(1-$J$18)*$D$18*(AE$5&gt;=$H$18+$F$18)</f>
        <v>0</v>
      </c>
      <c r="AF68" s="39" t="n">
        <f aca="false">(1-$I$18)*(1-$J$18)*$D$18*(AF$5&gt;=$H$18+$F$18)</f>
        <v>0</v>
      </c>
      <c r="AG68" s="39" t="n">
        <f aca="false">(1-$I$18)*(1-$J$18)*$D$18*(AG$5&gt;=$H$18+$F$18)</f>
        <v>0</v>
      </c>
      <c r="AI68" s="39" t="n">
        <f aca="false">INDEX($F68:$AG68,1,MATCH(AI$7,$F$7:$AG$7,1))</f>
        <v>0</v>
      </c>
      <c r="AJ68" s="39" t="n">
        <f aca="false">INDEX($F68:$AG68,1,MATCH(AJ$7,$F$7:$AG$7,1))</f>
        <v>0</v>
      </c>
      <c r="AK68" s="39" t="n">
        <f aca="false">INDEX($F68:$AG68,1,MATCH(AK$7,$F$7:$AG$7,1))</f>
        <v>0</v>
      </c>
      <c r="AL68" s="39" t="n">
        <f aca="false">INDEX($F68:$AG68,1,MATCH(AL$7,$F$7:$AG$7,1))</f>
        <v>0</v>
      </c>
      <c r="AM68" s="39" t="n">
        <f aca="false">INDEX($F68:$AG68,1,MATCH(AM$7,$F$7:$AG$7,1))</f>
        <v>0</v>
      </c>
      <c r="AN68" s="39" t="n">
        <f aca="false">INDEX($F68:$AG68,1,MATCH(AN$7,$F$7:$AG$7,1))</f>
        <v>0</v>
      </c>
      <c r="AO68" s="39" t="n">
        <f aca="false">INDEX($F68:$AG68,1,MATCH(AO$7,$F$7:$AG$7,1))</f>
        <v>0</v>
      </c>
    </row>
    <row r="69" customFormat="false" ht="15" hidden="false" customHeight="false" outlineLevel="0" collapsed="false">
      <c r="A69" s="112" t="s">
        <v>2109</v>
      </c>
      <c r="B69" s="24" t="s">
        <v>745</v>
      </c>
      <c r="C69" s="24"/>
      <c r="D69" s="24" t="s">
        <v>2079</v>
      </c>
      <c r="F69" s="130" t="n">
        <f aca="false">F68*CHOOSE(MATCH($C$18,{"H";"B";"N"},0),GPUMW_H*ODc_H,GPUMW_B*ODc_B,GPUMW_N*ODc_N)*ResidUtil*Timeline!F$9*INDEX(Curve,1,MAX(1,MIN(8,INT((F$5-$H$18)/4)+1)))/1000000</f>
        <v>0</v>
      </c>
      <c r="G69" s="130" t="n">
        <f aca="false">G68*CHOOSE(MATCH($C$18,{"H";"B";"N"},0),GPUMW_H*ODc_H,GPUMW_B*ODc_B,GPUMW_N*ODc_N)*ResidUtil*Timeline!G$9*INDEX(Curve,1,MAX(1,MIN(8,INT((G$5-$H$18)/4)+1)))/1000000</f>
        <v>0</v>
      </c>
      <c r="H69" s="130" t="n">
        <f aca="false">H68*CHOOSE(MATCH($C$18,{"H";"B";"N"},0),GPUMW_H*ODc_H,GPUMW_B*ODc_B,GPUMW_N*ODc_N)*ResidUtil*Timeline!H$9*INDEX(Curve,1,MAX(1,MIN(8,INT((H$5-$H$18)/4)+1)))/1000000</f>
        <v>0</v>
      </c>
      <c r="I69" s="130" t="n">
        <f aca="false">I68*CHOOSE(MATCH($C$18,{"H";"B";"N"},0),GPUMW_H*ODc_H,GPUMW_B*ODc_B,GPUMW_N*ODc_N)*ResidUtil*Timeline!I$9*INDEX(Curve,1,MAX(1,MIN(8,INT((I$5-$H$18)/4)+1)))/1000000</f>
        <v>0</v>
      </c>
      <c r="J69" s="130" t="n">
        <f aca="false">J68*CHOOSE(MATCH($C$18,{"H";"B";"N"},0),GPUMW_H*ODc_H,GPUMW_B*ODc_B,GPUMW_N*ODc_N)*ResidUtil*Timeline!J$9*INDEX(Curve,1,MAX(1,MIN(8,INT((J$5-$H$18)/4)+1)))/1000000</f>
        <v>0</v>
      </c>
      <c r="K69" s="130" t="n">
        <f aca="false">K68*CHOOSE(MATCH($C$18,{"H";"B";"N"},0),GPUMW_H*ODc_H,GPUMW_B*ODc_B,GPUMW_N*ODc_N)*ResidUtil*Timeline!K$9*INDEX(Curve,1,MAX(1,MIN(8,INT((K$5-$H$18)/4)+1)))/1000000</f>
        <v>0</v>
      </c>
      <c r="L69" s="130" t="n">
        <f aca="false">L68*CHOOSE(MATCH($C$18,{"H";"B";"N"},0),GPUMW_H*ODc_H,GPUMW_B*ODc_B,GPUMW_N*ODc_N)*ResidUtil*Timeline!L$9*INDEX(Curve,1,MAX(1,MIN(8,INT((L$5-$H$18)/4)+1)))/1000000</f>
        <v>0</v>
      </c>
      <c r="M69" s="130" t="n">
        <f aca="false">M68*CHOOSE(MATCH($C$18,{"H";"B";"N"},0),GPUMW_H*ODc_H,GPUMW_B*ODc_B,GPUMW_N*ODc_N)*ResidUtil*Timeline!M$9*INDEX(Curve,1,MAX(1,MIN(8,INT((M$5-$H$18)/4)+1)))/1000000</f>
        <v>0</v>
      </c>
      <c r="N69" s="130" t="n">
        <f aca="false">N68*CHOOSE(MATCH($C$18,{"H";"B";"N"},0),GPUMW_H*ODc_H,GPUMW_B*ODc_B,GPUMW_N*ODc_N)*ResidUtil*Timeline!N$9*INDEX(Curve,1,MAX(1,MIN(8,INT((N$5-$H$18)/4)+1)))/1000000</f>
        <v>0</v>
      </c>
      <c r="O69" s="130" t="n">
        <f aca="false">O68*CHOOSE(MATCH($C$18,{"H";"B";"N"},0),GPUMW_H*ODc_H,GPUMW_B*ODc_B,GPUMW_N*ODc_N)*ResidUtil*Timeline!O$9*INDEX(Curve,1,MAX(1,MIN(8,INT((O$5-$H$18)/4)+1)))/1000000</f>
        <v>0</v>
      </c>
      <c r="P69" s="131" t="n">
        <f aca="false">P68*CHOOSE(MATCH($C$18,{"H";"B";"N"},0),GPUMW_H*ODc_H,GPUMW_B*ODc_B,GPUMW_N*ODc_N)*ResidUtil*Timeline!P$9*INDEX(Curve,1,MAX(1,MIN(8,INT((P$5-$H$18)/4)+1)))/1000000</f>
        <v>0</v>
      </c>
      <c r="Q69" s="131" t="n">
        <f aca="false">Q68*CHOOSE(MATCH($C$18,{"H";"B";"N"},0),GPUMW_H*ODc_H,GPUMW_B*ODc_B,GPUMW_N*ODc_N)*ResidUtil*Timeline!Q$9*INDEX(Curve,1,MAX(1,MIN(8,INT((Q$5-$H$18)/4)+1)))/1000000</f>
        <v>0</v>
      </c>
      <c r="R69" s="131" t="n">
        <f aca="false">R68*CHOOSE(MATCH($C$18,{"H";"B";"N"},0),GPUMW_H*ODc_H,GPUMW_B*ODc_B,GPUMW_N*ODc_N)*ResidUtil*Timeline!R$9*INDEX(Curve,1,MAX(1,MIN(8,INT((R$5-$H$18)/4)+1)))/1000000</f>
        <v>0</v>
      </c>
      <c r="S69" s="131" t="n">
        <f aca="false">S68*CHOOSE(MATCH($C$18,{"H";"B";"N"},0),GPUMW_H*ODc_H,GPUMW_B*ODc_B,GPUMW_N*ODc_N)*ResidUtil*Timeline!S$9*INDEX(Curve,1,MAX(1,MIN(8,INT((S$5-$H$18)/4)+1)))/1000000</f>
        <v>0</v>
      </c>
      <c r="T69" s="131" t="n">
        <f aca="false">T68*CHOOSE(MATCH($C$18,{"H";"B";"N"},0),GPUMW_H*ODc_H,GPUMW_B*ODc_B,GPUMW_N*ODc_N)*ResidUtil*Timeline!T$9*INDEX(Curve,1,MAX(1,MIN(8,INT((T$5-$H$18)/4)+1)))/1000000</f>
        <v>0</v>
      </c>
      <c r="U69" s="131" t="n">
        <f aca="false">U68*CHOOSE(MATCH($C$18,{"H";"B";"N"},0),GPUMW_H*ODc_H,GPUMW_B*ODc_B,GPUMW_N*ODc_N)*ResidUtil*Timeline!U$9*INDEX(Curve,1,MAX(1,MIN(8,INT((U$5-$H$18)/4)+1)))/1000000</f>
        <v>0</v>
      </c>
      <c r="V69" s="131" t="n">
        <f aca="false">V68*CHOOSE(MATCH($C$18,{"H";"B";"N"},0),GPUMW_H*ODc_H,GPUMW_B*ODc_B,GPUMW_N*ODc_N)*ResidUtil*Timeline!V$9*INDEX(Curve,1,MAX(1,MIN(8,INT((V$5-$H$18)/4)+1)))/1000000</f>
        <v>0</v>
      </c>
      <c r="W69" s="131" t="n">
        <f aca="false">W68*CHOOSE(MATCH($C$18,{"H";"B";"N"},0),GPUMW_H*ODc_H,GPUMW_B*ODc_B,GPUMW_N*ODc_N)*ResidUtil*Timeline!W$9*INDEX(Curve,1,MAX(1,MIN(8,INT((W$5-$H$18)/4)+1)))/1000000</f>
        <v>0</v>
      </c>
      <c r="X69" s="131" t="n">
        <f aca="false">X68*CHOOSE(MATCH($C$18,{"H";"B";"N"},0),GPUMW_H*ODc_H,GPUMW_B*ODc_B,GPUMW_N*ODc_N)*ResidUtil*Timeline!X$9*INDEX(Curve,1,MAX(1,MIN(8,INT((X$5-$H$18)/4)+1)))/1000000</f>
        <v>0</v>
      </c>
      <c r="Y69" s="131" t="n">
        <f aca="false">Y68*CHOOSE(MATCH($C$18,{"H";"B";"N"},0),GPUMW_H*ODc_H,GPUMW_B*ODc_B,GPUMW_N*ODc_N)*ResidUtil*Timeline!Y$9*INDEX(Curve,1,MAX(1,MIN(8,INT((Y$5-$H$18)/4)+1)))/1000000</f>
        <v>0</v>
      </c>
      <c r="Z69" s="131" t="n">
        <f aca="false">Z68*CHOOSE(MATCH($C$18,{"H";"B";"N"},0),GPUMW_H*ODc_H,GPUMW_B*ODc_B,GPUMW_N*ODc_N)*ResidUtil*Timeline!Z$9*INDEX(Curve,1,MAX(1,MIN(8,INT((Z$5-$H$18)/4)+1)))/1000000</f>
        <v>0</v>
      </c>
      <c r="AA69" s="131" t="n">
        <f aca="false">AA68*CHOOSE(MATCH($C$18,{"H";"B";"N"},0),GPUMW_H*ODc_H,GPUMW_B*ODc_B,GPUMW_N*ODc_N)*ResidUtil*Timeline!AA$9*INDEX(Curve,1,MAX(1,MIN(8,INT((AA$5-$H$18)/4)+1)))/1000000</f>
        <v>0</v>
      </c>
      <c r="AB69" s="131" t="n">
        <f aca="false">AB68*CHOOSE(MATCH($C$18,{"H";"B";"N"},0),GPUMW_H*ODc_H,GPUMW_B*ODc_B,GPUMW_N*ODc_N)*ResidUtil*Timeline!AB$9*INDEX(Curve,1,MAX(1,MIN(8,INT((AB$5-$H$18)/4)+1)))/1000000</f>
        <v>0</v>
      </c>
      <c r="AC69" s="131" t="n">
        <f aca="false">AC68*CHOOSE(MATCH($C$18,{"H";"B";"N"},0),GPUMW_H*ODc_H,GPUMW_B*ODc_B,GPUMW_N*ODc_N)*ResidUtil*Timeline!AC$9*INDEX(Curve,1,MAX(1,MIN(8,INT((AC$5-$H$18)/4)+1)))/1000000</f>
        <v>0</v>
      </c>
      <c r="AD69" s="131" t="n">
        <f aca="false">AD68*CHOOSE(MATCH($C$18,{"H";"B";"N"},0),GPUMW_H*ODc_H,GPUMW_B*ODc_B,GPUMW_N*ODc_N)*ResidUtil*Timeline!AD$9*INDEX(Curve,1,MAX(1,MIN(8,INT((AD$5-$H$18)/4)+1)))/1000000</f>
        <v>0</v>
      </c>
      <c r="AE69" s="131" t="n">
        <f aca="false">AE68*CHOOSE(MATCH($C$18,{"H";"B";"N"},0),GPUMW_H*ODc_H,GPUMW_B*ODc_B,GPUMW_N*ODc_N)*ResidUtil*Timeline!AE$9*INDEX(Curve,1,MAX(1,MIN(8,INT((AE$5-$H$18)/4)+1)))/1000000</f>
        <v>0</v>
      </c>
      <c r="AF69" s="131" t="n">
        <f aca="false">AF68*CHOOSE(MATCH($C$18,{"H";"B";"N"},0),GPUMW_H*ODc_H,GPUMW_B*ODc_B,GPUMW_N*ODc_N)*ResidUtil*Timeline!AF$9*INDEX(Curve,1,MAX(1,MIN(8,INT((AF$5-$H$18)/4)+1)))/1000000</f>
        <v>0</v>
      </c>
      <c r="AG69" s="131" t="n">
        <f aca="false">AG68*CHOOSE(MATCH($C$18,{"H";"B";"N"},0),GPUMW_H*ODc_H,GPUMW_B*ODc_B,GPUMW_N*ODc_N)*ResidUtil*Timeline!AG$9*INDEX(Curve,1,MAX(1,MIN(8,INT((AG$5-$H$18)/4)+1)))/1000000</f>
        <v>0</v>
      </c>
      <c r="AI69" s="131" t="n">
        <f aca="false">SUMIF($F$7:$AG$7,AI$7,$F69:$AG69)</f>
        <v>0</v>
      </c>
      <c r="AJ69" s="131" t="n">
        <f aca="false">SUMIF($F$7:$AG$7,AJ$7,$F69:$AG69)</f>
        <v>0</v>
      </c>
      <c r="AK69" s="131" t="n">
        <f aca="false">SUMIF($F$7:$AG$7,AK$7,$F69:$AG69)</f>
        <v>0</v>
      </c>
      <c r="AL69" s="131" t="n">
        <f aca="false">SUMIF($F$7:$AG$7,AL$7,$F69:$AG69)</f>
        <v>0</v>
      </c>
      <c r="AM69" s="131" t="n">
        <f aca="false">SUMIF($F$7:$AG$7,AM$7,$F69:$AG69)</f>
        <v>0</v>
      </c>
      <c r="AN69" s="131" t="n">
        <f aca="false">SUMIF($F$7:$AG$7,AN$7,$F69:$AG69)</f>
        <v>0</v>
      </c>
      <c r="AO69" s="131" t="n">
        <f aca="false">SUMIF($F$7:$AG$7,AO$7,$F69:$AG69)</f>
        <v>0</v>
      </c>
    </row>
    <row r="70" customFormat="false" ht="15" hidden="false" customHeight="false" outlineLevel="0" collapsed="false">
      <c r="A70" s="112" t="s">
        <v>2110</v>
      </c>
      <c r="B70" s="24" t="s">
        <v>745</v>
      </c>
      <c r="C70" s="24"/>
      <c r="D70" s="24"/>
      <c r="F70" s="130" t="n">
        <f aca="false">(1-$I$19)*(1-$J$19)*$D$19*$E$19/4*MIN(1,MAX(0,(F$5-$H$19+1)/$T$19))*IF(F$5=$H$19,$U$19,IF(AND(F$5&gt;$H$19,F$5&lt;$H$19+$F$19),1,IF(F$5=$H$19+$F$19,1-$U$19,0)))</f>
        <v>0</v>
      </c>
      <c r="G70" s="130" t="n">
        <f aca="false">(1-$I$19)*(1-$J$19)*$D$19*$E$19/4*MIN(1,MAX(0,(G$5-$H$19+1)/$T$19))*IF(G$5=$H$19,$U$19,IF(AND(G$5&gt;$H$19,G$5&lt;$H$19+$F$19),1,IF(G$5=$H$19+$F$19,1-$U$19,0)))</f>
        <v>0</v>
      </c>
      <c r="H70" s="130" t="n">
        <f aca="false">(1-$I$19)*(1-$J$19)*$D$19*$E$19/4*MIN(1,MAX(0,(H$5-$H$19+1)/$T$19))*IF(H$5=$H$19,$U$19,IF(AND(H$5&gt;$H$19,H$5&lt;$H$19+$F$19),1,IF(H$5=$H$19+$F$19,1-$U$19,0)))</f>
        <v>0</v>
      </c>
      <c r="I70" s="130" t="n">
        <f aca="false">(1-$I$19)*(1-$J$19)*$D$19*$E$19/4*MIN(1,MAX(0,(I$5-$H$19+1)/$T$19))*IF(I$5=$H$19,$U$19,IF(AND(I$5&gt;$H$19,I$5&lt;$H$19+$F$19),1,IF(I$5=$H$19+$F$19,1-$U$19,0)))</f>
        <v>0</v>
      </c>
      <c r="J70" s="130" t="n">
        <f aca="false">(1-$I$19)*(1-$J$19)*$D$19*$E$19/4*MIN(1,MAX(0,(J$5-$H$19+1)/$T$19))*IF(J$5=$H$19,$U$19,IF(AND(J$5&gt;$H$19,J$5&lt;$H$19+$F$19),1,IF(J$5=$H$19+$F$19,1-$U$19,0)))</f>
        <v>0</v>
      </c>
      <c r="K70" s="130" t="n">
        <f aca="false">(1-$I$19)*(1-$J$19)*$D$19*$E$19/4*MIN(1,MAX(0,(K$5-$H$19+1)/$T$19))*IF(K$5=$H$19,$U$19,IF(AND(K$5&gt;$H$19,K$5&lt;$H$19+$F$19),1,IF(K$5=$H$19+$F$19,1-$U$19,0)))</f>
        <v>0</v>
      </c>
      <c r="L70" s="130" t="n">
        <f aca="false">(1-$I$19)*(1-$J$19)*$D$19*$E$19/4*MIN(1,MAX(0,(L$5-$H$19+1)/$T$19))*IF(L$5=$H$19,$U$19,IF(AND(L$5&gt;$H$19,L$5&lt;$H$19+$F$19),1,IF(L$5=$H$19+$F$19,1-$U$19,0)))</f>
        <v>0</v>
      </c>
      <c r="M70" s="130" t="n">
        <f aca="false">(1-$I$19)*(1-$J$19)*$D$19*$E$19/4*MIN(1,MAX(0,(M$5-$H$19+1)/$T$19))*IF(M$5=$H$19,$U$19,IF(AND(M$5&gt;$H$19,M$5&lt;$H$19+$F$19),1,IF(M$5=$H$19+$F$19,1-$U$19,0)))</f>
        <v>0</v>
      </c>
      <c r="N70" s="130" t="n">
        <f aca="false">(1-$I$19)*(1-$J$19)*$D$19*$E$19/4*MIN(1,MAX(0,(N$5-$H$19+1)/$T$19))*IF(N$5=$H$19,$U$19,IF(AND(N$5&gt;$H$19,N$5&lt;$H$19+$F$19),1,IF(N$5=$H$19+$F$19,1-$U$19,0)))</f>
        <v>0</v>
      </c>
      <c r="O70" s="130" t="n">
        <f aca="false">(1-$I$19)*(1-$J$19)*$D$19*$E$19/4*MIN(1,MAX(0,(O$5-$H$19+1)/$T$19))*IF(O$5=$H$19,$U$19,IF(AND(O$5&gt;$H$19,O$5&lt;$H$19+$F$19),1,IF(O$5=$H$19+$F$19,1-$U$19,0)))</f>
        <v>0</v>
      </c>
      <c r="P70" s="131" t="n">
        <f aca="false">(1-$I$19)*(1-$J$19)*$D$19*$E$19/4*MIN(1,MAX(0,(P$5-$H$19+1)/$T$19))*IF(P$5=$H$19,$U$19,IF(AND(P$5&gt;$H$19,P$5&lt;$H$19+$F$19),1,IF(P$5=$H$19+$F$19,1-$U$19,0)))</f>
        <v>0</v>
      </c>
      <c r="Q70" s="131" t="n">
        <f aca="false">(1-$I$19)*(1-$J$19)*$D$19*$E$19/4*MIN(1,MAX(0,(Q$5-$H$19+1)/$T$19))*IF(Q$5=$H$19,$U$19,IF(AND(Q$5&gt;$H$19,Q$5&lt;$H$19+$F$19),1,IF(Q$5=$H$19+$F$19,1-$U$19,0)))</f>
        <v>0</v>
      </c>
      <c r="R70" s="131" t="n">
        <f aca="false">(1-$I$19)*(1-$J$19)*$D$19*$E$19/4*MIN(1,MAX(0,(R$5-$H$19+1)/$T$19))*IF(R$5=$H$19,$U$19,IF(AND(R$5&gt;$H$19,R$5&lt;$H$19+$F$19),1,IF(R$5=$H$19+$F$19,1-$U$19,0)))</f>
        <v>0</v>
      </c>
      <c r="S70" s="131" t="n">
        <f aca="false">(1-$I$19)*(1-$J$19)*$D$19*$E$19/4*MIN(1,MAX(0,(S$5-$H$19+1)/$T$19))*IF(S$5=$H$19,$U$19,IF(AND(S$5&gt;$H$19,S$5&lt;$H$19+$F$19),1,IF(S$5=$H$19+$F$19,1-$U$19,0)))</f>
        <v>0</v>
      </c>
      <c r="T70" s="131" t="n">
        <f aca="false">(1-$I$19)*(1-$J$19)*$D$19*$E$19/4*MIN(1,MAX(0,(T$5-$H$19+1)/$T$19))*IF(T$5=$H$19,$U$19,IF(AND(T$5&gt;$H$19,T$5&lt;$H$19+$F$19),1,IF(T$5=$H$19+$F$19,1-$U$19,0)))</f>
        <v>96.6272222222222</v>
      </c>
      <c r="U70" s="131" t="n">
        <f aca="false">(1-$I$19)*(1-$J$19)*$D$19*$E$19/4*MIN(1,MAX(0,(U$5-$H$19+1)/$T$19))*IF(U$5=$H$19,$U$19,IF(AND(U$5&gt;$H$19,U$5&lt;$H$19+$F$19),1,IF(U$5=$H$19+$F$19,1-$U$19,0)))</f>
        <v>96.6272222222222</v>
      </c>
      <c r="V70" s="131" t="n">
        <f aca="false">(1-$I$19)*(1-$J$19)*$D$19*$E$19/4*MIN(1,MAX(0,(V$5-$H$19+1)/$T$19))*IF(V$5=$H$19,$U$19,IF(AND(V$5&gt;$H$19,V$5&lt;$H$19+$F$19),1,IF(V$5=$H$19+$F$19,1-$U$19,0)))</f>
        <v>96.6272222222222</v>
      </c>
      <c r="W70" s="131" t="n">
        <f aca="false">(1-$I$19)*(1-$J$19)*$D$19*$E$19/4*MIN(1,MAX(0,(W$5-$H$19+1)/$T$19))*IF(W$5=$H$19,$U$19,IF(AND(W$5&gt;$H$19,W$5&lt;$H$19+$F$19),1,IF(W$5=$H$19+$F$19,1-$U$19,0)))</f>
        <v>96.6272222222222</v>
      </c>
      <c r="X70" s="131" t="n">
        <f aca="false">(1-$I$19)*(1-$J$19)*$D$19*$E$19/4*MIN(1,MAX(0,(X$5-$H$19+1)/$T$19))*IF(X$5=$H$19,$U$19,IF(AND(X$5&gt;$H$19,X$5&lt;$H$19+$F$19),1,IF(X$5=$H$19+$F$19,1-$U$19,0)))</f>
        <v>96.6272222222222</v>
      </c>
      <c r="Y70" s="131" t="n">
        <f aca="false">(1-$I$19)*(1-$J$19)*$D$19*$E$19/4*MIN(1,MAX(0,(Y$5-$H$19+1)/$T$19))*IF(Y$5=$H$19,$U$19,IF(AND(Y$5&gt;$H$19,Y$5&lt;$H$19+$F$19),1,IF(Y$5=$H$19+$F$19,1-$U$19,0)))</f>
        <v>96.6272222222222</v>
      </c>
      <c r="Z70" s="131" t="n">
        <f aca="false">(1-$I$19)*(1-$J$19)*$D$19*$E$19/4*MIN(1,MAX(0,(Z$5-$H$19+1)/$T$19))*IF(Z$5=$H$19,$U$19,IF(AND(Z$5&gt;$H$19,Z$5&lt;$H$19+$F$19),1,IF(Z$5=$H$19+$F$19,1-$U$19,0)))</f>
        <v>96.6272222222222</v>
      </c>
      <c r="AA70" s="131" t="n">
        <f aca="false">(1-$I$19)*(1-$J$19)*$D$19*$E$19/4*MIN(1,MAX(0,(AA$5-$H$19+1)/$T$19))*IF(AA$5=$H$19,$U$19,IF(AND(AA$5&gt;$H$19,AA$5&lt;$H$19+$F$19),1,IF(AA$5=$H$19+$F$19,1-$U$19,0)))</f>
        <v>96.6272222222222</v>
      </c>
      <c r="AB70" s="131" t="n">
        <f aca="false">(1-$I$19)*(1-$J$19)*$D$19*$E$19/4*MIN(1,MAX(0,(AB$5-$H$19+1)/$T$19))*IF(AB$5=$H$19,$U$19,IF(AND(AB$5&gt;$H$19,AB$5&lt;$H$19+$F$19),1,IF(AB$5=$H$19+$F$19,1-$U$19,0)))</f>
        <v>96.6272222222222</v>
      </c>
      <c r="AC70" s="131" t="n">
        <f aca="false">(1-$I$19)*(1-$J$19)*$D$19*$E$19/4*MIN(1,MAX(0,(AC$5-$H$19+1)/$T$19))*IF(AC$5=$H$19,$U$19,IF(AND(AC$5&gt;$H$19,AC$5&lt;$H$19+$F$19),1,IF(AC$5=$H$19+$F$19,1-$U$19,0)))</f>
        <v>96.6272222222222</v>
      </c>
      <c r="AD70" s="131" t="n">
        <f aca="false">(1-$I$19)*(1-$J$19)*$D$19*$E$19/4*MIN(1,MAX(0,(AD$5-$H$19+1)/$T$19))*IF(AD$5=$H$19,$U$19,IF(AND(AD$5&gt;$H$19,AD$5&lt;$H$19+$F$19),1,IF(AD$5=$H$19+$F$19,1-$U$19,0)))</f>
        <v>96.6272222222222</v>
      </c>
      <c r="AE70" s="131" t="n">
        <f aca="false">(1-$I$19)*(1-$J$19)*$D$19*$E$19/4*MIN(1,MAX(0,(AE$5-$H$19+1)/$T$19))*IF(AE$5=$H$19,$U$19,IF(AND(AE$5&gt;$H$19,AE$5&lt;$H$19+$F$19),1,IF(AE$5=$H$19+$F$19,1-$U$19,0)))</f>
        <v>96.6272222222222</v>
      </c>
      <c r="AF70" s="131" t="n">
        <f aca="false">(1-$I$19)*(1-$J$19)*$D$19*$E$19/4*MIN(1,MAX(0,(AF$5-$H$19+1)/$T$19))*IF(AF$5=$H$19,$U$19,IF(AND(AF$5&gt;$H$19,AF$5&lt;$H$19+$F$19),1,IF(AF$5=$H$19+$F$19,1-$U$19,0)))</f>
        <v>96.6272222222222</v>
      </c>
      <c r="AG70" s="131" t="n">
        <f aca="false">(1-$I$19)*(1-$J$19)*$D$19*$E$19/4*MIN(1,MAX(0,(AG$5-$H$19+1)/$T$19))*IF(AG$5=$H$19,$U$19,IF(AND(AG$5&gt;$H$19,AG$5&lt;$H$19+$F$19),1,IF(AG$5=$H$19+$F$19,1-$U$19,0)))</f>
        <v>96.6272222222222</v>
      </c>
      <c r="AI70" s="131" t="n">
        <f aca="false">SUMIF($F$7:$AG$7,AI$7,$F70:$AG70)</f>
        <v>0</v>
      </c>
      <c r="AJ70" s="131" t="n">
        <f aca="false">SUMIF($F$7:$AG$7,AJ$7,$F70:$AG70)</f>
        <v>0</v>
      </c>
      <c r="AK70" s="131" t="n">
        <f aca="false">SUMIF($F$7:$AG$7,AK$7,$F70:$AG70)</f>
        <v>0</v>
      </c>
      <c r="AL70" s="131" t="n">
        <f aca="false">SUMIF($F$7:$AG$7,AL$7,$F70:$AG70)</f>
        <v>193.254444444444</v>
      </c>
      <c r="AM70" s="131" t="n">
        <f aca="false">SUMIF($F$7:$AG$7,AM$7,$F70:$AG70)</f>
        <v>386.508888888889</v>
      </c>
      <c r="AN70" s="131" t="n">
        <f aca="false">SUMIF($F$7:$AG$7,AN$7,$F70:$AG70)</f>
        <v>386.508888888889</v>
      </c>
      <c r="AO70" s="131" t="n">
        <f aca="false">SUMIF($F$7:$AG$7,AO$7,$F70:$AG70)</f>
        <v>386.508888888889</v>
      </c>
    </row>
    <row r="71" customFormat="false" ht="15" hidden="false" customHeight="false" outlineLevel="0" collapsed="false">
      <c r="A71" s="112" t="s">
        <v>2111</v>
      </c>
      <c r="B71" s="24" t="s">
        <v>857</v>
      </c>
      <c r="C71" s="24"/>
      <c r="D71" s="24"/>
      <c r="F71" s="121" t="n">
        <f aca="false">(1-$I$19)*(1-$J$19)*$D$19*AND(F$5&gt;=$H$19,F$5&lt;$H$19+$F$19)</f>
        <v>0</v>
      </c>
      <c r="G71" s="121" t="n">
        <f aca="false">(1-$I$19)*(1-$J$19)*$D$19*AND(G$5&gt;=$H$19,G$5&lt;$H$19+$F$19)</f>
        <v>0</v>
      </c>
      <c r="H71" s="121" t="n">
        <f aca="false">(1-$I$19)*(1-$J$19)*$D$19*AND(H$5&gt;=$H$19,H$5&lt;$H$19+$F$19)</f>
        <v>0</v>
      </c>
      <c r="I71" s="121" t="n">
        <f aca="false">(1-$I$19)*(1-$J$19)*$D$19*AND(I$5&gt;=$H$19,I$5&lt;$H$19+$F$19)</f>
        <v>0</v>
      </c>
      <c r="J71" s="121" t="n">
        <f aca="false">(1-$I$19)*(1-$J$19)*$D$19*AND(J$5&gt;=$H$19,J$5&lt;$H$19+$F$19)</f>
        <v>0</v>
      </c>
      <c r="K71" s="121" t="n">
        <f aca="false">(1-$I$19)*(1-$J$19)*$D$19*AND(K$5&gt;=$H$19,K$5&lt;$H$19+$F$19)</f>
        <v>0</v>
      </c>
      <c r="L71" s="121" t="n">
        <f aca="false">(1-$I$19)*(1-$J$19)*$D$19*AND(L$5&gt;=$H$19,L$5&lt;$H$19+$F$19)</f>
        <v>0</v>
      </c>
      <c r="M71" s="121" t="n">
        <f aca="false">(1-$I$19)*(1-$J$19)*$D$19*AND(M$5&gt;=$H$19,M$5&lt;$H$19+$F$19)</f>
        <v>0</v>
      </c>
      <c r="N71" s="121" t="n">
        <f aca="false">(1-$I$19)*(1-$J$19)*$D$19*AND(N$5&gt;=$H$19,N$5&lt;$H$19+$F$19)</f>
        <v>0</v>
      </c>
      <c r="O71" s="121" t="n">
        <f aca="false">(1-$I$19)*(1-$J$19)*$D$19*AND(O$5&gt;=$H$19,O$5&lt;$H$19+$F$19)</f>
        <v>0</v>
      </c>
      <c r="P71" s="39" t="n">
        <f aca="false">(1-$I$19)*(1-$J$19)*$D$19*AND(P$5&gt;=$H$19,P$5&lt;$H$19+$F$19)</f>
        <v>0</v>
      </c>
      <c r="Q71" s="39" t="n">
        <f aca="false">(1-$I$19)*(1-$J$19)*$D$19*AND(Q$5&gt;=$H$19,Q$5&lt;$H$19+$F$19)</f>
        <v>0</v>
      </c>
      <c r="R71" s="39" t="n">
        <f aca="false">(1-$I$19)*(1-$J$19)*$D$19*AND(R$5&gt;=$H$19,R$5&lt;$H$19+$F$19)</f>
        <v>0</v>
      </c>
      <c r="S71" s="39" t="n">
        <f aca="false">(1-$I$19)*(1-$J$19)*$D$19*AND(S$5&gt;=$H$19,S$5&lt;$H$19+$F$19)</f>
        <v>0</v>
      </c>
      <c r="T71" s="39" t="n">
        <f aca="false">(1-$I$19)*(1-$J$19)*$D$19*AND(T$5&gt;=$H$19,T$5&lt;$H$19+$F$19)</f>
        <v>26.6666666666667</v>
      </c>
      <c r="U71" s="39" t="n">
        <f aca="false">(1-$I$19)*(1-$J$19)*$D$19*AND(U$5&gt;=$H$19,U$5&lt;$H$19+$F$19)</f>
        <v>26.6666666666667</v>
      </c>
      <c r="V71" s="39" t="n">
        <f aca="false">(1-$I$19)*(1-$J$19)*$D$19*AND(V$5&gt;=$H$19,V$5&lt;$H$19+$F$19)</f>
        <v>26.6666666666667</v>
      </c>
      <c r="W71" s="39" t="n">
        <f aca="false">(1-$I$19)*(1-$J$19)*$D$19*AND(W$5&gt;=$H$19,W$5&lt;$H$19+$F$19)</f>
        <v>26.6666666666667</v>
      </c>
      <c r="X71" s="39" t="n">
        <f aca="false">(1-$I$19)*(1-$J$19)*$D$19*AND(X$5&gt;=$H$19,X$5&lt;$H$19+$F$19)</f>
        <v>26.6666666666667</v>
      </c>
      <c r="Y71" s="39" t="n">
        <f aca="false">(1-$I$19)*(1-$J$19)*$D$19*AND(Y$5&gt;=$H$19,Y$5&lt;$H$19+$F$19)</f>
        <v>26.6666666666667</v>
      </c>
      <c r="Z71" s="39" t="n">
        <f aca="false">(1-$I$19)*(1-$J$19)*$D$19*AND(Z$5&gt;=$H$19,Z$5&lt;$H$19+$F$19)</f>
        <v>26.6666666666667</v>
      </c>
      <c r="AA71" s="39" t="n">
        <f aca="false">(1-$I$19)*(1-$J$19)*$D$19*AND(AA$5&gt;=$H$19,AA$5&lt;$H$19+$F$19)</f>
        <v>26.6666666666667</v>
      </c>
      <c r="AB71" s="39" t="n">
        <f aca="false">(1-$I$19)*(1-$J$19)*$D$19*AND(AB$5&gt;=$H$19,AB$5&lt;$H$19+$F$19)</f>
        <v>26.6666666666667</v>
      </c>
      <c r="AC71" s="39" t="n">
        <f aca="false">(1-$I$19)*(1-$J$19)*$D$19*AND(AC$5&gt;=$H$19,AC$5&lt;$H$19+$F$19)</f>
        <v>26.6666666666667</v>
      </c>
      <c r="AD71" s="39" t="n">
        <f aca="false">(1-$I$19)*(1-$J$19)*$D$19*AND(AD$5&gt;=$H$19,AD$5&lt;$H$19+$F$19)</f>
        <v>26.6666666666667</v>
      </c>
      <c r="AE71" s="39" t="n">
        <f aca="false">(1-$I$19)*(1-$J$19)*$D$19*AND(AE$5&gt;=$H$19,AE$5&lt;$H$19+$F$19)</f>
        <v>26.6666666666667</v>
      </c>
      <c r="AF71" s="39" t="n">
        <f aca="false">(1-$I$19)*(1-$J$19)*$D$19*AND(AF$5&gt;=$H$19,AF$5&lt;$H$19+$F$19)</f>
        <v>26.6666666666667</v>
      </c>
      <c r="AG71" s="39" t="n">
        <f aca="false">(1-$I$19)*(1-$J$19)*$D$19*AND(AG$5&gt;=$H$19,AG$5&lt;$H$19+$F$19)</f>
        <v>26.6666666666667</v>
      </c>
      <c r="AI71" s="39" t="n">
        <f aca="false">INDEX($F71:$AG71,1,MATCH(AI$7,$F$7:$AG$7,1))</f>
        <v>0</v>
      </c>
      <c r="AJ71" s="39" t="n">
        <f aca="false">INDEX($F71:$AG71,1,MATCH(AJ$7,$F$7:$AG$7,1))</f>
        <v>0</v>
      </c>
      <c r="AK71" s="39" t="n">
        <f aca="false">INDEX($F71:$AG71,1,MATCH(AK$7,$F$7:$AG$7,1))</f>
        <v>0</v>
      </c>
      <c r="AL71" s="39" t="n">
        <f aca="false">INDEX($F71:$AG71,1,MATCH(AL$7,$F$7:$AG$7,1))</f>
        <v>26.6666666666667</v>
      </c>
      <c r="AM71" s="39" t="n">
        <f aca="false">INDEX($F71:$AG71,1,MATCH(AM$7,$F$7:$AG$7,1))</f>
        <v>26.6666666666667</v>
      </c>
      <c r="AN71" s="39" t="n">
        <f aca="false">INDEX($F71:$AG71,1,MATCH(AN$7,$F$7:$AG$7,1))</f>
        <v>26.6666666666667</v>
      </c>
      <c r="AO71" s="39" t="n">
        <f aca="false">INDEX($F71:$AG71,1,MATCH(AO$7,$F$7:$AG$7,1))</f>
        <v>26.6666666666667</v>
      </c>
    </row>
    <row r="72" customFormat="false" ht="15" hidden="false" customHeight="false" outlineLevel="0" collapsed="false">
      <c r="A72" s="112" t="s">
        <v>2112</v>
      </c>
      <c r="B72" s="24" t="s">
        <v>745</v>
      </c>
      <c r="C72" s="24"/>
      <c r="D72" s="24"/>
      <c r="F72" s="130" t="n">
        <f aca="false">-(1-$I$19)*LD_Pct*$D$19*$E$19/4*AND(F$5&gt;=$G$19,F$5&lt;$H$19)</f>
        <v>-0</v>
      </c>
      <c r="G72" s="130" t="n">
        <f aca="false">-(1-$I$19)*LD_Pct*$D$19*$E$19/4*AND(G$5&gt;=$G$19,G$5&lt;$H$19)</f>
        <v>-0</v>
      </c>
      <c r="H72" s="130" t="n">
        <f aca="false">-(1-$I$19)*LD_Pct*$D$19*$E$19/4*AND(H$5&gt;=$G$19,H$5&lt;$H$19)</f>
        <v>-0</v>
      </c>
      <c r="I72" s="130" t="n">
        <f aca="false">-(1-$I$19)*LD_Pct*$D$19*$E$19/4*AND(I$5&gt;=$G$19,I$5&lt;$H$19)</f>
        <v>-0</v>
      </c>
      <c r="J72" s="130" t="n">
        <f aca="false">-(1-$I$19)*LD_Pct*$D$19*$E$19/4*AND(J$5&gt;=$G$19,J$5&lt;$H$19)</f>
        <v>-0</v>
      </c>
      <c r="K72" s="130" t="n">
        <f aca="false">-(1-$I$19)*LD_Pct*$D$19*$E$19/4*AND(K$5&gt;=$G$19,K$5&lt;$H$19)</f>
        <v>-0</v>
      </c>
      <c r="L72" s="130" t="n">
        <f aca="false">-(1-$I$19)*LD_Pct*$D$19*$E$19/4*AND(L$5&gt;=$G$19,L$5&lt;$H$19)</f>
        <v>-0</v>
      </c>
      <c r="M72" s="130" t="n">
        <f aca="false">-(1-$I$19)*LD_Pct*$D$19*$E$19/4*AND(M$5&gt;=$G$19,M$5&lt;$H$19)</f>
        <v>-0</v>
      </c>
      <c r="N72" s="130" t="n">
        <f aca="false">-(1-$I$19)*LD_Pct*$D$19*$E$19/4*AND(N$5&gt;=$G$19,N$5&lt;$H$19)</f>
        <v>-0</v>
      </c>
      <c r="O72" s="130" t="n">
        <f aca="false">-(1-$I$19)*LD_Pct*$D$19*$E$19/4*AND(O$5&gt;=$G$19,O$5&lt;$H$19)</f>
        <v>-0</v>
      </c>
      <c r="P72" s="131" t="n">
        <f aca="false">-(1-$I$19)*LD_Pct*$D$19*$E$19/4*AND(P$5&gt;=$G$19,P$5&lt;$H$19)</f>
        <v>-0</v>
      </c>
      <c r="Q72" s="131" t="n">
        <f aca="false">-(1-$I$19)*LD_Pct*$D$19*$E$19/4*AND(Q$5&gt;=$G$19,Q$5&lt;$H$19)</f>
        <v>-0</v>
      </c>
      <c r="R72" s="131" t="n">
        <f aca="false">-(1-$I$19)*LD_Pct*$D$19*$E$19/4*AND(R$5&gt;=$G$19,R$5&lt;$H$19)</f>
        <v>-0</v>
      </c>
      <c r="S72" s="131" t="n">
        <f aca="false">-(1-$I$19)*LD_Pct*$D$19*$E$19/4*AND(S$5&gt;=$G$19,S$5&lt;$H$19)</f>
        <v>-0</v>
      </c>
      <c r="T72" s="131" t="n">
        <f aca="false">-(1-$I$19)*LD_Pct*$D$19*$E$19/4*AND(T$5&gt;=$G$19,T$5&lt;$H$19)</f>
        <v>-0</v>
      </c>
      <c r="U72" s="131" t="n">
        <f aca="false">-(1-$I$19)*LD_Pct*$D$19*$E$19/4*AND(U$5&gt;=$G$19,U$5&lt;$H$19)</f>
        <v>-0</v>
      </c>
      <c r="V72" s="131" t="n">
        <f aca="false">-(1-$I$19)*LD_Pct*$D$19*$E$19/4*AND(V$5&gt;=$G$19,V$5&lt;$H$19)</f>
        <v>-0</v>
      </c>
      <c r="W72" s="131" t="n">
        <f aca="false">-(1-$I$19)*LD_Pct*$D$19*$E$19/4*AND(W$5&gt;=$G$19,W$5&lt;$H$19)</f>
        <v>-0</v>
      </c>
      <c r="X72" s="131" t="n">
        <f aca="false">-(1-$I$19)*LD_Pct*$D$19*$E$19/4*AND(X$5&gt;=$G$19,X$5&lt;$H$19)</f>
        <v>-0</v>
      </c>
      <c r="Y72" s="131" t="n">
        <f aca="false">-(1-$I$19)*LD_Pct*$D$19*$E$19/4*AND(Y$5&gt;=$G$19,Y$5&lt;$H$19)</f>
        <v>-0</v>
      </c>
      <c r="Z72" s="131" t="n">
        <f aca="false">-(1-$I$19)*LD_Pct*$D$19*$E$19/4*AND(Z$5&gt;=$G$19,Z$5&lt;$H$19)</f>
        <v>-0</v>
      </c>
      <c r="AA72" s="131" t="n">
        <f aca="false">-(1-$I$19)*LD_Pct*$D$19*$E$19/4*AND(AA$5&gt;=$G$19,AA$5&lt;$H$19)</f>
        <v>-0</v>
      </c>
      <c r="AB72" s="131" t="n">
        <f aca="false">-(1-$I$19)*LD_Pct*$D$19*$E$19/4*AND(AB$5&gt;=$G$19,AB$5&lt;$H$19)</f>
        <v>-0</v>
      </c>
      <c r="AC72" s="131" t="n">
        <f aca="false">-(1-$I$19)*LD_Pct*$D$19*$E$19/4*AND(AC$5&gt;=$G$19,AC$5&lt;$H$19)</f>
        <v>-0</v>
      </c>
      <c r="AD72" s="131" t="n">
        <f aca="false">-(1-$I$19)*LD_Pct*$D$19*$E$19/4*AND(AD$5&gt;=$G$19,AD$5&lt;$H$19)</f>
        <v>-0</v>
      </c>
      <c r="AE72" s="131" t="n">
        <f aca="false">-(1-$I$19)*LD_Pct*$D$19*$E$19/4*AND(AE$5&gt;=$G$19,AE$5&lt;$H$19)</f>
        <v>-0</v>
      </c>
      <c r="AF72" s="131" t="n">
        <f aca="false">-(1-$I$19)*LD_Pct*$D$19*$E$19/4*AND(AF$5&gt;=$G$19,AF$5&lt;$H$19)</f>
        <v>-0</v>
      </c>
      <c r="AG72" s="131" t="n">
        <f aca="false">-(1-$I$19)*LD_Pct*$D$19*$E$19/4*AND(AG$5&gt;=$G$19,AG$5&lt;$H$19)</f>
        <v>-0</v>
      </c>
      <c r="AI72" s="131" t="n">
        <f aca="false">SUMIF($F$7:$AG$7,AI$7,$F72:$AG72)</f>
        <v>0</v>
      </c>
      <c r="AJ72" s="131" t="n">
        <f aca="false">SUMIF($F$7:$AG$7,AJ$7,$F72:$AG72)</f>
        <v>0</v>
      </c>
      <c r="AK72" s="131" t="n">
        <f aca="false">SUMIF($F$7:$AG$7,AK$7,$F72:$AG72)</f>
        <v>0</v>
      </c>
      <c r="AL72" s="131" t="n">
        <f aca="false">SUMIF($F$7:$AG$7,AL$7,$F72:$AG72)</f>
        <v>0</v>
      </c>
      <c r="AM72" s="131" t="n">
        <f aca="false">SUMIF($F$7:$AG$7,AM$7,$F72:$AG72)</f>
        <v>0</v>
      </c>
      <c r="AN72" s="131" t="n">
        <f aca="false">SUMIF($F$7:$AG$7,AN$7,$F72:$AG72)</f>
        <v>0</v>
      </c>
      <c r="AO72" s="131" t="n">
        <f aca="false">SUMIF($F$7:$AG$7,AO$7,$F72:$AG72)</f>
        <v>0</v>
      </c>
    </row>
    <row r="73" customFormat="false" ht="15" hidden="false" customHeight="false" outlineLevel="0" collapsed="false">
      <c r="A73" s="112" t="s">
        <v>2113</v>
      </c>
      <c r="B73" s="24" t="s">
        <v>857</v>
      </c>
      <c r="C73" s="24"/>
      <c r="D73" s="24"/>
      <c r="F73" s="121" t="n">
        <f aca="false">(1-$I$19)*(1-$J$19)*$D$19*(F$5&gt;=$H$19+$F$19)</f>
        <v>0</v>
      </c>
      <c r="G73" s="121" t="n">
        <f aca="false">(1-$I$19)*(1-$J$19)*$D$19*(G$5&gt;=$H$19+$F$19)</f>
        <v>0</v>
      </c>
      <c r="H73" s="121" t="n">
        <f aca="false">(1-$I$19)*(1-$J$19)*$D$19*(H$5&gt;=$H$19+$F$19)</f>
        <v>0</v>
      </c>
      <c r="I73" s="121" t="n">
        <f aca="false">(1-$I$19)*(1-$J$19)*$D$19*(I$5&gt;=$H$19+$F$19)</f>
        <v>0</v>
      </c>
      <c r="J73" s="121" t="n">
        <f aca="false">(1-$I$19)*(1-$J$19)*$D$19*(J$5&gt;=$H$19+$F$19)</f>
        <v>0</v>
      </c>
      <c r="K73" s="121" t="n">
        <f aca="false">(1-$I$19)*(1-$J$19)*$D$19*(K$5&gt;=$H$19+$F$19)</f>
        <v>0</v>
      </c>
      <c r="L73" s="121" t="n">
        <f aca="false">(1-$I$19)*(1-$J$19)*$D$19*(L$5&gt;=$H$19+$F$19)</f>
        <v>0</v>
      </c>
      <c r="M73" s="121" t="n">
        <f aca="false">(1-$I$19)*(1-$J$19)*$D$19*(M$5&gt;=$H$19+$F$19)</f>
        <v>0</v>
      </c>
      <c r="N73" s="121" t="n">
        <f aca="false">(1-$I$19)*(1-$J$19)*$D$19*(N$5&gt;=$H$19+$F$19)</f>
        <v>0</v>
      </c>
      <c r="O73" s="121" t="n">
        <f aca="false">(1-$I$19)*(1-$J$19)*$D$19*(O$5&gt;=$H$19+$F$19)</f>
        <v>0</v>
      </c>
      <c r="P73" s="39" t="n">
        <f aca="false">(1-$I$19)*(1-$J$19)*$D$19*(P$5&gt;=$H$19+$F$19)</f>
        <v>0</v>
      </c>
      <c r="Q73" s="39" t="n">
        <f aca="false">(1-$I$19)*(1-$J$19)*$D$19*(Q$5&gt;=$H$19+$F$19)</f>
        <v>0</v>
      </c>
      <c r="R73" s="39" t="n">
        <f aca="false">(1-$I$19)*(1-$J$19)*$D$19*(R$5&gt;=$H$19+$F$19)</f>
        <v>0</v>
      </c>
      <c r="S73" s="39" t="n">
        <f aca="false">(1-$I$19)*(1-$J$19)*$D$19*(S$5&gt;=$H$19+$F$19)</f>
        <v>0</v>
      </c>
      <c r="T73" s="39" t="n">
        <f aca="false">(1-$I$19)*(1-$J$19)*$D$19*(T$5&gt;=$H$19+$F$19)</f>
        <v>0</v>
      </c>
      <c r="U73" s="39" t="n">
        <f aca="false">(1-$I$19)*(1-$J$19)*$D$19*(U$5&gt;=$H$19+$F$19)</f>
        <v>0</v>
      </c>
      <c r="V73" s="39" t="n">
        <f aca="false">(1-$I$19)*(1-$J$19)*$D$19*(V$5&gt;=$H$19+$F$19)</f>
        <v>0</v>
      </c>
      <c r="W73" s="39" t="n">
        <f aca="false">(1-$I$19)*(1-$J$19)*$D$19*(W$5&gt;=$H$19+$F$19)</f>
        <v>0</v>
      </c>
      <c r="X73" s="39" t="n">
        <f aca="false">(1-$I$19)*(1-$J$19)*$D$19*(X$5&gt;=$H$19+$F$19)</f>
        <v>0</v>
      </c>
      <c r="Y73" s="39" t="n">
        <f aca="false">(1-$I$19)*(1-$J$19)*$D$19*(Y$5&gt;=$H$19+$F$19)</f>
        <v>0</v>
      </c>
      <c r="Z73" s="39" t="n">
        <f aca="false">(1-$I$19)*(1-$J$19)*$D$19*(Z$5&gt;=$H$19+$F$19)</f>
        <v>0</v>
      </c>
      <c r="AA73" s="39" t="n">
        <f aca="false">(1-$I$19)*(1-$J$19)*$D$19*(AA$5&gt;=$H$19+$F$19)</f>
        <v>0</v>
      </c>
      <c r="AB73" s="39" t="n">
        <f aca="false">(1-$I$19)*(1-$J$19)*$D$19*(AB$5&gt;=$H$19+$F$19)</f>
        <v>0</v>
      </c>
      <c r="AC73" s="39" t="n">
        <f aca="false">(1-$I$19)*(1-$J$19)*$D$19*(AC$5&gt;=$H$19+$F$19)</f>
        <v>0</v>
      </c>
      <c r="AD73" s="39" t="n">
        <f aca="false">(1-$I$19)*(1-$J$19)*$D$19*(AD$5&gt;=$H$19+$F$19)</f>
        <v>0</v>
      </c>
      <c r="AE73" s="39" t="n">
        <f aca="false">(1-$I$19)*(1-$J$19)*$D$19*(AE$5&gt;=$H$19+$F$19)</f>
        <v>0</v>
      </c>
      <c r="AF73" s="39" t="n">
        <f aca="false">(1-$I$19)*(1-$J$19)*$D$19*(AF$5&gt;=$H$19+$F$19)</f>
        <v>0</v>
      </c>
      <c r="AG73" s="39" t="n">
        <f aca="false">(1-$I$19)*(1-$J$19)*$D$19*(AG$5&gt;=$H$19+$F$19)</f>
        <v>0</v>
      </c>
      <c r="AI73" s="39" t="n">
        <f aca="false">INDEX($F73:$AG73,1,MATCH(AI$7,$F$7:$AG$7,1))</f>
        <v>0</v>
      </c>
      <c r="AJ73" s="39" t="n">
        <f aca="false">INDEX($F73:$AG73,1,MATCH(AJ$7,$F$7:$AG$7,1))</f>
        <v>0</v>
      </c>
      <c r="AK73" s="39" t="n">
        <f aca="false">INDEX($F73:$AG73,1,MATCH(AK$7,$F$7:$AG$7,1))</f>
        <v>0</v>
      </c>
      <c r="AL73" s="39" t="n">
        <f aca="false">INDEX($F73:$AG73,1,MATCH(AL$7,$F$7:$AG$7,1))</f>
        <v>0</v>
      </c>
      <c r="AM73" s="39" t="n">
        <f aca="false">INDEX($F73:$AG73,1,MATCH(AM$7,$F$7:$AG$7,1))</f>
        <v>0</v>
      </c>
      <c r="AN73" s="39" t="n">
        <f aca="false">INDEX($F73:$AG73,1,MATCH(AN$7,$F$7:$AG$7,1))</f>
        <v>0</v>
      </c>
      <c r="AO73" s="39" t="n">
        <f aca="false">INDEX($F73:$AG73,1,MATCH(AO$7,$F$7:$AG$7,1))</f>
        <v>0</v>
      </c>
    </row>
    <row r="74" customFormat="false" ht="15" hidden="false" customHeight="false" outlineLevel="0" collapsed="false">
      <c r="A74" s="112" t="s">
        <v>2114</v>
      </c>
      <c r="B74" s="24" t="s">
        <v>745</v>
      </c>
      <c r="C74" s="24"/>
      <c r="D74" s="24" t="s">
        <v>2079</v>
      </c>
      <c r="F74" s="130" t="n">
        <f aca="false">F73*CHOOSE(MATCH($C$19,{"H";"B";"N"},0),GPUMW_H*ODc_H,GPUMW_B*ODc_B,GPUMW_N*ODc_N)*ResidUtil*Timeline!F$9*INDEX(Curve,1,MAX(1,MIN(8,INT((F$5-$H$19)/4)+1)))/1000000</f>
        <v>0</v>
      </c>
      <c r="G74" s="130" t="n">
        <f aca="false">G73*CHOOSE(MATCH($C$19,{"H";"B";"N"},0),GPUMW_H*ODc_H,GPUMW_B*ODc_B,GPUMW_N*ODc_N)*ResidUtil*Timeline!G$9*INDEX(Curve,1,MAX(1,MIN(8,INT((G$5-$H$19)/4)+1)))/1000000</f>
        <v>0</v>
      </c>
      <c r="H74" s="130" t="n">
        <f aca="false">H73*CHOOSE(MATCH($C$19,{"H";"B";"N"},0),GPUMW_H*ODc_H,GPUMW_B*ODc_B,GPUMW_N*ODc_N)*ResidUtil*Timeline!H$9*INDEX(Curve,1,MAX(1,MIN(8,INT((H$5-$H$19)/4)+1)))/1000000</f>
        <v>0</v>
      </c>
      <c r="I74" s="130" t="n">
        <f aca="false">I73*CHOOSE(MATCH($C$19,{"H";"B";"N"},0),GPUMW_H*ODc_H,GPUMW_B*ODc_B,GPUMW_N*ODc_N)*ResidUtil*Timeline!I$9*INDEX(Curve,1,MAX(1,MIN(8,INT((I$5-$H$19)/4)+1)))/1000000</f>
        <v>0</v>
      </c>
      <c r="J74" s="130" t="n">
        <f aca="false">J73*CHOOSE(MATCH($C$19,{"H";"B";"N"},0),GPUMW_H*ODc_H,GPUMW_B*ODc_B,GPUMW_N*ODc_N)*ResidUtil*Timeline!J$9*INDEX(Curve,1,MAX(1,MIN(8,INT((J$5-$H$19)/4)+1)))/1000000</f>
        <v>0</v>
      </c>
      <c r="K74" s="130" t="n">
        <f aca="false">K73*CHOOSE(MATCH($C$19,{"H";"B";"N"},0),GPUMW_H*ODc_H,GPUMW_B*ODc_B,GPUMW_N*ODc_N)*ResidUtil*Timeline!K$9*INDEX(Curve,1,MAX(1,MIN(8,INT((K$5-$H$19)/4)+1)))/1000000</f>
        <v>0</v>
      </c>
      <c r="L74" s="130" t="n">
        <f aca="false">L73*CHOOSE(MATCH($C$19,{"H";"B";"N"},0),GPUMW_H*ODc_H,GPUMW_B*ODc_B,GPUMW_N*ODc_N)*ResidUtil*Timeline!L$9*INDEX(Curve,1,MAX(1,MIN(8,INT((L$5-$H$19)/4)+1)))/1000000</f>
        <v>0</v>
      </c>
      <c r="M74" s="130" t="n">
        <f aca="false">M73*CHOOSE(MATCH($C$19,{"H";"B";"N"},0),GPUMW_H*ODc_H,GPUMW_B*ODc_B,GPUMW_N*ODc_N)*ResidUtil*Timeline!M$9*INDEX(Curve,1,MAX(1,MIN(8,INT((M$5-$H$19)/4)+1)))/1000000</f>
        <v>0</v>
      </c>
      <c r="N74" s="130" t="n">
        <f aca="false">N73*CHOOSE(MATCH($C$19,{"H";"B";"N"},0),GPUMW_H*ODc_H,GPUMW_B*ODc_B,GPUMW_N*ODc_N)*ResidUtil*Timeline!N$9*INDEX(Curve,1,MAX(1,MIN(8,INT((N$5-$H$19)/4)+1)))/1000000</f>
        <v>0</v>
      </c>
      <c r="O74" s="130" t="n">
        <f aca="false">O73*CHOOSE(MATCH($C$19,{"H";"B";"N"},0),GPUMW_H*ODc_H,GPUMW_B*ODc_B,GPUMW_N*ODc_N)*ResidUtil*Timeline!O$9*INDEX(Curve,1,MAX(1,MIN(8,INT((O$5-$H$19)/4)+1)))/1000000</f>
        <v>0</v>
      </c>
      <c r="P74" s="131" t="n">
        <f aca="false">P73*CHOOSE(MATCH($C$19,{"H";"B";"N"},0),GPUMW_H*ODc_H,GPUMW_B*ODc_B,GPUMW_N*ODc_N)*ResidUtil*Timeline!P$9*INDEX(Curve,1,MAX(1,MIN(8,INT((P$5-$H$19)/4)+1)))/1000000</f>
        <v>0</v>
      </c>
      <c r="Q74" s="131" t="n">
        <f aca="false">Q73*CHOOSE(MATCH($C$19,{"H";"B";"N"},0),GPUMW_H*ODc_H,GPUMW_B*ODc_B,GPUMW_N*ODc_N)*ResidUtil*Timeline!Q$9*INDEX(Curve,1,MAX(1,MIN(8,INT((Q$5-$H$19)/4)+1)))/1000000</f>
        <v>0</v>
      </c>
      <c r="R74" s="131" t="n">
        <f aca="false">R73*CHOOSE(MATCH($C$19,{"H";"B";"N"},0),GPUMW_H*ODc_H,GPUMW_B*ODc_B,GPUMW_N*ODc_N)*ResidUtil*Timeline!R$9*INDEX(Curve,1,MAX(1,MIN(8,INT((R$5-$H$19)/4)+1)))/1000000</f>
        <v>0</v>
      </c>
      <c r="S74" s="131" t="n">
        <f aca="false">S73*CHOOSE(MATCH($C$19,{"H";"B";"N"},0),GPUMW_H*ODc_H,GPUMW_B*ODc_B,GPUMW_N*ODc_N)*ResidUtil*Timeline!S$9*INDEX(Curve,1,MAX(1,MIN(8,INT((S$5-$H$19)/4)+1)))/1000000</f>
        <v>0</v>
      </c>
      <c r="T74" s="131" t="n">
        <f aca="false">T73*CHOOSE(MATCH($C$19,{"H";"B";"N"},0),GPUMW_H*ODc_H,GPUMW_B*ODc_B,GPUMW_N*ODc_N)*ResidUtil*Timeline!T$9*INDEX(Curve,1,MAX(1,MIN(8,INT((T$5-$H$19)/4)+1)))/1000000</f>
        <v>0</v>
      </c>
      <c r="U74" s="131" t="n">
        <f aca="false">U73*CHOOSE(MATCH($C$19,{"H";"B";"N"},0),GPUMW_H*ODc_H,GPUMW_B*ODc_B,GPUMW_N*ODc_N)*ResidUtil*Timeline!U$9*INDEX(Curve,1,MAX(1,MIN(8,INT((U$5-$H$19)/4)+1)))/1000000</f>
        <v>0</v>
      </c>
      <c r="V74" s="131" t="n">
        <f aca="false">V73*CHOOSE(MATCH($C$19,{"H";"B";"N"},0),GPUMW_H*ODc_H,GPUMW_B*ODc_B,GPUMW_N*ODc_N)*ResidUtil*Timeline!V$9*INDEX(Curve,1,MAX(1,MIN(8,INT((V$5-$H$19)/4)+1)))/1000000</f>
        <v>0</v>
      </c>
      <c r="W74" s="131" t="n">
        <f aca="false">W73*CHOOSE(MATCH($C$19,{"H";"B";"N"},0),GPUMW_H*ODc_H,GPUMW_B*ODc_B,GPUMW_N*ODc_N)*ResidUtil*Timeline!W$9*INDEX(Curve,1,MAX(1,MIN(8,INT((W$5-$H$19)/4)+1)))/1000000</f>
        <v>0</v>
      </c>
      <c r="X74" s="131" t="n">
        <f aca="false">X73*CHOOSE(MATCH($C$19,{"H";"B";"N"},0),GPUMW_H*ODc_H,GPUMW_B*ODc_B,GPUMW_N*ODc_N)*ResidUtil*Timeline!X$9*INDEX(Curve,1,MAX(1,MIN(8,INT((X$5-$H$19)/4)+1)))/1000000</f>
        <v>0</v>
      </c>
      <c r="Y74" s="131" t="n">
        <f aca="false">Y73*CHOOSE(MATCH($C$19,{"H";"B";"N"},0),GPUMW_H*ODc_H,GPUMW_B*ODc_B,GPUMW_N*ODc_N)*ResidUtil*Timeline!Y$9*INDEX(Curve,1,MAX(1,MIN(8,INT((Y$5-$H$19)/4)+1)))/1000000</f>
        <v>0</v>
      </c>
      <c r="Z74" s="131" t="n">
        <f aca="false">Z73*CHOOSE(MATCH($C$19,{"H";"B";"N"},0),GPUMW_H*ODc_H,GPUMW_B*ODc_B,GPUMW_N*ODc_N)*ResidUtil*Timeline!Z$9*INDEX(Curve,1,MAX(1,MIN(8,INT((Z$5-$H$19)/4)+1)))/1000000</f>
        <v>0</v>
      </c>
      <c r="AA74" s="131" t="n">
        <f aca="false">AA73*CHOOSE(MATCH($C$19,{"H";"B";"N"},0),GPUMW_H*ODc_H,GPUMW_B*ODc_B,GPUMW_N*ODc_N)*ResidUtil*Timeline!AA$9*INDEX(Curve,1,MAX(1,MIN(8,INT((AA$5-$H$19)/4)+1)))/1000000</f>
        <v>0</v>
      </c>
      <c r="AB74" s="131" t="n">
        <f aca="false">AB73*CHOOSE(MATCH($C$19,{"H";"B";"N"},0),GPUMW_H*ODc_H,GPUMW_B*ODc_B,GPUMW_N*ODc_N)*ResidUtil*Timeline!AB$9*INDEX(Curve,1,MAX(1,MIN(8,INT((AB$5-$H$19)/4)+1)))/1000000</f>
        <v>0</v>
      </c>
      <c r="AC74" s="131" t="n">
        <f aca="false">AC73*CHOOSE(MATCH($C$19,{"H";"B";"N"},0),GPUMW_H*ODc_H,GPUMW_B*ODc_B,GPUMW_N*ODc_N)*ResidUtil*Timeline!AC$9*INDEX(Curve,1,MAX(1,MIN(8,INT((AC$5-$H$19)/4)+1)))/1000000</f>
        <v>0</v>
      </c>
      <c r="AD74" s="131" t="n">
        <f aca="false">AD73*CHOOSE(MATCH($C$19,{"H";"B";"N"},0),GPUMW_H*ODc_H,GPUMW_B*ODc_B,GPUMW_N*ODc_N)*ResidUtil*Timeline!AD$9*INDEX(Curve,1,MAX(1,MIN(8,INT((AD$5-$H$19)/4)+1)))/1000000</f>
        <v>0</v>
      </c>
      <c r="AE74" s="131" t="n">
        <f aca="false">AE73*CHOOSE(MATCH($C$19,{"H";"B";"N"},0),GPUMW_H*ODc_H,GPUMW_B*ODc_B,GPUMW_N*ODc_N)*ResidUtil*Timeline!AE$9*INDEX(Curve,1,MAX(1,MIN(8,INT((AE$5-$H$19)/4)+1)))/1000000</f>
        <v>0</v>
      </c>
      <c r="AF74" s="131" t="n">
        <f aca="false">AF73*CHOOSE(MATCH($C$19,{"H";"B";"N"},0),GPUMW_H*ODc_H,GPUMW_B*ODc_B,GPUMW_N*ODc_N)*ResidUtil*Timeline!AF$9*INDEX(Curve,1,MAX(1,MIN(8,INT((AF$5-$H$19)/4)+1)))/1000000</f>
        <v>0</v>
      </c>
      <c r="AG74" s="131" t="n">
        <f aca="false">AG73*CHOOSE(MATCH($C$19,{"H";"B";"N"},0),GPUMW_H*ODc_H,GPUMW_B*ODc_B,GPUMW_N*ODc_N)*ResidUtil*Timeline!AG$9*INDEX(Curve,1,MAX(1,MIN(8,INT((AG$5-$H$19)/4)+1)))/1000000</f>
        <v>0</v>
      </c>
      <c r="AI74" s="131" t="n">
        <f aca="false">SUMIF($F$7:$AG$7,AI$7,$F74:$AG74)</f>
        <v>0</v>
      </c>
      <c r="AJ74" s="131" t="n">
        <f aca="false">SUMIF($F$7:$AG$7,AJ$7,$F74:$AG74)</f>
        <v>0</v>
      </c>
      <c r="AK74" s="131" t="n">
        <f aca="false">SUMIF($F$7:$AG$7,AK$7,$F74:$AG74)</f>
        <v>0</v>
      </c>
      <c r="AL74" s="131" t="n">
        <f aca="false">SUMIF($F$7:$AG$7,AL$7,$F74:$AG74)</f>
        <v>0</v>
      </c>
      <c r="AM74" s="131" t="n">
        <f aca="false">SUMIF($F$7:$AG$7,AM$7,$F74:$AG74)</f>
        <v>0</v>
      </c>
      <c r="AN74" s="131" t="n">
        <f aca="false">SUMIF($F$7:$AG$7,AN$7,$F74:$AG74)</f>
        <v>0</v>
      </c>
      <c r="AO74" s="131" t="n">
        <f aca="false">SUMIF($F$7:$AG$7,AO$7,$F74:$AG74)</f>
        <v>0</v>
      </c>
    </row>
    <row r="75" customFormat="false" ht="15" hidden="false" customHeight="false" outlineLevel="0" collapsed="false">
      <c r="A75" s="112" t="s">
        <v>2115</v>
      </c>
      <c r="B75" s="24" t="s">
        <v>745</v>
      </c>
      <c r="C75" s="24"/>
      <c r="D75" s="24"/>
      <c r="F75" s="130" t="n">
        <f aca="false">(1-$I$20)*(1-$J$20)*$D$20*$E$20/4*MIN(1,MAX(0,(F$5-$H$20+1)/$T$20))*IF(F$5=$H$20,$U$20,IF(AND(F$5&gt;$H$20,F$5&lt;$H$20+$F$20),1,IF(F$5=$H$20+$F$20,1-$U$20,0)))</f>
        <v>0</v>
      </c>
      <c r="G75" s="130" t="n">
        <f aca="false">(1-$I$20)*(1-$J$20)*$D$20*$E$20/4*MIN(1,MAX(0,(G$5-$H$20+1)/$T$20))*IF(G$5=$H$20,$U$20,IF(AND(G$5&gt;$H$20,G$5&lt;$H$20+$F$20),1,IF(G$5=$H$20+$F$20,1-$U$20,0)))</f>
        <v>0</v>
      </c>
      <c r="H75" s="130" t="n">
        <f aca="false">(1-$I$20)*(1-$J$20)*$D$20*$E$20/4*MIN(1,MAX(0,(H$5-$H$20+1)/$T$20))*IF(H$5=$H$20,$U$20,IF(AND(H$5&gt;$H$20,H$5&lt;$H$20+$F$20),1,IF(H$5=$H$20+$F$20,1-$U$20,0)))</f>
        <v>0</v>
      </c>
      <c r="I75" s="130" t="n">
        <f aca="false">(1-$I$20)*(1-$J$20)*$D$20*$E$20/4*MIN(1,MAX(0,(I$5-$H$20+1)/$T$20))*IF(I$5=$H$20,$U$20,IF(AND(I$5&gt;$H$20,I$5&lt;$H$20+$F$20),1,IF(I$5=$H$20+$F$20,1-$U$20,0)))</f>
        <v>0</v>
      </c>
      <c r="J75" s="130" t="n">
        <f aca="false">(1-$I$20)*(1-$J$20)*$D$20*$E$20/4*MIN(1,MAX(0,(J$5-$H$20+1)/$T$20))*IF(J$5=$H$20,$U$20,IF(AND(J$5&gt;$H$20,J$5&lt;$H$20+$F$20),1,IF(J$5=$H$20+$F$20,1-$U$20,0)))</f>
        <v>0</v>
      </c>
      <c r="K75" s="130" t="n">
        <f aca="false">(1-$I$20)*(1-$J$20)*$D$20*$E$20/4*MIN(1,MAX(0,(K$5-$H$20+1)/$T$20))*IF(K$5=$H$20,$U$20,IF(AND(K$5&gt;$H$20,K$5&lt;$H$20+$F$20),1,IF(K$5=$H$20+$F$20,1-$U$20,0)))</f>
        <v>0</v>
      </c>
      <c r="L75" s="130" t="n">
        <f aca="false">(1-$I$20)*(1-$J$20)*$D$20*$E$20/4*MIN(1,MAX(0,(L$5-$H$20+1)/$T$20))*IF(L$5=$H$20,$U$20,IF(AND(L$5&gt;$H$20,L$5&lt;$H$20+$F$20),1,IF(L$5=$H$20+$F$20,1-$U$20,0)))</f>
        <v>0</v>
      </c>
      <c r="M75" s="130" t="n">
        <f aca="false">(1-$I$20)*(1-$J$20)*$D$20*$E$20/4*MIN(1,MAX(0,(M$5-$H$20+1)/$T$20))*IF(M$5=$H$20,$U$20,IF(AND(M$5&gt;$H$20,M$5&lt;$H$20+$F$20),1,IF(M$5=$H$20+$F$20,1-$U$20,0)))</f>
        <v>0</v>
      </c>
      <c r="N75" s="130" t="n">
        <f aca="false">(1-$I$20)*(1-$J$20)*$D$20*$E$20/4*MIN(1,MAX(0,(N$5-$H$20+1)/$T$20))*IF(N$5=$H$20,$U$20,IF(AND(N$5&gt;$H$20,N$5&lt;$H$20+$F$20),1,IF(N$5=$H$20+$F$20,1-$U$20,0)))</f>
        <v>0</v>
      </c>
      <c r="O75" s="130" t="n">
        <f aca="false">(1-$I$20)*(1-$J$20)*$D$20*$E$20/4*MIN(1,MAX(0,(O$5-$H$20+1)/$T$20))*IF(O$5=$H$20,$U$20,IF(AND(O$5&gt;$H$20,O$5&lt;$H$20+$F$20),1,IF(O$5=$H$20+$F$20,1-$U$20,0)))</f>
        <v>0</v>
      </c>
      <c r="P75" s="131" t="n">
        <f aca="false">(1-$I$20)*(1-$J$20)*$D$20*$E$20/4*MIN(1,MAX(0,(P$5-$H$20+1)/$T$20))*IF(P$5=$H$20,$U$20,IF(AND(P$5&gt;$H$20,P$5&lt;$H$20+$F$20),1,IF(P$5=$H$20+$F$20,1-$U$20,0)))</f>
        <v>0</v>
      </c>
      <c r="Q75" s="131" t="n">
        <f aca="false">(1-$I$20)*(1-$J$20)*$D$20*$E$20/4*MIN(1,MAX(0,(Q$5-$H$20+1)/$T$20))*IF(Q$5=$H$20,$U$20,IF(AND(Q$5&gt;$H$20,Q$5&lt;$H$20+$F$20),1,IF(Q$5=$H$20+$F$20,1-$U$20,0)))</f>
        <v>0</v>
      </c>
      <c r="R75" s="131" t="n">
        <f aca="false">(1-$I$20)*(1-$J$20)*$D$20*$E$20/4*MIN(1,MAX(0,(R$5-$H$20+1)/$T$20))*IF(R$5=$H$20,$U$20,IF(AND(R$5&gt;$H$20,R$5&lt;$H$20+$F$20),1,IF(R$5=$H$20+$F$20,1-$U$20,0)))</f>
        <v>0</v>
      </c>
      <c r="S75" s="131" t="n">
        <f aca="false">(1-$I$20)*(1-$J$20)*$D$20*$E$20/4*MIN(1,MAX(0,(S$5-$H$20+1)/$T$20))*IF(S$5=$H$20,$U$20,IF(AND(S$5&gt;$H$20,S$5&lt;$H$20+$F$20),1,IF(S$5=$H$20+$F$20,1-$U$20,0)))</f>
        <v>0</v>
      </c>
      <c r="T75" s="131" t="n">
        <f aca="false">(1-$I$20)*(1-$J$20)*$D$20*$E$20/4*MIN(1,MAX(0,(T$5-$H$20+1)/$T$20))*IF(T$5=$H$20,$U$20,IF(AND(T$5&gt;$H$20,T$5&lt;$H$20+$F$20),1,IF(T$5=$H$20+$F$20,1-$U$20,0)))</f>
        <v>96.6272222222222</v>
      </c>
      <c r="U75" s="131" t="n">
        <f aca="false">(1-$I$20)*(1-$J$20)*$D$20*$E$20/4*MIN(1,MAX(0,(U$5-$H$20+1)/$T$20))*IF(U$5=$H$20,$U$20,IF(AND(U$5&gt;$H$20,U$5&lt;$H$20+$F$20),1,IF(U$5=$H$20+$F$20,1-$U$20,0)))</f>
        <v>96.6272222222222</v>
      </c>
      <c r="V75" s="131" t="n">
        <f aca="false">(1-$I$20)*(1-$J$20)*$D$20*$E$20/4*MIN(1,MAX(0,(V$5-$H$20+1)/$T$20))*IF(V$5=$H$20,$U$20,IF(AND(V$5&gt;$H$20,V$5&lt;$H$20+$F$20),1,IF(V$5=$H$20+$F$20,1-$U$20,0)))</f>
        <v>96.6272222222222</v>
      </c>
      <c r="W75" s="131" t="n">
        <f aca="false">(1-$I$20)*(1-$J$20)*$D$20*$E$20/4*MIN(1,MAX(0,(W$5-$H$20+1)/$T$20))*IF(W$5=$H$20,$U$20,IF(AND(W$5&gt;$H$20,W$5&lt;$H$20+$F$20),1,IF(W$5=$H$20+$F$20,1-$U$20,0)))</f>
        <v>96.6272222222222</v>
      </c>
      <c r="X75" s="131" t="n">
        <f aca="false">(1-$I$20)*(1-$J$20)*$D$20*$E$20/4*MIN(1,MAX(0,(X$5-$H$20+1)/$T$20))*IF(X$5=$H$20,$U$20,IF(AND(X$5&gt;$H$20,X$5&lt;$H$20+$F$20),1,IF(X$5=$H$20+$F$20,1-$U$20,0)))</f>
        <v>96.6272222222222</v>
      </c>
      <c r="Y75" s="131" t="n">
        <f aca="false">(1-$I$20)*(1-$J$20)*$D$20*$E$20/4*MIN(1,MAX(0,(Y$5-$H$20+1)/$T$20))*IF(Y$5=$H$20,$U$20,IF(AND(Y$5&gt;$H$20,Y$5&lt;$H$20+$F$20),1,IF(Y$5=$H$20+$F$20,1-$U$20,0)))</f>
        <v>96.6272222222222</v>
      </c>
      <c r="Z75" s="131" t="n">
        <f aca="false">(1-$I$20)*(1-$J$20)*$D$20*$E$20/4*MIN(1,MAX(0,(Z$5-$H$20+1)/$T$20))*IF(Z$5=$H$20,$U$20,IF(AND(Z$5&gt;$H$20,Z$5&lt;$H$20+$F$20),1,IF(Z$5=$H$20+$F$20,1-$U$20,0)))</f>
        <v>96.6272222222222</v>
      </c>
      <c r="AA75" s="131" t="n">
        <f aca="false">(1-$I$20)*(1-$J$20)*$D$20*$E$20/4*MIN(1,MAX(0,(AA$5-$H$20+1)/$T$20))*IF(AA$5=$H$20,$U$20,IF(AND(AA$5&gt;$H$20,AA$5&lt;$H$20+$F$20),1,IF(AA$5=$H$20+$F$20,1-$U$20,0)))</f>
        <v>96.6272222222222</v>
      </c>
      <c r="AB75" s="131" t="n">
        <f aca="false">(1-$I$20)*(1-$J$20)*$D$20*$E$20/4*MIN(1,MAX(0,(AB$5-$H$20+1)/$T$20))*IF(AB$5=$H$20,$U$20,IF(AND(AB$5&gt;$H$20,AB$5&lt;$H$20+$F$20),1,IF(AB$5=$H$20+$F$20,1-$U$20,0)))</f>
        <v>96.6272222222222</v>
      </c>
      <c r="AC75" s="131" t="n">
        <f aca="false">(1-$I$20)*(1-$J$20)*$D$20*$E$20/4*MIN(1,MAX(0,(AC$5-$H$20+1)/$T$20))*IF(AC$5=$H$20,$U$20,IF(AND(AC$5&gt;$H$20,AC$5&lt;$H$20+$F$20),1,IF(AC$5=$H$20+$F$20,1-$U$20,0)))</f>
        <v>96.6272222222222</v>
      </c>
      <c r="AD75" s="131" t="n">
        <f aca="false">(1-$I$20)*(1-$J$20)*$D$20*$E$20/4*MIN(1,MAX(0,(AD$5-$H$20+1)/$T$20))*IF(AD$5=$H$20,$U$20,IF(AND(AD$5&gt;$H$20,AD$5&lt;$H$20+$F$20),1,IF(AD$5=$H$20+$F$20,1-$U$20,0)))</f>
        <v>96.6272222222222</v>
      </c>
      <c r="AE75" s="131" t="n">
        <f aca="false">(1-$I$20)*(1-$J$20)*$D$20*$E$20/4*MIN(1,MAX(0,(AE$5-$H$20+1)/$T$20))*IF(AE$5=$H$20,$U$20,IF(AND(AE$5&gt;$H$20,AE$5&lt;$H$20+$F$20),1,IF(AE$5=$H$20+$F$20,1-$U$20,0)))</f>
        <v>96.6272222222222</v>
      </c>
      <c r="AF75" s="131" t="n">
        <f aca="false">(1-$I$20)*(1-$J$20)*$D$20*$E$20/4*MIN(1,MAX(0,(AF$5-$H$20+1)/$T$20))*IF(AF$5=$H$20,$U$20,IF(AND(AF$5&gt;$H$20,AF$5&lt;$H$20+$F$20),1,IF(AF$5=$H$20+$F$20,1-$U$20,0)))</f>
        <v>96.6272222222222</v>
      </c>
      <c r="AG75" s="131" t="n">
        <f aca="false">(1-$I$20)*(1-$J$20)*$D$20*$E$20/4*MIN(1,MAX(0,(AG$5-$H$20+1)/$T$20))*IF(AG$5=$H$20,$U$20,IF(AND(AG$5&gt;$H$20,AG$5&lt;$H$20+$F$20),1,IF(AG$5=$H$20+$F$20,1-$U$20,0)))</f>
        <v>96.6272222222222</v>
      </c>
      <c r="AI75" s="131" t="n">
        <f aca="false">SUMIF($F$7:$AG$7,AI$7,$F75:$AG75)</f>
        <v>0</v>
      </c>
      <c r="AJ75" s="131" t="n">
        <f aca="false">SUMIF($F$7:$AG$7,AJ$7,$F75:$AG75)</f>
        <v>0</v>
      </c>
      <c r="AK75" s="131" t="n">
        <f aca="false">SUMIF($F$7:$AG$7,AK$7,$F75:$AG75)</f>
        <v>0</v>
      </c>
      <c r="AL75" s="131" t="n">
        <f aca="false">SUMIF($F$7:$AG$7,AL$7,$F75:$AG75)</f>
        <v>193.254444444444</v>
      </c>
      <c r="AM75" s="131" t="n">
        <f aca="false">SUMIF($F$7:$AG$7,AM$7,$F75:$AG75)</f>
        <v>386.508888888889</v>
      </c>
      <c r="AN75" s="131" t="n">
        <f aca="false">SUMIF($F$7:$AG$7,AN$7,$F75:$AG75)</f>
        <v>386.508888888889</v>
      </c>
      <c r="AO75" s="131" t="n">
        <f aca="false">SUMIF($F$7:$AG$7,AO$7,$F75:$AG75)</f>
        <v>386.508888888889</v>
      </c>
    </row>
    <row r="76" customFormat="false" ht="15" hidden="false" customHeight="false" outlineLevel="0" collapsed="false">
      <c r="A76" s="112" t="s">
        <v>2116</v>
      </c>
      <c r="B76" s="24" t="s">
        <v>857</v>
      </c>
      <c r="C76" s="24"/>
      <c r="D76" s="24"/>
      <c r="F76" s="121" t="n">
        <f aca="false">(1-$I$20)*(1-$J$20)*$D$20*AND(F$5&gt;=$H$20,F$5&lt;$H$20+$F$20)</f>
        <v>0</v>
      </c>
      <c r="G76" s="121" t="n">
        <f aca="false">(1-$I$20)*(1-$J$20)*$D$20*AND(G$5&gt;=$H$20,G$5&lt;$H$20+$F$20)</f>
        <v>0</v>
      </c>
      <c r="H76" s="121" t="n">
        <f aca="false">(1-$I$20)*(1-$J$20)*$D$20*AND(H$5&gt;=$H$20,H$5&lt;$H$20+$F$20)</f>
        <v>0</v>
      </c>
      <c r="I76" s="121" t="n">
        <f aca="false">(1-$I$20)*(1-$J$20)*$D$20*AND(I$5&gt;=$H$20,I$5&lt;$H$20+$F$20)</f>
        <v>0</v>
      </c>
      <c r="J76" s="121" t="n">
        <f aca="false">(1-$I$20)*(1-$J$20)*$D$20*AND(J$5&gt;=$H$20,J$5&lt;$H$20+$F$20)</f>
        <v>0</v>
      </c>
      <c r="K76" s="121" t="n">
        <f aca="false">(1-$I$20)*(1-$J$20)*$D$20*AND(K$5&gt;=$H$20,K$5&lt;$H$20+$F$20)</f>
        <v>0</v>
      </c>
      <c r="L76" s="121" t="n">
        <f aca="false">(1-$I$20)*(1-$J$20)*$D$20*AND(L$5&gt;=$H$20,L$5&lt;$H$20+$F$20)</f>
        <v>0</v>
      </c>
      <c r="M76" s="121" t="n">
        <f aca="false">(1-$I$20)*(1-$J$20)*$D$20*AND(M$5&gt;=$H$20,M$5&lt;$H$20+$F$20)</f>
        <v>0</v>
      </c>
      <c r="N76" s="121" t="n">
        <f aca="false">(1-$I$20)*(1-$J$20)*$D$20*AND(N$5&gt;=$H$20,N$5&lt;$H$20+$F$20)</f>
        <v>0</v>
      </c>
      <c r="O76" s="121" t="n">
        <f aca="false">(1-$I$20)*(1-$J$20)*$D$20*AND(O$5&gt;=$H$20,O$5&lt;$H$20+$F$20)</f>
        <v>0</v>
      </c>
      <c r="P76" s="39" t="n">
        <f aca="false">(1-$I$20)*(1-$J$20)*$D$20*AND(P$5&gt;=$H$20,P$5&lt;$H$20+$F$20)</f>
        <v>0</v>
      </c>
      <c r="Q76" s="39" t="n">
        <f aca="false">(1-$I$20)*(1-$J$20)*$D$20*AND(Q$5&gt;=$H$20,Q$5&lt;$H$20+$F$20)</f>
        <v>0</v>
      </c>
      <c r="R76" s="39" t="n">
        <f aca="false">(1-$I$20)*(1-$J$20)*$D$20*AND(R$5&gt;=$H$20,R$5&lt;$H$20+$F$20)</f>
        <v>0</v>
      </c>
      <c r="S76" s="39" t="n">
        <f aca="false">(1-$I$20)*(1-$J$20)*$D$20*AND(S$5&gt;=$H$20,S$5&lt;$H$20+$F$20)</f>
        <v>0</v>
      </c>
      <c r="T76" s="39" t="n">
        <f aca="false">(1-$I$20)*(1-$J$20)*$D$20*AND(T$5&gt;=$H$20,T$5&lt;$H$20+$F$20)</f>
        <v>26.6666666666667</v>
      </c>
      <c r="U76" s="39" t="n">
        <f aca="false">(1-$I$20)*(1-$J$20)*$D$20*AND(U$5&gt;=$H$20,U$5&lt;$H$20+$F$20)</f>
        <v>26.6666666666667</v>
      </c>
      <c r="V76" s="39" t="n">
        <f aca="false">(1-$I$20)*(1-$J$20)*$D$20*AND(V$5&gt;=$H$20,V$5&lt;$H$20+$F$20)</f>
        <v>26.6666666666667</v>
      </c>
      <c r="W76" s="39" t="n">
        <f aca="false">(1-$I$20)*(1-$J$20)*$D$20*AND(W$5&gt;=$H$20,W$5&lt;$H$20+$F$20)</f>
        <v>26.6666666666667</v>
      </c>
      <c r="X76" s="39" t="n">
        <f aca="false">(1-$I$20)*(1-$J$20)*$D$20*AND(X$5&gt;=$H$20,X$5&lt;$H$20+$F$20)</f>
        <v>26.6666666666667</v>
      </c>
      <c r="Y76" s="39" t="n">
        <f aca="false">(1-$I$20)*(1-$J$20)*$D$20*AND(Y$5&gt;=$H$20,Y$5&lt;$H$20+$F$20)</f>
        <v>26.6666666666667</v>
      </c>
      <c r="Z76" s="39" t="n">
        <f aca="false">(1-$I$20)*(1-$J$20)*$D$20*AND(Z$5&gt;=$H$20,Z$5&lt;$H$20+$F$20)</f>
        <v>26.6666666666667</v>
      </c>
      <c r="AA76" s="39" t="n">
        <f aca="false">(1-$I$20)*(1-$J$20)*$D$20*AND(AA$5&gt;=$H$20,AA$5&lt;$H$20+$F$20)</f>
        <v>26.6666666666667</v>
      </c>
      <c r="AB76" s="39" t="n">
        <f aca="false">(1-$I$20)*(1-$J$20)*$D$20*AND(AB$5&gt;=$H$20,AB$5&lt;$H$20+$F$20)</f>
        <v>26.6666666666667</v>
      </c>
      <c r="AC76" s="39" t="n">
        <f aca="false">(1-$I$20)*(1-$J$20)*$D$20*AND(AC$5&gt;=$H$20,AC$5&lt;$H$20+$F$20)</f>
        <v>26.6666666666667</v>
      </c>
      <c r="AD76" s="39" t="n">
        <f aca="false">(1-$I$20)*(1-$J$20)*$D$20*AND(AD$5&gt;=$H$20,AD$5&lt;$H$20+$F$20)</f>
        <v>26.6666666666667</v>
      </c>
      <c r="AE76" s="39" t="n">
        <f aca="false">(1-$I$20)*(1-$J$20)*$D$20*AND(AE$5&gt;=$H$20,AE$5&lt;$H$20+$F$20)</f>
        <v>26.6666666666667</v>
      </c>
      <c r="AF76" s="39" t="n">
        <f aca="false">(1-$I$20)*(1-$J$20)*$D$20*AND(AF$5&gt;=$H$20,AF$5&lt;$H$20+$F$20)</f>
        <v>26.6666666666667</v>
      </c>
      <c r="AG76" s="39" t="n">
        <f aca="false">(1-$I$20)*(1-$J$20)*$D$20*AND(AG$5&gt;=$H$20,AG$5&lt;$H$20+$F$20)</f>
        <v>26.6666666666667</v>
      </c>
      <c r="AI76" s="39" t="n">
        <f aca="false">INDEX($F76:$AG76,1,MATCH(AI$7,$F$7:$AG$7,1))</f>
        <v>0</v>
      </c>
      <c r="AJ76" s="39" t="n">
        <f aca="false">INDEX($F76:$AG76,1,MATCH(AJ$7,$F$7:$AG$7,1))</f>
        <v>0</v>
      </c>
      <c r="AK76" s="39" t="n">
        <f aca="false">INDEX($F76:$AG76,1,MATCH(AK$7,$F$7:$AG$7,1))</f>
        <v>0</v>
      </c>
      <c r="AL76" s="39" t="n">
        <f aca="false">INDEX($F76:$AG76,1,MATCH(AL$7,$F$7:$AG$7,1))</f>
        <v>26.6666666666667</v>
      </c>
      <c r="AM76" s="39" t="n">
        <f aca="false">INDEX($F76:$AG76,1,MATCH(AM$7,$F$7:$AG$7,1))</f>
        <v>26.6666666666667</v>
      </c>
      <c r="AN76" s="39" t="n">
        <f aca="false">INDEX($F76:$AG76,1,MATCH(AN$7,$F$7:$AG$7,1))</f>
        <v>26.6666666666667</v>
      </c>
      <c r="AO76" s="39" t="n">
        <f aca="false">INDEX($F76:$AG76,1,MATCH(AO$7,$F$7:$AG$7,1))</f>
        <v>26.6666666666667</v>
      </c>
    </row>
    <row r="77" customFormat="false" ht="15" hidden="false" customHeight="false" outlineLevel="0" collapsed="false">
      <c r="A77" s="112" t="s">
        <v>2117</v>
      </c>
      <c r="B77" s="24" t="s">
        <v>745</v>
      </c>
      <c r="C77" s="24"/>
      <c r="D77" s="24"/>
      <c r="F77" s="130" t="n">
        <f aca="false">-(1-$I$20)*LD_Pct*$D$20*$E$20/4*AND(F$5&gt;=$G$20,F$5&lt;$H$20)</f>
        <v>-0</v>
      </c>
      <c r="G77" s="130" t="n">
        <f aca="false">-(1-$I$20)*LD_Pct*$D$20*$E$20/4*AND(G$5&gt;=$G$20,G$5&lt;$H$20)</f>
        <v>-0</v>
      </c>
      <c r="H77" s="130" t="n">
        <f aca="false">-(1-$I$20)*LD_Pct*$D$20*$E$20/4*AND(H$5&gt;=$G$20,H$5&lt;$H$20)</f>
        <v>-0</v>
      </c>
      <c r="I77" s="130" t="n">
        <f aca="false">-(1-$I$20)*LD_Pct*$D$20*$E$20/4*AND(I$5&gt;=$G$20,I$5&lt;$H$20)</f>
        <v>-0</v>
      </c>
      <c r="J77" s="130" t="n">
        <f aca="false">-(1-$I$20)*LD_Pct*$D$20*$E$20/4*AND(J$5&gt;=$G$20,J$5&lt;$H$20)</f>
        <v>-0</v>
      </c>
      <c r="K77" s="130" t="n">
        <f aca="false">-(1-$I$20)*LD_Pct*$D$20*$E$20/4*AND(K$5&gt;=$G$20,K$5&lt;$H$20)</f>
        <v>-0</v>
      </c>
      <c r="L77" s="130" t="n">
        <f aca="false">-(1-$I$20)*LD_Pct*$D$20*$E$20/4*AND(L$5&gt;=$G$20,L$5&lt;$H$20)</f>
        <v>-0</v>
      </c>
      <c r="M77" s="130" t="n">
        <f aca="false">-(1-$I$20)*LD_Pct*$D$20*$E$20/4*AND(M$5&gt;=$G$20,M$5&lt;$H$20)</f>
        <v>-0</v>
      </c>
      <c r="N77" s="130" t="n">
        <f aca="false">-(1-$I$20)*LD_Pct*$D$20*$E$20/4*AND(N$5&gt;=$G$20,N$5&lt;$H$20)</f>
        <v>-0</v>
      </c>
      <c r="O77" s="130" t="n">
        <f aca="false">-(1-$I$20)*LD_Pct*$D$20*$E$20/4*AND(O$5&gt;=$G$20,O$5&lt;$H$20)</f>
        <v>-0</v>
      </c>
      <c r="P77" s="131" t="n">
        <f aca="false">-(1-$I$20)*LD_Pct*$D$20*$E$20/4*AND(P$5&gt;=$G$20,P$5&lt;$H$20)</f>
        <v>-0</v>
      </c>
      <c r="Q77" s="131" t="n">
        <f aca="false">-(1-$I$20)*LD_Pct*$D$20*$E$20/4*AND(Q$5&gt;=$G$20,Q$5&lt;$H$20)</f>
        <v>-0</v>
      </c>
      <c r="R77" s="131" t="n">
        <f aca="false">-(1-$I$20)*LD_Pct*$D$20*$E$20/4*AND(R$5&gt;=$G$20,R$5&lt;$H$20)</f>
        <v>-0</v>
      </c>
      <c r="S77" s="131" t="n">
        <f aca="false">-(1-$I$20)*LD_Pct*$D$20*$E$20/4*AND(S$5&gt;=$G$20,S$5&lt;$H$20)</f>
        <v>-0</v>
      </c>
      <c r="T77" s="131" t="n">
        <f aca="false">-(1-$I$20)*LD_Pct*$D$20*$E$20/4*AND(T$5&gt;=$G$20,T$5&lt;$H$20)</f>
        <v>-0</v>
      </c>
      <c r="U77" s="131" t="n">
        <f aca="false">-(1-$I$20)*LD_Pct*$D$20*$E$20/4*AND(U$5&gt;=$G$20,U$5&lt;$H$20)</f>
        <v>-0</v>
      </c>
      <c r="V77" s="131" t="n">
        <f aca="false">-(1-$I$20)*LD_Pct*$D$20*$E$20/4*AND(V$5&gt;=$G$20,V$5&lt;$H$20)</f>
        <v>-0</v>
      </c>
      <c r="W77" s="131" t="n">
        <f aca="false">-(1-$I$20)*LD_Pct*$D$20*$E$20/4*AND(W$5&gt;=$G$20,W$5&lt;$H$20)</f>
        <v>-0</v>
      </c>
      <c r="X77" s="131" t="n">
        <f aca="false">-(1-$I$20)*LD_Pct*$D$20*$E$20/4*AND(X$5&gt;=$G$20,X$5&lt;$H$20)</f>
        <v>-0</v>
      </c>
      <c r="Y77" s="131" t="n">
        <f aca="false">-(1-$I$20)*LD_Pct*$D$20*$E$20/4*AND(Y$5&gt;=$G$20,Y$5&lt;$H$20)</f>
        <v>-0</v>
      </c>
      <c r="Z77" s="131" t="n">
        <f aca="false">-(1-$I$20)*LD_Pct*$D$20*$E$20/4*AND(Z$5&gt;=$G$20,Z$5&lt;$H$20)</f>
        <v>-0</v>
      </c>
      <c r="AA77" s="131" t="n">
        <f aca="false">-(1-$I$20)*LD_Pct*$D$20*$E$20/4*AND(AA$5&gt;=$G$20,AA$5&lt;$H$20)</f>
        <v>-0</v>
      </c>
      <c r="AB77" s="131" t="n">
        <f aca="false">-(1-$I$20)*LD_Pct*$D$20*$E$20/4*AND(AB$5&gt;=$G$20,AB$5&lt;$H$20)</f>
        <v>-0</v>
      </c>
      <c r="AC77" s="131" t="n">
        <f aca="false">-(1-$I$20)*LD_Pct*$D$20*$E$20/4*AND(AC$5&gt;=$G$20,AC$5&lt;$H$20)</f>
        <v>-0</v>
      </c>
      <c r="AD77" s="131" t="n">
        <f aca="false">-(1-$I$20)*LD_Pct*$D$20*$E$20/4*AND(AD$5&gt;=$G$20,AD$5&lt;$H$20)</f>
        <v>-0</v>
      </c>
      <c r="AE77" s="131" t="n">
        <f aca="false">-(1-$I$20)*LD_Pct*$D$20*$E$20/4*AND(AE$5&gt;=$G$20,AE$5&lt;$H$20)</f>
        <v>-0</v>
      </c>
      <c r="AF77" s="131" t="n">
        <f aca="false">-(1-$I$20)*LD_Pct*$D$20*$E$20/4*AND(AF$5&gt;=$G$20,AF$5&lt;$H$20)</f>
        <v>-0</v>
      </c>
      <c r="AG77" s="131" t="n">
        <f aca="false">-(1-$I$20)*LD_Pct*$D$20*$E$20/4*AND(AG$5&gt;=$G$20,AG$5&lt;$H$20)</f>
        <v>-0</v>
      </c>
      <c r="AI77" s="131" t="n">
        <f aca="false">SUMIF($F$7:$AG$7,AI$7,$F77:$AG77)</f>
        <v>0</v>
      </c>
      <c r="AJ77" s="131" t="n">
        <f aca="false">SUMIF($F$7:$AG$7,AJ$7,$F77:$AG77)</f>
        <v>0</v>
      </c>
      <c r="AK77" s="131" t="n">
        <f aca="false">SUMIF($F$7:$AG$7,AK$7,$F77:$AG77)</f>
        <v>0</v>
      </c>
      <c r="AL77" s="131" t="n">
        <f aca="false">SUMIF($F$7:$AG$7,AL$7,$F77:$AG77)</f>
        <v>0</v>
      </c>
      <c r="AM77" s="131" t="n">
        <f aca="false">SUMIF($F$7:$AG$7,AM$7,$F77:$AG77)</f>
        <v>0</v>
      </c>
      <c r="AN77" s="131" t="n">
        <f aca="false">SUMIF($F$7:$AG$7,AN$7,$F77:$AG77)</f>
        <v>0</v>
      </c>
      <c r="AO77" s="131" t="n">
        <f aca="false">SUMIF($F$7:$AG$7,AO$7,$F77:$AG77)</f>
        <v>0</v>
      </c>
    </row>
    <row r="78" customFormat="false" ht="15" hidden="false" customHeight="false" outlineLevel="0" collapsed="false">
      <c r="A78" s="112" t="s">
        <v>2118</v>
      </c>
      <c r="B78" s="24" t="s">
        <v>857</v>
      </c>
      <c r="C78" s="24"/>
      <c r="D78" s="24"/>
      <c r="F78" s="121" t="n">
        <f aca="false">(1-$I$20)*(1-$J$20)*$D$20*(F$5&gt;=$H$20+$F$20)</f>
        <v>0</v>
      </c>
      <c r="G78" s="121" t="n">
        <f aca="false">(1-$I$20)*(1-$J$20)*$D$20*(G$5&gt;=$H$20+$F$20)</f>
        <v>0</v>
      </c>
      <c r="H78" s="121" t="n">
        <f aca="false">(1-$I$20)*(1-$J$20)*$D$20*(H$5&gt;=$H$20+$F$20)</f>
        <v>0</v>
      </c>
      <c r="I78" s="121" t="n">
        <f aca="false">(1-$I$20)*(1-$J$20)*$D$20*(I$5&gt;=$H$20+$F$20)</f>
        <v>0</v>
      </c>
      <c r="J78" s="121" t="n">
        <f aca="false">(1-$I$20)*(1-$J$20)*$D$20*(J$5&gt;=$H$20+$F$20)</f>
        <v>0</v>
      </c>
      <c r="K78" s="121" t="n">
        <f aca="false">(1-$I$20)*(1-$J$20)*$D$20*(K$5&gt;=$H$20+$F$20)</f>
        <v>0</v>
      </c>
      <c r="L78" s="121" t="n">
        <f aca="false">(1-$I$20)*(1-$J$20)*$D$20*(L$5&gt;=$H$20+$F$20)</f>
        <v>0</v>
      </c>
      <c r="M78" s="121" t="n">
        <f aca="false">(1-$I$20)*(1-$J$20)*$D$20*(M$5&gt;=$H$20+$F$20)</f>
        <v>0</v>
      </c>
      <c r="N78" s="121" t="n">
        <f aca="false">(1-$I$20)*(1-$J$20)*$D$20*(N$5&gt;=$H$20+$F$20)</f>
        <v>0</v>
      </c>
      <c r="O78" s="121" t="n">
        <f aca="false">(1-$I$20)*(1-$J$20)*$D$20*(O$5&gt;=$H$20+$F$20)</f>
        <v>0</v>
      </c>
      <c r="P78" s="39" t="n">
        <f aca="false">(1-$I$20)*(1-$J$20)*$D$20*(P$5&gt;=$H$20+$F$20)</f>
        <v>0</v>
      </c>
      <c r="Q78" s="39" t="n">
        <f aca="false">(1-$I$20)*(1-$J$20)*$D$20*(Q$5&gt;=$H$20+$F$20)</f>
        <v>0</v>
      </c>
      <c r="R78" s="39" t="n">
        <f aca="false">(1-$I$20)*(1-$J$20)*$D$20*(R$5&gt;=$H$20+$F$20)</f>
        <v>0</v>
      </c>
      <c r="S78" s="39" t="n">
        <f aca="false">(1-$I$20)*(1-$J$20)*$D$20*(S$5&gt;=$H$20+$F$20)</f>
        <v>0</v>
      </c>
      <c r="T78" s="39" t="n">
        <f aca="false">(1-$I$20)*(1-$J$20)*$D$20*(T$5&gt;=$H$20+$F$20)</f>
        <v>0</v>
      </c>
      <c r="U78" s="39" t="n">
        <f aca="false">(1-$I$20)*(1-$J$20)*$D$20*(U$5&gt;=$H$20+$F$20)</f>
        <v>0</v>
      </c>
      <c r="V78" s="39" t="n">
        <f aca="false">(1-$I$20)*(1-$J$20)*$D$20*(V$5&gt;=$H$20+$F$20)</f>
        <v>0</v>
      </c>
      <c r="W78" s="39" t="n">
        <f aca="false">(1-$I$20)*(1-$J$20)*$D$20*(W$5&gt;=$H$20+$F$20)</f>
        <v>0</v>
      </c>
      <c r="X78" s="39" t="n">
        <f aca="false">(1-$I$20)*(1-$J$20)*$D$20*(X$5&gt;=$H$20+$F$20)</f>
        <v>0</v>
      </c>
      <c r="Y78" s="39" t="n">
        <f aca="false">(1-$I$20)*(1-$J$20)*$D$20*(Y$5&gt;=$H$20+$F$20)</f>
        <v>0</v>
      </c>
      <c r="Z78" s="39" t="n">
        <f aca="false">(1-$I$20)*(1-$J$20)*$D$20*(Z$5&gt;=$H$20+$F$20)</f>
        <v>0</v>
      </c>
      <c r="AA78" s="39" t="n">
        <f aca="false">(1-$I$20)*(1-$J$20)*$D$20*(AA$5&gt;=$H$20+$F$20)</f>
        <v>0</v>
      </c>
      <c r="AB78" s="39" t="n">
        <f aca="false">(1-$I$20)*(1-$J$20)*$D$20*(AB$5&gt;=$H$20+$F$20)</f>
        <v>0</v>
      </c>
      <c r="AC78" s="39" t="n">
        <f aca="false">(1-$I$20)*(1-$J$20)*$D$20*(AC$5&gt;=$H$20+$F$20)</f>
        <v>0</v>
      </c>
      <c r="AD78" s="39" t="n">
        <f aca="false">(1-$I$20)*(1-$J$20)*$D$20*(AD$5&gt;=$H$20+$F$20)</f>
        <v>0</v>
      </c>
      <c r="AE78" s="39" t="n">
        <f aca="false">(1-$I$20)*(1-$J$20)*$D$20*(AE$5&gt;=$H$20+$F$20)</f>
        <v>0</v>
      </c>
      <c r="AF78" s="39" t="n">
        <f aca="false">(1-$I$20)*(1-$J$20)*$D$20*(AF$5&gt;=$H$20+$F$20)</f>
        <v>0</v>
      </c>
      <c r="AG78" s="39" t="n">
        <f aca="false">(1-$I$20)*(1-$J$20)*$D$20*(AG$5&gt;=$H$20+$F$20)</f>
        <v>0</v>
      </c>
      <c r="AI78" s="39" t="n">
        <f aca="false">INDEX($F78:$AG78,1,MATCH(AI$7,$F$7:$AG$7,1))</f>
        <v>0</v>
      </c>
      <c r="AJ78" s="39" t="n">
        <f aca="false">INDEX($F78:$AG78,1,MATCH(AJ$7,$F$7:$AG$7,1))</f>
        <v>0</v>
      </c>
      <c r="AK78" s="39" t="n">
        <f aca="false">INDEX($F78:$AG78,1,MATCH(AK$7,$F$7:$AG$7,1))</f>
        <v>0</v>
      </c>
      <c r="AL78" s="39" t="n">
        <f aca="false">INDEX($F78:$AG78,1,MATCH(AL$7,$F$7:$AG$7,1))</f>
        <v>0</v>
      </c>
      <c r="AM78" s="39" t="n">
        <f aca="false">INDEX($F78:$AG78,1,MATCH(AM$7,$F$7:$AG$7,1))</f>
        <v>0</v>
      </c>
      <c r="AN78" s="39" t="n">
        <f aca="false">INDEX($F78:$AG78,1,MATCH(AN$7,$F$7:$AG$7,1))</f>
        <v>0</v>
      </c>
      <c r="AO78" s="39" t="n">
        <f aca="false">INDEX($F78:$AG78,1,MATCH(AO$7,$F$7:$AG$7,1))</f>
        <v>0</v>
      </c>
    </row>
    <row r="79" customFormat="false" ht="15" hidden="false" customHeight="false" outlineLevel="0" collapsed="false">
      <c r="A79" s="112" t="s">
        <v>2119</v>
      </c>
      <c r="B79" s="24" t="s">
        <v>745</v>
      </c>
      <c r="C79" s="24"/>
      <c r="D79" s="24" t="s">
        <v>2079</v>
      </c>
      <c r="F79" s="130" t="n">
        <f aca="false">F78*CHOOSE(MATCH($C$20,{"H";"B";"N"},0),GPUMW_H*ODc_H,GPUMW_B*ODc_B,GPUMW_N*ODc_N)*ResidUtil*Timeline!F$9*INDEX(Curve,1,MAX(1,MIN(8,INT((F$5-$H$20)/4)+1)))/1000000</f>
        <v>0</v>
      </c>
      <c r="G79" s="130" t="n">
        <f aca="false">G78*CHOOSE(MATCH($C$20,{"H";"B";"N"},0),GPUMW_H*ODc_H,GPUMW_B*ODc_B,GPUMW_N*ODc_N)*ResidUtil*Timeline!G$9*INDEX(Curve,1,MAX(1,MIN(8,INT((G$5-$H$20)/4)+1)))/1000000</f>
        <v>0</v>
      </c>
      <c r="H79" s="130" t="n">
        <f aca="false">H78*CHOOSE(MATCH($C$20,{"H";"B";"N"},0),GPUMW_H*ODc_H,GPUMW_B*ODc_B,GPUMW_N*ODc_N)*ResidUtil*Timeline!H$9*INDEX(Curve,1,MAX(1,MIN(8,INT((H$5-$H$20)/4)+1)))/1000000</f>
        <v>0</v>
      </c>
      <c r="I79" s="130" t="n">
        <f aca="false">I78*CHOOSE(MATCH($C$20,{"H";"B";"N"},0),GPUMW_H*ODc_H,GPUMW_B*ODc_B,GPUMW_N*ODc_N)*ResidUtil*Timeline!I$9*INDEX(Curve,1,MAX(1,MIN(8,INT((I$5-$H$20)/4)+1)))/1000000</f>
        <v>0</v>
      </c>
      <c r="J79" s="130" t="n">
        <f aca="false">J78*CHOOSE(MATCH($C$20,{"H";"B";"N"},0),GPUMW_H*ODc_H,GPUMW_B*ODc_B,GPUMW_N*ODc_N)*ResidUtil*Timeline!J$9*INDEX(Curve,1,MAX(1,MIN(8,INT((J$5-$H$20)/4)+1)))/1000000</f>
        <v>0</v>
      </c>
      <c r="K79" s="130" t="n">
        <f aca="false">K78*CHOOSE(MATCH($C$20,{"H";"B";"N"},0),GPUMW_H*ODc_H,GPUMW_B*ODc_B,GPUMW_N*ODc_N)*ResidUtil*Timeline!K$9*INDEX(Curve,1,MAX(1,MIN(8,INT((K$5-$H$20)/4)+1)))/1000000</f>
        <v>0</v>
      </c>
      <c r="L79" s="130" t="n">
        <f aca="false">L78*CHOOSE(MATCH($C$20,{"H";"B";"N"},0),GPUMW_H*ODc_H,GPUMW_B*ODc_B,GPUMW_N*ODc_N)*ResidUtil*Timeline!L$9*INDEX(Curve,1,MAX(1,MIN(8,INT((L$5-$H$20)/4)+1)))/1000000</f>
        <v>0</v>
      </c>
      <c r="M79" s="130" t="n">
        <f aca="false">M78*CHOOSE(MATCH($C$20,{"H";"B";"N"},0),GPUMW_H*ODc_H,GPUMW_B*ODc_B,GPUMW_N*ODc_N)*ResidUtil*Timeline!M$9*INDEX(Curve,1,MAX(1,MIN(8,INT((M$5-$H$20)/4)+1)))/1000000</f>
        <v>0</v>
      </c>
      <c r="N79" s="130" t="n">
        <f aca="false">N78*CHOOSE(MATCH($C$20,{"H";"B";"N"},0),GPUMW_H*ODc_H,GPUMW_B*ODc_B,GPUMW_N*ODc_N)*ResidUtil*Timeline!N$9*INDEX(Curve,1,MAX(1,MIN(8,INT((N$5-$H$20)/4)+1)))/1000000</f>
        <v>0</v>
      </c>
      <c r="O79" s="130" t="n">
        <f aca="false">O78*CHOOSE(MATCH($C$20,{"H";"B";"N"},0),GPUMW_H*ODc_H,GPUMW_B*ODc_B,GPUMW_N*ODc_N)*ResidUtil*Timeline!O$9*INDEX(Curve,1,MAX(1,MIN(8,INT((O$5-$H$20)/4)+1)))/1000000</f>
        <v>0</v>
      </c>
      <c r="P79" s="131" t="n">
        <f aca="false">P78*CHOOSE(MATCH($C$20,{"H";"B";"N"},0),GPUMW_H*ODc_H,GPUMW_B*ODc_B,GPUMW_N*ODc_N)*ResidUtil*Timeline!P$9*INDEX(Curve,1,MAX(1,MIN(8,INT((P$5-$H$20)/4)+1)))/1000000</f>
        <v>0</v>
      </c>
      <c r="Q79" s="131" t="n">
        <f aca="false">Q78*CHOOSE(MATCH($C$20,{"H";"B";"N"},0),GPUMW_H*ODc_H,GPUMW_B*ODc_B,GPUMW_N*ODc_N)*ResidUtil*Timeline!Q$9*INDEX(Curve,1,MAX(1,MIN(8,INT((Q$5-$H$20)/4)+1)))/1000000</f>
        <v>0</v>
      </c>
      <c r="R79" s="131" t="n">
        <f aca="false">R78*CHOOSE(MATCH($C$20,{"H";"B";"N"},0),GPUMW_H*ODc_H,GPUMW_B*ODc_B,GPUMW_N*ODc_N)*ResidUtil*Timeline!R$9*INDEX(Curve,1,MAX(1,MIN(8,INT((R$5-$H$20)/4)+1)))/1000000</f>
        <v>0</v>
      </c>
      <c r="S79" s="131" t="n">
        <f aca="false">S78*CHOOSE(MATCH($C$20,{"H";"B";"N"},0),GPUMW_H*ODc_H,GPUMW_B*ODc_B,GPUMW_N*ODc_N)*ResidUtil*Timeline!S$9*INDEX(Curve,1,MAX(1,MIN(8,INT((S$5-$H$20)/4)+1)))/1000000</f>
        <v>0</v>
      </c>
      <c r="T79" s="131" t="n">
        <f aca="false">T78*CHOOSE(MATCH($C$20,{"H";"B";"N"},0),GPUMW_H*ODc_H,GPUMW_B*ODc_B,GPUMW_N*ODc_N)*ResidUtil*Timeline!T$9*INDEX(Curve,1,MAX(1,MIN(8,INT((T$5-$H$20)/4)+1)))/1000000</f>
        <v>0</v>
      </c>
      <c r="U79" s="131" t="n">
        <f aca="false">U78*CHOOSE(MATCH($C$20,{"H";"B";"N"},0),GPUMW_H*ODc_H,GPUMW_B*ODc_B,GPUMW_N*ODc_N)*ResidUtil*Timeline!U$9*INDEX(Curve,1,MAX(1,MIN(8,INT((U$5-$H$20)/4)+1)))/1000000</f>
        <v>0</v>
      </c>
      <c r="V79" s="131" t="n">
        <f aca="false">V78*CHOOSE(MATCH($C$20,{"H";"B";"N"},0),GPUMW_H*ODc_H,GPUMW_B*ODc_B,GPUMW_N*ODc_N)*ResidUtil*Timeline!V$9*INDEX(Curve,1,MAX(1,MIN(8,INT((V$5-$H$20)/4)+1)))/1000000</f>
        <v>0</v>
      </c>
      <c r="W79" s="131" t="n">
        <f aca="false">W78*CHOOSE(MATCH($C$20,{"H";"B";"N"},0),GPUMW_H*ODc_H,GPUMW_B*ODc_B,GPUMW_N*ODc_N)*ResidUtil*Timeline!W$9*INDEX(Curve,1,MAX(1,MIN(8,INT((W$5-$H$20)/4)+1)))/1000000</f>
        <v>0</v>
      </c>
      <c r="X79" s="131" t="n">
        <f aca="false">X78*CHOOSE(MATCH($C$20,{"H";"B";"N"},0),GPUMW_H*ODc_H,GPUMW_B*ODc_B,GPUMW_N*ODc_N)*ResidUtil*Timeline!X$9*INDEX(Curve,1,MAX(1,MIN(8,INT((X$5-$H$20)/4)+1)))/1000000</f>
        <v>0</v>
      </c>
      <c r="Y79" s="131" t="n">
        <f aca="false">Y78*CHOOSE(MATCH($C$20,{"H";"B";"N"},0),GPUMW_H*ODc_H,GPUMW_B*ODc_B,GPUMW_N*ODc_N)*ResidUtil*Timeline!Y$9*INDEX(Curve,1,MAX(1,MIN(8,INT((Y$5-$H$20)/4)+1)))/1000000</f>
        <v>0</v>
      </c>
      <c r="Z79" s="131" t="n">
        <f aca="false">Z78*CHOOSE(MATCH($C$20,{"H";"B";"N"},0),GPUMW_H*ODc_H,GPUMW_B*ODc_B,GPUMW_N*ODc_N)*ResidUtil*Timeline!Z$9*INDEX(Curve,1,MAX(1,MIN(8,INT((Z$5-$H$20)/4)+1)))/1000000</f>
        <v>0</v>
      </c>
      <c r="AA79" s="131" t="n">
        <f aca="false">AA78*CHOOSE(MATCH($C$20,{"H";"B";"N"},0),GPUMW_H*ODc_H,GPUMW_B*ODc_B,GPUMW_N*ODc_N)*ResidUtil*Timeline!AA$9*INDEX(Curve,1,MAX(1,MIN(8,INT((AA$5-$H$20)/4)+1)))/1000000</f>
        <v>0</v>
      </c>
      <c r="AB79" s="131" t="n">
        <f aca="false">AB78*CHOOSE(MATCH($C$20,{"H";"B";"N"},0),GPUMW_H*ODc_H,GPUMW_B*ODc_B,GPUMW_N*ODc_N)*ResidUtil*Timeline!AB$9*INDEX(Curve,1,MAX(1,MIN(8,INT((AB$5-$H$20)/4)+1)))/1000000</f>
        <v>0</v>
      </c>
      <c r="AC79" s="131" t="n">
        <f aca="false">AC78*CHOOSE(MATCH($C$20,{"H";"B";"N"},0),GPUMW_H*ODc_H,GPUMW_B*ODc_B,GPUMW_N*ODc_N)*ResidUtil*Timeline!AC$9*INDEX(Curve,1,MAX(1,MIN(8,INT((AC$5-$H$20)/4)+1)))/1000000</f>
        <v>0</v>
      </c>
      <c r="AD79" s="131" t="n">
        <f aca="false">AD78*CHOOSE(MATCH($C$20,{"H";"B";"N"},0),GPUMW_H*ODc_H,GPUMW_B*ODc_B,GPUMW_N*ODc_N)*ResidUtil*Timeline!AD$9*INDEX(Curve,1,MAX(1,MIN(8,INT((AD$5-$H$20)/4)+1)))/1000000</f>
        <v>0</v>
      </c>
      <c r="AE79" s="131" t="n">
        <f aca="false">AE78*CHOOSE(MATCH($C$20,{"H";"B";"N"},0),GPUMW_H*ODc_H,GPUMW_B*ODc_B,GPUMW_N*ODc_N)*ResidUtil*Timeline!AE$9*INDEX(Curve,1,MAX(1,MIN(8,INT((AE$5-$H$20)/4)+1)))/1000000</f>
        <v>0</v>
      </c>
      <c r="AF79" s="131" t="n">
        <f aca="false">AF78*CHOOSE(MATCH($C$20,{"H";"B";"N"},0),GPUMW_H*ODc_H,GPUMW_B*ODc_B,GPUMW_N*ODc_N)*ResidUtil*Timeline!AF$9*INDEX(Curve,1,MAX(1,MIN(8,INT((AF$5-$H$20)/4)+1)))/1000000</f>
        <v>0</v>
      </c>
      <c r="AG79" s="131" t="n">
        <f aca="false">AG78*CHOOSE(MATCH($C$20,{"H";"B";"N"},0),GPUMW_H*ODc_H,GPUMW_B*ODc_B,GPUMW_N*ODc_N)*ResidUtil*Timeline!AG$9*INDEX(Curve,1,MAX(1,MIN(8,INT((AG$5-$H$20)/4)+1)))/1000000</f>
        <v>0</v>
      </c>
      <c r="AI79" s="131" t="n">
        <f aca="false">SUMIF($F$7:$AG$7,AI$7,$F79:$AG79)</f>
        <v>0</v>
      </c>
      <c r="AJ79" s="131" t="n">
        <f aca="false">SUMIF($F$7:$AG$7,AJ$7,$F79:$AG79)</f>
        <v>0</v>
      </c>
      <c r="AK79" s="131" t="n">
        <f aca="false">SUMIF($F$7:$AG$7,AK$7,$F79:$AG79)</f>
        <v>0</v>
      </c>
      <c r="AL79" s="131" t="n">
        <f aca="false">SUMIF($F$7:$AG$7,AL$7,$F79:$AG79)</f>
        <v>0</v>
      </c>
      <c r="AM79" s="131" t="n">
        <f aca="false">SUMIF($F$7:$AG$7,AM$7,$F79:$AG79)</f>
        <v>0</v>
      </c>
      <c r="AN79" s="131" t="n">
        <f aca="false">SUMIF($F$7:$AG$7,AN$7,$F79:$AG79)</f>
        <v>0</v>
      </c>
      <c r="AO79" s="131" t="n">
        <f aca="false">SUMIF($F$7:$AG$7,AO$7,$F79:$AG79)</f>
        <v>0</v>
      </c>
    </row>
    <row r="80" customFormat="false" ht="15" hidden="false" customHeight="false" outlineLevel="0" collapsed="false">
      <c r="A80" s="112" t="s">
        <v>2120</v>
      </c>
      <c r="B80" s="24" t="s">
        <v>745</v>
      </c>
      <c r="C80" s="24"/>
      <c r="D80" s="24"/>
      <c r="F80" s="130" t="n">
        <f aca="false">(1-$I$21)*(1-$J$21)*$D$21*$E$21/4*MIN(1,MAX(0,(F$5-$H$21+1)/$T$21))*IF(F$5=$H$21,$U$21,IF(AND(F$5&gt;$H$21,F$5&lt;$H$21+$F$21),1,IF(F$5=$H$21+$F$21,1-$U$21,0)))</f>
        <v>0</v>
      </c>
      <c r="G80" s="130" t="n">
        <f aca="false">(1-$I$21)*(1-$J$21)*$D$21*$E$21/4*MIN(1,MAX(0,(G$5-$H$21+1)/$T$21))*IF(G$5=$H$21,$U$21,IF(AND(G$5&gt;$H$21,G$5&lt;$H$21+$F$21),1,IF(G$5=$H$21+$F$21,1-$U$21,0)))</f>
        <v>0</v>
      </c>
      <c r="H80" s="130" t="n">
        <f aca="false">(1-$I$21)*(1-$J$21)*$D$21*$E$21/4*MIN(1,MAX(0,(H$5-$H$21+1)/$T$21))*IF(H$5=$H$21,$U$21,IF(AND(H$5&gt;$H$21,H$5&lt;$H$21+$F$21),1,IF(H$5=$H$21+$F$21,1-$U$21,0)))</f>
        <v>0</v>
      </c>
      <c r="I80" s="130" t="n">
        <f aca="false">(1-$I$21)*(1-$J$21)*$D$21*$E$21/4*MIN(1,MAX(0,(I$5-$H$21+1)/$T$21))*IF(I$5=$H$21,$U$21,IF(AND(I$5&gt;$H$21,I$5&lt;$H$21+$F$21),1,IF(I$5=$H$21+$F$21,1-$U$21,0)))</f>
        <v>0</v>
      </c>
      <c r="J80" s="130" t="n">
        <f aca="false">(1-$I$21)*(1-$J$21)*$D$21*$E$21/4*MIN(1,MAX(0,(J$5-$H$21+1)/$T$21))*IF(J$5=$H$21,$U$21,IF(AND(J$5&gt;$H$21,J$5&lt;$H$21+$F$21),1,IF(J$5=$H$21+$F$21,1-$U$21,0)))</f>
        <v>0</v>
      </c>
      <c r="K80" s="130" t="n">
        <f aca="false">(1-$I$21)*(1-$J$21)*$D$21*$E$21/4*MIN(1,MAX(0,(K$5-$H$21+1)/$T$21))*IF(K$5=$H$21,$U$21,IF(AND(K$5&gt;$H$21,K$5&lt;$H$21+$F$21),1,IF(K$5=$H$21+$F$21,1-$U$21,0)))</f>
        <v>0</v>
      </c>
      <c r="L80" s="130" t="n">
        <f aca="false">(1-$I$21)*(1-$J$21)*$D$21*$E$21/4*MIN(1,MAX(0,(L$5-$H$21+1)/$T$21))*IF(L$5=$H$21,$U$21,IF(AND(L$5&gt;$H$21,L$5&lt;$H$21+$F$21),1,IF(L$5=$H$21+$F$21,1-$U$21,0)))</f>
        <v>0</v>
      </c>
      <c r="M80" s="130" t="n">
        <f aca="false">(1-$I$21)*(1-$J$21)*$D$21*$E$21/4*MIN(1,MAX(0,(M$5-$H$21+1)/$T$21))*IF(M$5=$H$21,$U$21,IF(AND(M$5&gt;$H$21,M$5&lt;$H$21+$F$21),1,IF(M$5=$H$21+$F$21,1-$U$21,0)))</f>
        <v>0</v>
      </c>
      <c r="N80" s="130" t="n">
        <f aca="false">(1-$I$21)*(1-$J$21)*$D$21*$E$21/4*MIN(1,MAX(0,(N$5-$H$21+1)/$T$21))*IF(N$5=$H$21,$U$21,IF(AND(N$5&gt;$H$21,N$5&lt;$H$21+$F$21),1,IF(N$5=$H$21+$F$21,1-$U$21,0)))</f>
        <v>0</v>
      </c>
      <c r="O80" s="130" t="n">
        <f aca="false">(1-$I$21)*(1-$J$21)*$D$21*$E$21/4*MIN(1,MAX(0,(O$5-$H$21+1)/$T$21))*IF(O$5=$H$21,$U$21,IF(AND(O$5&gt;$H$21,O$5&lt;$H$21+$F$21),1,IF(O$5=$H$21+$F$21,1-$U$21,0)))</f>
        <v>0</v>
      </c>
      <c r="P80" s="131" t="n">
        <f aca="false">(1-$I$21)*(1-$J$21)*$D$21*$E$21/4*MIN(1,MAX(0,(P$5-$H$21+1)/$T$21))*IF(P$5=$H$21,$U$21,IF(AND(P$5&gt;$H$21,P$5&lt;$H$21+$F$21),1,IF(P$5=$H$21+$F$21,1-$U$21,0)))</f>
        <v>0</v>
      </c>
      <c r="Q80" s="131" t="n">
        <f aca="false">(1-$I$21)*(1-$J$21)*$D$21*$E$21/4*MIN(1,MAX(0,(Q$5-$H$21+1)/$T$21))*IF(Q$5=$H$21,$U$21,IF(AND(Q$5&gt;$H$21,Q$5&lt;$H$21+$F$21),1,IF(Q$5=$H$21+$F$21,1-$U$21,0)))</f>
        <v>0</v>
      </c>
      <c r="R80" s="131" t="n">
        <f aca="false">(1-$I$21)*(1-$J$21)*$D$21*$E$21/4*MIN(1,MAX(0,(R$5-$H$21+1)/$T$21))*IF(R$5=$H$21,$U$21,IF(AND(R$5&gt;$H$21,R$5&lt;$H$21+$F$21),1,IF(R$5=$H$21+$F$21,1-$U$21,0)))</f>
        <v>0</v>
      </c>
      <c r="S80" s="131" t="n">
        <f aca="false">(1-$I$21)*(1-$J$21)*$D$21*$E$21/4*MIN(1,MAX(0,(S$5-$H$21+1)/$T$21))*IF(S$5=$H$21,$U$21,IF(AND(S$5&gt;$H$21,S$5&lt;$H$21+$F$21),1,IF(S$5=$H$21+$F$21,1-$U$21,0)))</f>
        <v>0</v>
      </c>
      <c r="T80" s="131" t="n">
        <f aca="false">(1-$I$21)*(1-$J$21)*$D$21*$E$21/4*MIN(1,MAX(0,(T$5-$H$21+1)/$T$21))*IF(T$5=$H$21,$U$21,IF(AND(T$5&gt;$H$21,T$5&lt;$H$21+$F$21),1,IF(T$5=$H$21+$F$21,1-$U$21,0)))</f>
        <v>0</v>
      </c>
      <c r="U80" s="131" t="n">
        <f aca="false">(1-$I$21)*(1-$J$21)*$D$21*$E$21/4*MIN(1,MAX(0,(U$5-$H$21+1)/$T$21))*IF(U$5=$H$21,$U$21,IF(AND(U$5&gt;$H$21,U$5&lt;$H$21+$F$21),1,IF(U$5=$H$21+$F$21,1-$U$21,0)))</f>
        <v>0</v>
      </c>
      <c r="V80" s="131" t="n">
        <f aca="false">(1-$I$21)*(1-$J$21)*$D$21*$E$21/4*MIN(1,MAX(0,(V$5-$H$21+1)/$T$21))*IF(V$5=$H$21,$U$21,IF(AND(V$5&gt;$H$21,V$5&lt;$H$21+$F$21),1,IF(V$5=$H$21+$F$21,1-$U$21,0)))</f>
        <v>0</v>
      </c>
      <c r="W80" s="131" t="n">
        <f aca="false">(1-$I$21)*(1-$J$21)*$D$21*$E$21/4*MIN(1,MAX(0,(W$5-$H$21+1)/$T$21))*IF(W$5=$H$21,$U$21,IF(AND(W$5&gt;$H$21,W$5&lt;$H$21+$F$21),1,IF(W$5=$H$21+$F$21,1-$U$21,0)))</f>
        <v>0</v>
      </c>
      <c r="X80" s="131" t="n">
        <f aca="false">(1-$I$21)*(1-$J$21)*$D$21*$E$21/4*MIN(1,MAX(0,(X$5-$H$21+1)/$T$21))*IF(X$5=$H$21,$U$21,IF(AND(X$5&gt;$H$21,X$5&lt;$H$21+$F$21),1,IF(X$5=$H$21+$F$21,1-$U$21,0)))</f>
        <v>0</v>
      </c>
      <c r="Y80" s="131" t="n">
        <f aca="false">(1-$I$21)*(1-$J$21)*$D$21*$E$21/4*MIN(1,MAX(0,(Y$5-$H$21+1)/$T$21))*IF(Y$5=$H$21,$U$21,IF(AND(Y$5&gt;$H$21,Y$5&lt;$H$21+$F$21),1,IF(Y$5=$H$21+$F$21,1-$U$21,0)))</f>
        <v>0</v>
      </c>
      <c r="Z80" s="131" t="n">
        <f aca="false">(1-$I$21)*(1-$J$21)*$D$21*$E$21/4*MIN(1,MAX(0,(Z$5-$H$21+1)/$T$21))*IF(Z$5=$H$21,$U$21,IF(AND(Z$5&gt;$H$21,Z$5&lt;$H$21+$F$21),1,IF(Z$5=$H$21+$F$21,1-$U$21,0)))</f>
        <v>0</v>
      </c>
      <c r="AA80" s="131" t="n">
        <f aca="false">(1-$I$21)*(1-$J$21)*$D$21*$E$21/4*MIN(1,MAX(0,(AA$5-$H$21+1)/$T$21))*IF(AA$5=$H$21,$U$21,IF(AND(AA$5&gt;$H$21,AA$5&lt;$H$21+$F$21),1,IF(AA$5=$H$21+$F$21,1-$U$21,0)))</f>
        <v>0</v>
      </c>
      <c r="AB80" s="131" t="n">
        <f aca="false">(1-$I$21)*(1-$J$21)*$D$21*$E$21/4*MIN(1,MAX(0,(AB$5-$H$21+1)/$T$21))*IF(AB$5=$H$21,$U$21,IF(AND(AB$5&gt;$H$21,AB$5&lt;$H$21+$F$21),1,IF(AB$5=$H$21+$F$21,1-$U$21,0)))</f>
        <v>0</v>
      </c>
      <c r="AC80" s="131" t="n">
        <f aca="false">(1-$I$21)*(1-$J$21)*$D$21*$E$21/4*MIN(1,MAX(0,(AC$5-$H$21+1)/$T$21))*IF(AC$5=$H$21,$U$21,IF(AND(AC$5&gt;$H$21,AC$5&lt;$H$21+$F$21),1,IF(AC$5=$H$21+$F$21,1-$U$21,0)))</f>
        <v>0</v>
      </c>
      <c r="AD80" s="131" t="n">
        <f aca="false">(1-$I$21)*(1-$J$21)*$D$21*$E$21/4*MIN(1,MAX(0,(AD$5-$H$21+1)/$T$21))*IF(AD$5=$H$21,$U$21,IF(AND(AD$5&gt;$H$21,AD$5&lt;$H$21+$F$21),1,IF(AD$5=$H$21+$F$21,1-$U$21,0)))</f>
        <v>0</v>
      </c>
      <c r="AE80" s="131" t="n">
        <f aca="false">(1-$I$21)*(1-$J$21)*$D$21*$E$21/4*MIN(1,MAX(0,(AE$5-$H$21+1)/$T$21))*IF(AE$5=$H$21,$U$21,IF(AND(AE$5&gt;$H$21,AE$5&lt;$H$21+$F$21),1,IF(AE$5=$H$21+$F$21,1-$U$21,0)))</f>
        <v>0</v>
      </c>
      <c r="AF80" s="131" t="n">
        <f aca="false">(1-$I$21)*(1-$J$21)*$D$21*$E$21/4*MIN(1,MAX(0,(AF$5-$H$21+1)/$T$21))*IF(AF$5=$H$21,$U$21,IF(AND(AF$5&gt;$H$21,AF$5&lt;$H$21+$F$21),1,IF(AF$5=$H$21+$F$21,1-$U$21,0)))</f>
        <v>0</v>
      </c>
      <c r="AG80" s="131" t="n">
        <f aca="false">(1-$I$21)*(1-$J$21)*$D$21*$E$21/4*MIN(1,MAX(0,(AG$5-$H$21+1)/$T$21))*IF(AG$5=$H$21,$U$21,IF(AND(AG$5&gt;$H$21,AG$5&lt;$H$21+$F$21),1,IF(AG$5=$H$21+$F$21,1-$U$21,0)))</f>
        <v>0</v>
      </c>
      <c r="AI80" s="131" t="n">
        <f aca="false">SUMIF($F$7:$AG$7,AI$7,$F80:$AG80)</f>
        <v>0</v>
      </c>
      <c r="AJ80" s="131" t="n">
        <f aca="false">SUMIF($F$7:$AG$7,AJ$7,$F80:$AG80)</f>
        <v>0</v>
      </c>
      <c r="AK80" s="131" t="n">
        <f aca="false">SUMIF($F$7:$AG$7,AK$7,$F80:$AG80)</f>
        <v>0</v>
      </c>
      <c r="AL80" s="131" t="n">
        <f aca="false">SUMIF($F$7:$AG$7,AL$7,$F80:$AG80)</f>
        <v>0</v>
      </c>
      <c r="AM80" s="131" t="n">
        <f aca="false">SUMIF($F$7:$AG$7,AM$7,$F80:$AG80)</f>
        <v>0</v>
      </c>
      <c r="AN80" s="131" t="n">
        <f aca="false">SUMIF($F$7:$AG$7,AN$7,$F80:$AG80)</f>
        <v>0</v>
      </c>
      <c r="AO80" s="131" t="n">
        <f aca="false">SUMIF($F$7:$AG$7,AO$7,$F80:$AG80)</f>
        <v>0</v>
      </c>
    </row>
    <row r="81" customFormat="false" ht="15" hidden="false" customHeight="false" outlineLevel="0" collapsed="false">
      <c r="A81" s="112" t="s">
        <v>2121</v>
      </c>
      <c r="B81" s="24" t="s">
        <v>857</v>
      </c>
      <c r="C81" s="24"/>
      <c r="D81" s="24"/>
      <c r="F81" s="121" t="n">
        <f aca="false">(1-$I$21)*(1-$J$21)*$D$21*AND(F$5&gt;=$H$21,F$5&lt;$H$21+$F$21)</f>
        <v>0</v>
      </c>
      <c r="G81" s="121" t="n">
        <f aca="false">(1-$I$21)*(1-$J$21)*$D$21*AND(G$5&gt;=$H$21,G$5&lt;$H$21+$F$21)</f>
        <v>0</v>
      </c>
      <c r="H81" s="121" t="n">
        <f aca="false">(1-$I$21)*(1-$J$21)*$D$21*AND(H$5&gt;=$H$21,H$5&lt;$H$21+$F$21)</f>
        <v>0</v>
      </c>
      <c r="I81" s="121" t="n">
        <f aca="false">(1-$I$21)*(1-$J$21)*$D$21*AND(I$5&gt;=$H$21,I$5&lt;$H$21+$F$21)</f>
        <v>0</v>
      </c>
      <c r="J81" s="121" t="n">
        <f aca="false">(1-$I$21)*(1-$J$21)*$D$21*AND(J$5&gt;=$H$21,J$5&lt;$H$21+$F$21)</f>
        <v>0</v>
      </c>
      <c r="K81" s="121" t="n">
        <f aca="false">(1-$I$21)*(1-$J$21)*$D$21*AND(K$5&gt;=$H$21,K$5&lt;$H$21+$F$21)</f>
        <v>0</v>
      </c>
      <c r="L81" s="121" t="n">
        <f aca="false">(1-$I$21)*(1-$J$21)*$D$21*AND(L$5&gt;=$H$21,L$5&lt;$H$21+$F$21)</f>
        <v>0</v>
      </c>
      <c r="M81" s="121" t="n">
        <f aca="false">(1-$I$21)*(1-$J$21)*$D$21*AND(M$5&gt;=$H$21,M$5&lt;$H$21+$F$21)</f>
        <v>0</v>
      </c>
      <c r="N81" s="121" t="n">
        <f aca="false">(1-$I$21)*(1-$J$21)*$D$21*AND(N$5&gt;=$H$21,N$5&lt;$H$21+$F$21)</f>
        <v>0</v>
      </c>
      <c r="O81" s="121" t="n">
        <f aca="false">(1-$I$21)*(1-$J$21)*$D$21*AND(O$5&gt;=$H$21,O$5&lt;$H$21+$F$21)</f>
        <v>0</v>
      </c>
      <c r="P81" s="39" t="n">
        <f aca="false">(1-$I$21)*(1-$J$21)*$D$21*AND(P$5&gt;=$H$21,P$5&lt;$H$21+$F$21)</f>
        <v>0</v>
      </c>
      <c r="Q81" s="39" t="n">
        <f aca="false">(1-$I$21)*(1-$J$21)*$D$21*AND(Q$5&gt;=$H$21,Q$5&lt;$H$21+$F$21)</f>
        <v>0</v>
      </c>
      <c r="R81" s="39" t="n">
        <f aca="false">(1-$I$21)*(1-$J$21)*$D$21*AND(R$5&gt;=$H$21,R$5&lt;$H$21+$F$21)</f>
        <v>0</v>
      </c>
      <c r="S81" s="39" t="n">
        <f aca="false">(1-$I$21)*(1-$J$21)*$D$21*AND(S$5&gt;=$H$21,S$5&lt;$H$21+$F$21)</f>
        <v>0</v>
      </c>
      <c r="T81" s="39" t="n">
        <f aca="false">(1-$I$21)*(1-$J$21)*$D$21*AND(T$5&gt;=$H$21,T$5&lt;$H$21+$F$21)</f>
        <v>0</v>
      </c>
      <c r="U81" s="39" t="n">
        <f aca="false">(1-$I$21)*(1-$J$21)*$D$21*AND(U$5&gt;=$H$21,U$5&lt;$H$21+$F$21)</f>
        <v>0</v>
      </c>
      <c r="V81" s="39" t="n">
        <f aca="false">(1-$I$21)*(1-$J$21)*$D$21*AND(V$5&gt;=$H$21,V$5&lt;$H$21+$F$21)</f>
        <v>0</v>
      </c>
      <c r="W81" s="39" t="n">
        <f aca="false">(1-$I$21)*(1-$J$21)*$D$21*AND(W$5&gt;=$H$21,W$5&lt;$H$21+$F$21)</f>
        <v>0</v>
      </c>
      <c r="X81" s="39" t="n">
        <f aca="false">(1-$I$21)*(1-$J$21)*$D$21*AND(X$5&gt;=$H$21,X$5&lt;$H$21+$F$21)</f>
        <v>0</v>
      </c>
      <c r="Y81" s="39" t="n">
        <f aca="false">(1-$I$21)*(1-$J$21)*$D$21*AND(Y$5&gt;=$H$21,Y$5&lt;$H$21+$F$21)</f>
        <v>0</v>
      </c>
      <c r="Z81" s="39" t="n">
        <f aca="false">(1-$I$21)*(1-$J$21)*$D$21*AND(Z$5&gt;=$H$21,Z$5&lt;$H$21+$F$21)</f>
        <v>0</v>
      </c>
      <c r="AA81" s="39" t="n">
        <f aca="false">(1-$I$21)*(1-$J$21)*$D$21*AND(AA$5&gt;=$H$21,AA$5&lt;$H$21+$F$21)</f>
        <v>0</v>
      </c>
      <c r="AB81" s="39" t="n">
        <f aca="false">(1-$I$21)*(1-$J$21)*$D$21*AND(AB$5&gt;=$H$21,AB$5&lt;$H$21+$F$21)</f>
        <v>0</v>
      </c>
      <c r="AC81" s="39" t="n">
        <f aca="false">(1-$I$21)*(1-$J$21)*$D$21*AND(AC$5&gt;=$H$21,AC$5&lt;$H$21+$F$21)</f>
        <v>0</v>
      </c>
      <c r="AD81" s="39" t="n">
        <f aca="false">(1-$I$21)*(1-$J$21)*$D$21*AND(AD$5&gt;=$H$21,AD$5&lt;$H$21+$F$21)</f>
        <v>0</v>
      </c>
      <c r="AE81" s="39" t="n">
        <f aca="false">(1-$I$21)*(1-$J$21)*$D$21*AND(AE$5&gt;=$H$21,AE$5&lt;$H$21+$F$21)</f>
        <v>0</v>
      </c>
      <c r="AF81" s="39" t="n">
        <f aca="false">(1-$I$21)*(1-$J$21)*$D$21*AND(AF$5&gt;=$H$21,AF$5&lt;$H$21+$F$21)</f>
        <v>0</v>
      </c>
      <c r="AG81" s="39" t="n">
        <f aca="false">(1-$I$21)*(1-$J$21)*$D$21*AND(AG$5&gt;=$H$21,AG$5&lt;$H$21+$F$21)</f>
        <v>0</v>
      </c>
      <c r="AI81" s="39" t="n">
        <f aca="false">INDEX($F81:$AG81,1,MATCH(AI$7,$F$7:$AG$7,1))</f>
        <v>0</v>
      </c>
      <c r="AJ81" s="39" t="n">
        <f aca="false">INDEX($F81:$AG81,1,MATCH(AJ$7,$F$7:$AG$7,1))</f>
        <v>0</v>
      </c>
      <c r="AK81" s="39" t="n">
        <f aca="false">INDEX($F81:$AG81,1,MATCH(AK$7,$F$7:$AG$7,1))</f>
        <v>0</v>
      </c>
      <c r="AL81" s="39" t="n">
        <f aca="false">INDEX($F81:$AG81,1,MATCH(AL$7,$F$7:$AG$7,1))</f>
        <v>0</v>
      </c>
      <c r="AM81" s="39" t="n">
        <f aca="false">INDEX($F81:$AG81,1,MATCH(AM$7,$F$7:$AG$7,1))</f>
        <v>0</v>
      </c>
      <c r="AN81" s="39" t="n">
        <f aca="false">INDEX($F81:$AG81,1,MATCH(AN$7,$F$7:$AG$7,1))</f>
        <v>0</v>
      </c>
      <c r="AO81" s="39" t="n">
        <f aca="false">INDEX($F81:$AG81,1,MATCH(AO$7,$F$7:$AG$7,1))</f>
        <v>0</v>
      </c>
    </row>
    <row r="82" customFormat="false" ht="15" hidden="false" customHeight="false" outlineLevel="0" collapsed="false">
      <c r="A82" s="112" t="s">
        <v>2122</v>
      </c>
      <c r="B82" s="24" t="s">
        <v>745</v>
      </c>
      <c r="C82" s="24"/>
      <c r="D82" s="24"/>
      <c r="F82" s="130" t="n">
        <f aca="false">-(1-$I$21)*LD_Pct*$D$21*$E$21/4*AND(F$5&gt;=$G$21,F$5&lt;$H$21)</f>
        <v>-0</v>
      </c>
      <c r="G82" s="130" t="n">
        <f aca="false">-(1-$I$21)*LD_Pct*$D$21*$E$21/4*AND(G$5&gt;=$G$21,G$5&lt;$H$21)</f>
        <v>-0</v>
      </c>
      <c r="H82" s="130" t="n">
        <f aca="false">-(1-$I$21)*LD_Pct*$D$21*$E$21/4*AND(H$5&gt;=$G$21,H$5&lt;$H$21)</f>
        <v>-0</v>
      </c>
      <c r="I82" s="130" t="n">
        <f aca="false">-(1-$I$21)*LD_Pct*$D$21*$E$21/4*AND(I$5&gt;=$G$21,I$5&lt;$H$21)</f>
        <v>-0</v>
      </c>
      <c r="J82" s="130" t="n">
        <f aca="false">-(1-$I$21)*LD_Pct*$D$21*$E$21/4*AND(J$5&gt;=$G$21,J$5&lt;$H$21)</f>
        <v>-0</v>
      </c>
      <c r="K82" s="130" t="n">
        <f aca="false">-(1-$I$21)*LD_Pct*$D$21*$E$21/4*AND(K$5&gt;=$G$21,K$5&lt;$H$21)</f>
        <v>-0</v>
      </c>
      <c r="L82" s="130" t="n">
        <f aca="false">-(1-$I$21)*LD_Pct*$D$21*$E$21/4*AND(L$5&gt;=$G$21,L$5&lt;$H$21)</f>
        <v>-0</v>
      </c>
      <c r="M82" s="130" t="n">
        <f aca="false">-(1-$I$21)*LD_Pct*$D$21*$E$21/4*AND(M$5&gt;=$G$21,M$5&lt;$H$21)</f>
        <v>-0</v>
      </c>
      <c r="N82" s="130" t="n">
        <f aca="false">-(1-$I$21)*LD_Pct*$D$21*$E$21/4*AND(N$5&gt;=$G$21,N$5&lt;$H$21)</f>
        <v>-0</v>
      </c>
      <c r="O82" s="130" t="n">
        <f aca="false">-(1-$I$21)*LD_Pct*$D$21*$E$21/4*AND(O$5&gt;=$G$21,O$5&lt;$H$21)</f>
        <v>-0</v>
      </c>
      <c r="P82" s="131" t="n">
        <f aca="false">-(1-$I$21)*LD_Pct*$D$21*$E$21/4*AND(P$5&gt;=$G$21,P$5&lt;$H$21)</f>
        <v>-0</v>
      </c>
      <c r="Q82" s="131" t="n">
        <f aca="false">-(1-$I$21)*LD_Pct*$D$21*$E$21/4*AND(Q$5&gt;=$G$21,Q$5&lt;$H$21)</f>
        <v>-0</v>
      </c>
      <c r="R82" s="131" t="n">
        <f aca="false">-(1-$I$21)*LD_Pct*$D$21*$E$21/4*AND(R$5&gt;=$G$21,R$5&lt;$H$21)</f>
        <v>-0</v>
      </c>
      <c r="S82" s="131" t="n">
        <f aca="false">-(1-$I$21)*LD_Pct*$D$21*$E$21/4*AND(S$5&gt;=$G$21,S$5&lt;$H$21)</f>
        <v>-0</v>
      </c>
      <c r="T82" s="131" t="n">
        <f aca="false">-(1-$I$21)*LD_Pct*$D$21*$E$21/4*AND(T$5&gt;=$G$21,T$5&lt;$H$21)</f>
        <v>-0</v>
      </c>
      <c r="U82" s="131" t="n">
        <f aca="false">-(1-$I$21)*LD_Pct*$D$21*$E$21/4*AND(U$5&gt;=$G$21,U$5&lt;$H$21)</f>
        <v>-0</v>
      </c>
      <c r="V82" s="131" t="n">
        <f aca="false">-(1-$I$21)*LD_Pct*$D$21*$E$21/4*AND(V$5&gt;=$G$21,V$5&lt;$H$21)</f>
        <v>-0</v>
      </c>
      <c r="W82" s="131" t="n">
        <f aca="false">-(1-$I$21)*LD_Pct*$D$21*$E$21/4*AND(W$5&gt;=$G$21,W$5&lt;$H$21)</f>
        <v>-0</v>
      </c>
      <c r="X82" s="131" t="n">
        <f aca="false">-(1-$I$21)*LD_Pct*$D$21*$E$21/4*AND(X$5&gt;=$G$21,X$5&lt;$H$21)</f>
        <v>-0</v>
      </c>
      <c r="Y82" s="131" t="n">
        <f aca="false">-(1-$I$21)*LD_Pct*$D$21*$E$21/4*AND(Y$5&gt;=$G$21,Y$5&lt;$H$21)</f>
        <v>-0</v>
      </c>
      <c r="Z82" s="131" t="n">
        <f aca="false">-(1-$I$21)*LD_Pct*$D$21*$E$21/4*AND(Z$5&gt;=$G$21,Z$5&lt;$H$21)</f>
        <v>-0</v>
      </c>
      <c r="AA82" s="131" t="n">
        <f aca="false">-(1-$I$21)*LD_Pct*$D$21*$E$21/4*AND(AA$5&gt;=$G$21,AA$5&lt;$H$21)</f>
        <v>-0</v>
      </c>
      <c r="AB82" s="131" t="n">
        <f aca="false">-(1-$I$21)*LD_Pct*$D$21*$E$21/4*AND(AB$5&gt;=$G$21,AB$5&lt;$H$21)</f>
        <v>-0</v>
      </c>
      <c r="AC82" s="131" t="n">
        <f aca="false">-(1-$I$21)*LD_Pct*$D$21*$E$21/4*AND(AC$5&gt;=$G$21,AC$5&lt;$H$21)</f>
        <v>-0</v>
      </c>
      <c r="AD82" s="131" t="n">
        <f aca="false">-(1-$I$21)*LD_Pct*$D$21*$E$21/4*AND(AD$5&gt;=$G$21,AD$5&lt;$H$21)</f>
        <v>-0</v>
      </c>
      <c r="AE82" s="131" t="n">
        <f aca="false">-(1-$I$21)*LD_Pct*$D$21*$E$21/4*AND(AE$5&gt;=$G$21,AE$5&lt;$H$21)</f>
        <v>-0</v>
      </c>
      <c r="AF82" s="131" t="n">
        <f aca="false">-(1-$I$21)*LD_Pct*$D$21*$E$21/4*AND(AF$5&gt;=$G$21,AF$5&lt;$H$21)</f>
        <v>-0</v>
      </c>
      <c r="AG82" s="131" t="n">
        <f aca="false">-(1-$I$21)*LD_Pct*$D$21*$E$21/4*AND(AG$5&gt;=$G$21,AG$5&lt;$H$21)</f>
        <v>-0</v>
      </c>
      <c r="AI82" s="131" t="n">
        <f aca="false">SUMIF($F$7:$AG$7,AI$7,$F82:$AG82)</f>
        <v>0</v>
      </c>
      <c r="AJ82" s="131" t="n">
        <f aca="false">SUMIF($F$7:$AG$7,AJ$7,$F82:$AG82)</f>
        <v>0</v>
      </c>
      <c r="AK82" s="131" t="n">
        <f aca="false">SUMIF($F$7:$AG$7,AK$7,$F82:$AG82)</f>
        <v>0</v>
      </c>
      <c r="AL82" s="131" t="n">
        <f aca="false">SUMIF($F$7:$AG$7,AL$7,$F82:$AG82)</f>
        <v>0</v>
      </c>
      <c r="AM82" s="131" t="n">
        <f aca="false">SUMIF($F$7:$AG$7,AM$7,$F82:$AG82)</f>
        <v>0</v>
      </c>
      <c r="AN82" s="131" t="n">
        <f aca="false">SUMIF($F$7:$AG$7,AN$7,$F82:$AG82)</f>
        <v>0</v>
      </c>
      <c r="AO82" s="131" t="n">
        <f aca="false">SUMIF($F$7:$AG$7,AO$7,$F82:$AG82)</f>
        <v>0</v>
      </c>
    </row>
    <row r="83" customFormat="false" ht="15" hidden="false" customHeight="false" outlineLevel="0" collapsed="false">
      <c r="A83" s="112" t="s">
        <v>2123</v>
      </c>
      <c r="B83" s="24" t="s">
        <v>857</v>
      </c>
      <c r="C83" s="24"/>
      <c r="D83" s="24"/>
      <c r="F83" s="121" t="n">
        <f aca="false">(1-$I$21)*(1-$J$21)*$D$21*(F$5&gt;=$H$21+$F$21)</f>
        <v>0</v>
      </c>
      <c r="G83" s="121" t="n">
        <f aca="false">(1-$I$21)*(1-$J$21)*$D$21*(G$5&gt;=$H$21+$F$21)</f>
        <v>0</v>
      </c>
      <c r="H83" s="121" t="n">
        <f aca="false">(1-$I$21)*(1-$J$21)*$D$21*(H$5&gt;=$H$21+$F$21)</f>
        <v>0</v>
      </c>
      <c r="I83" s="121" t="n">
        <f aca="false">(1-$I$21)*(1-$J$21)*$D$21*(I$5&gt;=$H$21+$F$21)</f>
        <v>0</v>
      </c>
      <c r="J83" s="121" t="n">
        <f aca="false">(1-$I$21)*(1-$J$21)*$D$21*(J$5&gt;=$H$21+$F$21)</f>
        <v>0</v>
      </c>
      <c r="K83" s="121" t="n">
        <f aca="false">(1-$I$21)*(1-$J$21)*$D$21*(K$5&gt;=$H$21+$F$21)</f>
        <v>0</v>
      </c>
      <c r="L83" s="121" t="n">
        <f aca="false">(1-$I$21)*(1-$J$21)*$D$21*(L$5&gt;=$H$21+$F$21)</f>
        <v>0</v>
      </c>
      <c r="M83" s="121" t="n">
        <f aca="false">(1-$I$21)*(1-$J$21)*$D$21*(M$5&gt;=$H$21+$F$21)</f>
        <v>0</v>
      </c>
      <c r="N83" s="121" t="n">
        <f aca="false">(1-$I$21)*(1-$J$21)*$D$21*(N$5&gt;=$H$21+$F$21)</f>
        <v>0</v>
      </c>
      <c r="O83" s="121" t="n">
        <f aca="false">(1-$I$21)*(1-$J$21)*$D$21*(O$5&gt;=$H$21+$F$21)</f>
        <v>0</v>
      </c>
      <c r="P83" s="39" t="n">
        <f aca="false">(1-$I$21)*(1-$J$21)*$D$21*(P$5&gt;=$H$21+$F$21)</f>
        <v>0</v>
      </c>
      <c r="Q83" s="39" t="n">
        <f aca="false">(1-$I$21)*(1-$J$21)*$D$21*(Q$5&gt;=$H$21+$F$21)</f>
        <v>0</v>
      </c>
      <c r="R83" s="39" t="n">
        <f aca="false">(1-$I$21)*(1-$J$21)*$D$21*(R$5&gt;=$H$21+$F$21)</f>
        <v>0</v>
      </c>
      <c r="S83" s="39" t="n">
        <f aca="false">(1-$I$21)*(1-$J$21)*$D$21*(S$5&gt;=$H$21+$F$21)</f>
        <v>0</v>
      </c>
      <c r="T83" s="39" t="n">
        <f aca="false">(1-$I$21)*(1-$J$21)*$D$21*(T$5&gt;=$H$21+$F$21)</f>
        <v>0</v>
      </c>
      <c r="U83" s="39" t="n">
        <f aca="false">(1-$I$21)*(1-$J$21)*$D$21*(U$5&gt;=$H$21+$F$21)</f>
        <v>0</v>
      </c>
      <c r="V83" s="39" t="n">
        <f aca="false">(1-$I$21)*(1-$J$21)*$D$21*(V$5&gt;=$H$21+$F$21)</f>
        <v>0</v>
      </c>
      <c r="W83" s="39" t="n">
        <f aca="false">(1-$I$21)*(1-$J$21)*$D$21*(W$5&gt;=$H$21+$F$21)</f>
        <v>0</v>
      </c>
      <c r="X83" s="39" t="n">
        <f aca="false">(1-$I$21)*(1-$J$21)*$D$21*(X$5&gt;=$H$21+$F$21)</f>
        <v>0</v>
      </c>
      <c r="Y83" s="39" t="n">
        <f aca="false">(1-$I$21)*(1-$J$21)*$D$21*(Y$5&gt;=$H$21+$F$21)</f>
        <v>0</v>
      </c>
      <c r="Z83" s="39" t="n">
        <f aca="false">(1-$I$21)*(1-$J$21)*$D$21*(Z$5&gt;=$H$21+$F$21)</f>
        <v>0</v>
      </c>
      <c r="AA83" s="39" t="n">
        <f aca="false">(1-$I$21)*(1-$J$21)*$D$21*(AA$5&gt;=$H$21+$F$21)</f>
        <v>0</v>
      </c>
      <c r="AB83" s="39" t="n">
        <f aca="false">(1-$I$21)*(1-$J$21)*$D$21*(AB$5&gt;=$H$21+$F$21)</f>
        <v>0</v>
      </c>
      <c r="AC83" s="39" t="n">
        <f aca="false">(1-$I$21)*(1-$J$21)*$D$21*(AC$5&gt;=$H$21+$F$21)</f>
        <v>0</v>
      </c>
      <c r="AD83" s="39" t="n">
        <f aca="false">(1-$I$21)*(1-$J$21)*$D$21*(AD$5&gt;=$H$21+$F$21)</f>
        <v>0</v>
      </c>
      <c r="AE83" s="39" t="n">
        <f aca="false">(1-$I$21)*(1-$J$21)*$D$21*(AE$5&gt;=$H$21+$F$21)</f>
        <v>0</v>
      </c>
      <c r="AF83" s="39" t="n">
        <f aca="false">(1-$I$21)*(1-$J$21)*$D$21*(AF$5&gt;=$H$21+$F$21)</f>
        <v>0</v>
      </c>
      <c r="AG83" s="39" t="n">
        <f aca="false">(1-$I$21)*(1-$J$21)*$D$21*(AG$5&gt;=$H$21+$F$21)</f>
        <v>0</v>
      </c>
      <c r="AI83" s="39" t="n">
        <f aca="false">INDEX($F83:$AG83,1,MATCH(AI$7,$F$7:$AG$7,1))</f>
        <v>0</v>
      </c>
      <c r="AJ83" s="39" t="n">
        <f aca="false">INDEX($F83:$AG83,1,MATCH(AJ$7,$F$7:$AG$7,1))</f>
        <v>0</v>
      </c>
      <c r="AK83" s="39" t="n">
        <f aca="false">INDEX($F83:$AG83,1,MATCH(AK$7,$F$7:$AG$7,1))</f>
        <v>0</v>
      </c>
      <c r="AL83" s="39" t="n">
        <f aca="false">INDEX($F83:$AG83,1,MATCH(AL$7,$F$7:$AG$7,1))</f>
        <v>0</v>
      </c>
      <c r="AM83" s="39" t="n">
        <f aca="false">INDEX($F83:$AG83,1,MATCH(AM$7,$F$7:$AG$7,1))</f>
        <v>0</v>
      </c>
      <c r="AN83" s="39" t="n">
        <f aca="false">INDEX($F83:$AG83,1,MATCH(AN$7,$F$7:$AG$7,1))</f>
        <v>0</v>
      </c>
      <c r="AO83" s="39" t="n">
        <f aca="false">INDEX($F83:$AG83,1,MATCH(AO$7,$F$7:$AG$7,1))</f>
        <v>0</v>
      </c>
    </row>
    <row r="84" customFormat="false" ht="15" hidden="false" customHeight="false" outlineLevel="0" collapsed="false">
      <c r="A84" s="112" t="s">
        <v>2124</v>
      </c>
      <c r="B84" s="24" t="s">
        <v>745</v>
      </c>
      <c r="C84" s="24"/>
      <c r="D84" s="24" t="s">
        <v>2079</v>
      </c>
      <c r="F84" s="130" t="n">
        <f aca="false">F83*CHOOSE(MATCH($C$21,{"H";"B";"N"},0),GPUMW_H*ODc_H,GPUMW_B*ODc_B,GPUMW_N*ODc_N)*ResidUtil*Timeline!F$9*INDEX(Curve,1,MAX(1,MIN(8,INT((F$5-$H$21)/4)+1)))/1000000</f>
        <v>0</v>
      </c>
      <c r="G84" s="130" t="n">
        <f aca="false">G83*CHOOSE(MATCH($C$21,{"H";"B";"N"},0),GPUMW_H*ODc_H,GPUMW_B*ODc_B,GPUMW_N*ODc_N)*ResidUtil*Timeline!G$9*INDEX(Curve,1,MAX(1,MIN(8,INT((G$5-$H$21)/4)+1)))/1000000</f>
        <v>0</v>
      </c>
      <c r="H84" s="130" t="n">
        <f aca="false">H83*CHOOSE(MATCH($C$21,{"H";"B";"N"},0),GPUMW_H*ODc_H,GPUMW_B*ODc_B,GPUMW_N*ODc_N)*ResidUtil*Timeline!H$9*INDEX(Curve,1,MAX(1,MIN(8,INT((H$5-$H$21)/4)+1)))/1000000</f>
        <v>0</v>
      </c>
      <c r="I84" s="130" t="n">
        <f aca="false">I83*CHOOSE(MATCH($C$21,{"H";"B";"N"},0),GPUMW_H*ODc_H,GPUMW_B*ODc_B,GPUMW_N*ODc_N)*ResidUtil*Timeline!I$9*INDEX(Curve,1,MAX(1,MIN(8,INT((I$5-$H$21)/4)+1)))/1000000</f>
        <v>0</v>
      </c>
      <c r="J84" s="130" t="n">
        <f aca="false">J83*CHOOSE(MATCH($C$21,{"H";"B";"N"},0),GPUMW_H*ODc_H,GPUMW_B*ODc_B,GPUMW_N*ODc_N)*ResidUtil*Timeline!J$9*INDEX(Curve,1,MAX(1,MIN(8,INT((J$5-$H$21)/4)+1)))/1000000</f>
        <v>0</v>
      </c>
      <c r="K84" s="130" t="n">
        <f aca="false">K83*CHOOSE(MATCH($C$21,{"H";"B";"N"},0),GPUMW_H*ODc_H,GPUMW_B*ODc_B,GPUMW_N*ODc_N)*ResidUtil*Timeline!K$9*INDEX(Curve,1,MAX(1,MIN(8,INT((K$5-$H$21)/4)+1)))/1000000</f>
        <v>0</v>
      </c>
      <c r="L84" s="130" t="n">
        <f aca="false">L83*CHOOSE(MATCH($C$21,{"H";"B";"N"},0),GPUMW_H*ODc_H,GPUMW_B*ODc_B,GPUMW_N*ODc_N)*ResidUtil*Timeline!L$9*INDEX(Curve,1,MAX(1,MIN(8,INT((L$5-$H$21)/4)+1)))/1000000</f>
        <v>0</v>
      </c>
      <c r="M84" s="130" t="n">
        <f aca="false">M83*CHOOSE(MATCH($C$21,{"H";"B";"N"},0),GPUMW_H*ODc_H,GPUMW_B*ODc_B,GPUMW_N*ODc_N)*ResidUtil*Timeline!M$9*INDEX(Curve,1,MAX(1,MIN(8,INT((M$5-$H$21)/4)+1)))/1000000</f>
        <v>0</v>
      </c>
      <c r="N84" s="130" t="n">
        <f aca="false">N83*CHOOSE(MATCH($C$21,{"H";"B";"N"},0),GPUMW_H*ODc_H,GPUMW_B*ODc_B,GPUMW_N*ODc_N)*ResidUtil*Timeline!N$9*INDEX(Curve,1,MAX(1,MIN(8,INT((N$5-$H$21)/4)+1)))/1000000</f>
        <v>0</v>
      </c>
      <c r="O84" s="130" t="n">
        <f aca="false">O83*CHOOSE(MATCH($C$21,{"H";"B";"N"},0),GPUMW_H*ODc_H,GPUMW_B*ODc_B,GPUMW_N*ODc_N)*ResidUtil*Timeline!O$9*INDEX(Curve,1,MAX(1,MIN(8,INT((O$5-$H$21)/4)+1)))/1000000</f>
        <v>0</v>
      </c>
      <c r="P84" s="131" t="n">
        <f aca="false">P83*CHOOSE(MATCH($C$21,{"H";"B";"N"},0),GPUMW_H*ODc_H,GPUMW_B*ODc_B,GPUMW_N*ODc_N)*ResidUtil*Timeline!P$9*INDEX(Curve,1,MAX(1,MIN(8,INT((P$5-$H$21)/4)+1)))/1000000</f>
        <v>0</v>
      </c>
      <c r="Q84" s="131" t="n">
        <f aca="false">Q83*CHOOSE(MATCH($C$21,{"H";"B";"N"},0),GPUMW_H*ODc_H,GPUMW_B*ODc_B,GPUMW_N*ODc_N)*ResidUtil*Timeline!Q$9*INDEX(Curve,1,MAX(1,MIN(8,INT((Q$5-$H$21)/4)+1)))/1000000</f>
        <v>0</v>
      </c>
      <c r="R84" s="131" t="n">
        <f aca="false">R83*CHOOSE(MATCH($C$21,{"H";"B";"N"},0),GPUMW_H*ODc_H,GPUMW_B*ODc_B,GPUMW_N*ODc_N)*ResidUtil*Timeline!R$9*INDEX(Curve,1,MAX(1,MIN(8,INT((R$5-$H$21)/4)+1)))/1000000</f>
        <v>0</v>
      </c>
      <c r="S84" s="131" t="n">
        <f aca="false">S83*CHOOSE(MATCH($C$21,{"H";"B";"N"},0),GPUMW_H*ODc_H,GPUMW_B*ODc_B,GPUMW_N*ODc_N)*ResidUtil*Timeline!S$9*INDEX(Curve,1,MAX(1,MIN(8,INT((S$5-$H$21)/4)+1)))/1000000</f>
        <v>0</v>
      </c>
      <c r="T84" s="131" t="n">
        <f aca="false">T83*CHOOSE(MATCH($C$21,{"H";"B";"N"},0),GPUMW_H*ODc_H,GPUMW_B*ODc_B,GPUMW_N*ODc_N)*ResidUtil*Timeline!T$9*INDEX(Curve,1,MAX(1,MIN(8,INT((T$5-$H$21)/4)+1)))/1000000</f>
        <v>0</v>
      </c>
      <c r="U84" s="131" t="n">
        <f aca="false">U83*CHOOSE(MATCH($C$21,{"H";"B";"N"},0),GPUMW_H*ODc_H,GPUMW_B*ODc_B,GPUMW_N*ODc_N)*ResidUtil*Timeline!U$9*INDEX(Curve,1,MAX(1,MIN(8,INT((U$5-$H$21)/4)+1)))/1000000</f>
        <v>0</v>
      </c>
      <c r="V84" s="131" t="n">
        <f aca="false">V83*CHOOSE(MATCH($C$21,{"H";"B";"N"},0),GPUMW_H*ODc_H,GPUMW_B*ODc_B,GPUMW_N*ODc_N)*ResidUtil*Timeline!V$9*INDEX(Curve,1,MAX(1,MIN(8,INT((V$5-$H$21)/4)+1)))/1000000</f>
        <v>0</v>
      </c>
      <c r="W84" s="131" t="n">
        <f aca="false">W83*CHOOSE(MATCH($C$21,{"H";"B";"N"},0),GPUMW_H*ODc_H,GPUMW_B*ODc_B,GPUMW_N*ODc_N)*ResidUtil*Timeline!W$9*INDEX(Curve,1,MAX(1,MIN(8,INT((W$5-$H$21)/4)+1)))/1000000</f>
        <v>0</v>
      </c>
      <c r="X84" s="131" t="n">
        <f aca="false">X83*CHOOSE(MATCH($C$21,{"H";"B";"N"},0),GPUMW_H*ODc_H,GPUMW_B*ODc_B,GPUMW_N*ODc_N)*ResidUtil*Timeline!X$9*INDEX(Curve,1,MAX(1,MIN(8,INT((X$5-$H$21)/4)+1)))/1000000</f>
        <v>0</v>
      </c>
      <c r="Y84" s="131" t="n">
        <f aca="false">Y83*CHOOSE(MATCH($C$21,{"H";"B";"N"},0),GPUMW_H*ODc_H,GPUMW_B*ODc_B,GPUMW_N*ODc_N)*ResidUtil*Timeline!Y$9*INDEX(Curve,1,MAX(1,MIN(8,INT((Y$5-$H$21)/4)+1)))/1000000</f>
        <v>0</v>
      </c>
      <c r="Z84" s="131" t="n">
        <f aca="false">Z83*CHOOSE(MATCH($C$21,{"H";"B";"N"},0),GPUMW_H*ODc_H,GPUMW_B*ODc_B,GPUMW_N*ODc_N)*ResidUtil*Timeline!Z$9*INDEX(Curve,1,MAX(1,MIN(8,INT((Z$5-$H$21)/4)+1)))/1000000</f>
        <v>0</v>
      </c>
      <c r="AA84" s="131" t="n">
        <f aca="false">AA83*CHOOSE(MATCH($C$21,{"H";"B";"N"},0),GPUMW_H*ODc_H,GPUMW_B*ODc_B,GPUMW_N*ODc_N)*ResidUtil*Timeline!AA$9*INDEX(Curve,1,MAX(1,MIN(8,INT((AA$5-$H$21)/4)+1)))/1000000</f>
        <v>0</v>
      </c>
      <c r="AB84" s="131" t="n">
        <f aca="false">AB83*CHOOSE(MATCH($C$21,{"H";"B";"N"},0),GPUMW_H*ODc_H,GPUMW_B*ODc_B,GPUMW_N*ODc_N)*ResidUtil*Timeline!AB$9*INDEX(Curve,1,MAX(1,MIN(8,INT((AB$5-$H$21)/4)+1)))/1000000</f>
        <v>0</v>
      </c>
      <c r="AC84" s="131" t="n">
        <f aca="false">AC83*CHOOSE(MATCH($C$21,{"H";"B";"N"},0),GPUMW_H*ODc_H,GPUMW_B*ODc_B,GPUMW_N*ODc_N)*ResidUtil*Timeline!AC$9*INDEX(Curve,1,MAX(1,MIN(8,INT((AC$5-$H$21)/4)+1)))/1000000</f>
        <v>0</v>
      </c>
      <c r="AD84" s="131" t="n">
        <f aca="false">AD83*CHOOSE(MATCH($C$21,{"H";"B";"N"},0),GPUMW_H*ODc_H,GPUMW_B*ODc_B,GPUMW_N*ODc_N)*ResidUtil*Timeline!AD$9*INDEX(Curve,1,MAX(1,MIN(8,INT((AD$5-$H$21)/4)+1)))/1000000</f>
        <v>0</v>
      </c>
      <c r="AE84" s="131" t="n">
        <f aca="false">AE83*CHOOSE(MATCH($C$21,{"H";"B";"N"},0),GPUMW_H*ODc_H,GPUMW_B*ODc_B,GPUMW_N*ODc_N)*ResidUtil*Timeline!AE$9*INDEX(Curve,1,MAX(1,MIN(8,INT((AE$5-$H$21)/4)+1)))/1000000</f>
        <v>0</v>
      </c>
      <c r="AF84" s="131" t="n">
        <f aca="false">AF83*CHOOSE(MATCH($C$21,{"H";"B";"N"},0),GPUMW_H*ODc_H,GPUMW_B*ODc_B,GPUMW_N*ODc_N)*ResidUtil*Timeline!AF$9*INDEX(Curve,1,MAX(1,MIN(8,INT((AF$5-$H$21)/4)+1)))/1000000</f>
        <v>0</v>
      </c>
      <c r="AG84" s="131" t="n">
        <f aca="false">AG83*CHOOSE(MATCH($C$21,{"H";"B";"N"},0),GPUMW_H*ODc_H,GPUMW_B*ODc_B,GPUMW_N*ODc_N)*ResidUtil*Timeline!AG$9*INDEX(Curve,1,MAX(1,MIN(8,INT((AG$5-$H$21)/4)+1)))/1000000</f>
        <v>0</v>
      </c>
      <c r="AI84" s="131" t="n">
        <f aca="false">SUMIF($F$7:$AG$7,AI$7,$F84:$AG84)</f>
        <v>0</v>
      </c>
      <c r="AJ84" s="131" t="n">
        <f aca="false">SUMIF($F$7:$AG$7,AJ$7,$F84:$AG84)</f>
        <v>0</v>
      </c>
      <c r="AK84" s="131" t="n">
        <f aca="false">SUMIF($F$7:$AG$7,AK$7,$F84:$AG84)</f>
        <v>0</v>
      </c>
      <c r="AL84" s="131" t="n">
        <f aca="false">SUMIF($F$7:$AG$7,AL$7,$F84:$AG84)</f>
        <v>0</v>
      </c>
      <c r="AM84" s="131" t="n">
        <f aca="false">SUMIF($F$7:$AG$7,AM$7,$F84:$AG84)</f>
        <v>0</v>
      </c>
      <c r="AN84" s="131" t="n">
        <f aca="false">SUMIF($F$7:$AG$7,AN$7,$F84:$AG84)</f>
        <v>0</v>
      </c>
      <c r="AO84" s="131" t="n">
        <f aca="false">SUMIF($F$7:$AG$7,AO$7,$F84:$AG84)</f>
        <v>0</v>
      </c>
    </row>
    <row r="85" customFormat="false" ht="15" hidden="false" customHeight="false" outlineLevel="0" collapsed="false">
      <c r="A85" s="112" t="s">
        <v>2125</v>
      </c>
      <c r="B85" s="24" t="s">
        <v>745</v>
      </c>
      <c r="C85" s="24"/>
      <c r="D85" s="24"/>
      <c r="F85" s="130" t="n">
        <f aca="false">(1-$I$22)*(1-$J$22)*$D$22*$E$22/4*MIN(1,MAX(0,(F$5-$H$22+1)/$T$22))*IF(F$5=$H$22,$U$22,IF(AND(F$5&gt;$H$22,F$5&lt;$H$22+$F$22),1,IF(F$5=$H$22+$F$22,1-$U$22,0)))</f>
        <v>0</v>
      </c>
      <c r="G85" s="130" t="n">
        <f aca="false">(1-$I$22)*(1-$J$22)*$D$22*$E$22/4*MIN(1,MAX(0,(G$5-$H$22+1)/$T$22))*IF(G$5=$H$22,$U$22,IF(AND(G$5&gt;$H$22,G$5&lt;$H$22+$F$22),1,IF(G$5=$H$22+$F$22,1-$U$22,0)))</f>
        <v>0</v>
      </c>
      <c r="H85" s="130" t="n">
        <f aca="false">(1-$I$22)*(1-$J$22)*$D$22*$E$22/4*MIN(1,MAX(0,(H$5-$H$22+1)/$T$22))*IF(H$5=$H$22,$U$22,IF(AND(H$5&gt;$H$22,H$5&lt;$H$22+$F$22),1,IF(H$5=$H$22+$F$22,1-$U$22,0)))</f>
        <v>0</v>
      </c>
      <c r="I85" s="130" t="n">
        <f aca="false">(1-$I$22)*(1-$J$22)*$D$22*$E$22/4*MIN(1,MAX(0,(I$5-$H$22+1)/$T$22))*IF(I$5=$H$22,$U$22,IF(AND(I$5&gt;$H$22,I$5&lt;$H$22+$F$22),1,IF(I$5=$H$22+$F$22,1-$U$22,0)))</f>
        <v>0</v>
      </c>
      <c r="J85" s="130" t="n">
        <f aca="false">(1-$I$22)*(1-$J$22)*$D$22*$E$22/4*MIN(1,MAX(0,(J$5-$H$22+1)/$T$22))*IF(J$5=$H$22,$U$22,IF(AND(J$5&gt;$H$22,J$5&lt;$H$22+$F$22),1,IF(J$5=$H$22+$F$22,1-$U$22,0)))</f>
        <v>0</v>
      </c>
      <c r="K85" s="130" t="n">
        <f aca="false">(1-$I$22)*(1-$J$22)*$D$22*$E$22/4*MIN(1,MAX(0,(K$5-$H$22+1)/$T$22))*IF(K$5=$H$22,$U$22,IF(AND(K$5&gt;$H$22,K$5&lt;$H$22+$F$22),1,IF(K$5=$H$22+$F$22,1-$U$22,0)))</f>
        <v>0</v>
      </c>
      <c r="L85" s="130" t="n">
        <f aca="false">(1-$I$22)*(1-$J$22)*$D$22*$E$22/4*MIN(1,MAX(0,(L$5-$H$22+1)/$T$22))*IF(L$5=$H$22,$U$22,IF(AND(L$5&gt;$H$22,L$5&lt;$H$22+$F$22),1,IF(L$5=$H$22+$F$22,1-$U$22,0)))</f>
        <v>0</v>
      </c>
      <c r="M85" s="130" t="n">
        <f aca="false">(1-$I$22)*(1-$J$22)*$D$22*$E$22/4*MIN(1,MAX(0,(M$5-$H$22+1)/$T$22))*IF(M$5=$H$22,$U$22,IF(AND(M$5&gt;$H$22,M$5&lt;$H$22+$F$22),1,IF(M$5=$H$22+$F$22,1-$U$22,0)))</f>
        <v>0</v>
      </c>
      <c r="N85" s="130" t="n">
        <f aca="false">(1-$I$22)*(1-$J$22)*$D$22*$E$22/4*MIN(1,MAX(0,(N$5-$H$22+1)/$T$22))*IF(N$5=$H$22,$U$22,IF(AND(N$5&gt;$H$22,N$5&lt;$H$22+$F$22),1,IF(N$5=$H$22+$F$22,1-$U$22,0)))</f>
        <v>0</v>
      </c>
      <c r="O85" s="130" t="n">
        <f aca="false">(1-$I$22)*(1-$J$22)*$D$22*$E$22/4*MIN(1,MAX(0,(O$5-$H$22+1)/$T$22))*IF(O$5=$H$22,$U$22,IF(AND(O$5&gt;$H$22,O$5&lt;$H$22+$F$22),1,IF(O$5=$H$22+$F$22,1-$U$22,0)))</f>
        <v>0</v>
      </c>
      <c r="P85" s="131" t="n">
        <f aca="false">(1-$I$22)*(1-$J$22)*$D$22*$E$22/4*MIN(1,MAX(0,(P$5-$H$22+1)/$T$22))*IF(P$5=$H$22,$U$22,IF(AND(P$5&gt;$H$22,P$5&lt;$H$22+$F$22),1,IF(P$5=$H$22+$F$22,1-$U$22,0)))</f>
        <v>0</v>
      </c>
      <c r="Q85" s="131" t="n">
        <f aca="false">(1-$I$22)*(1-$J$22)*$D$22*$E$22/4*MIN(1,MAX(0,(Q$5-$H$22+1)/$T$22))*IF(Q$5=$H$22,$U$22,IF(AND(Q$5&gt;$H$22,Q$5&lt;$H$22+$F$22),1,IF(Q$5=$H$22+$F$22,1-$U$22,0)))</f>
        <v>0</v>
      </c>
      <c r="R85" s="131" t="n">
        <f aca="false">(1-$I$22)*(1-$J$22)*$D$22*$E$22/4*MIN(1,MAX(0,(R$5-$H$22+1)/$T$22))*IF(R$5=$H$22,$U$22,IF(AND(R$5&gt;$H$22,R$5&lt;$H$22+$F$22),1,IF(R$5=$H$22+$F$22,1-$U$22,0)))</f>
        <v>0</v>
      </c>
      <c r="S85" s="131" t="n">
        <f aca="false">(1-$I$22)*(1-$J$22)*$D$22*$E$22/4*MIN(1,MAX(0,(S$5-$H$22+1)/$T$22))*IF(S$5=$H$22,$U$22,IF(AND(S$5&gt;$H$22,S$5&lt;$H$22+$F$22),1,IF(S$5=$H$22+$F$22,1-$U$22,0)))</f>
        <v>0</v>
      </c>
      <c r="T85" s="131" t="n">
        <f aca="false">(1-$I$22)*(1-$J$22)*$D$22*$E$22/4*MIN(1,MAX(0,(T$5-$H$22+1)/$T$22))*IF(T$5=$H$22,$U$22,IF(AND(T$5&gt;$H$22,T$5&lt;$H$22+$F$22),1,IF(T$5=$H$22+$F$22,1-$U$22,0)))</f>
        <v>0</v>
      </c>
      <c r="U85" s="131" t="n">
        <f aca="false">(1-$I$22)*(1-$J$22)*$D$22*$E$22/4*MIN(1,MAX(0,(U$5-$H$22+1)/$T$22))*IF(U$5=$H$22,$U$22,IF(AND(U$5&gt;$H$22,U$5&lt;$H$22+$F$22),1,IF(U$5=$H$22+$F$22,1-$U$22,0)))</f>
        <v>0</v>
      </c>
      <c r="V85" s="131" t="n">
        <f aca="false">(1-$I$22)*(1-$J$22)*$D$22*$E$22/4*MIN(1,MAX(0,(V$5-$H$22+1)/$T$22))*IF(V$5=$H$22,$U$22,IF(AND(V$5&gt;$H$22,V$5&lt;$H$22+$F$22),1,IF(V$5=$H$22+$F$22,1-$U$22,0)))</f>
        <v>0</v>
      </c>
      <c r="W85" s="131" t="n">
        <f aca="false">(1-$I$22)*(1-$J$22)*$D$22*$E$22/4*MIN(1,MAX(0,(W$5-$H$22+1)/$T$22))*IF(W$5=$H$22,$U$22,IF(AND(W$5&gt;$H$22,W$5&lt;$H$22+$F$22),1,IF(W$5=$H$22+$F$22,1-$U$22,0)))</f>
        <v>0</v>
      </c>
      <c r="X85" s="131" t="n">
        <f aca="false">(1-$I$22)*(1-$J$22)*$D$22*$E$22/4*MIN(1,MAX(0,(X$5-$H$22+1)/$T$22))*IF(X$5=$H$22,$U$22,IF(AND(X$5&gt;$H$22,X$5&lt;$H$22+$F$22),1,IF(X$5=$H$22+$F$22,1-$U$22,0)))</f>
        <v>0</v>
      </c>
      <c r="Y85" s="131" t="n">
        <f aca="false">(1-$I$22)*(1-$J$22)*$D$22*$E$22/4*MIN(1,MAX(0,(Y$5-$H$22+1)/$T$22))*IF(Y$5=$H$22,$U$22,IF(AND(Y$5&gt;$H$22,Y$5&lt;$H$22+$F$22),1,IF(Y$5=$H$22+$F$22,1-$U$22,0)))</f>
        <v>0</v>
      </c>
      <c r="Z85" s="131" t="n">
        <f aca="false">(1-$I$22)*(1-$J$22)*$D$22*$E$22/4*MIN(1,MAX(0,(Z$5-$H$22+1)/$T$22))*IF(Z$5=$H$22,$U$22,IF(AND(Z$5&gt;$H$22,Z$5&lt;$H$22+$F$22),1,IF(Z$5=$H$22+$F$22,1-$U$22,0)))</f>
        <v>0</v>
      </c>
      <c r="AA85" s="131" t="n">
        <f aca="false">(1-$I$22)*(1-$J$22)*$D$22*$E$22/4*MIN(1,MAX(0,(AA$5-$H$22+1)/$T$22))*IF(AA$5=$H$22,$U$22,IF(AND(AA$5&gt;$H$22,AA$5&lt;$H$22+$F$22),1,IF(AA$5=$H$22+$F$22,1-$U$22,0)))</f>
        <v>0</v>
      </c>
      <c r="AB85" s="131" t="n">
        <f aca="false">(1-$I$22)*(1-$J$22)*$D$22*$E$22/4*MIN(1,MAX(0,(AB$5-$H$22+1)/$T$22))*IF(AB$5=$H$22,$U$22,IF(AND(AB$5&gt;$H$22,AB$5&lt;$H$22+$F$22),1,IF(AB$5=$H$22+$F$22,1-$U$22,0)))</f>
        <v>0</v>
      </c>
      <c r="AC85" s="131" t="n">
        <f aca="false">(1-$I$22)*(1-$J$22)*$D$22*$E$22/4*MIN(1,MAX(0,(AC$5-$H$22+1)/$T$22))*IF(AC$5=$H$22,$U$22,IF(AND(AC$5&gt;$H$22,AC$5&lt;$H$22+$F$22),1,IF(AC$5=$H$22+$F$22,1-$U$22,0)))</f>
        <v>0</v>
      </c>
      <c r="AD85" s="131" t="n">
        <f aca="false">(1-$I$22)*(1-$J$22)*$D$22*$E$22/4*MIN(1,MAX(0,(AD$5-$H$22+1)/$T$22))*IF(AD$5=$H$22,$U$22,IF(AND(AD$5&gt;$H$22,AD$5&lt;$H$22+$F$22),1,IF(AD$5=$H$22+$F$22,1-$U$22,0)))</f>
        <v>0</v>
      </c>
      <c r="AE85" s="131" t="n">
        <f aca="false">(1-$I$22)*(1-$J$22)*$D$22*$E$22/4*MIN(1,MAX(0,(AE$5-$H$22+1)/$T$22))*IF(AE$5=$H$22,$U$22,IF(AND(AE$5&gt;$H$22,AE$5&lt;$H$22+$F$22),1,IF(AE$5=$H$22+$F$22,1-$U$22,0)))</f>
        <v>0</v>
      </c>
      <c r="AF85" s="131" t="n">
        <f aca="false">(1-$I$22)*(1-$J$22)*$D$22*$E$22/4*MIN(1,MAX(0,(AF$5-$H$22+1)/$T$22))*IF(AF$5=$H$22,$U$22,IF(AND(AF$5&gt;$H$22,AF$5&lt;$H$22+$F$22),1,IF(AF$5=$H$22+$F$22,1-$U$22,0)))</f>
        <v>0</v>
      </c>
      <c r="AG85" s="131" t="n">
        <f aca="false">(1-$I$22)*(1-$J$22)*$D$22*$E$22/4*MIN(1,MAX(0,(AG$5-$H$22+1)/$T$22))*IF(AG$5=$H$22,$U$22,IF(AND(AG$5&gt;$H$22,AG$5&lt;$H$22+$F$22),1,IF(AG$5=$H$22+$F$22,1-$U$22,0)))</f>
        <v>0</v>
      </c>
      <c r="AI85" s="131" t="n">
        <f aca="false">SUMIF($F$7:$AG$7,AI$7,$F85:$AG85)</f>
        <v>0</v>
      </c>
      <c r="AJ85" s="131" t="n">
        <f aca="false">SUMIF($F$7:$AG$7,AJ$7,$F85:$AG85)</f>
        <v>0</v>
      </c>
      <c r="AK85" s="131" t="n">
        <f aca="false">SUMIF($F$7:$AG$7,AK$7,$F85:$AG85)</f>
        <v>0</v>
      </c>
      <c r="AL85" s="131" t="n">
        <f aca="false">SUMIF($F$7:$AG$7,AL$7,$F85:$AG85)</f>
        <v>0</v>
      </c>
      <c r="AM85" s="131" t="n">
        <f aca="false">SUMIF($F$7:$AG$7,AM$7,$F85:$AG85)</f>
        <v>0</v>
      </c>
      <c r="AN85" s="131" t="n">
        <f aca="false">SUMIF($F$7:$AG$7,AN$7,$F85:$AG85)</f>
        <v>0</v>
      </c>
      <c r="AO85" s="131" t="n">
        <f aca="false">SUMIF($F$7:$AG$7,AO$7,$F85:$AG85)</f>
        <v>0</v>
      </c>
    </row>
    <row r="86" customFormat="false" ht="15" hidden="false" customHeight="false" outlineLevel="0" collapsed="false">
      <c r="A86" s="112" t="s">
        <v>2126</v>
      </c>
      <c r="B86" s="24" t="s">
        <v>857</v>
      </c>
      <c r="C86" s="24"/>
      <c r="D86" s="24"/>
      <c r="F86" s="121" t="n">
        <f aca="false">(1-$I$22)*(1-$J$22)*$D$22*AND(F$5&gt;=$H$22,F$5&lt;$H$22+$F$22)</f>
        <v>0</v>
      </c>
      <c r="G86" s="121" t="n">
        <f aca="false">(1-$I$22)*(1-$J$22)*$D$22*AND(G$5&gt;=$H$22,G$5&lt;$H$22+$F$22)</f>
        <v>0</v>
      </c>
      <c r="H86" s="121" t="n">
        <f aca="false">(1-$I$22)*(1-$J$22)*$D$22*AND(H$5&gt;=$H$22,H$5&lt;$H$22+$F$22)</f>
        <v>0</v>
      </c>
      <c r="I86" s="121" t="n">
        <f aca="false">(1-$I$22)*(1-$J$22)*$D$22*AND(I$5&gt;=$H$22,I$5&lt;$H$22+$F$22)</f>
        <v>0</v>
      </c>
      <c r="J86" s="121" t="n">
        <f aca="false">(1-$I$22)*(1-$J$22)*$D$22*AND(J$5&gt;=$H$22,J$5&lt;$H$22+$F$22)</f>
        <v>0</v>
      </c>
      <c r="K86" s="121" t="n">
        <f aca="false">(1-$I$22)*(1-$J$22)*$D$22*AND(K$5&gt;=$H$22,K$5&lt;$H$22+$F$22)</f>
        <v>0</v>
      </c>
      <c r="L86" s="121" t="n">
        <f aca="false">(1-$I$22)*(1-$J$22)*$D$22*AND(L$5&gt;=$H$22,L$5&lt;$H$22+$F$22)</f>
        <v>0</v>
      </c>
      <c r="M86" s="121" t="n">
        <f aca="false">(1-$I$22)*(1-$J$22)*$D$22*AND(M$5&gt;=$H$22,M$5&lt;$H$22+$F$22)</f>
        <v>0</v>
      </c>
      <c r="N86" s="121" t="n">
        <f aca="false">(1-$I$22)*(1-$J$22)*$D$22*AND(N$5&gt;=$H$22,N$5&lt;$H$22+$F$22)</f>
        <v>0</v>
      </c>
      <c r="O86" s="121" t="n">
        <f aca="false">(1-$I$22)*(1-$J$22)*$D$22*AND(O$5&gt;=$H$22,O$5&lt;$H$22+$F$22)</f>
        <v>0</v>
      </c>
      <c r="P86" s="39" t="n">
        <f aca="false">(1-$I$22)*(1-$J$22)*$D$22*AND(P$5&gt;=$H$22,P$5&lt;$H$22+$F$22)</f>
        <v>0</v>
      </c>
      <c r="Q86" s="39" t="n">
        <f aca="false">(1-$I$22)*(1-$J$22)*$D$22*AND(Q$5&gt;=$H$22,Q$5&lt;$H$22+$F$22)</f>
        <v>0</v>
      </c>
      <c r="R86" s="39" t="n">
        <f aca="false">(1-$I$22)*(1-$J$22)*$D$22*AND(R$5&gt;=$H$22,R$5&lt;$H$22+$F$22)</f>
        <v>0</v>
      </c>
      <c r="S86" s="39" t="n">
        <f aca="false">(1-$I$22)*(1-$J$22)*$D$22*AND(S$5&gt;=$H$22,S$5&lt;$H$22+$F$22)</f>
        <v>0</v>
      </c>
      <c r="T86" s="39" t="n">
        <f aca="false">(1-$I$22)*(1-$J$22)*$D$22*AND(T$5&gt;=$H$22,T$5&lt;$H$22+$F$22)</f>
        <v>0</v>
      </c>
      <c r="U86" s="39" t="n">
        <f aca="false">(1-$I$22)*(1-$J$22)*$D$22*AND(U$5&gt;=$H$22,U$5&lt;$H$22+$F$22)</f>
        <v>0</v>
      </c>
      <c r="V86" s="39" t="n">
        <f aca="false">(1-$I$22)*(1-$J$22)*$D$22*AND(V$5&gt;=$H$22,V$5&lt;$H$22+$F$22)</f>
        <v>0</v>
      </c>
      <c r="W86" s="39" t="n">
        <f aca="false">(1-$I$22)*(1-$J$22)*$D$22*AND(W$5&gt;=$H$22,W$5&lt;$H$22+$F$22)</f>
        <v>0</v>
      </c>
      <c r="X86" s="39" t="n">
        <f aca="false">(1-$I$22)*(1-$J$22)*$D$22*AND(X$5&gt;=$H$22,X$5&lt;$H$22+$F$22)</f>
        <v>0</v>
      </c>
      <c r="Y86" s="39" t="n">
        <f aca="false">(1-$I$22)*(1-$J$22)*$D$22*AND(Y$5&gt;=$H$22,Y$5&lt;$H$22+$F$22)</f>
        <v>0</v>
      </c>
      <c r="Z86" s="39" t="n">
        <f aca="false">(1-$I$22)*(1-$J$22)*$D$22*AND(Z$5&gt;=$H$22,Z$5&lt;$H$22+$F$22)</f>
        <v>0</v>
      </c>
      <c r="AA86" s="39" t="n">
        <f aca="false">(1-$I$22)*(1-$J$22)*$D$22*AND(AA$5&gt;=$H$22,AA$5&lt;$H$22+$F$22)</f>
        <v>0</v>
      </c>
      <c r="AB86" s="39" t="n">
        <f aca="false">(1-$I$22)*(1-$J$22)*$D$22*AND(AB$5&gt;=$H$22,AB$5&lt;$H$22+$F$22)</f>
        <v>0</v>
      </c>
      <c r="AC86" s="39" t="n">
        <f aca="false">(1-$I$22)*(1-$J$22)*$D$22*AND(AC$5&gt;=$H$22,AC$5&lt;$H$22+$F$22)</f>
        <v>0</v>
      </c>
      <c r="AD86" s="39" t="n">
        <f aca="false">(1-$I$22)*(1-$J$22)*$D$22*AND(AD$5&gt;=$H$22,AD$5&lt;$H$22+$F$22)</f>
        <v>0</v>
      </c>
      <c r="AE86" s="39" t="n">
        <f aca="false">(1-$I$22)*(1-$J$22)*$D$22*AND(AE$5&gt;=$H$22,AE$5&lt;$H$22+$F$22)</f>
        <v>0</v>
      </c>
      <c r="AF86" s="39" t="n">
        <f aca="false">(1-$I$22)*(1-$J$22)*$D$22*AND(AF$5&gt;=$H$22,AF$5&lt;$H$22+$F$22)</f>
        <v>0</v>
      </c>
      <c r="AG86" s="39" t="n">
        <f aca="false">(1-$I$22)*(1-$J$22)*$D$22*AND(AG$5&gt;=$H$22,AG$5&lt;$H$22+$F$22)</f>
        <v>0</v>
      </c>
      <c r="AI86" s="39" t="n">
        <f aca="false">INDEX($F86:$AG86,1,MATCH(AI$7,$F$7:$AG$7,1))</f>
        <v>0</v>
      </c>
      <c r="AJ86" s="39" t="n">
        <f aca="false">INDEX($F86:$AG86,1,MATCH(AJ$7,$F$7:$AG$7,1))</f>
        <v>0</v>
      </c>
      <c r="AK86" s="39" t="n">
        <f aca="false">INDEX($F86:$AG86,1,MATCH(AK$7,$F$7:$AG$7,1))</f>
        <v>0</v>
      </c>
      <c r="AL86" s="39" t="n">
        <f aca="false">INDEX($F86:$AG86,1,MATCH(AL$7,$F$7:$AG$7,1))</f>
        <v>0</v>
      </c>
      <c r="AM86" s="39" t="n">
        <f aca="false">INDEX($F86:$AG86,1,MATCH(AM$7,$F$7:$AG$7,1))</f>
        <v>0</v>
      </c>
      <c r="AN86" s="39" t="n">
        <f aca="false">INDEX($F86:$AG86,1,MATCH(AN$7,$F$7:$AG$7,1))</f>
        <v>0</v>
      </c>
      <c r="AO86" s="39" t="n">
        <f aca="false">INDEX($F86:$AG86,1,MATCH(AO$7,$F$7:$AG$7,1))</f>
        <v>0</v>
      </c>
    </row>
    <row r="87" customFormat="false" ht="15" hidden="false" customHeight="false" outlineLevel="0" collapsed="false">
      <c r="A87" s="112" t="s">
        <v>2127</v>
      </c>
      <c r="B87" s="24" t="s">
        <v>745</v>
      </c>
      <c r="C87" s="24"/>
      <c r="D87" s="24"/>
      <c r="F87" s="130" t="n">
        <f aca="false">-(1-$I$22)*LD_Pct*$D$22*$E$22/4*AND(F$5&gt;=$G$22,F$5&lt;$H$22)</f>
        <v>-0</v>
      </c>
      <c r="G87" s="130" t="n">
        <f aca="false">-(1-$I$22)*LD_Pct*$D$22*$E$22/4*AND(G$5&gt;=$G$22,G$5&lt;$H$22)</f>
        <v>-0</v>
      </c>
      <c r="H87" s="130" t="n">
        <f aca="false">-(1-$I$22)*LD_Pct*$D$22*$E$22/4*AND(H$5&gt;=$G$22,H$5&lt;$H$22)</f>
        <v>-0</v>
      </c>
      <c r="I87" s="130" t="n">
        <f aca="false">-(1-$I$22)*LD_Pct*$D$22*$E$22/4*AND(I$5&gt;=$G$22,I$5&lt;$H$22)</f>
        <v>-0</v>
      </c>
      <c r="J87" s="130" t="n">
        <f aca="false">-(1-$I$22)*LD_Pct*$D$22*$E$22/4*AND(J$5&gt;=$G$22,J$5&lt;$H$22)</f>
        <v>-0</v>
      </c>
      <c r="K87" s="130" t="n">
        <f aca="false">-(1-$I$22)*LD_Pct*$D$22*$E$22/4*AND(K$5&gt;=$G$22,K$5&lt;$H$22)</f>
        <v>-0</v>
      </c>
      <c r="L87" s="130" t="n">
        <f aca="false">-(1-$I$22)*LD_Pct*$D$22*$E$22/4*AND(L$5&gt;=$G$22,L$5&lt;$H$22)</f>
        <v>-0</v>
      </c>
      <c r="M87" s="130" t="n">
        <f aca="false">-(1-$I$22)*LD_Pct*$D$22*$E$22/4*AND(M$5&gt;=$G$22,M$5&lt;$H$22)</f>
        <v>-0</v>
      </c>
      <c r="N87" s="130" t="n">
        <f aca="false">-(1-$I$22)*LD_Pct*$D$22*$E$22/4*AND(N$5&gt;=$G$22,N$5&lt;$H$22)</f>
        <v>-0</v>
      </c>
      <c r="O87" s="130" t="n">
        <f aca="false">-(1-$I$22)*LD_Pct*$D$22*$E$22/4*AND(O$5&gt;=$G$22,O$5&lt;$H$22)</f>
        <v>-0</v>
      </c>
      <c r="P87" s="131" t="n">
        <f aca="false">-(1-$I$22)*LD_Pct*$D$22*$E$22/4*AND(P$5&gt;=$G$22,P$5&lt;$H$22)</f>
        <v>-0</v>
      </c>
      <c r="Q87" s="131" t="n">
        <f aca="false">-(1-$I$22)*LD_Pct*$D$22*$E$22/4*AND(Q$5&gt;=$G$22,Q$5&lt;$H$22)</f>
        <v>-0</v>
      </c>
      <c r="R87" s="131" t="n">
        <f aca="false">-(1-$I$22)*LD_Pct*$D$22*$E$22/4*AND(R$5&gt;=$G$22,R$5&lt;$H$22)</f>
        <v>-0</v>
      </c>
      <c r="S87" s="131" t="n">
        <f aca="false">-(1-$I$22)*LD_Pct*$D$22*$E$22/4*AND(S$5&gt;=$G$22,S$5&lt;$H$22)</f>
        <v>-0</v>
      </c>
      <c r="T87" s="131" t="n">
        <f aca="false">-(1-$I$22)*LD_Pct*$D$22*$E$22/4*AND(T$5&gt;=$G$22,T$5&lt;$H$22)</f>
        <v>-0</v>
      </c>
      <c r="U87" s="131" t="n">
        <f aca="false">-(1-$I$22)*LD_Pct*$D$22*$E$22/4*AND(U$5&gt;=$G$22,U$5&lt;$H$22)</f>
        <v>-0</v>
      </c>
      <c r="V87" s="131" t="n">
        <f aca="false">-(1-$I$22)*LD_Pct*$D$22*$E$22/4*AND(V$5&gt;=$G$22,V$5&lt;$H$22)</f>
        <v>-0</v>
      </c>
      <c r="W87" s="131" t="n">
        <f aca="false">-(1-$I$22)*LD_Pct*$D$22*$E$22/4*AND(W$5&gt;=$G$22,W$5&lt;$H$22)</f>
        <v>-0</v>
      </c>
      <c r="X87" s="131" t="n">
        <f aca="false">-(1-$I$22)*LD_Pct*$D$22*$E$22/4*AND(X$5&gt;=$G$22,X$5&lt;$H$22)</f>
        <v>-0</v>
      </c>
      <c r="Y87" s="131" t="n">
        <f aca="false">-(1-$I$22)*LD_Pct*$D$22*$E$22/4*AND(Y$5&gt;=$G$22,Y$5&lt;$H$22)</f>
        <v>-0</v>
      </c>
      <c r="Z87" s="131" t="n">
        <f aca="false">-(1-$I$22)*LD_Pct*$D$22*$E$22/4*AND(Z$5&gt;=$G$22,Z$5&lt;$H$22)</f>
        <v>-0</v>
      </c>
      <c r="AA87" s="131" t="n">
        <f aca="false">-(1-$I$22)*LD_Pct*$D$22*$E$22/4*AND(AA$5&gt;=$G$22,AA$5&lt;$H$22)</f>
        <v>-0</v>
      </c>
      <c r="AB87" s="131" t="n">
        <f aca="false">-(1-$I$22)*LD_Pct*$D$22*$E$22/4*AND(AB$5&gt;=$G$22,AB$5&lt;$H$22)</f>
        <v>-0</v>
      </c>
      <c r="AC87" s="131" t="n">
        <f aca="false">-(1-$I$22)*LD_Pct*$D$22*$E$22/4*AND(AC$5&gt;=$G$22,AC$5&lt;$H$22)</f>
        <v>-0</v>
      </c>
      <c r="AD87" s="131" t="n">
        <f aca="false">-(1-$I$22)*LD_Pct*$D$22*$E$22/4*AND(AD$5&gt;=$G$22,AD$5&lt;$H$22)</f>
        <v>-0</v>
      </c>
      <c r="AE87" s="131" t="n">
        <f aca="false">-(1-$I$22)*LD_Pct*$D$22*$E$22/4*AND(AE$5&gt;=$G$22,AE$5&lt;$H$22)</f>
        <v>-0</v>
      </c>
      <c r="AF87" s="131" t="n">
        <f aca="false">-(1-$I$22)*LD_Pct*$D$22*$E$22/4*AND(AF$5&gt;=$G$22,AF$5&lt;$H$22)</f>
        <v>-0</v>
      </c>
      <c r="AG87" s="131" t="n">
        <f aca="false">-(1-$I$22)*LD_Pct*$D$22*$E$22/4*AND(AG$5&gt;=$G$22,AG$5&lt;$H$22)</f>
        <v>-0</v>
      </c>
      <c r="AI87" s="131" t="n">
        <f aca="false">SUMIF($F$7:$AG$7,AI$7,$F87:$AG87)</f>
        <v>0</v>
      </c>
      <c r="AJ87" s="131" t="n">
        <f aca="false">SUMIF($F$7:$AG$7,AJ$7,$F87:$AG87)</f>
        <v>0</v>
      </c>
      <c r="AK87" s="131" t="n">
        <f aca="false">SUMIF($F$7:$AG$7,AK$7,$F87:$AG87)</f>
        <v>0</v>
      </c>
      <c r="AL87" s="131" t="n">
        <f aca="false">SUMIF($F$7:$AG$7,AL$7,$F87:$AG87)</f>
        <v>0</v>
      </c>
      <c r="AM87" s="131" t="n">
        <f aca="false">SUMIF($F$7:$AG$7,AM$7,$F87:$AG87)</f>
        <v>0</v>
      </c>
      <c r="AN87" s="131" t="n">
        <f aca="false">SUMIF($F$7:$AG$7,AN$7,$F87:$AG87)</f>
        <v>0</v>
      </c>
      <c r="AO87" s="131" t="n">
        <f aca="false">SUMIF($F$7:$AG$7,AO$7,$F87:$AG87)</f>
        <v>0</v>
      </c>
    </row>
    <row r="88" customFormat="false" ht="15" hidden="false" customHeight="false" outlineLevel="0" collapsed="false">
      <c r="A88" s="112" t="s">
        <v>2128</v>
      </c>
      <c r="B88" s="24" t="s">
        <v>857</v>
      </c>
      <c r="C88" s="24"/>
      <c r="D88" s="24"/>
      <c r="F88" s="121" t="n">
        <f aca="false">(1-$I$22)*(1-$J$22)*$D$22*(F$5&gt;=$H$22+$F$22)</f>
        <v>0</v>
      </c>
      <c r="G88" s="121" t="n">
        <f aca="false">(1-$I$22)*(1-$J$22)*$D$22*(G$5&gt;=$H$22+$F$22)</f>
        <v>0</v>
      </c>
      <c r="H88" s="121" t="n">
        <f aca="false">(1-$I$22)*(1-$J$22)*$D$22*(H$5&gt;=$H$22+$F$22)</f>
        <v>0</v>
      </c>
      <c r="I88" s="121" t="n">
        <f aca="false">(1-$I$22)*(1-$J$22)*$D$22*(I$5&gt;=$H$22+$F$22)</f>
        <v>0</v>
      </c>
      <c r="J88" s="121" t="n">
        <f aca="false">(1-$I$22)*(1-$J$22)*$D$22*(J$5&gt;=$H$22+$F$22)</f>
        <v>0</v>
      </c>
      <c r="K88" s="121" t="n">
        <f aca="false">(1-$I$22)*(1-$J$22)*$D$22*(K$5&gt;=$H$22+$F$22)</f>
        <v>0</v>
      </c>
      <c r="L88" s="121" t="n">
        <f aca="false">(1-$I$22)*(1-$J$22)*$D$22*(L$5&gt;=$H$22+$F$22)</f>
        <v>0</v>
      </c>
      <c r="M88" s="121" t="n">
        <f aca="false">(1-$I$22)*(1-$J$22)*$D$22*(M$5&gt;=$H$22+$F$22)</f>
        <v>0</v>
      </c>
      <c r="N88" s="121" t="n">
        <f aca="false">(1-$I$22)*(1-$J$22)*$D$22*(N$5&gt;=$H$22+$F$22)</f>
        <v>0</v>
      </c>
      <c r="O88" s="121" t="n">
        <f aca="false">(1-$I$22)*(1-$J$22)*$D$22*(O$5&gt;=$H$22+$F$22)</f>
        <v>0</v>
      </c>
      <c r="P88" s="39" t="n">
        <f aca="false">(1-$I$22)*(1-$J$22)*$D$22*(P$5&gt;=$H$22+$F$22)</f>
        <v>0</v>
      </c>
      <c r="Q88" s="39" t="n">
        <f aca="false">(1-$I$22)*(1-$J$22)*$D$22*(Q$5&gt;=$H$22+$F$22)</f>
        <v>0</v>
      </c>
      <c r="R88" s="39" t="n">
        <f aca="false">(1-$I$22)*(1-$J$22)*$D$22*(R$5&gt;=$H$22+$F$22)</f>
        <v>0</v>
      </c>
      <c r="S88" s="39" t="n">
        <f aca="false">(1-$I$22)*(1-$J$22)*$D$22*(S$5&gt;=$H$22+$F$22)</f>
        <v>0</v>
      </c>
      <c r="T88" s="39" t="n">
        <f aca="false">(1-$I$22)*(1-$J$22)*$D$22*(T$5&gt;=$H$22+$F$22)</f>
        <v>0</v>
      </c>
      <c r="U88" s="39" t="n">
        <f aca="false">(1-$I$22)*(1-$J$22)*$D$22*(U$5&gt;=$H$22+$F$22)</f>
        <v>0</v>
      </c>
      <c r="V88" s="39" t="n">
        <f aca="false">(1-$I$22)*(1-$J$22)*$D$22*(V$5&gt;=$H$22+$F$22)</f>
        <v>0</v>
      </c>
      <c r="W88" s="39" t="n">
        <f aca="false">(1-$I$22)*(1-$J$22)*$D$22*(W$5&gt;=$H$22+$F$22)</f>
        <v>0</v>
      </c>
      <c r="X88" s="39" t="n">
        <f aca="false">(1-$I$22)*(1-$J$22)*$D$22*(X$5&gt;=$H$22+$F$22)</f>
        <v>0</v>
      </c>
      <c r="Y88" s="39" t="n">
        <f aca="false">(1-$I$22)*(1-$J$22)*$D$22*(Y$5&gt;=$H$22+$F$22)</f>
        <v>0</v>
      </c>
      <c r="Z88" s="39" t="n">
        <f aca="false">(1-$I$22)*(1-$J$22)*$D$22*(Z$5&gt;=$H$22+$F$22)</f>
        <v>0</v>
      </c>
      <c r="AA88" s="39" t="n">
        <f aca="false">(1-$I$22)*(1-$J$22)*$D$22*(AA$5&gt;=$H$22+$F$22)</f>
        <v>0</v>
      </c>
      <c r="AB88" s="39" t="n">
        <f aca="false">(1-$I$22)*(1-$J$22)*$D$22*(AB$5&gt;=$H$22+$F$22)</f>
        <v>0</v>
      </c>
      <c r="AC88" s="39" t="n">
        <f aca="false">(1-$I$22)*(1-$J$22)*$D$22*(AC$5&gt;=$H$22+$F$22)</f>
        <v>0</v>
      </c>
      <c r="AD88" s="39" t="n">
        <f aca="false">(1-$I$22)*(1-$J$22)*$D$22*(AD$5&gt;=$H$22+$F$22)</f>
        <v>0</v>
      </c>
      <c r="AE88" s="39" t="n">
        <f aca="false">(1-$I$22)*(1-$J$22)*$D$22*(AE$5&gt;=$H$22+$F$22)</f>
        <v>0</v>
      </c>
      <c r="AF88" s="39" t="n">
        <f aca="false">(1-$I$22)*(1-$J$22)*$D$22*(AF$5&gt;=$H$22+$F$22)</f>
        <v>0</v>
      </c>
      <c r="AG88" s="39" t="n">
        <f aca="false">(1-$I$22)*(1-$J$22)*$D$22*(AG$5&gt;=$H$22+$F$22)</f>
        <v>0</v>
      </c>
      <c r="AI88" s="39" t="n">
        <f aca="false">INDEX($F88:$AG88,1,MATCH(AI$7,$F$7:$AG$7,1))</f>
        <v>0</v>
      </c>
      <c r="AJ88" s="39" t="n">
        <f aca="false">INDEX($F88:$AG88,1,MATCH(AJ$7,$F$7:$AG$7,1))</f>
        <v>0</v>
      </c>
      <c r="AK88" s="39" t="n">
        <f aca="false">INDEX($F88:$AG88,1,MATCH(AK$7,$F$7:$AG$7,1))</f>
        <v>0</v>
      </c>
      <c r="AL88" s="39" t="n">
        <f aca="false">INDEX($F88:$AG88,1,MATCH(AL$7,$F$7:$AG$7,1))</f>
        <v>0</v>
      </c>
      <c r="AM88" s="39" t="n">
        <f aca="false">INDEX($F88:$AG88,1,MATCH(AM$7,$F$7:$AG$7,1))</f>
        <v>0</v>
      </c>
      <c r="AN88" s="39" t="n">
        <f aca="false">INDEX($F88:$AG88,1,MATCH(AN$7,$F$7:$AG$7,1))</f>
        <v>0</v>
      </c>
      <c r="AO88" s="39" t="n">
        <f aca="false">INDEX($F88:$AG88,1,MATCH(AO$7,$F$7:$AG$7,1))</f>
        <v>0</v>
      </c>
    </row>
    <row r="89" customFormat="false" ht="15" hidden="false" customHeight="false" outlineLevel="0" collapsed="false">
      <c r="A89" s="112" t="s">
        <v>2129</v>
      </c>
      <c r="B89" s="24" t="s">
        <v>745</v>
      </c>
      <c r="C89" s="24"/>
      <c r="D89" s="24" t="s">
        <v>2079</v>
      </c>
      <c r="F89" s="130" t="n">
        <f aca="false">F88*CHOOSE(MATCH($C$22,{"H";"B";"N"},0),GPUMW_H*ODc_H,GPUMW_B*ODc_B,GPUMW_N*ODc_N)*ResidUtil*Timeline!F$9*INDEX(Curve,1,MAX(1,MIN(8,INT((F$5-$H$22)/4)+1)))/1000000</f>
        <v>0</v>
      </c>
      <c r="G89" s="130" t="n">
        <f aca="false">G88*CHOOSE(MATCH($C$22,{"H";"B";"N"},0),GPUMW_H*ODc_H,GPUMW_B*ODc_B,GPUMW_N*ODc_N)*ResidUtil*Timeline!G$9*INDEX(Curve,1,MAX(1,MIN(8,INT((G$5-$H$22)/4)+1)))/1000000</f>
        <v>0</v>
      </c>
      <c r="H89" s="130" t="n">
        <f aca="false">H88*CHOOSE(MATCH($C$22,{"H";"B";"N"},0),GPUMW_H*ODc_H,GPUMW_B*ODc_B,GPUMW_N*ODc_N)*ResidUtil*Timeline!H$9*INDEX(Curve,1,MAX(1,MIN(8,INT((H$5-$H$22)/4)+1)))/1000000</f>
        <v>0</v>
      </c>
      <c r="I89" s="130" t="n">
        <f aca="false">I88*CHOOSE(MATCH($C$22,{"H";"B";"N"},0),GPUMW_H*ODc_H,GPUMW_B*ODc_B,GPUMW_N*ODc_N)*ResidUtil*Timeline!I$9*INDEX(Curve,1,MAX(1,MIN(8,INT((I$5-$H$22)/4)+1)))/1000000</f>
        <v>0</v>
      </c>
      <c r="J89" s="130" t="n">
        <f aca="false">J88*CHOOSE(MATCH($C$22,{"H";"B";"N"},0),GPUMW_H*ODc_H,GPUMW_B*ODc_B,GPUMW_N*ODc_N)*ResidUtil*Timeline!J$9*INDEX(Curve,1,MAX(1,MIN(8,INT((J$5-$H$22)/4)+1)))/1000000</f>
        <v>0</v>
      </c>
      <c r="K89" s="130" t="n">
        <f aca="false">K88*CHOOSE(MATCH($C$22,{"H";"B";"N"},0),GPUMW_H*ODc_H,GPUMW_B*ODc_B,GPUMW_N*ODc_N)*ResidUtil*Timeline!K$9*INDEX(Curve,1,MAX(1,MIN(8,INT((K$5-$H$22)/4)+1)))/1000000</f>
        <v>0</v>
      </c>
      <c r="L89" s="130" t="n">
        <f aca="false">L88*CHOOSE(MATCH($C$22,{"H";"B";"N"},0),GPUMW_H*ODc_H,GPUMW_B*ODc_B,GPUMW_N*ODc_N)*ResidUtil*Timeline!L$9*INDEX(Curve,1,MAX(1,MIN(8,INT((L$5-$H$22)/4)+1)))/1000000</f>
        <v>0</v>
      </c>
      <c r="M89" s="130" t="n">
        <f aca="false">M88*CHOOSE(MATCH($C$22,{"H";"B";"N"},0),GPUMW_H*ODc_H,GPUMW_B*ODc_B,GPUMW_N*ODc_N)*ResidUtil*Timeline!M$9*INDEX(Curve,1,MAX(1,MIN(8,INT((M$5-$H$22)/4)+1)))/1000000</f>
        <v>0</v>
      </c>
      <c r="N89" s="130" t="n">
        <f aca="false">N88*CHOOSE(MATCH($C$22,{"H";"B";"N"},0),GPUMW_H*ODc_H,GPUMW_B*ODc_B,GPUMW_N*ODc_N)*ResidUtil*Timeline!N$9*INDEX(Curve,1,MAX(1,MIN(8,INT((N$5-$H$22)/4)+1)))/1000000</f>
        <v>0</v>
      </c>
      <c r="O89" s="130" t="n">
        <f aca="false">O88*CHOOSE(MATCH($C$22,{"H";"B";"N"},0),GPUMW_H*ODc_H,GPUMW_B*ODc_B,GPUMW_N*ODc_N)*ResidUtil*Timeline!O$9*INDEX(Curve,1,MAX(1,MIN(8,INT((O$5-$H$22)/4)+1)))/1000000</f>
        <v>0</v>
      </c>
      <c r="P89" s="131" t="n">
        <f aca="false">P88*CHOOSE(MATCH($C$22,{"H";"B";"N"},0),GPUMW_H*ODc_H,GPUMW_B*ODc_B,GPUMW_N*ODc_N)*ResidUtil*Timeline!P$9*INDEX(Curve,1,MAX(1,MIN(8,INT((P$5-$H$22)/4)+1)))/1000000</f>
        <v>0</v>
      </c>
      <c r="Q89" s="131" t="n">
        <f aca="false">Q88*CHOOSE(MATCH($C$22,{"H";"B";"N"},0),GPUMW_H*ODc_H,GPUMW_B*ODc_B,GPUMW_N*ODc_N)*ResidUtil*Timeline!Q$9*INDEX(Curve,1,MAX(1,MIN(8,INT((Q$5-$H$22)/4)+1)))/1000000</f>
        <v>0</v>
      </c>
      <c r="R89" s="131" t="n">
        <f aca="false">R88*CHOOSE(MATCH($C$22,{"H";"B";"N"},0),GPUMW_H*ODc_H,GPUMW_B*ODc_B,GPUMW_N*ODc_N)*ResidUtil*Timeline!R$9*INDEX(Curve,1,MAX(1,MIN(8,INT((R$5-$H$22)/4)+1)))/1000000</f>
        <v>0</v>
      </c>
      <c r="S89" s="131" t="n">
        <f aca="false">S88*CHOOSE(MATCH($C$22,{"H";"B";"N"},0),GPUMW_H*ODc_H,GPUMW_B*ODc_B,GPUMW_N*ODc_N)*ResidUtil*Timeline!S$9*INDEX(Curve,1,MAX(1,MIN(8,INT((S$5-$H$22)/4)+1)))/1000000</f>
        <v>0</v>
      </c>
      <c r="T89" s="131" t="n">
        <f aca="false">T88*CHOOSE(MATCH($C$22,{"H";"B";"N"},0),GPUMW_H*ODc_H,GPUMW_B*ODc_B,GPUMW_N*ODc_N)*ResidUtil*Timeline!T$9*INDEX(Curve,1,MAX(1,MIN(8,INT((T$5-$H$22)/4)+1)))/1000000</f>
        <v>0</v>
      </c>
      <c r="U89" s="131" t="n">
        <f aca="false">U88*CHOOSE(MATCH($C$22,{"H";"B";"N"},0),GPUMW_H*ODc_H,GPUMW_B*ODc_B,GPUMW_N*ODc_N)*ResidUtil*Timeline!U$9*INDEX(Curve,1,MAX(1,MIN(8,INT((U$5-$H$22)/4)+1)))/1000000</f>
        <v>0</v>
      </c>
      <c r="V89" s="131" t="n">
        <f aca="false">V88*CHOOSE(MATCH($C$22,{"H";"B";"N"},0),GPUMW_H*ODc_H,GPUMW_B*ODc_B,GPUMW_N*ODc_N)*ResidUtil*Timeline!V$9*INDEX(Curve,1,MAX(1,MIN(8,INT((V$5-$H$22)/4)+1)))/1000000</f>
        <v>0</v>
      </c>
      <c r="W89" s="131" t="n">
        <f aca="false">W88*CHOOSE(MATCH($C$22,{"H";"B";"N"},0),GPUMW_H*ODc_H,GPUMW_B*ODc_B,GPUMW_N*ODc_N)*ResidUtil*Timeline!W$9*INDEX(Curve,1,MAX(1,MIN(8,INT((W$5-$H$22)/4)+1)))/1000000</f>
        <v>0</v>
      </c>
      <c r="X89" s="131" t="n">
        <f aca="false">X88*CHOOSE(MATCH($C$22,{"H";"B";"N"},0),GPUMW_H*ODc_H,GPUMW_B*ODc_B,GPUMW_N*ODc_N)*ResidUtil*Timeline!X$9*INDEX(Curve,1,MAX(1,MIN(8,INT((X$5-$H$22)/4)+1)))/1000000</f>
        <v>0</v>
      </c>
      <c r="Y89" s="131" t="n">
        <f aca="false">Y88*CHOOSE(MATCH($C$22,{"H";"B";"N"},0),GPUMW_H*ODc_H,GPUMW_B*ODc_B,GPUMW_N*ODc_N)*ResidUtil*Timeline!Y$9*INDEX(Curve,1,MAX(1,MIN(8,INT((Y$5-$H$22)/4)+1)))/1000000</f>
        <v>0</v>
      </c>
      <c r="Z89" s="131" t="n">
        <f aca="false">Z88*CHOOSE(MATCH($C$22,{"H";"B";"N"},0),GPUMW_H*ODc_H,GPUMW_B*ODc_B,GPUMW_N*ODc_N)*ResidUtil*Timeline!Z$9*INDEX(Curve,1,MAX(1,MIN(8,INT((Z$5-$H$22)/4)+1)))/1000000</f>
        <v>0</v>
      </c>
      <c r="AA89" s="131" t="n">
        <f aca="false">AA88*CHOOSE(MATCH($C$22,{"H";"B";"N"},0),GPUMW_H*ODc_H,GPUMW_B*ODc_B,GPUMW_N*ODc_N)*ResidUtil*Timeline!AA$9*INDEX(Curve,1,MAX(1,MIN(8,INT((AA$5-$H$22)/4)+1)))/1000000</f>
        <v>0</v>
      </c>
      <c r="AB89" s="131" t="n">
        <f aca="false">AB88*CHOOSE(MATCH($C$22,{"H";"B";"N"},0),GPUMW_H*ODc_H,GPUMW_B*ODc_B,GPUMW_N*ODc_N)*ResidUtil*Timeline!AB$9*INDEX(Curve,1,MAX(1,MIN(8,INT((AB$5-$H$22)/4)+1)))/1000000</f>
        <v>0</v>
      </c>
      <c r="AC89" s="131" t="n">
        <f aca="false">AC88*CHOOSE(MATCH($C$22,{"H";"B";"N"},0),GPUMW_H*ODc_H,GPUMW_B*ODc_B,GPUMW_N*ODc_N)*ResidUtil*Timeline!AC$9*INDEX(Curve,1,MAX(1,MIN(8,INT((AC$5-$H$22)/4)+1)))/1000000</f>
        <v>0</v>
      </c>
      <c r="AD89" s="131" t="n">
        <f aca="false">AD88*CHOOSE(MATCH($C$22,{"H";"B";"N"},0),GPUMW_H*ODc_H,GPUMW_B*ODc_B,GPUMW_N*ODc_N)*ResidUtil*Timeline!AD$9*INDEX(Curve,1,MAX(1,MIN(8,INT((AD$5-$H$22)/4)+1)))/1000000</f>
        <v>0</v>
      </c>
      <c r="AE89" s="131" t="n">
        <f aca="false">AE88*CHOOSE(MATCH($C$22,{"H";"B";"N"},0),GPUMW_H*ODc_H,GPUMW_B*ODc_B,GPUMW_N*ODc_N)*ResidUtil*Timeline!AE$9*INDEX(Curve,1,MAX(1,MIN(8,INT((AE$5-$H$22)/4)+1)))/1000000</f>
        <v>0</v>
      </c>
      <c r="AF89" s="131" t="n">
        <f aca="false">AF88*CHOOSE(MATCH($C$22,{"H";"B";"N"},0),GPUMW_H*ODc_H,GPUMW_B*ODc_B,GPUMW_N*ODc_N)*ResidUtil*Timeline!AF$9*INDEX(Curve,1,MAX(1,MIN(8,INT((AF$5-$H$22)/4)+1)))/1000000</f>
        <v>0</v>
      </c>
      <c r="AG89" s="131" t="n">
        <f aca="false">AG88*CHOOSE(MATCH($C$22,{"H";"B";"N"},0),GPUMW_H*ODc_H,GPUMW_B*ODc_B,GPUMW_N*ODc_N)*ResidUtil*Timeline!AG$9*INDEX(Curve,1,MAX(1,MIN(8,INT((AG$5-$H$22)/4)+1)))/1000000</f>
        <v>0</v>
      </c>
      <c r="AI89" s="131" t="n">
        <f aca="false">SUMIF($F$7:$AG$7,AI$7,$F89:$AG89)</f>
        <v>0</v>
      </c>
      <c r="AJ89" s="131" t="n">
        <f aca="false">SUMIF($F$7:$AG$7,AJ$7,$F89:$AG89)</f>
        <v>0</v>
      </c>
      <c r="AK89" s="131" t="n">
        <f aca="false">SUMIF($F$7:$AG$7,AK$7,$F89:$AG89)</f>
        <v>0</v>
      </c>
      <c r="AL89" s="131" t="n">
        <f aca="false">SUMIF($F$7:$AG$7,AL$7,$F89:$AG89)</f>
        <v>0</v>
      </c>
      <c r="AM89" s="131" t="n">
        <f aca="false">SUMIF($F$7:$AG$7,AM$7,$F89:$AG89)</f>
        <v>0</v>
      </c>
      <c r="AN89" s="131" t="n">
        <f aca="false">SUMIF($F$7:$AG$7,AN$7,$F89:$AG89)</f>
        <v>0</v>
      </c>
      <c r="AO89" s="131" t="n">
        <f aca="false">SUMIF($F$7:$AG$7,AO$7,$F89:$AG89)</f>
        <v>0</v>
      </c>
    </row>
    <row r="90" customFormat="false" ht="15" hidden="false" customHeight="false" outlineLevel="0" collapsed="false">
      <c r="A90" s="112" t="s">
        <v>2130</v>
      </c>
      <c r="B90" s="24" t="s">
        <v>745</v>
      </c>
      <c r="C90" s="24"/>
      <c r="D90" s="24"/>
      <c r="F90" s="130" t="n">
        <f aca="false">(1-$I$23)*(1-$J$23)*$D$23*$E$23/4*MIN(1,MAX(0,(F$5-$H$23+1)/$T$23))*IF(F$5=$H$23,$U$23,IF(AND(F$5&gt;$H$23,F$5&lt;$H$23+$F$23),1,IF(F$5=$H$23+$F$23,1-$U$23,0)))</f>
        <v>0</v>
      </c>
      <c r="G90" s="130" t="n">
        <f aca="false">(1-$I$23)*(1-$J$23)*$D$23*$E$23/4*MIN(1,MAX(0,(G$5-$H$23+1)/$T$23))*IF(G$5=$H$23,$U$23,IF(AND(G$5&gt;$H$23,G$5&lt;$H$23+$F$23),1,IF(G$5=$H$23+$F$23,1-$U$23,0)))</f>
        <v>0</v>
      </c>
      <c r="H90" s="130" t="n">
        <f aca="false">(1-$I$23)*(1-$J$23)*$D$23*$E$23/4*MIN(1,MAX(0,(H$5-$H$23+1)/$T$23))*IF(H$5=$H$23,$U$23,IF(AND(H$5&gt;$H$23,H$5&lt;$H$23+$F$23),1,IF(H$5=$H$23+$F$23,1-$U$23,0)))</f>
        <v>0</v>
      </c>
      <c r="I90" s="130" t="n">
        <f aca="false">(1-$I$23)*(1-$J$23)*$D$23*$E$23/4*MIN(1,MAX(0,(I$5-$H$23+1)/$T$23))*IF(I$5=$H$23,$U$23,IF(AND(I$5&gt;$H$23,I$5&lt;$H$23+$F$23),1,IF(I$5=$H$23+$F$23,1-$U$23,0)))</f>
        <v>0</v>
      </c>
      <c r="J90" s="130" t="n">
        <f aca="false">(1-$I$23)*(1-$J$23)*$D$23*$E$23/4*MIN(1,MAX(0,(J$5-$H$23+1)/$T$23))*IF(J$5=$H$23,$U$23,IF(AND(J$5&gt;$H$23,J$5&lt;$H$23+$F$23),1,IF(J$5=$H$23+$F$23,1-$U$23,0)))</f>
        <v>0</v>
      </c>
      <c r="K90" s="130" t="n">
        <f aca="false">(1-$I$23)*(1-$J$23)*$D$23*$E$23/4*MIN(1,MAX(0,(K$5-$H$23+1)/$T$23))*IF(K$5=$H$23,$U$23,IF(AND(K$5&gt;$H$23,K$5&lt;$H$23+$F$23),1,IF(K$5=$H$23+$F$23,1-$U$23,0)))</f>
        <v>0</v>
      </c>
      <c r="L90" s="130" t="n">
        <f aca="false">(1-$I$23)*(1-$J$23)*$D$23*$E$23/4*MIN(1,MAX(0,(L$5-$H$23+1)/$T$23))*IF(L$5=$H$23,$U$23,IF(AND(L$5&gt;$H$23,L$5&lt;$H$23+$F$23),1,IF(L$5=$H$23+$F$23,1-$U$23,0)))</f>
        <v>0</v>
      </c>
      <c r="M90" s="130" t="n">
        <f aca="false">(1-$I$23)*(1-$J$23)*$D$23*$E$23/4*MIN(1,MAX(0,(M$5-$H$23+1)/$T$23))*IF(M$5=$H$23,$U$23,IF(AND(M$5&gt;$H$23,M$5&lt;$H$23+$F$23),1,IF(M$5=$H$23+$F$23,1-$U$23,0)))</f>
        <v>36.00875</v>
      </c>
      <c r="N90" s="130" t="n">
        <f aca="false">(1-$I$23)*(1-$J$23)*$D$23*$E$23/4*MIN(1,MAX(0,(N$5-$H$23+1)/$T$23))*IF(N$5=$H$23,$U$23,IF(AND(N$5&gt;$H$23,N$5&lt;$H$23+$F$23),1,IF(N$5=$H$23+$F$23,1-$U$23,0)))</f>
        <v>72.0175</v>
      </c>
      <c r="O90" s="130" t="n">
        <f aca="false">(1-$I$23)*(1-$J$23)*$D$23*$E$23/4*MIN(1,MAX(0,(O$5-$H$23+1)/$T$23))*IF(O$5=$H$23,$U$23,IF(AND(O$5&gt;$H$23,O$5&lt;$H$23+$F$23),1,IF(O$5=$H$23+$F$23,1-$U$23,0)))</f>
        <v>72.0175</v>
      </c>
      <c r="P90" s="131" t="n">
        <f aca="false">(1-$I$23)*(1-$J$23)*$D$23*$E$23/4*MIN(1,MAX(0,(P$5-$H$23+1)/$T$23))*IF(P$5=$H$23,$U$23,IF(AND(P$5&gt;$H$23,P$5&lt;$H$23+$F$23),1,IF(P$5=$H$23+$F$23,1-$U$23,0)))</f>
        <v>72.0175</v>
      </c>
      <c r="Q90" s="131" t="n">
        <f aca="false">(1-$I$23)*(1-$J$23)*$D$23*$E$23/4*MIN(1,MAX(0,(Q$5-$H$23+1)/$T$23))*IF(Q$5=$H$23,$U$23,IF(AND(Q$5&gt;$H$23,Q$5&lt;$H$23+$F$23),1,IF(Q$5=$H$23+$F$23,1-$U$23,0)))</f>
        <v>72.0175</v>
      </c>
      <c r="R90" s="131" t="n">
        <f aca="false">(1-$I$23)*(1-$J$23)*$D$23*$E$23/4*MIN(1,MAX(0,(R$5-$H$23+1)/$T$23))*IF(R$5=$H$23,$U$23,IF(AND(R$5&gt;$H$23,R$5&lt;$H$23+$F$23),1,IF(R$5=$H$23+$F$23,1-$U$23,0)))</f>
        <v>72.0175</v>
      </c>
      <c r="S90" s="131" t="n">
        <f aca="false">(1-$I$23)*(1-$J$23)*$D$23*$E$23/4*MIN(1,MAX(0,(S$5-$H$23+1)/$T$23))*IF(S$5=$H$23,$U$23,IF(AND(S$5&gt;$H$23,S$5&lt;$H$23+$F$23),1,IF(S$5=$H$23+$F$23,1-$U$23,0)))</f>
        <v>72.0175</v>
      </c>
      <c r="T90" s="131" t="n">
        <f aca="false">(1-$I$23)*(1-$J$23)*$D$23*$E$23/4*MIN(1,MAX(0,(T$5-$H$23+1)/$T$23))*IF(T$5=$H$23,$U$23,IF(AND(T$5&gt;$H$23,T$5&lt;$H$23+$F$23),1,IF(T$5=$H$23+$F$23,1-$U$23,0)))</f>
        <v>72.0175</v>
      </c>
      <c r="U90" s="131" t="n">
        <f aca="false">(1-$I$23)*(1-$J$23)*$D$23*$E$23/4*MIN(1,MAX(0,(U$5-$H$23+1)/$T$23))*IF(U$5=$H$23,$U$23,IF(AND(U$5&gt;$H$23,U$5&lt;$H$23+$F$23),1,IF(U$5=$H$23+$F$23,1-$U$23,0)))</f>
        <v>72.0175</v>
      </c>
      <c r="V90" s="131" t="n">
        <f aca="false">(1-$I$23)*(1-$J$23)*$D$23*$E$23/4*MIN(1,MAX(0,(V$5-$H$23+1)/$T$23))*IF(V$5=$H$23,$U$23,IF(AND(V$5&gt;$H$23,V$5&lt;$H$23+$F$23),1,IF(V$5=$H$23+$F$23,1-$U$23,0)))</f>
        <v>72.0175</v>
      </c>
      <c r="W90" s="131" t="n">
        <f aca="false">(1-$I$23)*(1-$J$23)*$D$23*$E$23/4*MIN(1,MAX(0,(W$5-$H$23+1)/$T$23))*IF(W$5=$H$23,$U$23,IF(AND(W$5&gt;$H$23,W$5&lt;$H$23+$F$23),1,IF(W$5=$H$23+$F$23,1-$U$23,0)))</f>
        <v>72.0175</v>
      </c>
      <c r="X90" s="131" t="n">
        <f aca="false">(1-$I$23)*(1-$J$23)*$D$23*$E$23/4*MIN(1,MAX(0,(X$5-$H$23+1)/$T$23))*IF(X$5=$H$23,$U$23,IF(AND(X$5&gt;$H$23,X$5&lt;$H$23+$F$23),1,IF(X$5=$H$23+$F$23,1-$U$23,0)))</f>
        <v>72.0175</v>
      </c>
      <c r="Y90" s="131" t="n">
        <f aca="false">(1-$I$23)*(1-$J$23)*$D$23*$E$23/4*MIN(1,MAX(0,(Y$5-$H$23+1)/$T$23))*IF(Y$5=$H$23,$U$23,IF(AND(Y$5&gt;$H$23,Y$5&lt;$H$23+$F$23),1,IF(Y$5=$H$23+$F$23,1-$U$23,0)))</f>
        <v>72.0175</v>
      </c>
      <c r="Z90" s="131" t="n">
        <f aca="false">(1-$I$23)*(1-$J$23)*$D$23*$E$23/4*MIN(1,MAX(0,(Z$5-$H$23+1)/$T$23))*IF(Z$5=$H$23,$U$23,IF(AND(Z$5&gt;$H$23,Z$5&lt;$H$23+$F$23),1,IF(Z$5=$H$23+$F$23,1-$U$23,0)))</f>
        <v>72.0175</v>
      </c>
      <c r="AA90" s="131" t="n">
        <f aca="false">(1-$I$23)*(1-$J$23)*$D$23*$E$23/4*MIN(1,MAX(0,(AA$5-$H$23+1)/$T$23))*IF(AA$5=$H$23,$U$23,IF(AND(AA$5&gt;$H$23,AA$5&lt;$H$23+$F$23),1,IF(AA$5=$H$23+$F$23,1-$U$23,0)))</f>
        <v>72.0175</v>
      </c>
      <c r="AB90" s="131" t="n">
        <f aca="false">(1-$I$23)*(1-$J$23)*$D$23*$E$23/4*MIN(1,MAX(0,(AB$5-$H$23+1)/$T$23))*IF(AB$5=$H$23,$U$23,IF(AND(AB$5&gt;$H$23,AB$5&lt;$H$23+$F$23),1,IF(AB$5=$H$23+$F$23,1-$U$23,0)))</f>
        <v>72.0175</v>
      </c>
      <c r="AC90" s="131" t="n">
        <f aca="false">(1-$I$23)*(1-$J$23)*$D$23*$E$23/4*MIN(1,MAX(0,(AC$5-$H$23+1)/$T$23))*IF(AC$5=$H$23,$U$23,IF(AND(AC$5&gt;$H$23,AC$5&lt;$H$23+$F$23),1,IF(AC$5=$H$23+$F$23,1-$U$23,0)))</f>
        <v>72.0175</v>
      </c>
      <c r="AD90" s="131" t="n">
        <f aca="false">(1-$I$23)*(1-$J$23)*$D$23*$E$23/4*MIN(1,MAX(0,(AD$5-$H$23+1)/$T$23))*IF(AD$5=$H$23,$U$23,IF(AND(AD$5&gt;$H$23,AD$5&lt;$H$23+$F$23),1,IF(AD$5=$H$23+$F$23,1-$U$23,0)))</f>
        <v>72.0175</v>
      </c>
      <c r="AE90" s="131" t="n">
        <f aca="false">(1-$I$23)*(1-$J$23)*$D$23*$E$23/4*MIN(1,MAX(0,(AE$5-$H$23+1)/$T$23))*IF(AE$5=$H$23,$U$23,IF(AND(AE$5&gt;$H$23,AE$5&lt;$H$23+$F$23),1,IF(AE$5=$H$23+$F$23,1-$U$23,0)))</f>
        <v>72.0175</v>
      </c>
      <c r="AF90" s="131" t="n">
        <f aca="false">(1-$I$23)*(1-$J$23)*$D$23*$E$23/4*MIN(1,MAX(0,(AF$5-$H$23+1)/$T$23))*IF(AF$5=$H$23,$U$23,IF(AND(AF$5&gt;$H$23,AF$5&lt;$H$23+$F$23),1,IF(AF$5=$H$23+$F$23,1-$U$23,0)))</f>
        <v>72.0175</v>
      </c>
      <c r="AG90" s="131" t="n">
        <f aca="false">(1-$I$23)*(1-$J$23)*$D$23*$E$23/4*MIN(1,MAX(0,(AG$5-$H$23+1)/$T$23))*IF(AG$5=$H$23,$U$23,IF(AND(AG$5&gt;$H$23,AG$5&lt;$H$23+$F$23),1,IF(AG$5=$H$23+$F$23,1-$U$23,0)))</f>
        <v>36.00875</v>
      </c>
      <c r="AI90" s="131" t="n">
        <f aca="false">SUMIF($F$7:$AG$7,AI$7,$F90:$AG90)</f>
        <v>0</v>
      </c>
      <c r="AJ90" s="131" t="n">
        <f aca="false">SUMIF($F$7:$AG$7,AJ$7,$F90:$AG90)</f>
        <v>36.00875</v>
      </c>
      <c r="AK90" s="131" t="n">
        <f aca="false">SUMIF($F$7:$AG$7,AK$7,$F90:$AG90)</f>
        <v>288.07</v>
      </c>
      <c r="AL90" s="131" t="n">
        <f aca="false">SUMIF($F$7:$AG$7,AL$7,$F90:$AG90)</f>
        <v>288.07</v>
      </c>
      <c r="AM90" s="131" t="n">
        <f aca="false">SUMIF($F$7:$AG$7,AM$7,$F90:$AG90)</f>
        <v>288.07</v>
      </c>
      <c r="AN90" s="131" t="n">
        <f aca="false">SUMIF($F$7:$AG$7,AN$7,$F90:$AG90)</f>
        <v>288.07</v>
      </c>
      <c r="AO90" s="131" t="n">
        <f aca="false">SUMIF($F$7:$AG$7,AO$7,$F90:$AG90)</f>
        <v>252.06125</v>
      </c>
    </row>
    <row r="91" customFormat="false" ht="15" hidden="false" customHeight="false" outlineLevel="0" collapsed="false">
      <c r="A91" s="112" t="s">
        <v>2131</v>
      </c>
      <c r="B91" s="24" t="s">
        <v>857</v>
      </c>
      <c r="C91" s="24"/>
      <c r="D91" s="24"/>
      <c r="F91" s="121" t="n">
        <f aca="false">(1-$I$23)*(1-$J$23)*$D$23*AND(F$5&gt;=$H$23,F$5&lt;$H$23+$F$23)</f>
        <v>0</v>
      </c>
      <c r="G91" s="121" t="n">
        <f aca="false">(1-$I$23)*(1-$J$23)*$D$23*AND(G$5&gt;=$H$23,G$5&lt;$H$23+$F$23)</f>
        <v>0</v>
      </c>
      <c r="H91" s="121" t="n">
        <f aca="false">(1-$I$23)*(1-$J$23)*$D$23*AND(H$5&gt;=$H$23,H$5&lt;$H$23+$F$23)</f>
        <v>0</v>
      </c>
      <c r="I91" s="121" t="n">
        <f aca="false">(1-$I$23)*(1-$J$23)*$D$23*AND(I$5&gt;=$H$23,I$5&lt;$H$23+$F$23)</f>
        <v>0</v>
      </c>
      <c r="J91" s="121" t="n">
        <f aca="false">(1-$I$23)*(1-$J$23)*$D$23*AND(J$5&gt;=$H$23,J$5&lt;$H$23+$F$23)</f>
        <v>0</v>
      </c>
      <c r="K91" s="121" t="n">
        <f aca="false">(1-$I$23)*(1-$J$23)*$D$23*AND(K$5&gt;=$H$23,K$5&lt;$H$23+$F$23)</f>
        <v>0</v>
      </c>
      <c r="L91" s="121" t="n">
        <f aca="false">(1-$I$23)*(1-$J$23)*$D$23*AND(L$5&gt;=$H$23,L$5&lt;$H$23+$F$23)</f>
        <v>0</v>
      </c>
      <c r="M91" s="121" t="n">
        <f aca="false">(1-$I$23)*(1-$J$23)*$D$23*AND(M$5&gt;=$H$23,M$5&lt;$H$23+$F$23)</f>
        <v>24.0058333333333</v>
      </c>
      <c r="N91" s="121" t="n">
        <f aca="false">(1-$I$23)*(1-$J$23)*$D$23*AND(N$5&gt;=$H$23,N$5&lt;$H$23+$F$23)</f>
        <v>24.0058333333333</v>
      </c>
      <c r="O91" s="121" t="n">
        <f aca="false">(1-$I$23)*(1-$J$23)*$D$23*AND(O$5&gt;=$H$23,O$5&lt;$H$23+$F$23)</f>
        <v>24.0058333333333</v>
      </c>
      <c r="P91" s="39" t="n">
        <f aca="false">(1-$I$23)*(1-$J$23)*$D$23*AND(P$5&gt;=$H$23,P$5&lt;$H$23+$F$23)</f>
        <v>24.0058333333333</v>
      </c>
      <c r="Q91" s="39" t="n">
        <f aca="false">(1-$I$23)*(1-$J$23)*$D$23*AND(Q$5&gt;=$H$23,Q$5&lt;$H$23+$F$23)</f>
        <v>24.0058333333333</v>
      </c>
      <c r="R91" s="39" t="n">
        <f aca="false">(1-$I$23)*(1-$J$23)*$D$23*AND(R$5&gt;=$H$23,R$5&lt;$H$23+$F$23)</f>
        <v>24.0058333333333</v>
      </c>
      <c r="S91" s="39" t="n">
        <f aca="false">(1-$I$23)*(1-$J$23)*$D$23*AND(S$5&gt;=$H$23,S$5&lt;$H$23+$F$23)</f>
        <v>24.0058333333333</v>
      </c>
      <c r="T91" s="39" t="n">
        <f aca="false">(1-$I$23)*(1-$J$23)*$D$23*AND(T$5&gt;=$H$23,T$5&lt;$H$23+$F$23)</f>
        <v>24.0058333333333</v>
      </c>
      <c r="U91" s="39" t="n">
        <f aca="false">(1-$I$23)*(1-$J$23)*$D$23*AND(U$5&gt;=$H$23,U$5&lt;$H$23+$F$23)</f>
        <v>24.0058333333333</v>
      </c>
      <c r="V91" s="39" t="n">
        <f aca="false">(1-$I$23)*(1-$J$23)*$D$23*AND(V$5&gt;=$H$23,V$5&lt;$H$23+$F$23)</f>
        <v>24.0058333333333</v>
      </c>
      <c r="W91" s="39" t="n">
        <f aca="false">(1-$I$23)*(1-$J$23)*$D$23*AND(W$5&gt;=$H$23,W$5&lt;$H$23+$F$23)</f>
        <v>24.0058333333333</v>
      </c>
      <c r="X91" s="39" t="n">
        <f aca="false">(1-$I$23)*(1-$J$23)*$D$23*AND(X$5&gt;=$H$23,X$5&lt;$H$23+$F$23)</f>
        <v>24.0058333333333</v>
      </c>
      <c r="Y91" s="39" t="n">
        <f aca="false">(1-$I$23)*(1-$J$23)*$D$23*AND(Y$5&gt;=$H$23,Y$5&lt;$H$23+$F$23)</f>
        <v>24.0058333333333</v>
      </c>
      <c r="Z91" s="39" t="n">
        <f aca="false">(1-$I$23)*(1-$J$23)*$D$23*AND(Z$5&gt;=$H$23,Z$5&lt;$H$23+$F$23)</f>
        <v>24.0058333333333</v>
      </c>
      <c r="AA91" s="39" t="n">
        <f aca="false">(1-$I$23)*(1-$J$23)*$D$23*AND(AA$5&gt;=$H$23,AA$5&lt;$H$23+$F$23)</f>
        <v>24.0058333333333</v>
      </c>
      <c r="AB91" s="39" t="n">
        <f aca="false">(1-$I$23)*(1-$J$23)*$D$23*AND(AB$5&gt;=$H$23,AB$5&lt;$H$23+$F$23)</f>
        <v>24.0058333333333</v>
      </c>
      <c r="AC91" s="39" t="n">
        <f aca="false">(1-$I$23)*(1-$J$23)*$D$23*AND(AC$5&gt;=$H$23,AC$5&lt;$H$23+$F$23)</f>
        <v>24.0058333333333</v>
      </c>
      <c r="AD91" s="39" t="n">
        <f aca="false">(1-$I$23)*(1-$J$23)*$D$23*AND(AD$5&gt;=$H$23,AD$5&lt;$H$23+$F$23)</f>
        <v>24.0058333333333</v>
      </c>
      <c r="AE91" s="39" t="n">
        <f aca="false">(1-$I$23)*(1-$J$23)*$D$23*AND(AE$5&gt;=$H$23,AE$5&lt;$H$23+$F$23)</f>
        <v>24.0058333333333</v>
      </c>
      <c r="AF91" s="39" t="n">
        <f aca="false">(1-$I$23)*(1-$J$23)*$D$23*AND(AF$5&gt;=$H$23,AF$5&lt;$H$23+$F$23)</f>
        <v>24.0058333333333</v>
      </c>
      <c r="AG91" s="39" t="n">
        <f aca="false">(1-$I$23)*(1-$J$23)*$D$23*AND(AG$5&gt;=$H$23,AG$5&lt;$H$23+$F$23)</f>
        <v>0</v>
      </c>
      <c r="AI91" s="39" t="n">
        <f aca="false">INDEX($F91:$AG91,1,MATCH(AI$7,$F$7:$AG$7,1))</f>
        <v>0</v>
      </c>
      <c r="AJ91" s="39" t="n">
        <f aca="false">INDEX($F91:$AG91,1,MATCH(AJ$7,$F$7:$AG$7,1))</f>
        <v>24.0058333333333</v>
      </c>
      <c r="AK91" s="39" t="n">
        <f aca="false">INDEX($F91:$AG91,1,MATCH(AK$7,$F$7:$AG$7,1))</f>
        <v>24.0058333333333</v>
      </c>
      <c r="AL91" s="39" t="n">
        <f aca="false">INDEX($F91:$AG91,1,MATCH(AL$7,$F$7:$AG$7,1))</f>
        <v>24.0058333333333</v>
      </c>
      <c r="AM91" s="39" t="n">
        <f aca="false">INDEX($F91:$AG91,1,MATCH(AM$7,$F$7:$AG$7,1))</f>
        <v>24.0058333333333</v>
      </c>
      <c r="AN91" s="39" t="n">
        <f aca="false">INDEX($F91:$AG91,1,MATCH(AN$7,$F$7:$AG$7,1))</f>
        <v>24.0058333333333</v>
      </c>
      <c r="AO91" s="39" t="n">
        <f aca="false">INDEX($F91:$AG91,1,MATCH(AO$7,$F$7:$AG$7,1))</f>
        <v>0</v>
      </c>
    </row>
    <row r="92" customFormat="false" ht="15" hidden="false" customHeight="false" outlineLevel="0" collapsed="false">
      <c r="A92" s="112" t="s">
        <v>2132</v>
      </c>
      <c r="B92" s="24" t="s">
        <v>745</v>
      </c>
      <c r="C92" s="24"/>
      <c r="D92" s="24"/>
      <c r="F92" s="130" t="n">
        <f aca="false">-(1-$I$23)*LD_Pct*$D$23*$E$23/4*AND(F$5&gt;=$G$23,F$5&lt;$H$23)</f>
        <v>-0</v>
      </c>
      <c r="G92" s="130" t="n">
        <f aca="false">-(1-$I$23)*LD_Pct*$D$23*$E$23/4*AND(G$5&gt;=$G$23,G$5&lt;$H$23)</f>
        <v>-0</v>
      </c>
      <c r="H92" s="130" t="n">
        <f aca="false">-(1-$I$23)*LD_Pct*$D$23*$E$23/4*AND(H$5&gt;=$G$23,H$5&lt;$H$23)</f>
        <v>-0</v>
      </c>
      <c r="I92" s="130" t="n">
        <f aca="false">-(1-$I$23)*LD_Pct*$D$23*$E$23/4*AND(I$5&gt;=$G$23,I$5&lt;$H$23)</f>
        <v>-0</v>
      </c>
      <c r="J92" s="130" t="n">
        <f aca="false">-(1-$I$23)*LD_Pct*$D$23*$E$23/4*AND(J$5&gt;=$G$23,J$5&lt;$H$23)</f>
        <v>-0</v>
      </c>
      <c r="K92" s="130" t="n">
        <f aca="false">-(1-$I$23)*LD_Pct*$D$23*$E$23/4*AND(K$5&gt;=$G$23,K$5&lt;$H$23)</f>
        <v>-0</v>
      </c>
      <c r="L92" s="130" t="n">
        <f aca="false">-(1-$I$23)*LD_Pct*$D$23*$E$23/4*AND(L$5&gt;=$G$23,L$5&lt;$H$23)</f>
        <v>-0</v>
      </c>
      <c r="M92" s="130" t="n">
        <f aca="false">-(1-$I$23)*LD_Pct*$D$23*$E$23/4*AND(M$5&gt;=$G$23,M$5&lt;$H$23)</f>
        <v>-0</v>
      </c>
      <c r="N92" s="130" t="n">
        <f aca="false">-(1-$I$23)*LD_Pct*$D$23*$E$23/4*AND(N$5&gt;=$G$23,N$5&lt;$H$23)</f>
        <v>-0</v>
      </c>
      <c r="O92" s="130" t="n">
        <f aca="false">-(1-$I$23)*LD_Pct*$D$23*$E$23/4*AND(O$5&gt;=$G$23,O$5&lt;$H$23)</f>
        <v>-0</v>
      </c>
      <c r="P92" s="131" t="n">
        <f aca="false">-(1-$I$23)*LD_Pct*$D$23*$E$23/4*AND(P$5&gt;=$G$23,P$5&lt;$H$23)</f>
        <v>-0</v>
      </c>
      <c r="Q92" s="131" t="n">
        <f aca="false">-(1-$I$23)*LD_Pct*$D$23*$E$23/4*AND(Q$5&gt;=$G$23,Q$5&lt;$H$23)</f>
        <v>-0</v>
      </c>
      <c r="R92" s="131" t="n">
        <f aca="false">-(1-$I$23)*LD_Pct*$D$23*$E$23/4*AND(R$5&gt;=$G$23,R$5&lt;$H$23)</f>
        <v>-0</v>
      </c>
      <c r="S92" s="131" t="n">
        <f aca="false">-(1-$I$23)*LD_Pct*$D$23*$E$23/4*AND(S$5&gt;=$G$23,S$5&lt;$H$23)</f>
        <v>-0</v>
      </c>
      <c r="T92" s="131" t="n">
        <f aca="false">-(1-$I$23)*LD_Pct*$D$23*$E$23/4*AND(T$5&gt;=$G$23,T$5&lt;$H$23)</f>
        <v>-0</v>
      </c>
      <c r="U92" s="131" t="n">
        <f aca="false">-(1-$I$23)*LD_Pct*$D$23*$E$23/4*AND(U$5&gt;=$G$23,U$5&lt;$H$23)</f>
        <v>-0</v>
      </c>
      <c r="V92" s="131" t="n">
        <f aca="false">-(1-$I$23)*LD_Pct*$D$23*$E$23/4*AND(V$5&gt;=$G$23,V$5&lt;$H$23)</f>
        <v>-0</v>
      </c>
      <c r="W92" s="131" t="n">
        <f aca="false">-(1-$I$23)*LD_Pct*$D$23*$E$23/4*AND(W$5&gt;=$G$23,W$5&lt;$H$23)</f>
        <v>-0</v>
      </c>
      <c r="X92" s="131" t="n">
        <f aca="false">-(1-$I$23)*LD_Pct*$D$23*$E$23/4*AND(X$5&gt;=$G$23,X$5&lt;$H$23)</f>
        <v>-0</v>
      </c>
      <c r="Y92" s="131" t="n">
        <f aca="false">-(1-$I$23)*LD_Pct*$D$23*$E$23/4*AND(Y$5&gt;=$G$23,Y$5&lt;$H$23)</f>
        <v>-0</v>
      </c>
      <c r="Z92" s="131" t="n">
        <f aca="false">-(1-$I$23)*LD_Pct*$D$23*$E$23/4*AND(Z$5&gt;=$G$23,Z$5&lt;$H$23)</f>
        <v>-0</v>
      </c>
      <c r="AA92" s="131" t="n">
        <f aca="false">-(1-$I$23)*LD_Pct*$D$23*$E$23/4*AND(AA$5&gt;=$G$23,AA$5&lt;$H$23)</f>
        <v>-0</v>
      </c>
      <c r="AB92" s="131" t="n">
        <f aca="false">-(1-$I$23)*LD_Pct*$D$23*$E$23/4*AND(AB$5&gt;=$G$23,AB$5&lt;$H$23)</f>
        <v>-0</v>
      </c>
      <c r="AC92" s="131" t="n">
        <f aca="false">-(1-$I$23)*LD_Pct*$D$23*$E$23/4*AND(AC$5&gt;=$G$23,AC$5&lt;$H$23)</f>
        <v>-0</v>
      </c>
      <c r="AD92" s="131" t="n">
        <f aca="false">-(1-$I$23)*LD_Pct*$D$23*$E$23/4*AND(AD$5&gt;=$G$23,AD$5&lt;$H$23)</f>
        <v>-0</v>
      </c>
      <c r="AE92" s="131" t="n">
        <f aca="false">-(1-$I$23)*LD_Pct*$D$23*$E$23/4*AND(AE$5&gt;=$G$23,AE$5&lt;$H$23)</f>
        <v>-0</v>
      </c>
      <c r="AF92" s="131" t="n">
        <f aca="false">-(1-$I$23)*LD_Pct*$D$23*$E$23/4*AND(AF$5&gt;=$G$23,AF$5&lt;$H$23)</f>
        <v>-0</v>
      </c>
      <c r="AG92" s="131" t="n">
        <f aca="false">-(1-$I$23)*LD_Pct*$D$23*$E$23/4*AND(AG$5&gt;=$G$23,AG$5&lt;$H$23)</f>
        <v>-0</v>
      </c>
      <c r="AI92" s="131" t="n">
        <f aca="false">SUMIF($F$7:$AG$7,AI$7,$F92:$AG92)</f>
        <v>0</v>
      </c>
      <c r="AJ92" s="131" t="n">
        <f aca="false">SUMIF($F$7:$AG$7,AJ$7,$F92:$AG92)</f>
        <v>0</v>
      </c>
      <c r="AK92" s="131" t="n">
        <f aca="false">SUMIF($F$7:$AG$7,AK$7,$F92:$AG92)</f>
        <v>0</v>
      </c>
      <c r="AL92" s="131" t="n">
        <f aca="false">SUMIF($F$7:$AG$7,AL$7,$F92:$AG92)</f>
        <v>0</v>
      </c>
      <c r="AM92" s="131" t="n">
        <f aca="false">SUMIF($F$7:$AG$7,AM$7,$F92:$AG92)</f>
        <v>0</v>
      </c>
      <c r="AN92" s="131" t="n">
        <f aca="false">SUMIF($F$7:$AG$7,AN$7,$F92:$AG92)</f>
        <v>0</v>
      </c>
      <c r="AO92" s="131" t="n">
        <f aca="false">SUMIF($F$7:$AG$7,AO$7,$F92:$AG92)</f>
        <v>0</v>
      </c>
    </row>
    <row r="93" customFormat="false" ht="15" hidden="false" customHeight="false" outlineLevel="0" collapsed="false">
      <c r="A93" s="112" t="s">
        <v>2133</v>
      </c>
      <c r="B93" s="24" t="s">
        <v>857</v>
      </c>
      <c r="C93" s="24"/>
      <c r="D93" s="24"/>
      <c r="F93" s="121" t="n">
        <f aca="false">(1-$I$23)*(1-$J$23)*$D$23*(F$5&gt;=$H$23+$F$23)</f>
        <v>0</v>
      </c>
      <c r="G93" s="121" t="n">
        <f aca="false">(1-$I$23)*(1-$J$23)*$D$23*(G$5&gt;=$H$23+$F$23)</f>
        <v>0</v>
      </c>
      <c r="H93" s="121" t="n">
        <f aca="false">(1-$I$23)*(1-$J$23)*$D$23*(H$5&gt;=$H$23+$F$23)</f>
        <v>0</v>
      </c>
      <c r="I93" s="121" t="n">
        <f aca="false">(1-$I$23)*(1-$J$23)*$D$23*(I$5&gt;=$H$23+$F$23)</f>
        <v>0</v>
      </c>
      <c r="J93" s="121" t="n">
        <f aca="false">(1-$I$23)*(1-$J$23)*$D$23*(J$5&gt;=$H$23+$F$23)</f>
        <v>0</v>
      </c>
      <c r="K93" s="121" t="n">
        <f aca="false">(1-$I$23)*(1-$J$23)*$D$23*(K$5&gt;=$H$23+$F$23)</f>
        <v>0</v>
      </c>
      <c r="L93" s="121" t="n">
        <f aca="false">(1-$I$23)*(1-$J$23)*$D$23*(L$5&gt;=$H$23+$F$23)</f>
        <v>0</v>
      </c>
      <c r="M93" s="121" t="n">
        <f aca="false">(1-$I$23)*(1-$J$23)*$D$23*(M$5&gt;=$H$23+$F$23)</f>
        <v>0</v>
      </c>
      <c r="N93" s="121" t="n">
        <f aca="false">(1-$I$23)*(1-$J$23)*$D$23*(N$5&gt;=$H$23+$F$23)</f>
        <v>0</v>
      </c>
      <c r="O93" s="121" t="n">
        <f aca="false">(1-$I$23)*(1-$J$23)*$D$23*(O$5&gt;=$H$23+$F$23)</f>
        <v>0</v>
      </c>
      <c r="P93" s="39" t="n">
        <f aca="false">(1-$I$23)*(1-$J$23)*$D$23*(P$5&gt;=$H$23+$F$23)</f>
        <v>0</v>
      </c>
      <c r="Q93" s="39" t="n">
        <f aca="false">(1-$I$23)*(1-$J$23)*$D$23*(Q$5&gt;=$H$23+$F$23)</f>
        <v>0</v>
      </c>
      <c r="R93" s="39" t="n">
        <f aca="false">(1-$I$23)*(1-$J$23)*$D$23*(R$5&gt;=$H$23+$F$23)</f>
        <v>0</v>
      </c>
      <c r="S93" s="39" t="n">
        <f aca="false">(1-$I$23)*(1-$J$23)*$D$23*(S$5&gt;=$H$23+$F$23)</f>
        <v>0</v>
      </c>
      <c r="T93" s="39" t="n">
        <f aca="false">(1-$I$23)*(1-$J$23)*$D$23*(T$5&gt;=$H$23+$F$23)</f>
        <v>0</v>
      </c>
      <c r="U93" s="39" t="n">
        <f aca="false">(1-$I$23)*(1-$J$23)*$D$23*(U$5&gt;=$H$23+$F$23)</f>
        <v>0</v>
      </c>
      <c r="V93" s="39" t="n">
        <f aca="false">(1-$I$23)*(1-$J$23)*$D$23*(V$5&gt;=$H$23+$F$23)</f>
        <v>0</v>
      </c>
      <c r="W93" s="39" t="n">
        <f aca="false">(1-$I$23)*(1-$J$23)*$D$23*(W$5&gt;=$H$23+$F$23)</f>
        <v>0</v>
      </c>
      <c r="X93" s="39" t="n">
        <f aca="false">(1-$I$23)*(1-$J$23)*$D$23*(X$5&gt;=$H$23+$F$23)</f>
        <v>0</v>
      </c>
      <c r="Y93" s="39" t="n">
        <f aca="false">(1-$I$23)*(1-$J$23)*$D$23*(Y$5&gt;=$H$23+$F$23)</f>
        <v>0</v>
      </c>
      <c r="Z93" s="39" t="n">
        <f aca="false">(1-$I$23)*(1-$J$23)*$D$23*(Z$5&gt;=$H$23+$F$23)</f>
        <v>0</v>
      </c>
      <c r="AA93" s="39" t="n">
        <f aca="false">(1-$I$23)*(1-$J$23)*$D$23*(AA$5&gt;=$H$23+$F$23)</f>
        <v>0</v>
      </c>
      <c r="AB93" s="39" t="n">
        <f aca="false">(1-$I$23)*(1-$J$23)*$D$23*(AB$5&gt;=$H$23+$F$23)</f>
        <v>0</v>
      </c>
      <c r="AC93" s="39" t="n">
        <f aca="false">(1-$I$23)*(1-$J$23)*$D$23*(AC$5&gt;=$H$23+$F$23)</f>
        <v>0</v>
      </c>
      <c r="AD93" s="39" t="n">
        <f aca="false">(1-$I$23)*(1-$J$23)*$D$23*(AD$5&gt;=$H$23+$F$23)</f>
        <v>0</v>
      </c>
      <c r="AE93" s="39" t="n">
        <f aca="false">(1-$I$23)*(1-$J$23)*$D$23*(AE$5&gt;=$H$23+$F$23)</f>
        <v>0</v>
      </c>
      <c r="AF93" s="39" t="n">
        <f aca="false">(1-$I$23)*(1-$J$23)*$D$23*(AF$5&gt;=$H$23+$F$23)</f>
        <v>0</v>
      </c>
      <c r="AG93" s="39" t="n">
        <f aca="false">(1-$I$23)*(1-$J$23)*$D$23*(AG$5&gt;=$H$23+$F$23)</f>
        <v>24.0058333333333</v>
      </c>
      <c r="AI93" s="39" t="n">
        <f aca="false">INDEX($F93:$AG93,1,MATCH(AI$7,$F$7:$AG$7,1))</f>
        <v>0</v>
      </c>
      <c r="AJ93" s="39" t="n">
        <f aca="false">INDEX($F93:$AG93,1,MATCH(AJ$7,$F$7:$AG$7,1))</f>
        <v>0</v>
      </c>
      <c r="AK93" s="39" t="n">
        <f aca="false">INDEX($F93:$AG93,1,MATCH(AK$7,$F$7:$AG$7,1))</f>
        <v>0</v>
      </c>
      <c r="AL93" s="39" t="n">
        <f aca="false">INDEX($F93:$AG93,1,MATCH(AL$7,$F$7:$AG$7,1))</f>
        <v>0</v>
      </c>
      <c r="AM93" s="39" t="n">
        <f aca="false">INDEX($F93:$AG93,1,MATCH(AM$7,$F$7:$AG$7,1))</f>
        <v>0</v>
      </c>
      <c r="AN93" s="39" t="n">
        <f aca="false">INDEX($F93:$AG93,1,MATCH(AN$7,$F$7:$AG$7,1))</f>
        <v>0</v>
      </c>
      <c r="AO93" s="39" t="n">
        <f aca="false">INDEX($F93:$AG93,1,MATCH(AO$7,$F$7:$AG$7,1))</f>
        <v>24.0058333333333</v>
      </c>
    </row>
    <row r="94" customFormat="false" ht="15" hidden="false" customHeight="false" outlineLevel="0" collapsed="false">
      <c r="A94" s="112" t="s">
        <v>2134</v>
      </c>
      <c r="B94" s="24" t="s">
        <v>745</v>
      </c>
      <c r="C94" s="24"/>
      <c r="D94" s="24" t="s">
        <v>2079</v>
      </c>
      <c r="F94" s="130" t="n">
        <f aca="false">F93*CHOOSE(MATCH($C$23,{"H";"B";"N"},0),GPUMW_H*ODc_H,GPUMW_B*ODc_B,GPUMW_N*ODc_N)*ResidUtil*Timeline!F$9*INDEX(Curve,1,MAX(1,MIN(8,INT((F$5-$H$23)/4)+1)))/1000000</f>
        <v>0</v>
      </c>
      <c r="G94" s="130" t="n">
        <f aca="false">G93*CHOOSE(MATCH($C$23,{"H";"B";"N"},0),GPUMW_H*ODc_H,GPUMW_B*ODc_B,GPUMW_N*ODc_N)*ResidUtil*Timeline!G$9*INDEX(Curve,1,MAX(1,MIN(8,INT((G$5-$H$23)/4)+1)))/1000000</f>
        <v>0</v>
      </c>
      <c r="H94" s="130" t="n">
        <f aca="false">H93*CHOOSE(MATCH($C$23,{"H";"B";"N"},0),GPUMW_H*ODc_H,GPUMW_B*ODc_B,GPUMW_N*ODc_N)*ResidUtil*Timeline!H$9*INDEX(Curve,1,MAX(1,MIN(8,INT((H$5-$H$23)/4)+1)))/1000000</f>
        <v>0</v>
      </c>
      <c r="I94" s="130" t="n">
        <f aca="false">I93*CHOOSE(MATCH($C$23,{"H";"B";"N"},0),GPUMW_H*ODc_H,GPUMW_B*ODc_B,GPUMW_N*ODc_N)*ResidUtil*Timeline!I$9*INDEX(Curve,1,MAX(1,MIN(8,INT((I$5-$H$23)/4)+1)))/1000000</f>
        <v>0</v>
      </c>
      <c r="J94" s="130" t="n">
        <f aca="false">J93*CHOOSE(MATCH($C$23,{"H";"B";"N"},0),GPUMW_H*ODc_H,GPUMW_B*ODc_B,GPUMW_N*ODc_N)*ResidUtil*Timeline!J$9*INDEX(Curve,1,MAX(1,MIN(8,INT((J$5-$H$23)/4)+1)))/1000000</f>
        <v>0</v>
      </c>
      <c r="K94" s="130" t="n">
        <f aca="false">K93*CHOOSE(MATCH($C$23,{"H";"B";"N"},0),GPUMW_H*ODc_H,GPUMW_B*ODc_B,GPUMW_N*ODc_N)*ResidUtil*Timeline!K$9*INDEX(Curve,1,MAX(1,MIN(8,INT((K$5-$H$23)/4)+1)))/1000000</f>
        <v>0</v>
      </c>
      <c r="L94" s="130" t="n">
        <f aca="false">L93*CHOOSE(MATCH($C$23,{"H";"B";"N"},0),GPUMW_H*ODc_H,GPUMW_B*ODc_B,GPUMW_N*ODc_N)*ResidUtil*Timeline!L$9*INDEX(Curve,1,MAX(1,MIN(8,INT((L$5-$H$23)/4)+1)))/1000000</f>
        <v>0</v>
      </c>
      <c r="M94" s="130" t="n">
        <f aca="false">M93*CHOOSE(MATCH($C$23,{"H";"B";"N"},0),GPUMW_H*ODc_H,GPUMW_B*ODc_B,GPUMW_N*ODc_N)*ResidUtil*Timeline!M$9*INDEX(Curve,1,MAX(1,MIN(8,INT((M$5-$H$23)/4)+1)))/1000000</f>
        <v>0</v>
      </c>
      <c r="N94" s="130" t="n">
        <f aca="false">N93*CHOOSE(MATCH($C$23,{"H";"B";"N"},0),GPUMW_H*ODc_H,GPUMW_B*ODc_B,GPUMW_N*ODc_N)*ResidUtil*Timeline!N$9*INDEX(Curve,1,MAX(1,MIN(8,INT((N$5-$H$23)/4)+1)))/1000000</f>
        <v>0</v>
      </c>
      <c r="O94" s="130" t="n">
        <f aca="false">O93*CHOOSE(MATCH($C$23,{"H";"B";"N"},0),GPUMW_H*ODc_H,GPUMW_B*ODc_B,GPUMW_N*ODc_N)*ResidUtil*Timeline!O$9*INDEX(Curve,1,MAX(1,MIN(8,INT((O$5-$H$23)/4)+1)))/1000000</f>
        <v>0</v>
      </c>
      <c r="P94" s="131" t="n">
        <f aca="false">P93*CHOOSE(MATCH($C$23,{"H";"B";"N"},0),GPUMW_H*ODc_H,GPUMW_B*ODc_B,GPUMW_N*ODc_N)*ResidUtil*Timeline!P$9*INDEX(Curve,1,MAX(1,MIN(8,INT((P$5-$H$23)/4)+1)))/1000000</f>
        <v>0</v>
      </c>
      <c r="Q94" s="131" t="n">
        <f aca="false">Q93*CHOOSE(MATCH($C$23,{"H";"B";"N"},0),GPUMW_H*ODc_H,GPUMW_B*ODc_B,GPUMW_N*ODc_N)*ResidUtil*Timeline!Q$9*INDEX(Curve,1,MAX(1,MIN(8,INT((Q$5-$H$23)/4)+1)))/1000000</f>
        <v>0</v>
      </c>
      <c r="R94" s="131" t="n">
        <f aca="false">R93*CHOOSE(MATCH($C$23,{"H";"B";"N"},0),GPUMW_H*ODc_H,GPUMW_B*ODc_B,GPUMW_N*ODc_N)*ResidUtil*Timeline!R$9*INDEX(Curve,1,MAX(1,MIN(8,INT((R$5-$H$23)/4)+1)))/1000000</f>
        <v>0</v>
      </c>
      <c r="S94" s="131" t="n">
        <f aca="false">S93*CHOOSE(MATCH($C$23,{"H";"B";"N"},0),GPUMW_H*ODc_H,GPUMW_B*ODc_B,GPUMW_N*ODc_N)*ResidUtil*Timeline!S$9*INDEX(Curve,1,MAX(1,MIN(8,INT((S$5-$H$23)/4)+1)))/1000000</f>
        <v>0</v>
      </c>
      <c r="T94" s="131" t="n">
        <f aca="false">T93*CHOOSE(MATCH($C$23,{"H";"B";"N"},0),GPUMW_H*ODc_H,GPUMW_B*ODc_B,GPUMW_N*ODc_N)*ResidUtil*Timeline!T$9*INDEX(Curve,1,MAX(1,MIN(8,INT((T$5-$H$23)/4)+1)))/1000000</f>
        <v>0</v>
      </c>
      <c r="U94" s="131" t="n">
        <f aca="false">U93*CHOOSE(MATCH($C$23,{"H";"B";"N"},0),GPUMW_H*ODc_H,GPUMW_B*ODc_B,GPUMW_N*ODc_N)*ResidUtil*Timeline!U$9*INDEX(Curve,1,MAX(1,MIN(8,INT((U$5-$H$23)/4)+1)))/1000000</f>
        <v>0</v>
      </c>
      <c r="V94" s="131" t="n">
        <f aca="false">V93*CHOOSE(MATCH($C$23,{"H";"B";"N"},0),GPUMW_H*ODc_H,GPUMW_B*ODc_B,GPUMW_N*ODc_N)*ResidUtil*Timeline!V$9*INDEX(Curve,1,MAX(1,MIN(8,INT((V$5-$H$23)/4)+1)))/1000000</f>
        <v>0</v>
      </c>
      <c r="W94" s="131" t="n">
        <f aca="false">W93*CHOOSE(MATCH($C$23,{"H";"B";"N"},0),GPUMW_H*ODc_H,GPUMW_B*ODc_B,GPUMW_N*ODc_N)*ResidUtil*Timeline!W$9*INDEX(Curve,1,MAX(1,MIN(8,INT((W$5-$H$23)/4)+1)))/1000000</f>
        <v>0</v>
      </c>
      <c r="X94" s="131" t="n">
        <f aca="false">X93*CHOOSE(MATCH($C$23,{"H";"B";"N"},0),GPUMW_H*ODc_H,GPUMW_B*ODc_B,GPUMW_N*ODc_N)*ResidUtil*Timeline!X$9*INDEX(Curve,1,MAX(1,MIN(8,INT((X$5-$H$23)/4)+1)))/1000000</f>
        <v>0</v>
      </c>
      <c r="Y94" s="131" t="n">
        <f aca="false">Y93*CHOOSE(MATCH($C$23,{"H";"B";"N"},0),GPUMW_H*ODc_H,GPUMW_B*ODc_B,GPUMW_N*ODc_N)*ResidUtil*Timeline!Y$9*INDEX(Curve,1,MAX(1,MIN(8,INT((Y$5-$H$23)/4)+1)))/1000000</f>
        <v>0</v>
      </c>
      <c r="Z94" s="131" t="n">
        <f aca="false">Z93*CHOOSE(MATCH($C$23,{"H";"B";"N"},0),GPUMW_H*ODc_H,GPUMW_B*ODc_B,GPUMW_N*ODc_N)*ResidUtil*Timeline!Z$9*INDEX(Curve,1,MAX(1,MIN(8,INT((Z$5-$H$23)/4)+1)))/1000000</f>
        <v>0</v>
      </c>
      <c r="AA94" s="131" t="n">
        <f aca="false">AA93*CHOOSE(MATCH($C$23,{"H";"B";"N"},0),GPUMW_H*ODc_H,GPUMW_B*ODc_B,GPUMW_N*ODc_N)*ResidUtil*Timeline!AA$9*INDEX(Curve,1,MAX(1,MIN(8,INT((AA$5-$H$23)/4)+1)))/1000000</f>
        <v>0</v>
      </c>
      <c r="AB94" s="131" t="n">
        <f aca="false">AB93*CHOOSE(MATCH($C$23,{"H";"B";"N"},0),GPUMW_H*ODc_H,GPUMW_B*ODc_B,GPUMW_N*ODc_N)*ResidUtil*Timeline!AB$9*INDEX(Curve,1,MAX(1,MIN(8,INT((AB$5-$H$23)/4)+1)))/1000000</f>
        <v>0</v>
      </c>
      <c r="AC94" s="131" t="n">
        <f aca="false">AC93*CHOOSE(MATCH($C$23,{"H";"B";"N"},0),GPUMW_H*ODc_H,GPUMW_B*ODc_B,GPUMW_N*ODc_N)*ResidUtil*Timeline!AC$9*INDEX(Curve,1,MAX(1,MIN(8,INT((AC$5-$H$23)/4)+1)))/1000000</f>
        <v>0</v>
      </c>
      <c r="AD94" s="131" t="n">
        <f aca="false">AD93*CHOOSE(MATCH($C$23,{"H";"B";"N"},0),GPUMW_H*ODc_H,GPUMW_B*ODc_B,GPUMW_N*ODc_N)*ResidUtil*Timeline!AD$9*INDEX(Curve,1,MAX(1,MIN(8,INT((AD$5-$H$23)/4)+1)))/1000000</f>
        <v>0</v>
      </c>
      <c r="AE94" s="131" t="n">
        <f aca="false">AE93*CHOOSE(MATCH($C$23,{"H";"B";"N"},0),GPUMW_H*ODc_H,GPUMW_B*ODc_B,GPUMW_N*ODc_N)*ResidUtil*Timeline!AE$9*INDEX(Curve,1,MAX(1,MIN(8,INT((AE$5-$H$23)/4)+1)))/1000000</f>
        <v>0</v>
      </c>
      <c r="AF94" s="131" t="n">
        <f aca="false">AF93*CHOOSE(MATCH($C$23,{"H";"B";"N"},0),GPUMW_H*ODc_H,GPUMW_B*ODc_B,GPUMW_N*ODc_N)*ResidUtil*Timeline!AF$9*INDEX(Curve,1,MAX(1,MIN(8,INT((AF$5-$H$23)/4)+1)))/1000000</f>
        <v>0</v>
      </c>
      <c r="AG94" s="131" t="n">
        <f aca="false">AG93*CHOOSE(MATCH($C$23,{"H";"B";"N"},0),GPUMW_H*ODc_H,GPUMW_B*ODc_B,GPUMW_N*ODc_N)*ResidUtil*Timeline!AG$9*INDEX(Curve,1,MAX(1,MIN(8,INT((AG$5-$H$23)/4)+1)))/1000000</f>
        <v>97.5412365785</v>
      </c>
      <c r="AI94" s="131" t="n">
        <f aca="false">SUMIF($F$7:$AG$7,AI$7,$F94:$AG94)</f>
        <v>0</v>
      </c>
      <c r="AJ94" s="131" t="n">
        <f aca="false">SUMIF($F$7:$AG$7,AJ$7,$F94:$AG94)</f>
        <v>0</v>
      </c>
      <c r="AK94" s="131" t="n">
        <f aca="false">SUMIF($F$7:$AG$7,AK$7,$F94:$AG94)</f>
        <v>0</v>
      </c>
      <c r="AL94" s="131" t="n">
        <f aca="false">SUMIF($F$7:$AG$7,AL$7,$F94:$AG94)</f>
        <v>0</v>
      </c>
      <c r="AM94" s="131" t="n">
        <f aca="false">SUMIF($F$7:$AG$7,AM$7,$F94:$AG94)</f>
        <v>0</v>
      </c>
      <c r="AN94" s="131" t="n">
        <f aca="false">SUMIF($F$7:$AG$7,AN$7,$F94:$AG94)</f>
        <v>0</v>
      </c>
      <c r="AO94" s="131" t="n">
        <f aca="false">SUMIF($F$7:$AG$7,AO$7,$F94:$AG94)</f>
        <v>97.5412365785</v>
      </c>
    </row>
    <row r="95" customFormat="false" ht="15" hidden="false" customHeight="false" outlineLevel="0" collapsed="false">
      <c r="A95" s="112" t="s">
        <v>2135</v>
      </c>
      <c r="B95" s="24" t="s">
        <v>745</v>
      </c>
      <c r="C95" s="24"/>
      <c r="D95" s="24"/>
      <c r="F95" s="130" t="n">
        <f aca="false">(1-$I$24)*(1-$J$24)*$D$24*$E$24/4*MIN(1,MAX(0,(F$5-$H$24+1)/$T$24))*IF(F$5=$H$24,$U$24,IF(AND(F$5&gt;$H$24,F$5&lt;$H$24+$F$24),1,IF(F$5=$H$24+$F$24,1-$U$24,0)))</f>
        <v>0</v>
      </c>
      <c r="G95" s="130" t="n">
        <f aca="false">(1-$I$24)*(1-$J$24)*$D$24*$E$24/4*MIN(1,MAX(0,(G$5-$H$24+1)/$T$24))*IF(G$5=$H$24,$U$24,IF(AND(G$5&gt;$H$24,G$5&lt;$H$24+$F$24),1,IF(G$5=$H$24+$F$24,1-$U$24,0)))</f>
        <v>0</v>
      </c>
      <c r="H95" s="130" t="n">
        <f aca="false">(1-$I$24)*(1-$J$24)*$D$24*$E$24/4*MIN(1,MAX(0,(H$5-$H$24+1)/$T$24))*IF(H$5=$H$24,$U$24,IF(AND(H$5&gt;$H$24,H$5&lt;$H$24+$F$24),1,IF(H$5=$H$24+$F$24,1-$U$24,0)))</f>
        <v>0</v>
      </c>
      <c r="I95" s="130" t="n">
        <f aca="false">(1-$I$24)*(1-$J$24)*$D$24*$E$24/4*MIN(1,MAX(0,(I$5-$H$24+1)/$T$24))*IF(I$5=$H$24,$U$24,IF(AND(I$5&gt;$H$24,I$5&lt;$H$24+$F$24),1,IF(I$5=$H$24+$F$24,1-$U$24,0)))</f>
        <v>0</v>
      </c>
      <c r="J95" s="130" t="n">
        <f aca="false">(1-$I$24)*(1-$J$24)*$D$24*$E$24/4*MIN(1,MAX(0,(J$5-$H$24+1)/$T$24))*IF(J$5=$H$24,$U$24,IF(AND(J$5&gt;$H$24,J$5&lt;$H$24+$F$24),1,IF(J$5=$H$24+$F$24,1-$U$24,0)))</f>
        <v>0</v>
      </c>
      <c r="K95" s="130" t="n">
        <f aca="false">(1-$I$24)*(1-$J$24)*$D$24*$E$24/4*MIN(1,MAX(0,(K$5-$H$24+1)/$T$24))*IF(K$5=$H$24,$U$24,IF(AND(K$5&gt;$H$24,K$5&lt;$H$24+$F$24),1,IF(K$5=$H$24+$F$24,1-$U$24,0)))</f>
        <v>0</v>
      </c>
      <c r="L95" s="130" t="n">
        <f aca="false">(1-$I$24)*(1-$J$24)*$D$24*$E$24/4*MIN(1,MAX(0,(L$5-$H$24+1)/$T$24))*IF(L$5=$H$24,$U$24,IF(AND(L$5&gt;$H$24,L$5&lt;$H$24+$F$24),1,IF(L$5=$H$24+$F$24,1-$U$24,0)))</f>
        <v>0</v>
      </c>
      <c r="M95" s="130" t="n">
        <f aca="false">(1-$I$24)*(1-$J$24)*$D$24*$E$24/4*MIN(1,MAX(0,(M$5-$H$24+1)/$T$24))*IF(M$5=$H$24,$U$24,IF(AND(M$5&gt;$H$24,M$5&lt;$H$24+$F$24),1,IF(M$5=$H$24+$F$24,1-$U$24,0)))</f>
        <v>0</v>
      </c>
      <c r="N95" s="130" t="n">
        <f aca="false">(1-$I$24)*(1-$J$24)*$D$24*$E$24/4*MIN(1,MAX(0,(N$5-$H$24+1)/$T$24))*IF(N$5=$H$24,$U$24,IF(AND(N$5&gt;$H$24,N$5&lt;$H$24+$F$24),1,IF(N$5=$H$24+$F$24,1-$U$24,0)))</f>
        <v>36.00875</v>
      </c>
      <c r="O95" s="130" t="n">
        <f aca="false">(1-$I$24)*(1-$J$24)*$D$24*$E$24/4*MIN(1,MAX(0,(O$5-$H$24+1)/$T$24))*IF(O$5=$H$24,$U$24,IF(AND(O$5&gt;$H$24,O$5&lt;$H$24+$F$24),1,IF(O$5=$H$24+$F$24,1-$U$24,0)))</f>
        <v>72.0175</v>
      </c>
      <c r="P95" s="131" t="n">
        <f aca="false">(1-$I$24)*(1-$J$24)*$D$24*$E$24/4*MIN(1,MAX(0,(P$5-$H$24+1)/$T$24))*IF(P$5=$H$24,$U$24,IF(AND(P$5&gt;$H$24,P$5&lt;$H$24+$F$24),1,IF(P$5=$H$24+$F$24,1-$U$24,0)))</f>
        <v>72.0175</v>
      </c>
      <c r="Q95" s="131" t="n">
        <f aca="false">(1-$I$24)*(1-$J$24)*$D$24*$E$24/4*MIN(1,MAX(0,(Q$5-$H$24+1)/$T$24))*IF(Q$5=$H$24,$U$24,IF(AND(Q$5&gt;$H$24,Q$5&lt;$H$24+$F$24),1,IF(Q$5=$H$24+$F$24,1-$U$24,0)))</f>
        <v>72.0175</v>
      </c>
      <c r="R95" s="131" t="n">
        <f aca="false">(1-$I$24)*(1-$J$24)*$D$24*$E$24/4*MIN(1,MAX(0,(R$5-$H$24+1)/$T$24))*IF(R$5=$H$24,$U$24,IF(AND(R$5&gt;$H$24,R$5&lt;$H$24+$F$24),1,IF(R$5=$H$24+$F$24,1-$U$24,0)))</f>
        <v>72.0175</v>
      </c>
      <c r="S95" s="131" t="n">
        <f aca="false">(1-$I$24)*(1-$J$24)*$D$24*$E$24/4*MIN(1,MAX(0,(S$5-$H$24+1)/$T$24))*IF(S$5=$H$24,$U$24,IF(AND(S$5&gt;$H$24,S$5&lt;$H$24+$F$24),1,IF(S$5=$H$24+$F$24,1-$U$24,0)))</f>
        <v>72.0175</v>
      </c>
      <c r="T95" s="131" t="n">
        <f aca="false">(1-$I$24)*(1-$J$24)*$D$24*$E$24/4*MIN(1,MAX(0,(T$5-$H$24+1)/$T$24))*IF(T$5=$H$24,$U$24,IF(AND(T$5&gt;$H$24,T$5&lt;$H$24+$F$24),1,IF(T$5=$H$24+$F$24,1-$U$24,0)))</f>
        <v>72.0175</v>
      </c>
      <c r="U95" s="131" t="n">
        <f aca="false">(1-$I$24)*(1-$J$24)*$D$24*$E$24/4*MIN(1,MAX(0,(U$5-$H$24+1)/$T$24))*IF(U$5=$H$24,$U$24,IF(AND(U$5&gt;$H$24,U$5&lt;$H$24+$F$24),1,IF(U$5=$H$24+$F$24,1-$U$24,0)))</f>
        <v>72.0175</v>
      </c>
      <c r="V95" s="131" t="n">
        <f aca="false">(1-$I$24)*(1-$J$24)*$D$24*$E$24/4*MIN(1,MAX(0,(V$5-$H$24+1)/$T$24))*IF(V$5=$H$24,$U$24,IF(AND(V$5&gt;$H$24,V$5&lt;$H$24+$F$24),1,IF(V$5=$H$24+$F$24,1-$U$24,0)))</f>
        <v>72.0175</v>
      </c>
      <c r="W95" s="131" t="n">
        <f aca="false">(1-$I$24)*(1-$J$24)*$D$24*$E$24/4*MIN(1,MAX(0,(W$5-$H$24+1)/$T$24))*IF(W$5=$H$24,$U$24,IF(AND(W$5&gt;$H$24,W$5&lt;$H$24+$F$24),1,IF(W$5=$H$24+$F$24,1-$U$24,0)))</f>
        <v>72.0175</v>
      </c>
      <c r="X95" s="131" t="n">
        <f aca="false">(1-$I$24)*(1-$J$24)*$D$24*$E$24/4*MIN(1,MAX(0,(X$5-$H$24+1)/$T$24))*IF(X$5=$H$24,$U$24,IF(AND(X$5&gt;$H$24,X$5&lt;$H$24+$F$24),1,IF(X$5=$H$24+$F$24,1-$U$24,0)))</f>
        <v>72.0175</v>
      </c>
      <c r="Y95" s="131" t="n">
        <f aca="false">(1-$I$24)*(1-$J$24)*$D$24*$E$24/4*MIN(1,MAX(0,(Y$5-$H$24+1)/$T$24))*IF(Y$5=$H$24,$U$24,IF(AND(Y$5&gt;$H$24,Y$5&lt;$H$24+$F$24),1,IF(Y$5=$H$24+$F$24,1-$U$24,0)))</f>
        <v>72.0175</v>
      </c>
      <c r="Z95" s="131" t="n">
        <f aca="false">(1-$I$24)*(1-$J$24)*$D$24*$E$24/4*MIN(1,MAX(0,(Z$5-$H$24+1)/$T$24))*IF(Z$5=$H$24,$U$24,IF(AND(Z$5&gt;$H$24,Z$5&lt;$H$24+$F$24),1,IF(Z$5=$H$24+$F$24,1-$U$24,0)))</f>
        <v>72.0175</v>
      </c>
      <c r="AA95" s="131" t="n">
        <f aca="false">(1-$I$24)*(1-$J$24)*$D$24*$E$24/4*MIN(1,MAX(0,(AA$5-$H$24+1)/$T$24))*IF(AA$5=$H$24,$U$24,IF(AND(AA$5&gt;$H$24,AA$5&lt;$H$24+$F$24),1,IF(AA$5=$H$24+$F$24,1-$U$24,0)))</f>
        <v>72.0175</v>
      </c>
      <c r="AB95" s="131" t="n">
        <f aca="false">(1-$I$24)*(1-$J$24)*$D$24*$E$24/4*MIN(1,MAX(0,(AB$5-$H$24+1)/$T$24))*IF(AB$5=$H$24,$U$24,IF(AND(AB$5&gt;$H$24,AB$5&lt;$H$24+$F$24),1,IF(AB$5=$H$24+$F$24,1-$U$24,0)))</f>
        <v>72.0175</v>
      </c>
      <c r="AC95" s="131" t="n">
        <f aca="false">(1-$I$24)*(1-$J$24)*$D$24*$E$24/4*MIN(1,MAX(0,(AC$5-$H$24+1)/$T$24))*IF(AC$5=$H$24,$U$24,IF(AND(AC$5&gt;$H$24,AC$5&lt;$H$24+$F$24),1,IF(AC$5=$H$24+$F$24,1-$U$24,0)))</f>
        <v>72.0175</v>
      </c>
      <c r="AD95" s="131" t="n">
        <f aca="false">(1-$I$24)*(1-$J$24)*$D$24*$E$24/4*MIN(1,MAX(0,(AD$5-$H$24+1)/$T$24))*IF(AD$5=$H$24,$U$24,IF(AND(AD$5&gt;$H$24,AD$5&lt;$H$24+$F$24),1,IF(AD$5=$H$24+$F$24,1-$U$24,0)))</f>
        <v>72.0175</v>
      </c>
      <c r="AE95" s="131" t="n">
        <f aca="false">(1-$I$24)*(1-$J$24)*$D$24*$E$24/4*MIN(1,MAX(0,(AE$5-$H$24+1)/$T$24))*IF(AE$5=$H$24,$U$24,IF(AND(AE$5&gt;$H$24,AE$5&lt;$H$24+$F$24),1,IF(AE$5=$H$24+$F$24,1-$U$24,0)))</f>
        <v>72.0175</v>
      </c>
      <c r="AF95" s="131" t="n">
        <f aca="false">(1-$I$24)*(1-$J$24)*$D$24*$E$24/4*MIN(1,MAX(0,(AF$5-$H$24+1)/$T$24))*IF(AF$5=$H$24,$U$24,IF(AND(AF$5&gt;$H$24,AF$5&lt;$H$24+$F$24),1,IF(AF$5=$H$24+$F$24,1-$U$24,0)))</f>
        <v>72.0175</v>
      </c>
      <c r="AG95" s="131" t="n">
        <f aca="false">(1-$I$24)*(1-$J$24)*$D$24*$E$24/4*MIN(1,MAX(0,(AG$5-$H$24+1)/$T$24))*IF(AG$5=$H$24,$U$24,IF(AND(AG$5&gt;$H$24,AG$5&lt;$H$24+$F$24),1,IF(AG$5=$H$24+$F$24,1-$U$24,0)))</f>
        <v>72.0175</v>
      </c>
      <c r="AI95" s="131" t="n">
        <f aca="false">SUMIF($F$7:$AG$7,AI$7,$F95:$AG95)</f>
        <v>0</v>
      </c>
      <c r="AJ95" s="131" t="n">
        <f aca="false">SUMIF($F$7:$AG$7,AJ$7,$F95:$AG95)</f>
        <v>0</v>
      </c>
      <c r="AK95" s="131" t="n">
        <f aca="false">SUMIF($F$7:$AG$7,AK$7,$F95:$AG95)</f>
        <v>252.06125</v>
      </c>
      <c r="AL95" s="131" t="n">
        <f aca="false">SUMIF($F$7:$AG$7,AL$7,$F95:$AG95)</f>
        <v>288.07</v>
      </c>
      <c r="AM95" s="131" t="n">
        <f aca="false">SUMIF($F$7:$AG$7,AM$7,$F95:$AG95)</f>
        <v>288.07</v>
      </c>
      <c r="AN95" s="131" t="n">
        <f aca="false">SUMIF($F$7:$AG$7,AN$7,$F95:$AG95)</f>
        <v>288.07</v>
      </c>
      <c r="AO95" s="131" t="n">
        <f aca="false">SUMIF($F$7:$AG$7,AO$7,$F95:$AG95)</f>
        <v>288.07</v>
      </c>
    </row>
    <row r="96" customFormat="false" ht="15" hidden="false" customHeight="false" outlineLevel="0" collapsed="false">
      <c r="A96" s="112" t="s">
        <v>2136</v>
      </c>
      <c r="B96" s="24" t="s">
        <v>857</v>
      </c>
      <c r="C96" s="24"/>
      <c r="D96" s="24"/>
      <c r="F96" s="121" t="n">
        <f aca="false">(1-$I$24)*(1-$J$24)*$D$24*AND(F$5&gt;=$H$24,F$5&lt;$H$24+$F$24)</f>
        <v>0</v>
      </c>
      <c r="G96" s="121" t="n">
        <f aca="false">(1-$I$24)*(1-$J$24)*$D$24*AND(G$5&gt;=$H$24,G$5&lt;$H$24+$F$24)</f>
        <v>0</v>
      </c>
      <c r="H96" s="121" t="n">
        <f aca="false">(1-$I$24)*(1-$J$24)*$D$24*AND(H$5&gt;=$H$24,H$5&lt;$H$24+$F$24)</f>
        <v>0</v>
      </c>
      <c r="I96" s="121" t="n">
        <f aca="false">(1-$I$24)*(1-$J$24)*$D$24*AND(I$5&gt;=$H$24,I$5&lt;$H$24+$F$24)</f>
        <v>0</v>
      </c>
      <c r="J96" s="121" t="n">
        <f aca="false">(1-$I$24)*(1-$J$24)*$D$24*AND(J$5&gt;=$H$24,J$5&lt;$H$24+$F$24)</f>
        <v>0</v>
      </c>
      <c r="K96" s="121" t="n">
        <f aca="false">(1-$I$24)*(1-$J$24)*$D$24*AND(K$5&gt;=$H$24,K$5&lt;$H$24+$F$24)</f>
        <v>0</v>
      </c>
      <c r="L96" s="121" t="n">
        <f aca="false">(1-$I$24)*(1-$J$24)*$D$24*AND(L$5&gt;=$H$24,L$5&lt;$H$24+$F$24)</f>
        <v>0</v>
      </c>
      <c r="M96" s="121" t="n">
        <f aca="false">(1-$I$24)*(1-$J$24)*$D$24*AND(M$5&gt;=$H$24,M$5&lt;$H$24+$F$24)</f>
        <v>0</v>
      </c>
      <c r="N96" s="121" t="n">
        <f aca="false">(1-$I$24)*(1-$J$24)*$D$24*AND(N$5&gt;=$H$24,N$5&lt;$H$24+$F$24)</f>
        <v>24.0058333333333</v>
      </c>
      <c r="O96" s="121" t="n">
        <f aca="false">(1-$I$24)*(1-$J$24)*$D$24*AND(O$5&gt;=$H$24,O$5&lt;$H$24+$F$24)</f>
        <v>24.0058333333333</v>
      </c>
      <c r="P96" s="39" t="n">
        <f aca="false">(1-$I$24)*(1-$J$24)*$D$24*AND(P$5&gt;=$H$24,P$5&lt;$H$24+$F$24)</f>
        <v>24.0058333333333</v>
      </c>
      <c r="Q96" s="39" t="n">
        <f aca="false">(1-$I$24)*(1-$J$24)*$D$24*AND(Q$5&gt;=$H$24,Q$5&lt;$H$24+$F$24)</f>
        <v>24.0058333333333</v>
      </c>
      <c r="R96" s="39" t="n">
        <f aca="false">(1-$I$24)*(1-$J$24)*$D$24*AND(R$5&gt;=$H$24,R$5&lt;$H$24+$F$24)</f>
        <v>24.0058333333333</v>
      </c>
      <c r="S96" s="39" t="n">
        <f aca="false">(1-$I$24)*(1-$J$24)*$D$24*AND(S$5&gt;=$H$24,S$5&lt;$H$24+$F$24)</f>
        <v>24.0058333333333</v>
      </c>
      <c r="T96" s="39" t="n">
        <f aca="false">(1-$I$24)*(1-$J$24)*$D$24*AND(T$5&gt;=$H$24,T$5&lt;$H$24+$F$24)</f>
        <v>24.0058333333333</v>
      </c>
      <c r="U96" s="39" t="n">
        <f aca="false">(1-$I$24)*(1-$J$24)*$D$24*AND(U$5&gt;=$H$24,U$5&lt;$H$24+$F$24)</f>
        <v>24.0058333333333</v>
      </c>
      <c r="V96" s="39" t="n">
        <f aca="false">(1-$I$24)*(1-$J$24)*$D$24*AND(V$5&gt;=$H$24,V$5&lt;$H$24+$F$24)</f>
        <v>24.0058333333333</v>
      </c>
      <c r="W96" s="39" t="n">
        <f aca="false">(1-$I$24)*(1-$J$24)*$D$24*AND(W$5&gt;=$H$24,W$5&lt;$H$24+$F$24)</f>
        <v>24.0058333333333</v>
      </c>
      <c r="X96" s="39" t="n">
        <f aca="false">(1-$I$24)*(1-$J$24)*$D$24*AND(X$5&gt;=$H$24,X$5&lt;$H$24+$F$24)</f>
        <v>24.0058333333333</v>
      </c>
      <c r="Y96" s="39" t="n">
        <f aca="false">(1-$I$24)*(1-$J$24)*$D$24*AND(Y$5&gt;=$H$24,Y$5&lt;$H$24+$F$24)</f>
        <v>24.0058333333333</v>
      </c>
      <c r="Z96" s="39" t="n">
        <f aca="false">(1-$I$24)*(1-$J$24)*$D$24*AND(Z$5&gt;=$H$24,Z$5&lt;$H$24+$F$24)</f>
        <v>24.0058333333333</v>
      </c>
      <c r="AA96" s="39" t="n">
        <f aca="false">(1-$I$24)*(1-$J$24)*$D$24*AND(AA$5&gt;=$H$24,AA$5&lt;$H$24+$F$24)</f>
        <v>24.0058333333333</v>
      </c>
      <c r="AB96" s="39" t="n">
        <f aca="false">(1-$I$24)*(1-$J$24)*$D$24*AND(AB$5&gt;=$H$24,AB$5&lt;$H$24+$F$24)</f>
        <v>24.0058333333333</v>
      </c>
      <c r="AC96" s="39" t="n">
        <f aca="false">(1-$I$24)*(1-$J$24)*$D$24*AND(AC$5&gt;=$H$24,AC$5&lt;$H$24+$F$24)</f>
        <v>24.0058333333333</v>
      </c>
      <c r="AD96" s="39" t="n">
        <f aca="false">(1-$I$24)*(1-$J$24)*$D$24*AND(AD$5&gt;=$H$24,AD$5&lt;$H$24+$F$24)</f>
        <v>24.0058333333333</v>
      </c>
      <c r="AE96" s="39" t="n">
        <f aca="false">(1-$I$24)*(1-$J$24)*$D$24*AND(AE$5&gt;=$H$24,AE$5&lt;$H$24+$F$24)</f>
        <v>24.0058333333333</v>
      </c>
      <c r="AF96" s="39" t="n">
        <f aca="false">(1-$I$24)*(1-$J$24)*$D$24*AND(AF$5&gt;=$H$24,AF$5&lt;$H$24+$F$24)</f>
        <v>24.0058333333333</v>
      </c>
      <c r="AG96" s="39" t="n">
        <f aca="false">(1-$I$24)*(1-$J$24)*$D$24*AND(AG$5&gt;=$H$24,AG$5&lt;$H$24+$F$24)</f>
        <v>24.0058333333333</v>
      </c>
      <c r="AI96" s="39" t="n">
        <f aca="false">INDEX($F96:$AG96,1,MATCH(AI$7,$F$7:$AG$7,1))</f>
        <v>0</v>
      </c>
      <c r="AJ96" s="39" t="n">
        <f aca="false">INDEX($F96:$AG96,1,MATCH(AJ$7,$F$7:$AG$7,1))</f>
        <v>0</v>
      </c>
      <c r="AK96" s="39" t="n">
        <f aca="false">INDEX($F96:$AG96,1,MATCH(AK$7,$F$7:$AG$7,1))</f>
        <v>24.0058333333333</v>
      </c>
      <c r="AL96" s="39" t="n">
        <f aca="false">INDEX($F96:$AG96,1,MATCH(AL$7,$F$7:$AG$7,1))</f>
        <v>24.0058333333333</v>
      </c>
      <c r="AM96" s="39" t="n">
        <f aca="false">INDEX($F96:$AG96,1,MATCH(AM$7,$F$7:$AG$7,1))</f>
        <v>24.0058333333333</v>
      </c>
      <c r="AN96" s="39" t="n">
        <f aca="false">INDEX($F96:$AG96,1,MATCH(AN$7,$F$7:$AG$7,1))</f>
        <v>24.0058333333333</v>
      </c>
      <c r="AO96" s="39" t="n">
        <f aca="false">INDEX($F96:$AG96,1,MATCH(AO$7,$F$7:$AG$7,1))</f>
        <v>24.0058333333333</v>
      </c>
    </row>
    <row r="97" customFormat="false" ht="15" hidden="false" customHeight="false" outlineLevel="0" collapsed="false">
      <c r="A97" s="112" t="s">
        <v>2137</v>
      </c>
      <c r="B97" s="24" t="s">
        <v>745</v>
      </c>
      <c r="C97" s="24"/>
      <c r="D97" s="24"/>
      <c r="F97" s="130" t="n">
        <f aca="false">-(1-$I$24)*LD_Pct*$D$24*$E$24/4*AND(F$5&gt;=$G$24,F$5&lt;$H$24)</f>
        <v>-0</v>
      </c>
      <c r="G97" s="130" t="n">
        <f aca="false">-(1-$I$24)*LD_Pct*$D$24*$E$24/4*AND(G$5&gt;=$G$24,G$5&lt;$H$24)</f>
        <v>-0</v>
      </c>
      <c r="H97" s="130" t="n">
        <f aca="false">-(1-$I$24)*LD_Pct*$D$24*$E$24/4*AND(H$5&gt;=$G$24,H$5&lt;$H$24)</f>
        <v>-0</v>
      </c>
      <c r="I97" s="130" t="n">
        <f aca="false">-(1-$I$24)*LD_Pct*$D$24*$E$24/4*AND(I$5&gt;=$G$24,I$5&lt;$H$24)</f>
        <v>-0</v>
      </c>
      <c r="J97" s="130" t="n">
        <f aca="false">-(1-$I$24)*LD_Pct*$D$24*$E$24/4*AND(J$5&gt;=$G$24,J$5&lt;$H$24)</f>
        <v>-0</v>
      </c>
      <c r="K97" s="130" t="n">
        <f aca="false">-(1-$I$24)*LD_Pct*$D$24*$E$24/4*AND(K$5&gt;=$G$24,K$5&lt;$H$24)</f>
        <v>-0</v>
      </c>
      <c r="L97" s="130" t="n">
        <f aca="false">-(1-$I$24)*LD_Pct*$D$24*$E$24/4*AND(L$5&gt;=$G$24,L$5&lt;$H$24)</f>
        <v>-0</v>
      </c>
      <c r="M97" s="130" t="n">
        <f aca="false">-(1-$I$24)*LD_Pct*$D$24*$E$24/4*AND(M$5&gt;=$G$24,M$5&lt;$H$24)</f>
        <v>-0</v>
      </c>
      <c r="N97" s="130" t="n">
        <f aca="false">-(1-$I$24)*LD_Pct*$D$24*$E$24/4*AND(N$5&gt;=$G$24,N$5&lt;$H$24)</f>
        <v>-0</v>
      </c>
      <c r="O97" s="130" t="n">
        <f aca="false">-(1-$I$24)*LD_Pct*$D$24*$E$24/4*AND(O$5&gt;=$G$24,O$5&lt;$H$24)</f>
        <v>-0</v>
      </c>
      <c r="P97" s="131" t="n">
        <f aca="false">-(1-$I$24)*LD_Pct*$D$24*$E$24/4*AND(P$5&gt;=$G$24,P$5&lt;$H$24)</f>
        <v>-0</v>
      </c>
      <c r="Q97" s="131" t="n">
        <f aca="false">-(1-$I$24)*LD_Pct*$D$24*$E$24/4*AND(Q$5&gt;=$G$24,Q$5&lt;$H$24)</f>
        <v>-0</v>
      </c>
      <c r="R97" s="131" t="n">
        <f aca="false">-(1-$I$24)*LD_Pct*$D$24*$E$24/4*AND(R$5&gt;=$G$24,R$5&lt;$H$24)</f>
        <v>-0</v>
      </c>
      <c r="S97" s="131" t="n">
        <f aca="false">-(1-$I$24)*LD_Pct*$D$24*$E$24/4*AND(S$5&gt;=$G$24,S$5&lt;$H$24)</f>
        <v>-0</v>
      </c>
      <c r="T97" s="131" t="n">
        <f aca="false">-(1-$I$24)*LD_Pct*$D$24*$E$24/4*AND(T$5&gt;=$G$24,T$5&lt;$H$24)</f>
        <v>-0</v>
      </c>
      <c r="U97" s="131" t="n">
        <f aca="false">-(1-$I$24)*LD_Pct*$D$24*$E$24/4*AND(U$5&gt;=$G$24,U$5&lt;$H$24)</f>
        <v>-0</v>
      </c>
      <c r="V97" s="131" t="n">
        <f aca="false">-(1-$I$24)*LD_Pct*$D$24*$E$24/4*AND(V$5&gt;=$G$24,V$5&lt;$H$24)</f>
        <v>-0</v>
      </c>
      <c r="W97" s="131" t="n">
        <f aca="false">-(1-$I$24)*LD_Pct*$D$24*$E$24/4*AND(W$5&gt;=$G$24,W$5&lt;$H$24)</f>
        <v>-0</v>
      </c>
      <c r="X97" s="131" t="n">
        <f aca="false">-(1-$I$24)*LD_Pct*$D$24*$E$24/4*AND(X$5&gt;=$G$24,X$5&lt;$H$24)</f>
        <v>-0</v>
      </c>
      <c r="Y97" s="131" t="n">
        <f aca="false">-(1-$I$24)*LD_Pct*$D$24*$E$24/4*AND(Y$5&gt;=$G$24,Y$5&lt;$H$24)</f>
        <v>-0</v>
      </c>
      <c r="Z97" s="131" t="n">
        <f aca="false">-(1-$I$24)*LD_Pct*$D$24*$E$24/4*AND(Z$5&gt;=$G$24,Z$5&lt;$H$24)</f>
        <v>-0</v>
      </c>
      <c r="AA97" s="131" t="n">
        <f aca="false">-(1-$I$24)*LD_Pct*$D$24*$E$24/4*AND(AA$5&gt;=$G$24,AA$5&lt;$H$24)</f>
        <v>-0</v>
      </c>
      <c r="AB97" s="131" t="n">
        <f aca="false">-(1-$I$24)*LD_Pct*$D$24*$E$24/4*AND(AB$5&gt;=$G$24,AB$5&lt;$H$24)</f>
        <v>-0</v>
      </c>
      <c r="AC97" s="131" t="n">
        <f aca="false">-(1-$I$24)*LD_Pct*$D$24*$E$24/4*AND(AC$5&gt;=$G$24,AC$5&lt;$H$24)</f>
        <v>-0</v>
      </c>
      <c r="AD97" s="131" t="n">
        <f aca="false">-(1-$I$24)*LD_Pct*$D$24*$E$24/4*AND(AD$5&gt;=$G$24,AD$5&lt;$H$24)</f>
        <v>-0</v>
      </c>
      <c r="AE97" s="131" t="n">
        <f aca="false">-(1-$I$24)*LD_Pct*$D$24*$E$24/4*AND(AE$5&gt;=$G$24,AE$5&lt;$H$24)</f>
        <v>-0</v>
      </c>
      <c r="AF97" s="131" t="n">
        <f aca="false">-(1-$I$24)*LD_Pct*$D$24*$E$24/4*AND(AF$5&gt;=$G$24,AF$5&lt;$H$24)</f>
        <v>-0</v>
      </c>
      <c r="AG97" s="131" t="n">
        <f aca="false">-(1-$I$24)*LD_Pct*$D$24*$E$24/4*AND(AG$5&gt;=$G$24,AG$5&lt;$H$24)</f>
        <v>-0</v>
      </c>
      <c r="AI97" s="131" t="n">
        <f aca="false">SUMIF($F$7:$AG$7,AI$7,$F97:$AG97)</f>
        <v>0</v>
      </c>
      <c r="AJ97" s="131" t="n">
        <f aca="false">SUMIF($F$7:$AG$7,AJ$7,$F97:$AG97)</f>
        <v>0</v>
      </c>
      <c r="AK97" s="131" t="n">
        <f aca="false">SUMIF($F$7:$AG$7,AK$7,$F97:$AG97)</f>
        <v>0</v>
      </c>
      <c r="AL97" s="131" t="n">
        <f aca="false">SUMIF($F$7:$AG$7,AL$7,$F97:$AG97)</f>
        <v>0</v>
      </c>
      <c r="AM97" s="131" t="n">
        <f aca="false">SUMIF($F$7:$AG$7,AM$7,$F97:$AG97)</f>
        <v>0</v>
      </c>
      <c r="AN97" s="131" t="n">
        <f aca="false">SUMIF($F$7:$AG$7,AN$7,$F97:$AG97)</f>
        <v>0</v>
      </c>
      <c r="AO97" s="131" t="n">
        <f aca="false">SUMIF($F$7:$AG$7,AO$7,$F97:$AG97)</f>
        <v>0</v>
      </c>
    </row>
    <row r="98" customFormat="false" ht="15" hidden="false" customHeight="false" outlineLevel="0" collapsed="false">
      <c r="A98" s="112" t="s">
        <v>2138</v>
      </c>
      <c r="B98" s="24" t="s">
        <v>857</v>
      </c>
      <c r="C98" s="24"/>
      <c r="D98" s="24"/>
      <c r="F98" s="121" t="n">
        <f aca="false">(1-$I$24)*(1-$J$24)*$D$24*(F$5&gt;=$H$24+$F$24)</f>
        <v>0</v>
      </c>
      <c r="G98" s="121" t="n">
        <f aca="false">(1-$I$24)*(1-$J$24)*$D$24*(G$5&gt;=$H$24+$F$24)</f>
        <v>0</v>
      </c>
      <c r="H98" s="121" t="n">
        <f aca="false">(1-$I$24)*(1-$J$24)*$D$24*(H$5&gt;=$H$24+$F$24)</f>
        <v>0</v>
      </c>
      <c r="I98" s="121" t="n">
        <f aca="false">(1-$I$24)*(1-$J$24)*$D$24*(I$5&gt;=$H$24+$F$24)</f>
        <v>0</v>
      </c>
      <c r="J98" s="121" t="n">
        <f aca="false">(1-$I$24)*(1-$J$24)*$D$24*(J$5&gt;=$H$24+$F$24)</f>
        <v>0</v>
      </c>
      <c r="K98" s="121" t="n">
        <f aca="false">(1-$I$24)*(1-$J$24)*$D$24*(K$5&gt;=$H$24+$F$24)</f>
        <v>0</v>
      </c>
      <c r="L98" s="121" t="n">
        <f aca="false">(1-$I$24)*(1-$J$24)*$D$24*(L$5&gt;=$H$24+$F$24)</f>
        <v>0</v>
      </c>
      <c r="M98" s="121" t="n">
        <f aca="false">(1-$I$24)*(1-$J$24)*$D$24*(M$5&gt;=$H$24+$F$24)</f>
        <v>0</v>
      </c>
      <c r="N98" s="121" t="n">
        <f aca="false">(1-$I$24)*(1-$J$24)*$D$24*(N$5&gt;=$H$24+$F$24)</f>
        <v>0</v>
      </c>
      <c r="O98" s="121" t="n">
        <f aca="false">(1-$I$24)*(1-$J$24)*$D$24*(O$5&gt;=$H$24+$F$24)</f>
        <v>0</v>
      </c>
      <c r="P98" s="39" t="n">
        <f aca="false">(1-$I$24)*(1-$J$24)*$D$24*(P$5&gt;=$H$24+$F$24)</f>
        <v>0</v>
      </c>
      <c r="Q98" s="39" t="n">
        <f aca="false">(1-$I$24)*(1-$J$24)*$D$24*(Q$5&gt;=$H$24+$F$24)</f>
        <v>0</v>
      </c>
      <c r="R98" s="39" t="n">
        <f aca="false">(1-$I$24)*(1-$J$24)*$D$24*(R$5&gt;=$H$24+$F$24)</f>
        <v>0</v>
      </c>
      <c r="S98" s="39" t="n">
        <f aca="false">(1-$I$24)*(1-$J$24)*$D$24*(S$5&gt;=$H$24+$F$24)</f>
        <v>0</v>
      </c>
      <c r="T98" s="39" t="n">
        <f aca="false">(1-$I$24)*(1-$J$24)*$D$24*(T$5&gt;=$H$24+$F$24)</f>
        <v>0</v>
      </c>
      <c r="U98" s="39" t="n">
        <f aca="false">(1-$I$24)*(1-$J$24)*$D$24*(U$5&gt;=$H$24+$F$24)</f>
        <v>0</v>
      </c>
      <c r="V98" s="39" t="n">
        <f aca="false">(1-$I$24)*(1-$J$24)*$D$24*(V$5&gt;=$H$24+$F$24)</f>
        <v>0</v>
      </c>
      <c r="W98" s="39" t="n">
        <f aca="false">(1-$I$24)*(1-$J$24)*$D$24*(W$5&gt;=$H$24+$F$24)</f>
        <v>0</v>
      </c>
      <c r="X98" s="39" t="n">
        <f aca="false">(1-$I$24)*(1-$J$24)*$D$24*(X$5&gt;=$H$24+$F$24)</f>
        <v>0</v>
      </c>
      <c r="Y98" s="39" t="n">
        <f aca="false">(1-$I$24)*(1-$J$24)*$D$24*(Y$5&gt;=$H$24+$F$24)</f>
        <v>0</v>
      </c>
      <c r="Z98" s="39" t="n">
        <f aca="false">(1-$I$24)*(1-$J$24)*$D$24*(Z$5&gt;=$H$24+$F$24)</f>
        <v>0</v>
      </c>
      <c r="AA98" s="39" t="n">
        <f aca="false">(1-$I$24)*(1-$J$24)*$D$24*(AA$5&gt;=$H$24+$F$24)</f>
        <v>0</v>
      </c>
      <c r="AB98" s="39" t="n">
        <f aca="false">(1-$I$24)*(1-$J$24)*$D$24*(AB$5&gt;=$H$24+$F$24)</f>
        <v>0</v>
      </c>
      <c r="AC98" s="39" t="n">
        <f aca="false">(1-$I$24)*(1-$J$24)*$D$24*(AC$5&gt;=$H$24+$F$24)</f>
        <v>0</v>
      </c>
      <c r="AD98" s="39" t="n">
        <f aca="false">(1-$I$24)*(1-$J$24)*$D$24*(AD$5&gt;=$H$24+$F$24)</f>
        <v>0</v>
      </c>
      <c r="AE98" s="39" t="n">
        <f aca="false">(1-$I$24)*(1-$J$24)*$D$24*(AE$5&gt;=$H$24+$F$24)</f>
        <v>0</v>
      </c>
      <c r="AF98" s="39" t="n">
        <f aca="false">(1-$I$24)*(1-$J$24)*$D$24*(AF$5&gt;=$H$24+$F$24)</f>
        <v>0</v>
      </c>
      <c r="AG98" s="39" t="n">
        <f aca="false">(1-$I$24)*(1-$J$24)*$D$24*(AG$5&gt;=$H$24+$F$24)</f>
        <v>0</v>
      </c>
      <c r="AI98" s="39" t="n">
        <f aca="false">INDEX($F98:$AG98,1,MATCH(AI$7,$F$7:$AG$7,1))</f>
        <v>0</v>
      </c>
      <c r="AJ98" s="39" t="n">
        <f aca="false">INDEX($F98:$AG98,1,MATCH(AJ$7,$F$7:$AG$7,1))</f>
        <v>0</v>
      </c>
      <c r="AK98" s="39" t="n">
        <f aca="false">INDEX($F98:$AG98,1,MATCH(AK$7,$F$7:$AG$7,1))</f>
        <v>0</v>
      </c>
      <c r="AL98" s="39" t="n">
        <f aca="false">INDEX($F98:$AG98,1,MATCH(AL$7,$F$7:$AG$7,1))</f>
        <v>0</v>
      </c>
      <c r="AM98" s="39" t="n">
        <f aca="false">INDEX($F98:$AG98,1,MATCH(AM$7,$F$7:$AG$7,1))</f>
        <v>0</v>
      </c>
      <c r="AN98" s="39" t="n">
        <f aca="false">INDEX($F98:$AG98,1,MATCH(AN$7,$F$7:$AG$7,1))</f>
        <v>0</v>
      </c>
      <c r="AO98" s="39" t="n">
        <f aca="false">INDEX($F98:$AG98,1,MATCH(AO$7,$F$7:$AG$7,1))</f>
        <v>0</v>
      </c>
    </row>
    <row r="99" customFormat="false" ht="15" hidden="false" customHeight="false" outlineLevel="0" collapsed="false">
      <c r="A99" s="112" t="s">
        <v>2139</v>
      </c>
      <c r="B99" s="24" t="s">
        <v>745</v>
      </c>
      <c r="C99" s="24"/>
      <c r="D99" s="24" t="s">
        <v>2079</v>
      </c>
      <c r="F99" s="130" t="n">
        <f aca="false">F98*CHOOSE(MATCH($C$24,{"H";"B";"N"},0),GPUMW_H*ODc_H,GPUMW_B*ODc_B,GPUMW_N*ODc_N)*ResidUtil*Timeline!F$9*INDEX(Curve,1,MAX(1,MIN(8,INT((F$5-$H$24)/4)+1)))/1000000</f>
        <v>0</v>
      </c>
      <c r="G99" s="130" t="n">
        <f aca="false">G98*CHOOSE(MATCH($C$24,{"H";"B";"N"},0),GPUMW_H*ODc_H,GPUMW_B*ODc_B,GPUMW_N*ODc_N)*ResidUtil*Timeline!G$9*INDEX(Curve,1,MAX(1,MIN(8,INT((G$5-$H$24)/4)+1)))/1000000</f>
        <v>0</v>
      </c>
      <c r="H99" s="130" t="n">
        <f aca="false">H98*CHOOSE(MATCH($C$24,{"H";"B";"N"},0),GPUMW_H*ODc_H,GPUMW_B*ODc_B,GPUMW_N*ODc_N)*ResidUtil*Timeline!H$9*INDEX(Curve,1,MAX(1,MIN(8,INT((H$5-$H$24)/4)+1)))/1000000</f>
        <v>0</v>
      </c>
      <c r="I99" s="130" t="n">
        <f aca="false">I98*CHOOSE(MATCH($C$24,{"H";"B";"N"},0),GPUMW_H*ODc_H,GPUMW_B*ODc_B,GPUMW_N*ODc_N)*ResidUtil*Timeline!I$9*INDEX(Curve,1,MAX(1,MIN(8,INT((I$5-$H$24)/4)+1)))/1000000</f>
        <v>0</v>
      </c>
      <c r="J99" s="130" t="n">
        <f aca="false">J98*CHOOSE(MATCH($C$24,{"H";"B";"N"},0),GPUMW_H*ODc_H,GPUMW_B*ODc_B,GPUMW_N*ODc_N)*ResidUtil*Timeline!J$9*INDEX(Curve,1,MAX(1,MIN(8,INT((J$5-$H$24)/4)+1)))/1000000</f>
        <v>0</v>
      </c>
      <c r="K99" s="130" t="n">
        <f aca="false">K98*CHOOSE(MATCH($C$24,{"H";"B";"N"},0),GPUMW_H*ODc_H,GPUMW_B*ODc_B,GPUMW_N*ODc_N)*ResidUtil*Timeline!K$9*INDEX(Curve,1,MAX(1,MIN(8,INT((K$5-$H$24)/4)+1)))/1000000</f>
        <v>0</v>
      </c>
      <c r="L99" s="130" t="n">
        <f aca="false">L98*CHOOSE(MATCH($C$24,{"H";"B";"N"},0),GPUMW_H*ODc_H,GPUMW_B*ODc_B,GPUMW_N*ODc_N)*ResidUtil*Timeline!L$9*INDEX(Curve,1,MAX(1,MIN(8,INT((L$5-$H$24)/4)+1)))/1000000</f>
        <v>0</v>
      </c>
      <c r="M99" s="130" t="n">
        <f aca="false">M98*CHOOSE(MATCH($C$24,{"H";"B";"N"},0),GPUMW_H*ODc_H,GPUMW_B*ODc_B,GPUMW_N*ODc_N)*ResidUtil*Timeline!M$9*INDEX(Curve,1,MAX(1,MIN(8,INT((M$5-$H$24)/4)+1)))/1000000</f>
        <v>0</v>
      </c>
      <c r="N99" s="130" t="n">
        <f aca="false">N98*CHOOSE(MATCH($C$24,{"H";"B";"N"},0),GPUMW_H*ODc_H,GPUMW_B*ODc_B,GPUMW_N*ODc_N)*ResidUtil*Timeline!N$9*INDEX(Curve,1,MAX(1,MIN(8,INT((N$5-$H$24)/4)+1)))/1000000</f>
        <v>0</v>
      </c>
      <c r="O99" s="130" t="n">
        <f aca="false">O98*CHOOSE(MATCH($C$24,{"H";"B";"N"},0),GPUMW_H*ODc_H,GPUMW_B*ODc_B,GPUMW_N*ODc_N)*ResidUtil*Timeline!O$9*INDEX(Curve,1,MAX(1,MIN(8,INT((O$5-$H$24)/4)+1)))/1000000</f>
        <v>0</v>
      </c>
      <c r="P99" s="131" t="n">
        <f aca="false">P98*CHOOSE(MATCH($C$24,{"H";"B";"N"},0),GPUMW_H*ODc_H,GPUMW_B*ODc_B,GPUMW_N*ODc_N)*ResidUtil*Timeline!P$9*INDEX(Curve,1,MAX(1,MIN(8,INT((P$5-$H$24)/4)+1)))/1000000</f>
        <v>0</v>
      </c>
      <c r="Q99" s="131" t="n">
        <f aca="false">Q98*CHOOSE(MATCH($C$24,{"H";"B";"N"},0),GPUMW_H*ODc_H,GPUMW_B*ODc_B,GPUMW_N*ODc_N)*ResidUtil*Timeline!Q$9*INDEX(Curve,1,MAX(1,MIN(8,INT((Q$5-$H$24)/4)+1)))/1000000</f>
        <v>0</v>
      </c>
      <c r="R99" s="131" t="n">
        <f aca="false">R98*CHOOSE(MATCH($C$24,{"H";"B";"N"},0),GPUMW_H*ODc_H,GPUMW_B*ODc_B,GPUMW_N*ODc_N)*ResidUtil*Timeline!R$9*INDEX(Curve,1,MAX(1,MIN(8,INT((R$5-$H$24)/4)+1)))/1000000</f>
        <v>0</v>
      </c>
      <c r="S99" s="131" t="n">
        <f aca="false">S98*CHOOSE(MATCH($C$24,{"H";"B";"N"},0),GPUMW_H*ODc_H,GPUMW_B*ODc_B,GPUMW_N*ODc_N)*ResidUtil*Timeline!S$9*INDEX(Curve,1,MAX(1,MIN(8,INT((S$5-$H$24)/4)+1)))/1000000</f>
        <v>0</v>
      </c>
      <c r="T99" s="131" t="n">
        <f aca="false">T98*CHOOSE(MATCH($C$24,{"H";"B";"N"},0),GPUMW_H*ODc_H,GPUMW_B*ODc_B,GPUMW_N*ODc_N)*ResidUtil*Timeline!T$9*INDEX(Curve,1,MAX(1,MIN(8,INT((T$5-$H$24)/4)+1)))/1000000</f>
        <v>0</v>
      </c>
      <c r="U99" s="131" t="n">
        <f aca="false">U98*CHOOSE(MATCH($C$24,{"H";"B";"N"},0),GPUMW_H*ODc_H,GPUMW_B*ODc_B,GPUMW_N*ODc_N)*ResidUtil*Timeline!U$9*INDEX(Curve,1,MAX(1,MIN(8,INT((U$5-$H$24)/4)+1)))/1000000</f>
        <v>0</v>
      </c>
      <c r="V99" s="131" t="n">
        <f aca="false">V98*CHOOSE(MATCH($C$24,{"H";"B";"N"},0),GPUMW_H*ODc_H,GPUMW_B*ODc_B,GPUMW_N*ODc_N)*ResidUtil*Timeline!V$9*INDEX(Curve,1,MAX(1,MIN(8,INT((V$5-$H$24)/4)+1)))/1000000</f>
        <v>0</v>
      </c>
      <c r="W99" s="131" t="n">
        <f aca="false">W98*CHOOSE(MATCH($C$24,{"H";"B";"N"},0),GPUMW_H*ODc_H,GPUMW_B*ODc_B,GPUMW_N*ODc_N)*ResidUtil*Timeline!W$9*INDEX(Curve,1,MAX(1,MIN(8,INT((W$5-$H$24)/4)+1)))/1000000</f>
        <v>0</v>
      </c>
      <c r="X99" s="131" t="n">
        <f aca="false">X98*CHOOSE(MATCH($C$24,{"H";"B";"N"},0),GPUMW_H*ODc_H,GPUMW_B*ODc_B,GPUMW_N*ODc_N)*ResidUtil*Timeline!X$9*INDEX(Curve,1,MAX(1,MIN(8,INT((X$5-$H$24)/4)+1)))/1000000</f>
        <v>0</v>
      </c>
      <c r="Y99" s="131" t="n">
        <f aca="false">Y98*CHOOSE(MATCH($C$24,{"H";"B";"N"},0),GPUMW_H*ODc_H,GPUMW_B*ODc_B,GPUMW_N*ODc_N)*ResidUtil*Timeline!Y$9*INDEX(Curve,1,MAX(1,MIN(8,INT((Y$5-$H$24)/4)+1)))/1000000</f>
        <v>0</v>
      </c>
      <c r="Z99" s="131" t="n">
        <f aca="false">Z98*CHOOSE(MATCH($C$24,{"H";"B";"N"},0),GPUMW_H*ODc_H,GPUMW_B*ODc_B,GPUMW_N*ODc_N)*ResidUtil*Timeline!Z$9*INDEX(Curve,1,MAX(1,MIN(8,INT((Z$5-$H$24)/4)+1)))/1000000</f>
        <v>0</v>
      </c>
      <c r="AA99" s="131" t="n">
        <f aca="false">AA98*CHOOSE(MATCH($C$24,{"H";"B";"N"},0),GPUMW_H*ODc_H,GPUMW_B*ODc_B,GPUMW_N*ODc_N)*ResidUtil*Timeline!AA$9*INDEX(Curve,1,MAX(1,MIN(8,INT((AA$5-$H$24)/4)+1)))/1000000</f>
        <v>0</v>
      </c>
      <c r="AB99" s="131" t="n">
        <f aca="false">AB98*CHOOSE(MATCH($C$24,{"H";"B";"N"},0),GPUMW_H*ODc_H,GPUMW_B*ODc_B,GPUMW_N*ODc_N)*ResidUtil*Timeline!AB$9*INDEX(Curve,1,MAX(1,MIN(8,INT((AB$5-$H$24)/4)+1)))/1000000</f>
        <v>0</v>
      </c>
      <c r="AC99" s="131" t="n">
        <f aca="false">AC98*CHOOSE(MATCH($C$24,{"H";"B";"N"},0),GPUMW_H*ODc_H,GPUMW_B*ODc_B,GPUMW_N*ODc_N)*ResidUtil*Timeline!AC$9*INDEX(Curve,1,MAX(1,MIN(8,INT((AC$5-$H$24)/4)+1)))/1000000</f>
        <v>0</v>
      </c>
      <c r="AD99" s="131" t="n">
        <f aca="false">AD98*CHOOSE(MATCH($C$24,{"H";"B";"N"},0),GPUMW_H*ODc_H,GPUMW_B*ODc_B,GPUMW_N*ODc_N)*ResidUtil*Timeline!AD$9*INDEX(Curve,1,MAX(1,MIN(8,INT((AD$5-$H$24)/4)+1)))/1000000</f>
        <v>0</v>
      </c>
      <c r="AE99" s="131" t="n">
        <f aca="false">AE98*CHOOSE(MATCH($C$24,{"H";"B";"N"},0),GPUMW_H*ODc_H,GPUMW_B*ODc_B,GPUMW_N*ODc_N)*ResidUtil*Timeline!AE$9*INDEX(Curve,1,MAX(1,MIN(8,INT((AE$5-$H$24)/4)+1)))/1000000</f>
        <v>0</v>
      </c>
      <c r="AF99" s="131" t="n">
        <f aca="false">AF98*CHOOSE(MATCH($C$24,{"H";"B";"N"},0),GPUMW_H*ODc_H,GPUMW_B*ODc_B,GPUMW_N*ODc_N)*ResidUtil*Timeline!AF$9*INDEX(Curve,1,MAX(1,MIN(8,INT((AF$5-$H$24)/4)+1)))/1000000</f>
        <v>0</v>
      </c>
      <c r="AG99" s="131" t="n">
        <f aca="false">AG98*CHOOSE(MATCH($C$24,{"H";"B";"N"},0),GPUMW_H*ODc_H,GPUMW_B*ODc_B,GPUMW_N*ODc_N)*ResidUtil*Timeline!AG$9*INDEX(Curve,1,MAX(1,MIN(8,INT((AG$5-$H$24)/4)+1)))/1000000</f>
        <v>0</v>
      </c>
      <c r="AI99" s="131" t="n">
        <f aca="false">SUMIF($F$7:$AG$7,AI$7,$F99:$AG99)</f>
        <v>0</v>
      </c>
      <c r="AJ99" s="131" t="n">
        <f aca="false">SUMIF($F$7:$AG$7,AJ$7,$F99:$AG99)</f>
        <v>0</v>
      </c>
      <c r="AK99" s="131" t="n">
        <f aca="false">SUMIF($F$7:$AG$7,AK$7,$F99:$AG99)</f>
        <v>0</v>
      </c>
      <c r="AL99" s="131" t="n">
        <f aca="false">SUMIF($F$7:$AG$7,AL$7,$F99:$AG99)</f>
        <v>0</v>
      </c>
      <c r="AM99" s="131" t="n">
        <f aca="false">SUMIF($F$7:$AG$7,AM$7,$F99:$AG99)</f>
        <v>0</v>
      </c>
      <c r="AN99" s="131" t="n">
        <f aca="false">SUMIF($F$7:$AG$7,AN$7,$F99:$AG99)</f>
        <v>0</v>
      </c>
      <c r="AO99" s="131" t="n">
        <f aca="false">SUMIF($F$7:$AG$7,AO$7,$F99:$AG99)</f>
        <v>0</v>
      </c>
    </row>
    <row r="100" customFormat="false" ht="15" hidden="false" customHeight="false" outlineLevel="0" collapsed="false">
      <c r="A100" s="112" t="s">
        <v>2140</v>
      </c>
      <c r="B100" s="24" t="s">
        <v>745</v>
      </c>
      <c r="C100" s="24"/>
      <c r="D100" s="24"/>
      <c r="F100" s="130" t="n">
        <f aca="false">(1-$I$25)*(1-$J$25)*$D$25*$E$25/4*MIN(1,MAX(0,(F$5-$H$25+1)/$T$25))*IF(F$5=$H$25,$U$25,IF(AND(F$5&gt;$H$25,F$5&lt;$H$25+$F$25),1,IF(F$5=$H$25+$F$25,1-$U$25,0)))</f>
        <v>0</v>
      </c>
      <c r="G100" s="130" t="n">
        <f aca="false">(1-$I$25)*(1-$J$25)*$D$25*$E$25/4*MIN(1,MAX(0,(G$5-$H$25+1)/$T$25))*IF(G$5=$H$25,$U$25,IF(AND(G$5&gt;$H$25,G$5&lt;$H$25+$F$25),1,IF(G$5=$H$25+$F$25,1-$U$25,0)))</f>
        <v>0</v>
      </c>
      <c r="H100" s="130" t="n">
        <f aca="false">(1-$I$25)*(1-$J$25)*$D$25*$E$25/4*MIN(1,MAX(0,(H$5-$H$25+1)/$T$25))*IF(H$5=$H$25,$U$25,IF(AND(H$5&gt;$H$25,H$5&lt;$H$25+$F$25),1,IF(H$5=$H$25+$F$25,1-$U$25,0)))</f>
        <v>0</v>
      </c>
      <c r="I100" s="130" t="n">
        <f aca="false">(1-$I$25)*(1-$J$25)*$D$25*$E$25/4*MIN(1,MAX(0,(I$5-$H$25+1)/$T$25))*IF(I$5=$H$25,$U$25,IF(AND(I$5&gt;$H$25,I$5&lt;$H$25+$F$25),1,IF(I$5=$H$25+$F$25,1-$U$25,0)))</f>
        <v>0</v>
      </c>
      <c r="J100" s="130" t="n">
        <f aca="false">(1-$I$25)*(1-$J$25)*$D$25*$E$25/4*MIN(1,MAX(0,(J$5-$H$25+1)/$T$25))*IF(J$5=$H$25,$U$25,IF(AND(J$5&gt;$H$25,J$5&lt;$H$25+$F$25),1,IF(J$5=$H$25+$F$25,1-$U$25,0)))</f>
        <v>0</v>
      </c>
      <c r="K100" s="130" t="n">
        <f aca="false">(1-$I$25)*(1-$J$25)*$D$25*$E$25/4*MIN(1,MAX(0,(K$5-$H$25+1)/$T$25))*IF(K$5=$H$25,$U$25,IF(AND(K$5&gt;$H$25,K$5&lt;$H$25+$F$25),1,IF(K$5=$H$25+$F$25,1-$U$25,0)))</f>
        <v>0</v>
      </c>
      <c r="L100" s="130" t="n">
        <f aca="false">(1-$I$25)*(1-$J$25)*$D$25*$E$25/4*MIN(1,MAX(0,(L$5-$H$25+1)/$T$25))*IF(L$5=$H$25,$U$25,IF(AND(L$5&gt;$H$25,L$5&lt;$H$25+$F$25),1,IF(L$5=$H$25+$F$25,1-$U$25,0)))</f>
        <v>0</v>
      </c>
      <c r="M100" s="130" t="n">
        <f aca="false">(1-$I$25)*(1-$J$25)*$D$25*$E$25/4*MIN(1,MAX(0,(M$5-$H$25+1)/$T$25))*IF(M$5=$H$25,$U$25,IF(AND(M$5&gt;$H$25,M$5&lt;$H$25+$F$25),1,IF(M$5=$H$25+$F$25,1-$U$25,0)))</f>
        <v>0</v>
      </c>
      <c r="N100" s="130" t="n">
        <f aca="false">(1-$I$25)*(1-$J$25)*$D$25*$E$25/4*MIN(1,MAX(0,(N$5-$H$25+1)/$T$25))*IF(N$5=$H$25,$U$25,IF(AND(N$5&gt;$H$25,N$5&lt;$H$25+$F$25),1,IF(N$5=$H$25+$F$25,1-$U$25,0)))</f>
        <v>0</v>
      </c>
      <c r="O100" s="130" t="n">
        <f aca="false">(1-$I$25)*(1-$J$25)*$D$25*$E$25/4*MIN(1,MAX(0,(O$5-$H$25+1)/$T$25))*IF(O$5=$H$25,$U$25,IF(AND(O$5&gt;$H$25,O$5&lt;$H$25+$F$25),1,IF(O$5=$H$25+$F$25,1-$U$25,0)))</f>
        <v>0</v>
      </c>
      <c r="P100" s="131" t="n">
        <f aca="false">(1-$I$25)*(1-$J$25)*$D$25*$E$25/4*MIN(1,MAX(0,(P$5-$H$25+1)/$T$25))*IF(P$5=$H$25,$U$25,IF(AND(P$5&gt;$H$25,P$5&lt;$H$25+$F$25),1,IF(P$5=$H$25+$F$25,1-$U$25,0)))</f>
        <v>0</v>
      </c>
      <c r="Q100" s="131" t="n">
        <f aca="false">(1-$I$25)*(1-$J$25)*$D$25*$E$25/4*MIN(1,MAX(0,(Q$5-$H$25+1)/$T$25))*IF(Q$5=$H$25,$U$25,IF(AND(Q$5&gt;$H$25,Q$5&lt;$H$25+$F$25),1,IF(Q$5=$H$25+$F$25,1-$U$25,0)))</f>
        <v>0</v>
      </c>
      <c r="R100" s="131" t="n">
        <f aca="false">(1-$I$25)*(1-$J$25)*$D$25*$E$25/4*MIN(1,MAX(0,(R$5-$H$25+1)/$T$25))*IF(R$5=$H$25,$U$25,IF(AND(R$5&gt;$H$25,R$5&lt;$H$25+$F$25),1,IF(R$5=$H$25+$F$25,1-$U$25,0)))</f>
        <v>0</v>
      </c>
      <c r="S100" s="131" t="n">
        <f aca="false">(1-$I$25)*(1-$J$25)*$D$25*$E$25/4*MIN(1,MAX(0,(S$5-$H$25+1)/$T$25))*IF(S$5=$H$25,$U$25,IF(AND(S$5&gt;$H$25,S$5&lt;$H$25+$F$25),1,IF(S$5=$H$25+$F$25,1-$U$25,0)))</f>
        <v>0</v>
      </c>
      <c r="T100" s="131" t="n">
        <f aca="false">(1-$I$25)*(1-$J$25)*$D$25*$E$25/4*MIN(1,MAX(0,(T$5-$H$25+1)/$T$25))*IF(T$5=$H$25,$U$25,IF(AND(T$5&gt;$H$25,T$5&lt;$H$25+$F$25),1,IF(T$5=$H$25+$F$25,1-$U$25,0)))</f>
        <v>150</v>
      </c>
      <c r="U100" s="131" t="n">
        <f aca="false">(1-$I$25)*(1-$J$25)*$D$25*$E$25/4*MIN(1,MAX(0,(U$5-$H$25+1)/$T$25))*IF(U$5=$H$25,$U$25,IF(AND(U$5&gt;$H$25,U$5&lt;$H$25+$F$25),1,IF(U$5=$H$25+$F$25,1-$U$25,0)))</f>
        <v>300</v>
      </c>
      <c r="V100" s="131" t="n">
        <f aca="false">(1-$I$25)*(1-$J$25)*$D$25*$E$25/4*MIN(1,MAX(0,(V$5-$H$25+1)/$T$25))*IF(V$5=$H$25,$U$25,IF(AND(V$5&gt;$H$25,V$5&lt;$H$25+$F$25),1,IF(V$5=$H$25+$F$25,1-$U$25,0)))</f>
        <v>300</v>
      </c>
      <c r="W100" s="131" t="n">
        <f aca="false">(1-$I$25)*(1-$J$25)*$D$25*$E$25/4*MIN(1,MAX(0,(W$5-$H$25+1)/$T$25))*IF(W$5=$H$25,$U$25,IF(AND(W$5&gt;$H$25,W$5&lt;$H$25+$F$25),1,IF(W$5=$H$25+$F$25,1-$U$25,0)))</f>
        <v>300</v>
      </c>
      <c r="X100" s="131" t="n">
        <f aca="false">(1-$I$25)*(1-$J$25)*$D$25*$E$25/4*MIN(1,MAX(0,(X$5-$H$25+1)/$T$25))*IF(X$5=$H$25,$U$25,IF(AND(X$5&gt;$H$25,X$5&lt;$H$25+$F$25),1,IF(X$5=$H$25+$F$25,1-$U$25,0)))</f>
        <v>300</v>
      </c>
      <c r="Y100" s="131" t="n">
        <f aca="false">(1-$I$25)*(1-$J$25)*$D$25*$E$25/4*MIN(1,MAX(0,(Y$5-$H$25+1)/$T$25))*IF(Y$5=$H$25,$U$25,IF(AND(Y$5&gt;$H$25,Y$5&lt;$H$25+$F$25),1,IF(Y$5=$H$25+$F$25,1-$U$25,0)))</f>
        <v>300</v>
      </c>
      <c r="Z100" s="131" t="n">
        <f aca="false">(1-$I$25)*(1-$J$25)*$D$25*$E$25/4*MIN(1,MAX(0,(Z$5-$H$25+1)/$T$25))*IF(Z$5=$H$25,$U$25,IF(AND(Z$5&gt;$H$25,Z$5&lt;$H$25+$F$25),1,IF(Z$5=$H$25+$F$25,1-$U$25,0)))</f>
        <v>300</v>
      </c>
      <c r="AA100" s="131" t="n">
        <f aca="false">(1-$I$25)*(1-$J$25)*$D$25*$E$25/4*MIN(1,MAX(0,(AA$5-$H$25+1)/$T$25))*IF(AA$5=$H$25,$U$25,IF(AND(AA$5&gt;$H$25,AA$5&lt;$H$25+$F$25),1,IF(AA$5=$H$25+$F$25,1-$U$25,0)))</f>
        <v>300</v>
      </c>
      <c r="AB100" s="131" t="n">
        <f aca="false">(1-$I$25)*(1-$J$25)*$D$25*$E$25/4*MIN(1,MAX(0,(AB$5-$H$25+1)/$T$25))*IF(AB$5=$H$25,$U$25,IF(AND(AB$5&gt;$H$25,AB$5&lt;$H$25+$F$25),1,IF(AB$5=$H$25+$F$25,1-$U$25,0)))</f>
        <v>300</v>
      </c>
      <c r="AC100" s="131" t="n">
        <f aca="false">(1-$I$25)*(1-$J$25)*$D$25*$E$25/4*MIN(1,MAX(0,(AC$5-$H$25+1)/$T$25))*IF(AC$5=$H$25,$U$25,IF(AND(AC$5&gt;$H$25,AC$5&lt;$H$25+$F$25),1,IF(AC$5=$H$25+$F$25,1-$U$25,0)))</f>
        <v>300</v>
      </c>
      <c r="AD100" s="131" t="n">
        <f aca="false">(1-$I$25)*(1-$J$25)*$D$25*$E$25/4*MIN(1,MAX(0,(AD$5-$H$25+1)/$T$25))*IF(AD$5=$H$25,$U$25,IF(AND(AD$5&gt;$H$25,AD$5&lt;$H$25+$F$25),1,IF(AD$5=$H$25+$F$25,1-$U$25,0)))</f>
        <v>300</v>
      </c>
      <c r="AE100" s="131" t="n">
        <f aca="false">(1-$I$25)*(1-$J$25)*$D$25*$E$25/4*MIN(1,MAX(0,(AE$5-$H$25+1)/$T$25))*IF(AE$5=$H$25,$U$25,IF(AND(AE$5&gt;$H$25,AE$5&lt;$H$25+$F$25),1,IF(AE$5=$H$25+$F$25,1-$U$25,0)))</f>
        <v>300</v>
      </c>
      <c r="AF100" s="131" t="n">
        <f aca="false">(1-$I$25)*(1-$J$25)*$D$25*$E$25/4*MIN(1,MAX(0,(AF$5-$H$25+1)/$T$25))*IF(AF$5=$H$25,$U$25,IF(AND(AF$5&gt;$H$25,AF$5&lt;$H$25+$F$25),1,IF(AF$5=$H$25+$F$25,1-$U$25,0)))</f>
        <v>300</v>
      </c>
      <c r="AG100" s="131" t="n">
        <f aca="false">(1-$I$25)*(1-$J$25)*$D$25*$E$25/4*MIN(1,MAX(0,(AG$5-$H$25+1)/$T$25))*IF(AG$5=$H$25,$U$25,IF(AND(AG$5&gt;$H$25,AG$5&lt;$H$25+$F$25),1,IF(AG$5=$H$25+$F$25,1-$U$25,0)))</f>
        <v>300</v>
      </c>
      <c r="AI100" s="131" t="n">
        <f aca="false">SUMIF($F$7:$AG$7,AI$7,$F100:$AG100)</f>
        <v>0</v>
      </c>
      <c r="AJ100" s="131" t="n">
        <f aca="false">SUMIF($F$7:$AG$7,AJ$7,$F100:$AG100)</f>
        <v>0</v>
      </c>
      <c r="AK100" s="131" t="n">
        <f aca="false">SUMIF($F$7:$AG$7,AK$7,$F100:$AG100)</f>
        <v>0</v>
      </c>
      <c r="AL100" s="131" t="n">
        <f aca="false">SUMIF($F$7:$AG$7,AL$7,$F100:$AG100)</f>
        <v>450</v>
      </c>
      <c r="AM100" s="131" t="n">
        <f aca="false">SUMIF($F$7:$AG$7,AM$7,$F100:$AG100)</f>
        <v>1200</v>
      </c>
      <c r="AN100" s="131" t="n">
        <f aca="false">SUMIF($F$7:$AG$7,AN$7,$F100:$AG100)</f>
        <v>1200</v>
      </c>
      <c r="AO100" s="131" t="n">
        <f aca="false">SUMIF($F$7:$AG$7,AO$7,$F100:$AG100)</f>
        <v>1200</v>
      </c>
    </row>
    <row r="101" customFormat="false" ht="15" hidden="false" customHeight="false" outlineLevel="0" collapsed="false">
      <c r="A101" s="112" t="s">
        <v>2141</v>
      </c>
      <c r="B101" s="24" t="s">
        <v>857</v>
      </c>
      <c r="C101" s="24"/>
      <c r="D101" s="24"/>
      <c r="F101" s="121" t="n">
        <f aca="false">(1-$I$25)*(1-$J$25)*$D$25*AND(F$5&gt;=$H$25,F$5&lt;$H$25+$F$25)</f>
        <v>0</v>
      </c>
      <c r="G101" s="121" t="n">
        <f aca="false">(1-$I$25)*(1-$J$25)*$D$25*AND(G$5&gt;=$H$25,G$5&lt;$H$25+$F$25)</f>
        <v>0</v>
      </c>
      <c r="H101" s="121" t="n">
        <f aca="false">(1-$I$25)*(1-$J$25)*$D$25*AND(H$5&gt;=$H$25,H$5&lt;$H$25+$F$25)</f>
        <v>0</v>
      </c>
      <c r="I101" s="121" t="n">
        <f aca="false">(1-$I$25)*(1-$J$25)*$D$25*AND(I$5&gt;=$H$25,I$5&lt;$H$25+$F$25)</f>
        <v>0</v>
      </c>
      <c r="J101" s="121" t="n">
        <f aca="false">(1-$I$25)*(1-$J$25)*$D$25*AND(J$5&gt;=$H$25,J$5&lt;$H$25+$F$25)</f>
        <v>0</v>
      </c>
      <c r="K101" s="121" t="n">
        <f aca="false">(1-$I$25)*(1-$J$25)*$D$25*AND(K$5&gt;=$H$25,K$5&lt;$H$25+$F$25)</f>
        <v>0</v>
      </c>
      <c r="L101" s="121" t="n">
        <f aca="false">(1-$I$25)*(1-$J$25)*$D$25*AND(L$5&gt;=$H$25,L$5&lt;$H$25+$F$25)</f>
        <v>0</v>
      </c>
      <c r="M101" s="121" t="n">
        <f aca="false">(1-$I$25)*(1-$J$25)*$D$25*AND(M$5&gt;=$H$25,M$5&lt;$H$25+$F$25)</f>
        <v>0</v>
      </c>
      <c r="N101" s="121" t="n">
        <f aca="false">(1-$I$25)*(1-$J$25)*$D$25*AND(N$5&gt;=$H$25,N$5&lt;$H$25+$F$25)</f>
        <v>0</v>
      </c>
      <c r="O101" s="121" t="n">
        <f aca="false">(1-$I$25)*(1-$J$25)*$D$25*AND(O$5&gt;=$H$25,O$5&lt;$H$25+$F$25)</f>
        <v>0</v>
      </c>
      <c r="P101" s="39" t="n">
        <f aca="false">(1-$I$25)*(1-$J$25)*$D$25*AND(P$5&gt;=$H$25,P$5&lt;$H$25+$F$25)</f>
        <v>0</v>
      </c>
      <c r="Q101" s="39" t="n">
        <f aca="false">(1-$I$25)*(1-$J$25)*$D$25*AND(Q$5&gt;=$H$25,Q$5&lt;$H$25+$F$25)</f>
        <v>0</v>
      </c>
      <c r="R101" s="39" t="n">
        <f aca="false">(1-$I$25)*(1-$J$25)*$D$25*AND(R$5&gt;=$H$25,R$5&lt;$H$25+$F$25)</f>
        <v>0</v>
      </c>
      <c r="S101" s="39" t="n">
        <f aca="false">(1-$I$25)*(1-$J$25)*$D$25*AND(S$5&gt;=$H$25,S$5&lt;$H$25+$F$25)</f>
        <v>0</v>
      </c>
      <c r="T101" s="39" t="n">
        <f aca="false">(1-$I$25)*(1-$J$25)*$D$25*AND(T$5&gt;=$H$25,T$5&lt;$H$25+$F$25)</f>
        <v>53.3333333333333</v>
      </c>
      <c r="U101" s="39" t="n">
        <f aca="false">(1-$I$25)*(1-$J$25)*$D$25*AND(U$5&gt;=$H$25,U$5&lt;$H$25+$F$25)</f>
        <v>53.3333333333333</v>
      </c>
      <c r="V101" s="39" t="n">
        <f aca="false">(1-$I$25)*(1-$J$25)*$D$25*AND(V$5&gt;=$H$25,V$5&lt;$H$25+$F$25)</f>
        <v>53.3333333333333</v>
      </c>
      <c r="W101" s="39" t="n">
        <f aca="false">(1-$I$25)*(1-$J$25)*$D$25*AND(W$5&gt;=$H$25,W$5&lt;$H$25+$F$25)</f>
        <v>53.3333333333333</v>
      </c>
      <c r="X101" s="39" t="n">
        <f aca="false">(1-$I$25)*(1-$J$25)*$D$25*AND(X$5&gt;=$H$25,X$5&lt;$H$25+$F$25)</f>
        <v>53.3333333333333</v>
      </c>
      <c r="Y101" s="39" t="n">
        <f aca="false">(1-$I$25)*(1-$J$25)*$D$25*AND(Y$5&gt;=$H$25,Y$5&lt;$H$25+$F$25)</f>
        <v>53.3333333333333</v>
      </c>
      <c r="Z101" s="39" t="n">
        <f aca="false">(1-$I$25)*(1-$J$25)*$D$25*AND(Z$5&gt;=$H$25,Z$5&lt;$H$25+$F$25)</f>
        <v>53.3333333333333</v>
      </c>
      <c r="AA101" s="39" t="n">
        <f aca="false">(1-$I$25)*(1-$J$25)*$D$25*AND(AA$5&gt;=$H$25,AA$5&lt;$H$25+$F$25)</f>
        <v>53.3333333333333</v>
      </c>
      <c r="AB101" s="39" t="n">
        <f aca="false">(1-$I$25)*(1-$J$25)*$D$25*AND(AB$5&gt;=$H$25,AB$5&lt;$H$25+$F$25)</f>
        <v>53.3333333333333</v>
      </c>
      <c r="AC101" s="39" t="n">
        <f aca="false">(1-$I$25)*(1-$J$25)*$D$25*AND(AC$5&gt;=$H$25,AC$5&lt;$H$25+$F$25)</f>
        <v>53.3333333333333</v>
      </c>
      <c r="AD101" s="39" t="n">
        <f aca="false">(1-$I$25)*(1-$J$25)*$D$25*AND(AD$5&gt;=$H$25,AD$5&lt;$H$25+$F$25)</f>
        <v>53.3333333333333</v>
      </c>
      <c r="AE101" s="39" t="n">
        <f aca="false">(1-$I$25)*(1-$J$25)*$D$25*AND(AE$5&gt;=$H$25,AE$5&lt;$H$25+$F$25)</f>
        <v>53.3333333333333</v>
      </c>
      <c r="AF101" s="39" t="n">
        <f aca="false">(1-$I$25)*(1-$J$25)*$D$25*AND(AF$5&gt;=$H$25,AF$5&lt;$H$25+$F$25)</f>
        <v>53.3333333333333</v>
      </c>
      <c r="AG101" s="39" t="n">
        <f aca="false">(1-$I$25)*(1-$J$25)*$D$25*AND(AG$5&gt;=$H$25,AG$5&lt;$H$25+$F$25)</f>
        <v>53.3333333333333</v>
      </c>
      <c r="AI101" s="39" t="n">
        <f aca="false">INDEX($F101:$AG101,1,MATCH(AI$7,$F$7:$AG$7,1))</f>
        <v>0</v>
      </c>
      <c r="AJ101" s="39" t="n">
        <f aca="false">INDEX($F101:$AG101,1,MATCH(AJ$7,$F$7:$AG$7,1))</f>
        <v>0</v>
      </c>
      <c r="AK101" s="39" t="n">
        <f aca="false">INDEX($F101:$AG101,1,MATCH(AK$7,$F$7:$AG$7,1))</f>
        <v>0</v>
      </c>
      <c r="AL101" s="39" t="n">
        <f aca="false">INDEX($F101:$AG101,1,MATCH(AL$7,$F$7:$AG$7,1))</f>
        <v>53.3333333333333</v>
      </c>
      <c r="AM101" s="39" t="n">
        <f aca="false">INDEX($F101:$AG101,1,MATCH(AM$7,$F$7:$AG$7,1))</f>
        <v>53.3333333333333</v>
      </c>
      <c r="AN101" s="39" t="n">
        <f aca="false">INDEX($F101:$AG101,1,MATCH(AN$7,$F$7:$AG$7,1))</f>
        <v>53.3333333333333</v>
      </c>
      <c r="AO101" s="39" t="n">
        <f aca="false">INDEX($F101:$AG101,1,MATCH(AO$7,$F$7:$AG$7,1))</f>
        <v>53.3333333333333</v>
      </c>
    </row>
    <row r="102" customFormat="false" ht="15" hidden="false" customHeight="false" outlineLevel="0" collapsed="false">
      <c r="A102" s="112" t="s">
        <v>2142</v>
      </c>
      <c r="B102" s="24" t="s">
        <v>745</v>
      </c>
      <c r="C102" s="24"/>
      <c r="D102" s="24"/>
      <c r="F102" s="130" t="n">
        <f aca="false">-(1-$I$25)*LD_Pct*$D$25*$E$25/4*AND(F$5&gt;=$G$25,F$5&lt;$H$25)</f>
        <v>-0</v>
      </c>
      <c r="G102" s="130" t="n">
        <f aca="false">-(1-$I$25)*LD_Pct*$D$25*$E$25/4*AND(G$5&gt;=$G$25,G$5&lt;$H$25)</f>
        <v>-0</v>
      </c>
      <c r="H102" s="130" t="n">
        <f aca="false">-(1-$I$25)*LD_Pct*$D$25*$E$25/4*AND(H$5&gt;=$G$25,H$5&lt;$H$25)</f>
        <v>-0</v>
      </c>
      <c r="I102" s="130" t="n">
        <f aca="false">-(1-$I$25)*LD_Pct*$D$25*$E$25/4*AND(I$5&gt;=$G$25,I$5&lt;$H$25)</f>
        <v>-0</v>
      </c>
      <c r="J102" s="130" t="n">
        <f aca="false">-(1-$I$25)*LD_Pct*$D$25*$E$25/4*AND(J$5&gt;=$G$25,J$5&lt;$H$25)</f>
        <v>-0</v>
      </c>
      <c r="K102" s="130" t="n">
        <f aca="false">-(1-$I$25)*LD_Pct*$D$25*$E$25/4*AND(K$5&gt;=$G$25,K$5&lt;$H$25)</f>
        <v>-0</v>
      </c>
      <c r="L102" s="130" t="n">
        <f aca="false">-(1-$I$25)*LD_Pct*$D$25*$E$25/4*AND(L$5&gt;=$G$25,L$5&lt;$H$25)</f>
        <v>-0</v>
      </c>
      <c r="M102" s="130" t="n">
        <f aca="false">-(1-$I$25)*LD_Pct*$D$25*$E$25/4*AND(M$5&gt;=$G$25,M$5&lt;$H$25)</f>
        <v>-0</v>
      </c>
      <c r="N102" s="130" t="n">
        <f aca="false">-(1-$I$25)*LD_Pct*$D$25*$E$25/4*AND(N$5&gt;=$G$25,N$5&lt;$H$25)</f>
        <v>-0</v>
      </c>
      <c r="O102" s="130" t="n">
        <f aca="false">-(1-$I$25)*LD_Pct*$D$25*$E$25/4*AND(O$5&gt;=$G$25,O$5&lt;$H$25)</f>
        <v>-0</v>
      </c>
      <c r="P102" s="131" t="n">
        <f aca="false">-(1-$I$25)*LD_Pct*$D$25*$E$25/4*AND(P$5&gt;=$G$25,P$5&lt;$H$25)</f>
        <v>-0</v>
      </c>
      <c r="Q102" s="131" t="n">
        <f aca="false">-(1-$I$25)*LD_Pct*$D$25*$E$25/4*AND(Q$5&gt;=$G$25,Q$5&lt;$H$25)</f>
        <v>-0</v>
      </c>
      <c r="R102" s="131" t="n">
        <f aca="false">-(1-$I$25)*LD_Pct*$D$25*$E$25/4*AND(R$5&gt;=$G$25,R$5&lt;$H$25)</f>
        <v>-0</v>
      </c>
      <c r="S102" s="131" t="n">
        <f aca="false">-(1-$I$25)*LD_Pct*$D$25*$E$25/4*AND(S$5&gt;=$G$25,S$5&lt;$H$25)</f>
        <v>-0</v>
      </c>
      <c r="T102" s="131" t="n">
        <f aca="false">-(1-$I$25)*LD_Pct*$D$25*$E$25/4*AND(T$5&gt;=$G$25,T$5&lt;$H$25)</f>
        <v>-0</v>
      </c>
      <c r="U102" s="131" t="n">
        <f aca="false">-(1-$I$25)*LD_Pct*$D$25*$E$25/4*AND(U$5&gt;=$G$25,U$5&lt;$H$25)</f>
        <v>-0</v>
      </c>
      <c r="V102" s="131" t="n">
        <f aca="false">-(1-$I$25)*LD_Pct*$D$25*$E$25/4*AND(V$5&gt;=$G$25,V$5&lt;$H$25)</f>
        <v>-0</v>
      </c>
      <c r="W102" s="131" t="n">
        <f aca="false">-(1-$I$25)*LD_Pct*$D$25*$E$25/4*AND(W$5&gt;=$G$25,W$5&lt;$H$25)</f>
        <v>-0</v>
      </c>
      <c r="X102" s="131" t="n">
        <f aca="false">-(1-$I$25)*LD_Pct*$D$25*$E$25/4*AND(X$5&gt;=$G$25,X$5&lt;$H$25)</f>
        <v>-0</v>
      </c>
      <c r="Y102" s="131" t="n">
        <f aca="false">-(1-$I$25)*LD_Pct*$D$25*$E$25/4*AND(Y$5&gt;=$G$25,Y$5&lt;$H$25)</f>
        <v>-0</v>
      </c>
      <c r="Z102" s="131" t="n">
        <f aca="false">-(1-$I$25)*LD_Pct*$D$25*$E$25/4*AND(Z$5&gt;=$G$25,Z$5&lt;$H$25)</f>
        <v>-0</v>
      </c>
      <c r="AA102" s="131" t="n">
        <f aca="false">-(1-$I$25)*LD_Pct*$D$25*$E$25/4*AND(AA$5&gt;=$G$25,AA$5&lt;$H$25)</f>
        <v>-0</v>
      </c>
      <c r="AB102" s="131" t="n">
        <f aca="false">-(1-$I$25)*LD_Pct*$D$25*$E$25/4*AND(AB$5&gt;=$G$25,AB$5&lt;$H$25)</f>
        <v>-0</v>
      </c>
      <c r="AC102" s="131" t="n">
        <f aca="false">-(1-$I$25)*LD_Pct*$D$25*$E$25/4*AND(AC$5&gt;=$G$25,AC$5&lt;$H$25)</f>
        <v>-0</v>
      </c>
      <c r="AD102" s="131" t="n">
        <f aca="false">-(1-$I$25)*LD_Pct*$D$25*$E$25/4*AND(AD$5&gt;=$G$25,AD$5&lt;$H$25)</f>
        <v>-0</v>
      </c>
      <c r="AE102" s="131" t="n">
        <f aca="false">-(1-$I$25)*LD_Pct*$D$25*$E$25/4*AND(AE$5&gt;=$G$25,AE$5&lt;$H$25)</f>
        <v>-0</v>
      </c>
      <c r="AF102" s="131" t="n">
        <f aca="false">-(1-$I$25)*LD_Pct*$D$25*$E$25/4*AND(AF$5&gt;=$G$25,AF$5&lt;$H$25)</f>
        <v>-0</v>
      </c>
      <c r="AG102" s="131" t="n">
        <f aca="false">-(1-$I$25)*LD_Pct*$D$25*$E$25/4*AND(AG$5&gt;=$G$25,AG$5&lt;$H$25)</f>
        <v>-0</v>
      </c>
      <c r="AI102" s="131" t="n">
        <f aca="false">SUMIF($F$7:$AG$7,AI$7,$F102:$AG102)</f>
        <v>0</v>
      </c>
      <c r="AJ102" s="131" t="n">
        <f aca="false">SUMIF($F$7:$AG$7,AJ$7,$F102:$AG102)</f>
        <v>0</v>
      </c>
      <c r="AK102" s="131" t="n">
        <f aca="false">SUMIF($F$7:$AG$7,AK$7,$F102:$AG102)</f>
        <v>0</v>
      </c>
      <c r="AL102" s="131" t="n">
        <f aca="false">SUMIF($F$7:$AG$7,AL$7,$F102:$AG102)</f>
        <v>0</v>
      </c>
      <c r="AM102" s="131" t="n">
        <f aca="false">SUMIF($F$7:$AG$7,AM$7,$F102:$AG102)</f>
        <v>0</v>
      </c>
      <c r="AN102" s="131" t="n">
        <f aca="false">SUMIF($F$7:$AG$7,AN$7,$F102:$AG102)</f>
        <v>0</v>
      </c>
      <c r="AO102" s="131" t="n">
        <f aca="false">SUMIF($F$7:$AG$7,AO$7,$F102:$AG102)</f>
        <v>0</v>
      </c>
    </row>
    <row r="103" customFormat="false" ht="15" hidden="false" customHeight="false" outlineLevel="0" collapsed="false">
      <c r="A103" s="112" t="s">
        <v>2143</v>
      </c>
      <c r="B103" s="24" t="s">
        <v>857</v>
      </c>
      <c r="C103" s="24"/>
      <c r="D103" s="24"/>
      <c r="F103" s="121" t="n">
        <f aca="false">(1-$I$25)*(1-$J$25)*$D$25*(F$5&gt;=$H$25+$F$25)</f>
        <v>0</v>
      </c>
      <c r="G103" s="121" t="n">
        <f aca="false">(1-$I$25)*(1-$J$25)*$D$25*(G$5&gt;=$H$25+$F$25)</f>
        <v>0</v>
      </c>
      <c r="H103" s="121" t="n">
        <f aca="false">(1-$I$25)*(1-$J$25)*$D$25*(H$5&gt;=$H$25+$F$25)</f>
        <v>0</v>
      </c>
      <c r="I103" s="121" t="n">
        <f aca="false">(1-$I$25)*(1-$J$25)*$D$25*(I$5&gt;=$H$25+$F$25)</f>
        <v>0</v>
      </c>
      <c r="J103" s="121" t="n">
        <f aca="false">(1-$I$25)*(1-$J$25)*$D$25*(J$5&gt;=$H$25+$F$25)</f>
        <v>0</v>
      </c>
      <c r="K103" s="121" t="n">
        <f aca="false">(1-$I$25)*(1-$J$25)*$D$25*(K$5&gt;=$H$25+$F$25)</f>
        <v>0</v>
      </c>
      <c r="L103" s="121" t="n">
        <f aca="false">(1-$I$25)*(1-$J$25)*$D$25*(L$5&gt;=$H$25+$F$25)</f>
        <v>0</v>
      </c>
      <c r="M103" s="121" t="n">
        <f aca="false">(1-$I$25)*(1-$J$25)*$D$25*(M$5&gt;=$H$25+$F$25)</f>
        <v>0</v>
      </c>
      <c r="N103" s="121" t="n">
        <f aca="false">(1-$I$25)*(1-$J$25)*$D$25*(N$5&gt;=$H$25+$F$25)</f>
        <v>0</v>
      </c>
      <c r="O103" s="121" t="n">
        <f aca="false">(1-$I$25)*(1-$J$25)*$D$25*(O$5&gt;=$H$25+$F$25)</f>
        <v>0</v>
      </c>
      <c r="P103" s="39" t="n">
        <f aca="false">(1-$I$25)*(1-$J$25)*$D$25*(P$5&gt;=$H$25+$F$25)</f>
        <v>0</v>
      </c>
      <c r="Q103" s="39" t="n">
        <f aca="false">(1-$I$25)*(1-$J$25)*$D$25*(Q$5&gt;=$H$25+$F$25)</f>
        <v>0</v>
      </c>
      <c r="R103" s="39" t="n">
        <f aca="false">(1-$I$25)*(1-$J$25)*$D$25*(R$5&gt;=$H$25+$F$25)</f>
        <v>0</v>
      </c>
      <c r="S103" s="39" t="n">
        <f aca="false">(1-$I$25)*(1-$J$25)*$D$25*(S$5&gt;=$H$25+$F$25)</f>
        <v>0</v>
      </c>
      <c r="T103" s="39" t="n">
        <f aca="false">(1-$I$25)*(1-$J$25)*$D$25*(T$5&gt;=$H$25+$F$25)</f>
        <v>0</v>
      </c>
      <c r="U103" s="39" t="n">
        <f aca="false">(1-$I$25)*(1-$J$25)*$D$25*(U$5&gt;=$H$25+$F$25)</f>
        <v>0</v>
      </c>
      <c r="V103" s="39" t="n">
        <f aca="false">(1-$I$25)*(1-$J$25)*$D$25*(V$5&gt;=$H$25+$F$25)</f>
        <v>0</v>
      </c>
      <c r="W103" s="39" t="n">
        <f aca="false">(1-$I$25)*(1-$J$25)*$D$25*(W$5&gt;=$H$25+$F$25)</f>
        <v>0</v>
      </c>
      <c r="X103" s="39" t="n">
        <f aca="false">(1-$I$25)*(1-$J$25)*$D$25*(X$5&gt;=$H$25+$F$25)</f>
        <v>0</v>
      </c>
      <c r="Y103" s="39" t="n">
        <f aca="false">(1-$I$25)*(1-$J$25)*$D$25*(Y$5&gt;=$H$25+$F$25)</f>
        <v>0</v>
      </c>
      <c r="Z103" s="39" t="n">
        <f aca="false">(1-$I$25)*(1-$J$25)*$D$25*(Z$5&gt;=$H$25+$F$25)</f>
        <v>0</v>
      </c>
      <c r="AA103" s="39" t="n">
        <f aca="false">(1-$I$25)*(1-$J$25)*$D$25*(AA$5&gt;=$H$25+$F$25)</f>
        <v>0</v>
      </c>
      <c r="AB103" s="39" t="n">
        <f aca="false">(1-$I$25)*(1-$J$25)*$D$25*(AB$5&gt;=$H$25+$F$25)</f>
        <v>0</v>
      </c>
      <c r="AC103" s="39" t="n">
        <f aca="false">(1-$I$25)*(1-$J$25)*$D$25*(AC$5&gt;=$H$25+$F$25)</f>
        <v>0</v>
      </c>
      <c r="AD103" s="39" t="n">
        <f aca="false">(1-$I$25)*(1-$J$25)*$D$25*(AD$5&gt;=$H$25+$F$25)</f>
        <v>0</v>
      </c>
      <c r="AE103" s="39" t="n">
        <f aca="false">(1-$I$25)*(1-$J$25)*$D$25*(AE$5&gt;=$H$25+$F$25)</f>
        <v>0</v>
      </c>
      <c r="AF103" s="39" t="n">
        <f aca="false">(1-$I$25)*(1-$J$25)*$D$25*(AF$5&gt;=$H$25+$F$25)</f>
        <v>0</v>
      </c>
      <c r="AG103" s="39" t="n">
        <f aca="false">(1-$I$25)*(1-$J$25)*$D$25*(AG$5&gt;=$H$25+$F$25)</f>
        <v>0</v>
      </c>
      <c r="AI103" s="39" t="n">
        <f aca="false">INDEX($F103:$AG103,1,MATCH(AI$7,$F$7:$AG$7,1))</f>
        <v>0</v>
      </c>
      <c r="AJ103" s="39" t="n">
        <f aca="false">INDEX($F103:$AG103,1,MATCH(AJ$7,$F$7:$AG$7,1))</f>
        <v>0</v>
      </c>
      <c r="AK103" s="39" t="n">
        <f aca="false">INDEX($F103:$AG103,1,MATCH(AK$7,$F$7:$AG$7,1))</f>
        <v>0</v>
      </c>
      <c r="AL103" s="39" t="n">
        <f aca="false">INDEX($F103:$AG103,1,MATCH(AL$7,$F$7:$AG$7,1))</f>
        <v>0</v>
      </c>
      <c r="AM103" s="39" t="n">
        <f aca="false">INDEX($F103:$AG103,1,MATCH(AM$7,$F$7:$AG$7,1))</f>
        <v>0</v>
      </c>
      <c r="AN103" s="39" t="n">
        <f aca="false">INDEX($F103:$AG103,1,MATCH(AN$7,$F$7:$AG$7,1))</f>
        <v>0</v>
      </c>
      <c r="AO103" s="39" t="n">
        <f aca="false">INDEX($F103:$AG103,1,MATCH(AO$7,$F$7:$AG$7,1))</f>
        <v>0</v>
      </c>
    </row>
    <row r="104" customFormat="false" ht="15" hidden="false" customHeight="false" outlineLevel="0" collapsed="false">
      <c r="A104" s="112" t="s">
        <v>2144</v>
      </c>
      <c r="B104" s="24" t="s">
        <v>745</v>
      </c>
      <c r="C104" s="24"/>
      <c r="D104" s="24" t="s">
        <v>2079</v>
      </c>
      <c r="F104" s="130" t="n">
        <f aca="false">F103*CHOOSE(MATCH($C$25,{"H";"B";"N"},0),GPUMW_H*ODc_H,GPUMW_B*ODc_B,GPUMW_N*ODc_N)*ResidUtil*Timeline!F$9*INDEX(Curve,1,MAX(1,MIN(8,INT((F$5-$H$25)/4)+1)))/1000000</f>
        <v>0</v>
      </c>
      <c r="G104" s="130" t="n">
        <f aca="false">G103*CHOOSE(MATCH($C$25,{"H";"B";"N"},0),GPUMW_H*ODc_H,GPUMW_B*ODc_B,GPUMW_N*ODc_N)*ResidUtil*Timeline!G$9*INDEX(Curve,1,MAX(1,MIN(8,INT((G$5-$H$25)/4)+1)))/1000000</f>
        <v>0</v>
      </c>
      <c r="H104" s="130" t="n">
        <f aca="false">H103*CHOOSE(MATCH($C$25,{"H";"B";"N"},0),GPUMW_H*ODc_H,GPUMW_B*ODc_B,GPUMW_N*ODc_N)*ResidUtil*Timeline!H$9*INDEX(Curve,1,MAX(1,MIN(8,INT((H$5-$H$25)/4)+1)))/1000000</f>
        <v>0</v>
      </c>
      <c r="I104" s="130" t="n">
        <f aca="false">I103*CHOOSE(MATCH($C$25,{"H";"B";"N"},0),GPUMW_H*ODc_H,GPUMW_B*ODc_B,GPUMW_N*ODc_N)*ResidUtil*Timeline!I$9*INDEX(Curve,1,MAX(1,MIN(8,INT((I$5-$H$25)/4)+1)))/1000000</f>
        <v>0</v>
      </c>
      <c r="J104" s="130" t="n">
        <f aca="false">J103*CHOOSE(MATCH($C$25,{"H";"B";"N"},0),GPUMW_H*ODc_H,GPUMW_B*ODc_B,GPUMW_N*ODc_N)*ResidUtil*Timeline!J$9*INDEX(Curve,1,MAX(1,MIN(8,INT((J$5-$H$25)/4)+1)))/1000000</f>
        <v>0</v>
      </c>
      <c r="K104" s="130" t="n">
        <f aca="false">K103*CHOOSE(MATCH($C$25,{"H";"B";"N"},0),GPUMW_H*ODc_H,GPUMW_B*ODc_B,GPUMW_N*ODc_N)*ResidUtil*Timeline!K$9*INDEX(Curve,1,MAX(1,MIN(8,INT((K$5-$H$25)/4)+1)))/1000000</f>
        <v>0</v>
      </c>
      <c r="L104" s="130" t="n">
        <f aca="false">L103*CHOOSE(MATCH($C$25,{"H";"B";"N"},0),GPUMW_H*ODc_H,GPUMW_B*ODc_B,GPUMW_N*ODc_N)*ResidUtil*Timeline!L$9*INDEX(Curve,1,MAX(1,MIN(8,INT((L$5-$H$25)/4)+1)))/1000000</f>
        <v>0</v>
      </c>
      <c r="M104" s="130" t="n">
        <f aca="false">M103*CHOOSE(MATCH($C$25,{"H";"B";"N"},0),GPUMW_H*ODc_H,GPUMW_B*ODc_B,GPUMW_N*ODc_N)*ResidUtil*Timeline!M$9*INDEX(Curve,1,MAX(1,MIN(8,INT((M$5-$H$25)/4)+1)))/1000000</f>
        <v>0</v>
      </c>
      <c r="N104" s="130" t="n">
        <f aca="false">N103*CHOOSE(MATCH($C$25,{"H";"B";"N"},0),GPUMW_H*ODc_H,GPUMW_B*ODc_B,GPUMW_N*ODc_N)*ResidUtil*Timeline!N$9*INDEX(Curve,1,MAX(1,MIN(8,INT((N$5-$H$25)/4)+1)))/1000000</f>
        <v>0</v>
      </c>
      <c r="O104" s="130" t="n">
        <f aca="false">O103*CHOOSE(MATCH($C$25,{"H";"B";"N"},0),GPUMW_H*ODc_H,GPUMW_B*ODc_B,GPUMW_N*ODc_N)*ResidUtil*Timeline!O$9*INDEX(Curve,1,MAX(1,MIN(8,INT((O$5-$H$25)/4)+1)))/1000000</f>
        <v>0</v>
      </c>
      <c r="P104" s="131" t="n">
        <f aca="false">P103*CHOOSE(MATCH($C$25,{"H";"B";"N"},0),GPUMW_H*ODc_H,GPUMW_B*ODc_B,GPUMW_N*ODc_N)*ResidUtil*Timeline!P$9*INDEX(Curve,1,MAX(1,MIN(8,INT((P$5-$H$25)/4)+1)))/1000000</f>
        <v>0</v>
      </c>
      <c r="Q104" s="131" t="n">
        <f aca="false">Q103*CHOOSE(MATCH($C$25,{"H";"B";"N"},0),GPUMW_H*ODc_H,GPUMW_B*ODc_B,GPUMW_N*ODc_N)*ResidUtil*Timeline!Q$9*INDEX(Curve,1,MAX(1,MIN(8,INT((Q$5-$H$25)/4)+1)))/1000000</f>
        <v>0</v>
      </c>
      <c r="R104" s="131" t="n">
        <f aca="false">R103*CHOOSE(MATCH($C$25,{"H";"B";"N"},0),GPUMW_H*ODc_H,GPUMW_B*ODc_B,GPUMW_N*ODc_N)*ResidUtil*Timeline!R$9*INDEX(Curve,1,MAX(1,MIN(8,INT((R$5-$H$25)/4)+1)))/1000000</f>
        <v>0</v>
      </c>
      <c r="S104" s="131" t="n">
        <f aca="false">S103*CHOOSE(MATCH($C$25,{"H";"B";"N"},0),GPUMW_H*ODc_H,GPUMW_B*ODc_B,GPUMW_N*ODc_N)*ResidUtil*Timeline!S$9*INDEX(Curve,1,MAX(1,MIN(8,INT((S$5-$H$25)/4)+1)))/1000000</f>
        <v>0</v>
      </c>
      <c r="T104" s="131" t="n">
        <f aca="false">T103*CHOOSE(MATCH($C$25,{"H";"B";"N"},0),GPUMW_H*ODc_H,GPUMW_B*ODc_B,GPUMW_N*ODc_N)*ResidUtil*Timeline!T$9*INDEX(Curve,1,MAX(1,MIN(8,INT((T$5-$H$25)/4)+1)))/1000000</f>
        <v>0</v>
      </c>
      <c r="U104" s="131" t="n">
        <f aca="false">U103*CHOOSE(MATCH($C$25,{"H";"B";"N"},0),GPUMW_H*ODc_H,GPUMW_B*ODc_B,GPUMW_N*ODc_N)*ResidUtil*Timeline!U$9*INDEX(Curve,1,MAX(1,MIN(8,INT((U$5-$H$25)/4)+1)))/1000000</f>
        <v>0</v>
      </c>
      <c r="V104" s="131" t="n">
        <f aca="false">V103*CHOOSE(MATCH($C$25,{"H";"B";"N"},0),GPUMW_H*ODc_H,GPUMW_B*ODc_B,GPUMW_N*ODc_N)*ResidUtil*Timeline!V$9*INDEX(Curve,1,MAX(1,MIN(8,INT((V$5-$H$25)/4)+1)))/1000000</f>
        <v>0</v>
      </c>
      <c r="W104" s="131" t="n">
        <f aca="false">W103*CHOOSE(MATCH($C$25,{"H";"B";"N"},0),GPUMW_H*ODc_H,GPUMW_B*ODc_B,GPUMW_N*ODc_N)*ResidUtil*Timeline!W$9*INDEX(Curve,1,MAX(1,MIN(8,INT((W$5-$H$25)/4)+1)))/1000000</f>
        <v>0</v>
      </c>
      <c r="X104" s="131" t="n">
        <f aca="false">X103*CHOOSE(MATCH($C$25,{"H";"B";"N"},0),GPUMW_H*ODc_H,GPUMW_B*ODc_B,GPUMW_N*ODc_N)*ResidUtil*Timeline!X$9*INDEX(Curve,1,MAX(1,MIN(8,INT((X$5-$H$25)/4)+1)))/1000000</f>
        <v>0</v>
      </c>
      <c r="Y104" s="131" t="n">
        <f aca="false">Y103*CHOOSE(MATCH($C$25,{"H";"B";"N"},0),GPUMW_H*ODc_H,GPUMW_B*ODc_B,GPUMW_N*ODc_N)*ResidUtil*Timeline!Y$9*INDEX(Curve,1,MAX(1,MIN(8,INT((Y$5-$H$25)/4)+1)))/1000000</f>
        <v>0</v>
      </c>
      <c r="Z104" s="131" t="n">
        <f aca="false">Z103*CHOOSE(MATCH($C$25,{"H";"B";"N"},0),GPUMW_H*ODc_H,GPUMW_B*ODc_B,GPUMW_N*ODc_N)*ResidUtil*Timeline!Z$9*INDEX(Curve,1,MAX(1,MIN(8,INT((Z$5-$H$25)/4)+1)))/1000000</f>
        <v>0</v>
      </c>
      <c r="AA104" s="131" t="n">
        <f aca="false">AA103*CHOOSE(MATCH($C$25,{"H";"B";"N"},0),GPUMW_H*ODc_H,GPUMW_B*ODc_B,GPUMW_N*ODc_N)*ResidUtil*Timeline!AA$9*INDEX(Curve,1,MAX(1,MIN(8,INT((AA$5-$H$25)/4)+1)))/1000000</f>
        <v>0</v>
      </c>
      <c r="AB104" s="131" t="n">
        <f aca="false">AB103*CHOOSE(MATCH($C$25,{"H";"B";"N"},0),GPUMW_H*ODc_H,GPUMW_B*ODc_B,GPUMW_N*ODc_N)*ResidUtil*Timeline!AB$9*INDEX(Curve,1,MAX(1,MIN(8,INT((AB$5-$H$25)/4)+1)))/1000000</f>
        <v>0</v>
      </c>
      <c r="AC104" s="131" t="n">
        <f aca="false">AC103*CHOOSE(MATCH($C$25,{"H";"B";"N"},0),GPUMW_H*ODc_H,GPUMW_B*ODc_B,GPUMW_N*ODc_N)*ResidUtil*Timeline!AC$9*INDEX(Curve,1,MAX(1,MIN(8,INT((AC$5-$H$25)/4)+1)))/1000000</f>
        <v>0</v>
      </c>
      <c r="AD104" s="131" t="n">
        <f aca="false">AD103*CHOOSE(MATCH($C$25,{"H";"B";"N"},0),GPUMW_H*ODc_H,GPUMW_B*ODc_B,GPUMW_N*ODc_N)*ResidUtil*Timeline!AD$9*INDEX(Curve,1,MAX(1,MIN(8,INT((AD$5-$H$25)/4)+1)))/1000000</f>
        <v>0</v>
      </c>
      <c r="AE104" s="131" t="n">
        <f aca="false">AE103*CHOOSE(MATCH($C$25,{"H";"B";"N"},0),GPUMW_H*ODc_H,GPUMW_B*ODc_B,GPUMW_N*ODc_N)*ResidUtil*Timeline!AE$9*INDEX(Curve,1,MAX(1,MIN(8,INT((AE$5-$H$25)/4)+1)))/1000000</f>
        <v>0</v>
      </c>
      <c r="AF104" s="131" t="n">
        <f aca="false">AF103*CHOOSE(MATCH($C$25,{"H";"B";"N"},0),GPUMW_H*ODc_H,GPUMW_B*ODc_B,GPUMW_N*ODc_N)*ResidUtil*Timeline!AF$9*INDEX(Curve,1,MAX(1,MIN(8,INT((AF$5-$H$25)/4)+1)))/1000000</f>
        <v>0</v>
      </c>
      <c r="AG104" s="131" t="n">
        <f aca="false">AG103*CHOOSE(MATCH($C$25,{"H";"B";"N"},0),GPUMW_H*ODc_H,GPUMW_B*ODc_B,GPUMW_N*ODc_N)*ResidUtil*Timeline!AG$9*INDEX(Curve,1,MAX(1,MIN(8,INT((AG$5-$H$25)/4)+1)))/1000000</f>
        <v>0</v>
      </c>
      <c r="AI104" s="131" t="n">
        <f aca="false">SUMIF($F$7:$AG$7,AI$7,$F104:$AG104)</f>
        <v>0</v>
      </c>
      <c r="AJ104" s="131" t="n">
        <f aca="false">SUMIF($F$7:$AG$7,AJ$7,$F104:$AG104)</f>
        <v>0</v>
      </c>
      <c r="AK104" s="131" t="n">
        <f aca="false">SUMIF($F$7:$AG$7,AK$7,$F104:$AG104)</f>
        <v>0</v>
      </c>
      <c r="AL104" s="131" t="n">
        <f aca="false">SUMIF($F$7:$AG$7,AL$7,$F104:$AG104)</f>
        <v>0</v>
      </c>
      <c r="AM104" s="131" t="n">
        <f aca="false">SUMIF($F$7:$AG$7,AM$7,$F104:$AG104)</f>
        <v>0</v>
      </c>
      <c r="AN104" s="131" t="n">
        <f aca="false">SUMIF($F$7:$AG$7,AN$7,$F104:$AG104)</f>
        <v>0</v>
      </c>
      <c r="AO104" s="131" t="n">
        <f aca="false">SUMIF($F$7:$AG$7,AO$7,$F104:$AG104)</f>
        <v>0</v>
      </c>
    </row>
    <row r="105" customFormat="false" ht="15" hidden="false" customHeight="false" outlineLevel="0" collapsed="false">
      <c r="A105" s="112" t="s">
        <v>2145</v>
      </c>
      <c r="B105" s="24" t="s">
        <v>745</v>
      </c>
      <c r="C105" s="24"/>
      <c r="D105" s="24"/>
      <c r="F105" s="130" t="n">
        <f aca="false">(1-$I$26)*(1-$J$26)*$D$26*$E$26/4*MIN(1,MAX(0,(F$5-$H$26+1)/$T$26))*IF(F$5=$H$26,$U$26,IF(AND(F$5&gt;$H$26,F$5&lt;$H$26+$F$26),1,IF(F$5=$H$26+$F$26,1-$U$26,0)))</f>
        <v>0</v>
      </c>
      <c r="G105" s="130" t="n">
        <f aca="false">(1-$I$26)*(1-$J$26)*$D$26*$E$26/4*MIN(1,MAX(0,(G$5-$H$26+1)/$T$26))*IF(G$5=$H$26,$U$26,IF(AND(G$5&gt;$H$26,G$5&lt;$H$26+$F$26),1,IF(G$5=$H$26+$F$26,1-$U$26,0)))</f>
        <v>0</v>
      </c>
      <c r="H105" s="130" t="n">
        <f aca="false">(1-$I$26)*(1-$J$26)*$D$26*$E$26/4*MIN(1,MAX(0,(H$5-$H$26+1)/$T$26))*IF(H$5=$H$26,$U$26,IF(AND(H$5&gt;$H$26,H$5&lt;$H$26+$F$26),1,IF(H$5=$H$26+$F$26,1-$U$26,0)))</f>
        <v>0</v>
      </c>
      <c r="I105" s="130" t="n">
        <f aca="false">(1-$I$26)*(1-$J$26)*$D$26*$E$26/4*MIN(1,MAX(0,(I$5-$H$26+1)/$T$26))*IF(I$5=$H$26,$U$26,IF(AND(I$5&gt;$H$26,I$5&lt;$H$26+$F$26),1,IF(I$5=$H$26+$F$26,1-$U$26,0)))</f>
        <v>0</v>
      </c>
      <c r="J105" s="130" t="n">
        <f aca="false">(1-$I$26)*(1-$J$26)*$D$26*$E$26/4*MIN(1,MAX(0,(J$5-$H$26+1)/$T$26))*IF(J$5=$H$26,$U$26,IF(AND(J$5&gt;$H$26,J$5&lt;$H$26+$F$26),1,IF(J$5=$H$26+$F$26,1-$U$26,0)))</f>
        <v>0</v>
      </c>
      <c r="K105" s="130" t="n">
        <f aca="false">(1-$I$26)*(1-$J$26)*$D$26*$E$26/4*MIN(1,MAX(0,(K$5-$H$26+1)/$T$26))*IF(K$5=$H$26,$U$26,IF(AND(K$5&gt;$H$26,K$5&lt;$H$26+$F$26),1,IF(K$5=$H$26+$F$26,1-$U$26,0)))</f>
        <v>0</v>
      </c>
      <c r="L105" s="130" t="n">
        <f aca="false">(1-$I$26)*(1-$J$26)*$D$26*$E$26/4*MIN(1,MAX(0,(L$5-$H$26+1)/$T$26))*IF(L$5=$H$26,$U$26,IF(AND(L$5&gt;$H$26,L$5&lt;$H$26+$F$26),1,IF(L$5=$H$26+$F$26,1-$U$26,0)))</f>
        <v>0</v>
      </c>
      <c r="M105" s="130" t="n">
        <f aca="false">(1-$I$26)*(1-$J$26)*$D$26*$E$26/4*MIN(1,MAX(0,(M$5-$H$26+1)/$T$26))*IF(M$5=$H$26,$U$26,IF(AND(M$5&gt;$H$26,M$5&lt;$H$26+$F$26),1,IF(M$5=$H$26+$F$26,1-$U$26,0)))</f>
        <v>0</v>
      </c>
      <c r="N105" s="130" t="n">
        <f aca="false">(1-$I$26)*(1-$J$26)*$D$26*$E$26/4*MIN(1,MAX(0,(N$5-$H$26+1)/$T$26))*IF(N$5=$H$26,$U$26,IF(AND(N$5&gt;$H$26,N$5&lt;$H$26+$F$26),1,IF(N$5=$H$26+$F$26,1-$U$26,0)))</f>
        <v>0</v>
      </c>
      <c r="O105" s="130" t="n">
        <f aca="false">(1-$I$26)*(1-$J$26)*$D$26*$E$26/4*MIN(1,MAX(0,(O$5-$H$26+1)/$T$26))*IF(O$5=$H$26,$U$26,IF(AND(O$5&gt;$H$26,O$5&lt;$H$26+$F$26),1,IF(O$5=$H$26+$F$26,1-$U$26,0)))</f>
        <v>0</v>
      </c>
      <c r="P105" s="131" t="n">
        <f aca="false">(1-$I$26)*(1-$J$26)*$D$26*$E$26/4*MIN(1,MAX(0,(P$5-$H$26+1)/$T$26))*IF(P$5=$H$26,$U$26,IF(AND(P$5&gt;$H$26,P$5&lt;$H$26+$F$26),1,IF(P$5=$H$26+$F$26,1-$U$26,0)))</f>
        <v>0</v>
      </c>
      <c r="Q105" s="131" t="n">
        <f aca="false">(1-$I$26)*(1-$J$26)*$D$26*$E$26/4*MIN(1,MAX(0,(Q$5-$H$26+1)/$T$26))*IF(Q$5=$H$26,$U$26,IF(AND(Q$5&gt;$H$26,Q$5&lt;$H$26+$F$26),1,IF(Q$5=$H$26+$F$26,1-$U$26,0)))</f>
        <v>0</v>
      </c>
      <c r="R105" s="131" t="n">
        <f aca="false">(1-$I$26)*(1-$J$26)*$D$26*$E$26/4*MIN(1,MAX(0,(R$5-$H$26+1)/$T$26))*IF(R$5=$H$26,$U$26,IF(AND(R$5&gt;$H$26,R$5&lt;$H$26+$F$26),1,IF(R$5=$H$26+$F$26,1-$U$26,0)))</f>
        <v>0</v>
      </c>
      <c r="S105" s="131" t="n">
        <f aca="false">(1-$I$26)*(1-$J$26)*$D$26*$E$26/4*MIN(1,MAX(0,(S$5-$H$26+1)/$T$26))*IF(S$5=$H$26,$U$26,IF(AND(S$5&gt;$H$26,S$5&lt;$H$26+$F$26),1,IF(S$5=$H$26+$F$26,1-$U$26,0)))</f>
        <v>0</v>
      </c>
      <c r="T105" s="131" t="n">
        <f aca="false">(1-$I$26)*(1-$J$26)*$D$26*$E$26/4*MIN(1,MAX(0,(T$5-$H$26+1)/$T$26))*IF(T$5=$H$26,$U$26,IF(AND(T$5&gt;$H$26,T$5&lt;$H$26+$F$26),1,IF(T$5=$H$26+$F$26,1-$U$26,0)))</f>
        <v>0</v>
      </c>
      <c r="U105" s="131" t="n">
        <f aca="false">(1-$I$26)*(1-$J$26)*$D$26*$E$26/4*MIN(1,MAX(0,(U$5-$H$26+1)/$T$26))*IF(U$5=$H$26,$U$26,IF(AND(U$5&gt;$H$26,U$5&lt;$H$26+$F$26),1,IF(U$5=$H$26+$F$26,1-$U$26,0)))</f>
        <v>150</v>
      </c>
      <c r="V105" s="131" t="n">
        <f aca="false">(1-$I$26)*(1-$J$26)*$D$26*$E$26/4*MIN(1,MAX(0,(V$5-$H$26+1)/$T$26))*IF(V$5=$H$26,$U$26,IF(AND(V$5&gt;$H$26,V$5&lt;$H$26+$F$26),1,IF(V$5=$H$26+$F$26,1-$U$26,0)))</f>
        <v>300</v>
      </c>
      <c r="W105" s="131" t="n">
        <f aca="false">(1-$I$26)*(1-$J$26)*$D$26*$E$26/4*MIN(1,MAX(0,(W$5-$H$26+1)/$T$26))*IF(W$5=$H$26,$U$26,IF(AND(W$5&gt;$H$26,W$5&lt;$H$26+$F$26),1,IF(W$5=$H$26+$F$26,1-$U$26,0)))</f>
        <v>300</v>
      </c>
      <c r="X105" s="131" t="n">
        <f aca="false">(1-$I$26)*(1-$J$26)*$D$26*$E$26/4*MIN(1,MAX(0,(X$5-$H$26+1)/$T$26))*IF(X$5=$H$26,$U$26,IF(AND(X$5&gt;$H$26,X$5&lt;$H$26+$F$26),1,IF(X$5=$H$26+$F$26,1-$U$26,0)))</f>
        <v>300</v>
      </c>
      <c r="Y105" s="131" t="n">
        <f aca="false">(1-$I$26)*(1-$J$26)*$D$26*$E$26/4*MIN(1,MAX(0,(Y$5-$H$26+1)/$T$26))*IF(Y$5=$H$26,$U$26,IF(AND(Y$5&gt;$H$26,Y$5&lt;$H$26+$F$26),1,IF(Y$5=$H$26+$F$26,1-$U$26,0)))</f>
        <v>300</v>
      </c>
      <c r="Z105" s="131" t="n">
        <f aca="false">(1-$I$26)*(1-$J$26)*$D$26*$E$26/4*MIN(1,MAX(0,(Z$5-$H$26+1)/$T$26))*IF(Z$5=$H$26,$U$26,IF(AND(Z$5&gt;$H$26,Z$5&lt;$H$26+$F$26),1,IF(Z$5=$H$26+$F$26,1-$U$26,0)))</f>
        <v>300</v>
      </c>
      <c r="AA105" s="131" t="n">
        <f aca="false">(1-$I$26)*(1-$J$26)*$D$26*$E$26/4*MIN(1,MAX(0,(AA$5-$H$26+1)/$T$26))*IF(AA$5=$H$26,$U$26,IF(AND(AA$5&gt;$H$26,AA$5&lt;$H$26+$F$26),1,IF(AA$5=$H$26+$F$26,1-$U$26,0)))</f>
        <v>300</v>
      </c>
      <c r="AB105" s="131" t="n">
        <f aca="false">(1-$I$26)*(1-$J$26)*$D$26*$E$26/4*MIN(1,MAX(0,(AB$5-$H$26+1)/$T$26))*IF(AB$5=$H$26,$U$26,IF(AND(AB$5&gt;$H$26,AB$5&lt;$H$26+$F$26),1,IF(AB$5=$H$26+$F$26,1-$U$26,0)))</f>
        <v>300</v>
      </c>
      <c r="AC105" s="131" t="n">
        <f aca="false">(1-$I$26)*(1-$J$26)*$D$26*$E$26/4*MIN(1,MAX(0,(AC$5-$H$26+1)/$T$26))*IF(AC$5=$H$26,$U$26,IF(AND(AC$5&gt;$H$26,AC$5&lt;$H$26+$F$26),1,IF(AC$5=$H$26+$F$26,1-$U$26,0)))</f>
        <v>300</v>
      </c>
      <c r="AD105" s="131" t="n">
        <f aca="false">(1-$I$26)*(1-$J$26)*$D$26*$E$26/4*MIN(1,MAX(0,(AD$5-$H$26+1)/$T$26))*IF(AD$5=$H$26,$U$26,IF(AND(AD$5&gt;$H$26,AD$5&lt;$H$26+$F$26),1,IF(AD$5=$H$26+$F$26,1-$U$26,0)))</f>
        <v>300</v>
      </c>
      <c r="AE105" s="131" t="n">
        <f aca="false">(1-$I$26)*(1-$J$26)*$D$26*$E$26/4*MIN(1,MAX(0,(AE$5-$H$26+1)/$T$26))*IF(AE$5=$H$26,$U$26,IF(AND(AE$5&gt;$H$26,AE$5&lt;$H$26+$F$26),1,IF(AE$5=$H$26+$F$26,1-$U$26,0)))</f>
        <v>300</v>
      </c>
      <c r="AF105" s="131" t="n">
        <f aca="false">(1-$I$26)*(1-$J$26)*$D$26*$E$26/4*MIN(1,MAX(0,(AF$5-$H$26+1)/$T$26))*IF(AF$5=$H$26,$U$26,IF(AND(AF$5&gt;$H$26,AF$5&lt;$H$26+$F$26),1,IF(AF$5=$H$26+$F$26,1-$U$26,0)))</f>
        <v>300</v>
      </c>
      <c r="AG105" s="131" t="n">
        <f aca="false">(1-$I$26)*(1-$J$26)*$D$26*$E$26/4*MIN(1,MAX(0,(AG$5-$H$26+1)/$T$26))*IF(AG$5=$H$26,$U$26,IF(AND(AG$5&gt;$H$26,AG$5&lt;$H$26+$F$26),1,IF(AG$5=$H$26+$F$26,1-$U$26,0)))</f>
        <v>300</v>
      </c>
      <c r="AI105" s="131" t="n">
        <f aca="false">SUMIF($F$7:$AG$7,AI$7,$F105:$AG105)</f>
        <v>0</v>
      </c>
      <c r="AJ105" s="131" t="n">
        <f aca="false">SUMIF($F$7:$AG$7,AJ$7,$F105:$AG105)</f>
        <v>0</v>
      </c>
      <c r="AK105" s="131" t="n">
        <f aca="false">SUMIF($F$7:$AG$7,AK$7,$F105:$AG105)</f>
        <v>0</v>
      </c>
      <c r="AL105" s="131" t="n">
        <f aca="false">SUMIF($F$7:$AG$7,AL$7,$F105:$AG105)</f>
        <v>150</v>
      </c>
      <c r="AM105" s="131" t="n">
        <f aca="false">SUMIF($F$7:$AG$7,AM$7,$F105:$AG105)</f>
        <v>1200</v>
      </c>
      <c r="AN105" s="131" t="n">
        <f aca="false">SUMIF($F$7:$AG$7,AN$7,$F105:$AG105)</f>
        <v>1200</v>
      </c>
      <c r="AO105" s="131" t="n">
        <f aca="false">SUMIF($F$7:$AG$7,AO$7,$F105:$AG105)</f>
        <v>1200</v>
      </c>
    </row>
    <row r="106" customFormat="false" ht="15" hidden="false" customHeight="false" outlineLevel="0" collapsed="false">
      <c r="A106" s="112" t="s">
        <v>2146</v>
      </c>
      <c r="B106" s="24" t="s">
        <v>857</v>
      </c>
      <c r="C106" s="24"/>
      <c r="D106" s="24"/>
      <c r="F106" s="121" t="n">
        <f aca="false">(1-$I$26)*(1-$J$26)*$D$26*AND(F$5&gt;=$H$26,F$5&lt;$H$26+$F$26)</f>
        <v>0</v>
      </c>
      <c r="G106" s="121" t="n">
        <f aca="false">(1-$I$26)*(1-$J$26)*$D$26*AND(G$5&gt;=$H$26,G$5&lt;$H$26+$F$26)</f>
        <v>0</v>
      </c>
      <c r="H106" s="121" t="n">
        <f aca="false">(1-$I$26)*(1-$J$26)*$D$26*AND(H$5&gt;=$H$26,H$5&lt;$H$26+$F$26)</f>
        <v>0</v>
      </c>
      <c r="I106" s="121" t="n">
        <f aca="false">(1-$I$26)*(1-$J$26)*$D$26*AND(I$5&gt;=$H$26,I$5&lt;$H$26+$F$26)</f>
        <v>0</v>
      </c>
      <c r="J106" s="121" t="n">
        <f aca="false">(1-$I$26)*(1-$J$26)*$D$26*AND(J$5&gt;=$H$26,J$5&lt;$H$26+$F$26)</f>
        <v>0</v>
      </c>
      <c r="K106" s="121" t="n">
        <f aca="false">(1-$I$26)*(1-$J$26)*$D$26*AND(K$5&gt;=$H$26,K$5&lt;$H$26+$F$26)</f>
        <v>0</v>
      </c>
      <c r="L106" s="121" t="n">
        <f aca="false">(1-$I$26)*(1-$J$26)*$D$26*AND(L$5&gt;=$H$26,L$5&lt;$H$26+$F$26)</f>
        <v>0</v>
      </c>
      <c r="M106" s="121" t="n">
        <f aca="false">(1-$I$26)*(1-$J$26)*$D$26*AND(M$5&gt;=$H$26,M$5&lt;$H$26+$F$26)</f>
        <v>0</v>
      </c>
      <c r="N106" s="121" t="n">
        <f aca="false">(1-$I$26)*(1-$J$26)*$D$26*AND(N$5&gt;=$H$26,N$5&lt;$H$26+$F$26)</f>
        <v>0</v>
      </c>
      <c r="O106" s="121" t="n">
        <f aca="false">(1-$I$26)*(1-$J$26)*$D$26*AND(O$5&gt;=$H$26,O$5&lt;$H$26+$F$26)</f>
        <v>0</v>
      </c>
      <c r="P106" s="39" t="n">
        <f aca="false">(1-$I$26)*(1-$J$26)*$D$26*AND(P$5&gt;=$H$26,P$5&lt;$H$26+$F$26)</f>
        <v>0</v>
      </c>
      <c r="Q106" s="39" t="n">
        <f aca="false">(1-$I$26)*(1-$J$26)*$D$26*AND(Q$5&gt;=$H$26,Q$5&lt;$H$26+$F$26)</f>
        <v>0</v>
      </c>
      <c r="R106" s="39" t="n">
        <f aca="false">(1-$I$26)*(1-$J$26)*$D$26*AND(R$5&gt;=$H$26,R$5&lt;$H$26+$F$26)</f>
        <v>0</v>
      </c>
      <c r="S106" s="39" t="n">
        <f aca="false">(1-$I$26)*(1-$J$26)*$D$26*AND(S$5&gt;=$H$26,S$5&lt;$H$26+$F$26)</f>
        <v>0</v>
      </c>
      <c r="T106" s="39" t="n">
        <f aca="false">(1-$I$26)*(1-$J$26)*$D$26*AND(T$5&gt;=$H$26,T$5&lt;$H$26+$F$26)</f>
        <v>0</v>
      </c>
      <c r="U106" s="39" t="n">
        <f aca="false">(1-$I$26)*(1-$J$26)*$D$26*AND(U$5&gt;=$H$26,U$5&lt;$H$26+$F$26)</f>
        <v>53.3333333333333</v>
      </c>
      <c r="V106" s="39" t="n">
        <f aca="false">(1-$I$26)*(1-$J$26)*$D$26*AND(V$5&gt;=$H$26,V$5&lt;$H$26+$F$26)</f>
        <v>53.3333333333333</v>
      </c>
      <c r="W106" s="39" t="n">
        <f aca="false">(1-$I$26)*(1-$J$26)*$D$26*AND(W$5&gt;=$H$26,W$5&lt;$H$26+$F$26)</f>
        <v>53.3333333333333</v>
      </c>
      <c r="X106" s="39" t="n">
        <f aca="false">(1-$I$26)*(1-$J$26)*$D$26*AND(X$5&gt;=$H$26,X$5&lt;$H$26+$F$26)</f>
        <v>53.3333333333333</v>
      </c>
      <c r="Y106" s="39" t="n">
        <f aca="false">(1-$I$26)*(1-$J$26)*$D$26*AND(Y$5&gt;=$H$26,Y$5&lt;$H$26+$F$26)</f>
        <v>53.3333333333333</v>
      </c>
      <c r="Z106" s="39" t="n">
        <f aca="false">(1-$I$26)*(1-$J$26)*$D$26*AND(Z$5&gt;=$H$26,Z$5&lt;$H$26+$F$26)</f>
        <v>53.3333333333333</v>
      </c>
      <c r="AA106" s="39" t="n">
        <f aca="false">(1-$I$26)*(1-$J$26)*$D$26*AND(AA$5&gt;=$H$26,AA$5&lt;$H$26+$F$26)</f>
        <v>53.3333333333333</v>
      </c>
      <c r="AB106" s="39" t="n">
        <f aca="false">(1-$I$26)*(1-$J$26)*$D$26*AND(AB$5&gt;=$H$26,AB$5&lt;$H$26+$F$26)</f>
        <v>53.3333333333333</v>
      </c>
      <c r="AC106" s="39" t="n">
        <f aca="false">(1-$I$26)*(1-$J$26)*$D$26*AND(AC$5&gt;=$H$26,AC$5&lt;$H$26+$F$26)</f>
        <v>53.3333333333333</v>
      </c>
      <c r="AD106" s="39" t="n">
        <f aca="false">(1-$I$26)*(1-$J$26)*$D$26*AND(AD$5&gt;=$H$26,AD$5&lt;$H$26+$F$26)</f>
        <v>53.3333333333333</v>
      </c>
      <c r="AE106" s="39" t="n">
        <f aca="false">(1-$I$26)*(1-$J$26)*$D$26*AND(AE$5&gt;=$H$26,AE$5&lt;$H$26+$F$26)</f>
        <v>53.3333333333333</v>
      </c>
      <c r="AF106" s="39" t="n">
        <f aca="false">(1-$I$26)*(1-$J$26)*$D$26*AND(AF$5&gt;=$H$26,AF$5&lt;$H$26+$F$26)</f>
        <v>53.3333333333333</v>
      </c>
      <c r="AG106" s="39" t="n">
        <f aca="false">(1-$I$26)*(1-$J$26)*$D$26*AND(AG$5&gt;=$H$26,AG$5&lt;$H$26+$F$26)</f>
        <v>53.3333333333333</v>
      </c>
      <c r="AI106" s="39" t="n">
        <f aca="false">INDEX($F106:$AG106,1,MATCH(AI$7,$F$7:$AG$7,1))</f>
        <v>0</v>
      </c>
      <c r="AJ106" s="39" t="n">
        <f aca="false">INDEX($F106:$AG106,1,MATCH(AJ$7,$F$7:$AG$7,1))</f>
        <v>0</v>
      </c>
      <c r="AK106" s="39" t="n">
        <f aca="false">INDEX($F106:$AG106,1,MATCH(AK$7,$F$7:$AG$7,1))</f>
        <v>0</v>
      </c>
      <c r="AL106" s="39" t="n">
        <f aca="false">INDEX($F106:$AG106,1,MATCH(AL$7,$F$7:$AG$7,1))</f>
        <v>53.3333333333333</v>
      </c>
      <c r="AM106" s="39" t="n">
        <f aca="false">INDEX($F106:$AG106,1,MATCH(AM$7,$F$7:$AG$7,1))</f>
        <v>53.3333333333333</v>
      </c>
      <c r="AN106" s="39" t="n">
        <f aca="false">INDEX($F106:$AG106,1,MATCH(AN$7,$F$7:$AG$7,1))</f>
        <v>53.3333333333333</v>
      </c>
      <c r="AO106" s="39" t="n">
        <f aca="false">INDEX($F106:$AG106,1,MATCH(AO$7,$F$7:$AG$7,1))</f>
        <v>53.3333333333333</v>
      </c>
    </row>
    <row r="107" customFormat="false" ht="15" hidden="false" customHeight="false" outlineLevel="0" collapsed="false">
      <c r="A107" s="112" t="s">
        <v>2147</v>
      </c>
      <c r="B107" s="24" t="s">
        <v>745</v>
      </c>
      <c r="C107" s="24"/>
      <c r="D107" s="24"/>
      <c r="F107" s="130" t="n">
        <f aca="false">-(1-$I$26)*LD_Pct*$D$26*$E$26/4*AND(F$5&gt;=$G$26,F$5&lt;$H$26)</f>
        <v>-0</v>
      </c>
      <c r="G107" s="130" t="n">
        <f aca="false">-(1-$I$26)*LD_Pct*$D$26*$E$26/4*AND(G$5&gt;=$G$26,G$5&lt;$H$26)</f>
        <v>-0</v>
      </c>
      <c r="H107" s="130" t="n">
        <f aca="false">-(1-$I$26)*LD_Pct*$D$26*$E$26/4*AND(H$5&gt;=$G$26,H$5&lt;$H$26)</f>
        <v>-0</v>
      </c>
      <c r="I107" s="130" t="n">
        <f aca="false">-(1-$I$26)*LD_Pct*$D$26*$E$26/4*AND(I$5&gt;=$G$26,I$5&lt;$H$26)</f>
        <v>-0</v>
      </c>
      <c r="J107" s="130" t="n">
        <f aca="false">-(1-$I$26)*LD_Pct*$D$26*$E$26/4*AND(J$5&gt;=$G$26,J$5&lt;$H$26)</f>
        <v>-0</v>
      </c>
      <c r="K107" s="130" t="n">
        <f aca="false">-(1-$I$26)*LD_Pct*$D$26*$E$26/4*AND(K$5&gt;=$G$26,K$5&lt;$H$26)</f>
        <v>-0</v>
      </c>
      <c r="L107" s="130" t="n">
        <f aca="false">-(1-$I$26)*LD_Pct*$D$26*$E$26/4*AND(L$5&gt;=$G$26,L$5&lt;$H$26)</f>
        <v>-0</v>
      </c>
      <c r="M107" s="130" t="n">
        <f aca="false">-(1-$I$26)*LD_Pct*$D$26*$E$26/4*AND(M$5&gt;=$G$26,M$5&lt;$H$26)</f>
        <v>-0</v>
      </c>
      <c r="N107" s="130" t="n">
        <f aca="false">-(1-$I$26)*LD_Pct*$D$26*$E$26/4*AND(N$5&gt;=$G$26,N$5&lt;$H$26)</f>
        <v>-0</v>
      </c>
      <c r="O107" s="130" t="n">
        <f aca="false">-(1-$I$26)*LD_Pct*$D$26*$E$26/4*AND(O$5&gt;=$G$26,O$5&lt;$H$26)</f>
        <v>-0</v>
      </c>
      <c r="P107" s="131" t="n">
        <f aca="false">-(1-$I$26)*LD_Pct*$D$26*$E$26/4*AND(P$5&gt;=$G$26,P$5&lt;$H$26)</f>
        <v>-0</v>
      </c>
      <c r="Q107" s="131" t="n">
        <f aca="false">-(1-$I$26)*LD_Pct*$D$26*$E$26/4*AND(Q$5&gt;=$G$26,Q$5&lt;$H$26)</f>
        <v>-0</v>
      </c>
      <c r="R107" s="131" t="n">
        <f aca="false">-(1-$I$26)*LD_Pct*$D$26*$E$26/4*AND(R$5&gt;=$G$26,R$5&lt;$H$26)</f>
        <v>-0</v>
      </c>
      <c r="S107" s="131" t="n">
        <f aca="false">-(1-$I$26)*LD_Pct*$D$26*$E$26/4*AND(S$5&gt;=$G$26,S$5&lt;$H$26)</f>
        <v>-0</v>
      </c>
      <c r="T107" s="131" t="n">
        <f aca="false">-(1-$I$26)*LD_Pct*$D$26*$E$26/4*AND(T$5&gt;=$G$26,T$5&lt;$H$26)</f>
        <v>-0</v>
      </c>
      <c r="U107" s="131" t="n">
        <f aca="false">-(1-$I$26)*LD_Pct*$D$26*$E$26/4*AND(U$5&gt;=$G$26,U$5&lt;$H$26)</f>
        <v>-0</v>
      </c>
      <c r="V107" s="131" t="n">
        <f aca="false">-(1-$I$26)*LD_Pct*$D$26*$E$26/4*AND(V$5&gt;=$G$26,V$5&lt;$H$26)</f>
        <v>-0</v>
      </c>
      <c r="W107" s="131" t="n">
        <f aca="false">-(1-$I$26)*LD_Pct*$D$26*$E$26/4*AND(W$5&gt;=$G$26,W$5&lt;$H$26)</f>
        <v>-0</v>
      </c>
      <c r="X107" s="131" t="n">
        <f aca="false">-(1-$I$26)*LD_Pct*$D$26*$E$26/4*AND(X$5&gt;=$G$26,X$5&lt;$H$26)</f>
        <v>-0</v>
      </c>
      <c r="Y107" s="131" t="n">
        <f aca="false">-(1-$I$26)*LD_Pct*$D$26*$E$26/4*AND(Y$5&gt;=$G$26,Y$5&lt;$H$26)</f>
        <v>-0</v>
      </c>
      <c r="Z107" s="131" t="n">
        <f aca="false">-(1-$I$26)*LD_Pct*$D$26*$E$26/4*AND(Z$5&gt;=$G$26,Z$5&lt;$H$26)</f>
        <v>-0</v>
      </c>
      <c r="AA107" s="131" t="n">
        <f aca="false">-(1-$I$26)*LD_Pct*$D$26*$E$26/4*AND(AA$5&gt;=$G$26,AA$5&lt;$H$26)</f>
        <v>-0</v>
      </c>
      <c r="AB107" s="131" t="n">
        <f aca="false">-(1-$I$26)*LD_Pct*$D$26*$E$26/4*AND(AB$5&gt;=$G$26,AB$5&lt;$H$26)</f>
        <v>-0</v>
      </c>
      <c r="AC107" s="131" t="n">
        <f aca="false">-(1-$I$26)*LD_Pct*$D$26*$E$26/4*AND(AC$5&gt;=$G$26,AC$5&lt;$H$26)</f>
        <v>-0</v>
      </c>
      <c r="AD107" s="131" t="n">
        <f aca="false">-(1-$I$26)*LD_Pct*$D$26*$E$26/4*AND(AD$5&gt;=$G$26,AD$5&lt;$H$26)</f>
        <v>-0</v>
      </c>
      <c r="AE107" s="131" t="n">
        <f aca="false">-(1-$I$26)*LD_Pct*$D$26*$E$26/4*AND(AE$5&gt;=$G$26,AE$5&lt;$H$26)</f>
        <v>-0</v>
      </c>
      <c r="AF107" s="131" t="n">
        <f aca="false">-(1-$I$26)*LD_Pct*$D$26*$E$26/4*AND(AF$5&gt;=$G$26,AF$5&lt;$H$26)</f>
        <v>-0</v>
      </c>
      <c r="AG107" s="131" t="n">
        <f aca="false">-(1-$I$26)*LD_Pct*$D$26*$E$26/4*AND(AG$5&gt;=$G$26,AG$5&lt;$H$26)</f>
        <v>-0</v>
      </c>
      <c r="AI107" s="131" t="n">
        <f aca="false">SUMIF($F$7:$AG$7,AI$7,$F107:$AG107)</f>
        <v>0</v>
      </c>
      <c r="AJ107" s="131" t="n">
        <f aca="false">SUMIF($F$7:$AG$7,AJ$7,$F107:$AG107)</f>
        <v>0</v>
      </c>
      <c r="AK107" s="131" t="n">
        <f aca="false">SUMIF($F$7:$AG$7,AK$7,$F107:$AG107)</f>
        <v>0</v>
      </c>
      <c r="AL107" s="131" t="n">
        <f aca="false">SUMIF($F$7:$AG$7,AL$7,$F107:$AG107)</f>
        <v>0</v>
      </c>
      <c r="AM107" s="131" t="n">
        <f aca="false">SUMIF($F$7:$AG$7,AM$7,$F107:$AG107)</f>
        <v>0</v>
      </c>
      <c r="AN107" s="131" t="n">
        <f aca="false">SUMIF($F$7:$AG$7,AN$7,$F107:$AG107)</f>
        <v>0</v>
      </c>
      <c r="AO107" s="131" t="n">
        <f aca="false">SUMIF($F$7:$AG$7,AO$7,$F107:$AG107)</f>
        <v>0</v>
      </c>
    </row>
    <row r="108" customFormat="false" ht="15" hidden="false" customHeight="false" outlineLevel="0" collapsed="false">
      <c r="A108" s="112" t="s">
        <v>2148</v>
      </c>
      <c r="B108" s="24" t="s">
        <v>857</v>
      </c>
      <c r="C108" s="24"/>
      <c r="D108" s="24"/>
      <c r="F108" s="121" t="n">
        <f aca="false">(1-$I$26)*(1-$J$26)*$D$26*(F$5&gt;=$H$26+$F$26)</f>
        <v>0</v>
      </c>
      <c r="G108" s="121" t="n">
        <f aca="false">(1-$I$26)*(1-$J$26)*$D$26*(G$5&gt;=$H$26+$F$26)</f>
        <v>0</v>
      </c>
      <c r="H108" s="121" t="n">
        <f aca="false">(1-$I$26)*(1-$J$26)*$D$26*(H$5&gt;=$H$26+$F$26)</f>
        <v>0</v>
      </c>
      <c r="I108" s="121" t="n">
        <f aca="false">(1-$I$26)*(1-$J$26)*$D$26*(I$5&gt;=$H$26+$F$26)</f>
        <v>0</v>
      </c>
      <c r="J108" s="121" t="n">
        <f aca="false">(1-$I$26)*(1-$J$26)*$D$26*(J$5&gt;=$H$26+$F$26)</f>
        <v>0</v>
      </c>
      <c r="K108" s="121" t="n">
        <f aca="false">(1-$I$26)*(1-$J$26)*$D$26*(K$5&gt;=$H$26+$F$26)</f>
        <v>0</v>
      </c>
      <c r="L108" s="121" t="n">
        <f aca="false">(1-$I$26)*(1-$J$26)*$D$26*(L$5&gt;=$H$26+$F$26)</f>
        <v>0</v>
      </c>
      <c r="M108" s="121" t="n">
        <f aca="false">(1-$I$26)*(1-$J$26)*$D$26*(M$5&gt;=$H$26+$F$26)</f>
        <v>0</v>
      </c>
      <c r="N108" s="121" t="n">
        <f aca="false">(1-$I$26)*(1-$J$26)*$D$26*(N$5&gt;=$H$26+$F$26)</f>
        <v>0</v>
      </c>
      <c r="O108" s="121" t="n">
        <f aca="false">(1-$I$26)*(1-$J$26)*$D$26*(O$5&gt;=$H$26+$F$26)</f>
        <v>0</v>
      </c>
      <c r="P108" s="39" t="n">
        <f aca="false">(1-$I$26)*(1-$J$26)*$D$26*(P$5&gt;=$H$26+$F$26)</f>
        <v>0</v>
      </c>
      <c r="Q108" s="39" t="n">
        <f aca="false">(1-$I$26)*(1-$J$26)*$D$26*(Q$5&gt;=$H$26+$F$26)</f>
        <v>0</v>
      </c>
      <c r="R108" s="39" t="n">
        <f aca="false">(1-$I$26)*(1-$J$26)*$D$26*(R$5&gt;=$H$26+$F$26)</f>
        <v>0</v>
      </c>
      <c r="S108" s="39" t="n">
        <f aca="false">(1-$I$26)*(1-$J$26)*$D$26*(S$5&gt;=$H$26+$F$26)</f>
        <v>0</v>
      </c>
      <c r="T108" s="39" t="n">
        <f aca="false">(1-$I$26)*(1-$J$26)*$D$26*(T$5&gt;=$H$26+$F$26)</f>
        <v>0</v>
      </c>
      <c r="U108" s="39" t="n">
        <f aca="false">(1-$I$26)*(1-$J$26)*$D$26*(U$5&gt;=$H$26+$F$26)</f>
        <v>0</v>
      </c>
      <c r="V108" s="39" t="n">
        <f aca="false">(1-$I$26)*(1-$J$26)*$D$26*(V$5&gt;=$H$26+$F$26)</f>
        <v>0</v>
      </c>
      <c r="W108" s="39" t="n">
        <f aca="false">(1-$I$26)*(1-$J$26)*$D$26*(W$5&gt;=$H$26+$F$26)</f>
        <v>0</v>
      </c>
      <c r="X108" s="39" t="n">
        <f aca="false">(1-$I$26)*(1-$J$26)*$D$26*(X$5&gt;=$H$26+$F$26)</f>
        <v>0</v>
      </c>
      <c r="Y108" s="39" t="n">
        <f aca="false">(1-$I$26)*(1-$J$26)*$D$26*(Y$5&gt;=$H$26+$F$26)</f>
        <v>0</v>
      </c>
      <c r="Z108" s="39" t="n">
        <f aca="false">(1-$I$26)*(1-$J$26)*$D$26*(Z$5&gt;=$H$26+$F$26)</f>
        <v>0</v>
      </c>
      <c r="AA108" s="39" t="n">
        <f aca="false">(1-$I$26)*(1-$J$26)*$D$26*(AA$5&gt;=$H$26+$F$26)</f>
        <v>0</v>
      </c>
      <c r="AB108" s="39" t="n">
        <f aca="false">(1-$I$26)*(1-$J$26)*$D$26*(AB$5&gt;=$H$26+$F$26)</f>
        <v>0</v>
      </c>
      <c r="AC108" s="39" t="n">
        <f aca="false">(1-$I$26)*(1-$J$26)*$D$26*(AC$5&gt;=$H$26+$F$26)</f>
        <v>0</v>
      </c>
      <c r="AD108" s="39" t="n">
        <f aca="false">(1-$I$26)*(1-$J$26)*$D$26*(AD$5&gt;=$H$26+$F$26)</f>
        <v>0</v>
      </c>
      <c r="AE108" s="39" t="n">
        <f aca="false">(1-$I$26)*(1-$J$26)*$D$26*(AE$5&gt;=$H$26+$F$26)</f>
        <v>0</v>
      </c>
      <c r="AF108" s="39" t="n">
        <f aca="false">(1-$I$26)*(1-$J$26)*$D$26*(AF$5&gt;=$H$26+$F$26)</f>
        <v>0</v>
      </c>
      <c r="AG108" s="39" t="n">
        <f aca="false">(1-$I$26)*(1-$J$26)*$D$26*(AG$5&gt;=$H$26+$F$26)</f>
        <v>0</v>
      </c>
      <c r="AI108" s="39" t="n">
        <f aca="false">INDEX($F108:$AG108,1,MATCH(AI$7,$F$7:$AG$7,1))</f>
        <v>0</v>
      </c>
      <c r="AJ108" s="39" t="n">
        <f aca="false">INDEX($F108:$AG108,1,MATCH(AJ$7,$F$7:$AG$7,1))</f>
        <v>0</v>
      </c>
      <c r="AK108" s="39" t="n">
        <f aca="false">INDEX($F108:$AG108,1,MATCH(AK$7,$F$7:$AG$7,1))</f>
        <v>0</v>
      </c>
      <c r="AL108" s="39" t="n">
        <f aca="false">INDEX($F108:$AG108,1,MATCH(AL$7,$F$7:$AG$7,1))</f>
        <v>0</v>
      </c>
      <c r="AM108" s="39" t="n">
        <f aca="false">INDEX($F108:$AG108,1,MATCH(AM$7,$F$7:$AG$7,1))</f>
        <v>0</v>
      </c>
      <c r="AN108" s="39" t="n">
        <f aca="false">INDEX($F108:$AG108,1,MATCH(AN$7,$F$7:$AG$7,1))</f>
        <v>0</v>
      </c>
      <c r="AO108" s="39" t="n">
        <f aca="false">INDEX($F108:$AG108,1,MATCH(AO$7,$F$7:$AG$7,1))</f>
        <v>0</v>
      </c>
    </row>
    <row r="109" customFormat="false" ht="15" hidden="false" customHeight="false" outlineLevel="0" collapsed="false">
      <c r="A109" s="112" t="s">
        <v>2149</v>
      </c>
      <c r="B109" s="24" t="s">
        <v>745</v>
      </c>
      <c r="C109" s="24"/>
      <c r="D109" s="24" t="s">
        <v>2079</v>
      </c>
      <c r="F109" s="130" t="n">
        <f aca="false">F108*CHOOSE(MATCH($C$26,{"H";"B";"N"},0),GPUMW_H*ODc_H,GPUMW_B*ODc_B,GPUMW_N*ODc_N)*ResidUtil*Timeline!F$9*INDEX(Curve,1,MAX(1,MIN(8,INT((F$5-$H$26)/4)+1)))/1000000</f>
        <v>0</v>
      </c>
      <c r="G109" s="130" t="n">
        <f aca="false">G108*CHOOSE(MATCH($C$26,{"H";"B";"N"},0),GPUMW_H*ODc_H,GPUMW_B*ODc_B,GPUMW_N*ODc_N)*ResidUtil*Timeline!G$9*INDEX(Curve,1,MAX(1,MIN(8,INT((G$5-$H$26)/4)+1)))/1000000</f>
        <v>0</v>
      </c>
      <c r="H109" s="130" t="n">
        <f aca="false">H108*CHOOSE(MATCH($C$26,{"H";"B";"N"},0),GPUMW_H*ODc_H,GPUMW_B*ODc_B,GPUMW_N*ODc_N)*ResidUtil*Timeline!H$9*INDEX(Curve,1,MAX(1,MIN(8,INT((H$5-$H$26)/4)+1)))/1000000</f>
        <v>0</v>
      </c>
      <c r="I109" s="130" t="n">
        <f aca="false">I108*CHOOSE(MATCH($C$26,{"H";"B";"N"},0),GPUMW_H*ODc_H,GPUMW_B*ODc_B,GPUMW_N*ODc_N)*ResidUtil*Timeline!I$9*INDEX(Curve,1,MAX(1,MIN(8,INT((I$5-$H$26)/4)+1)))/1000000</f>
        <v>0</v>
      </c>
      <c r="J109" s="130" t="n">
        <f aca="false">J108*CHOOSE(MATCH($C$26,{"H";"B";"N"},0),GPUMW_H*ODc_H,GPUMW_B*ODc_B,GPUMW_N*ODc_N)*ResidUtil*Timeline!J$9*INDEX(Curve,1,MAX(1,MIN(8,INT((J$5-$H$26)/4)+1)))/1000000</f>
        <v>0</v>
      </c>
      <c r="K109" s="130" t="n">
        <f aca="false">K108*CHOOSE(MATCH($C$26,{"H";"B";"N"},0),GPUMW_H*ODc_H,GPUMW_B*ODc_B,GPUMW_N*ODc_N)*ResidUtil*Timeline!K$9*INDEX(Curve,1,MAX(1,MIN(8,INT((K$5-$H$26)/4)+1)))/1000000</f>
        <v>0</v>
      </c>
      <c r="L109" s="130" t="n">
        <f aca="false">L108*CHOOSE(MATCH($C$26,{"H";"B";"N"},0),GPUMW_H*ODc_H,GPUMW_B*ODc_B,GPUMW_N*ODc_N)*ResidUtil*Timeline!L$9*INDEX(Curve,1,MAX(1,MIN(8,INT((L$5-$H$26)/4)+1)))/1000000</f>
        <v>0</v>
      </c>
      <c r="M109" s="130" t="n">
        <f aca="false">M108*CHOOSE(MATCH($C$26,{"H";"B";"N"},0),GPUMW_H*ODc_H,GPUMW_B*ODc_B,GPUMW_N*ODc_N)*ResidUtil*Timeline!M$9*INDEX(Curve,1,MAX(1,MIN(8,INT((M$5-$H$26)/4)+1)))/1000000</f>
        <v>0</v>
      </c>
      <c r="N109" s="130" t="n">
        <f aca="false">N108*CHOOSE(MATCH($C$26,{"H";"B";"N"},0),GPUMW_H*ODc_H,GPUMW_B*ODc_B,GPUMW_N*ODc_N)*ResidUtil*Timeline!N$9*INDEX(Curve,1,MAX(1,MIN(8,INT((N$5-$H$26)/4)+1)))/1000000</f>
        <v>0</v>
      </c>
      <c r="O109" s="130" t="n">
        <f aca="false">O108*CHOOSE(MATCH($C$26,{"H";"B";"N"},0),GPUMW_H*ODc_H,GPUMW_B*ODc_B,GPUMW_N*ODc_N)*ResidUtil*Timeline!O$9*INDEX(Curve,1,MAX(1,MIN(8,INT((O$5-$H$26)/4)+1)))/1000000</f>
        <v>0</v>
      </c>
      <c r="P109" s="131" t="n">
        <f aca="false">P108*CHOOSE(MATCH($C$26,{"H";"B";"N"},0),GPUMW_H*ODc_H,GPUMW_B*ODc_B,GPUMW_N*ODc_N)*ResidUtil*Timeline!P$9*INDEX(Curve,1,MAX(1,MIN(8,INT((P$5-$H$26)/4)+1)))/1000000</f>
        <v>0</v>
      </c>
      <c r="Q109" s="131" t="n">
        <f aca="false">Q108*CHOOSE(MATCH($C$26,{"H";"B";"N"},0),GPUMW_H*ODc_H,GPUMW_B*ODc_B,GPUMW_N*ODc_N)*ResidUtil*Timeline!Q$9*INDEX(Curve,1,MAX(1,MIN(8,INT((Q$5-$H$26)/4)+1)))/1000000</f>
        <v>0</v>
      </c>
      <c r="R109" s="131" t="n">
        <f aca="false">R108*CHOOSE(MATCH($C$26,{"H";"B";"N"},0),GPUMW_H*ODc_H,GPUMW_B*ODc_B,GPUMW_N*ODc_N)*ResidUtil*Timeline!R$9*INDEX(Curve,1,MAX(1,MIN(8,INT((R$5-$H$26)/4)+1)))/1000000</f>
        <v>0</v>
      </c>
      <c r="S109" s="131" t="n">
        <f aca="false">S108*CHOOSE(MATCH($C$26,{"H";"B";"N"},0),GPUMW_H*ODc_H,GPUMW_B*ODc_B,GPUMW_N*ODc_N)*ResidUtil*Timeline!S$9*INDEX(Curve,1,MAX(1,MIN(8,INT((S$5-$H$26)/4)+1)))/1000000</f>
        <v>0</v>
      </c>
      <c r="T109" s="131" t="n">
        <f aca="false">T108*CHOOSE(MATCH($C$26,{"H";"B";"N"},0),GPUMW_H*ODc_H,GPUMW_B*ODc_B,GPUMW_N*ODc_N)*ResidUtil*Timeline!T$9*INDEX(Curve,1,MAX(1,MIN(8,INT((T$5-$H$26)/4)+1)))/1000000</f>
        <v>0</v>
      </c>
      <c r="U109" s="131" t="n">
        <f aca="false">U108*CHOOSE(MATCH($C$26,{"H";"B";"N"},0),GPUMW_H*ODc_H,GPUMW_B*ODc_B,GPUMW_N*ODc_N)*ResidUtil*Timeline!U$9*INDEX(Curve,1,MAX(1,MIN(8,INT((U$5-$H$26)/4)+1)))/1000000</f>
        <v>0</v>
      </c>
      <c r="V109" s="131" t="n">
        <f aca="false">V108*CHOOSE(MATCH($C$26,{"H";"B";"N"},0),GPUMW_H*ODc_H,GPUMW_B*ODc_B,GPUMW_N*ODc_N)*ResidUtil*Timeline!V$9*INDEX(Curve,1,MAX(1,MIN(8,INT((V$5-$H$26)/4)+1)))/1000000</f>
        <v>0</v>
      </c>
      <c r="W109" s="131" t="n">
        <f aca="false">W108*CHOOSE(MATCH($C$26,{"H";"B";"N"},0),GPUMW_H*ODc_H,GPUMW_B*ODc_B,GPUMW_N*ODc_N)*ResidUtil*Timeline!W$9*INDEX(Curve,1,MAX(1,MIN(8,INT((W$5-$H$26)/4)+1)))/1000000</f>
        <v>0</v>
      </c>
      <c r="X109" s="131" t="n">
        <f aca="false">X108*CHOOSE(MATCH($C$26,{"H";"B";"N"},0),GPUMW_H*ODc_H,GPUMW_B*ODc_B,GPUMW_N*ODc_N)*ResidUtil*Timeline!X$9*INDEX(Curve,1,MAX(1,MIN(8,INT((X$5-$H$26)/4)+1)))/1000000</f>
        <v>0</v>
      </c>
      <c r="Y109" s="131" t="n">
        <f aca="false">Y108*CHOOSE(MATCH($C$26,{"H";"B";"N"},0),GPUMW_H*ODc_H,GPUMW_B*ODc_B,GPUMW_N*ODc_N)*ResidUtil*Timeline!Y$9*INDEX(Curve,1,MAX(1,MIN(8,INT((Y$5-$H$26)/4)+1)))/1000000</f>
        <v>0</v>
      </c>
      <c r="Z109" s="131" t="n">
        <f aca="false">Z108*CHOOSE(MATCH($C$26,{"H";"B";"N"},0),GPUMW_H*ODc_H,GPUMW_B*ODc_B,GPUMW_N*ODc_N)*ResidUtil*Timeline!Z$9*INDEX(Curve,1,MAX(1,MIN(8,INT((Z$5-$H$26)/4)+1)))/1000000</f>
        <v>0</v>
      </c>
      <c r="AA109" s="131" t="n">
        <f aca="false">AA108*CHOOSE(MATCH($C$26,{"H";"B";"N"},0),GPUMW_H*ODc_H,GPUMW_B*ODc_B,GPUMW_N*ODc_N)*ResidUtil*Timeline!AA$9*INDEX(Curve,1,MAX(1,MIN(8,INT((AA$5-$H$26)/4)+1)))/1000000</f>
        <v>0</v>
      </c>
      <c r="AB109" s="131" t="n">
        <f aca="false">AB108*CHOOSE(MATCH($C$26,{"H";"B";"N"},0),GPUMW_H*ODc_H,GPUMW_B*ODc_B,GPUMW_N*ODc_N)*ResidUtil*Timeline!AB$9*INDEX(Curve,1,MAX(1,MIN(8,INT((AB$5-$H$26)/4)+1)))/1000000</f>
        <v>0</v>
      </c>
      <c r="AC109" s="131" t="n">
        <f aca="false">AC108*CHOOSE(MATCH($C$26,{"H";"B";"N"},0),GPUMW_H*ODc_H,GPUMW_B*ODc_B,GPUMW_N*ODc_N)*ResidUtil*Timeline!AC$9*INDEX(Curve,1,MAX(1,MIN(8,INT((AC$5-$H$26)/4)+1)))/1000000</f>
        <v>0</v>
      </c>
      <c r="AD109" s="131" t="n">
        <f aca="false">AD108*CHOOSE(MATCH($C$26,{"H";"B";"N"},0),GPUMW_H*ODc_H,GPUMW_B*ODc_B,GPUMW_N*ODc_N)*ResidUtil*Timeline!AD$9*INDEX(Curve,1,MAX(1,MIN(8,INT((AD$5-$H$26)/4)+1)))/1000000</f>
        <v>0</v>
      </c>
      <c r="AE109" s="131" t="n">
        <f aca="false">AE108*CHOOSE(MATCH($C$26,{"H";"B";"N"},0),GPUMW_H*ODc_H,GPUMW_B*ODc_B,GPUMW_N*ODc_N)*ResidUtil*Timeline!AE$9*INDEX(Curve,1,MAX(1,MIN(8,INT((AE$5-$H$26)/4)+1)))/1000000</f>
        <v>0</v>
      </c>
      <c r="AF109" s="131" t="n">
        <f aca="false">AF108*CHOOSE(MATCH($C$26,{"H";"B";"N"},0),GPUMW_H*ODc_H,GPUMW_B*ODc_B,GPUMW_N*ODc_N)*ResidUtil*Timeline!AF$9*INDEX(Curve,1,MAX(1,MIN(8,INT((AF$5-$H$26)/4)+1)))/1000000</f>
        <v>0</v>
      </c>
      <c r="AG109" s="131" t="n">
        <f aca="false">AG108*CHOOSE(MATCH($C$26,{"H";"B";"N"},0),GPUMW_H*ODc_H,GPUMW_B*ODc_B,GPUMW_N*ODc_N)*ResidUtil*Timeline!AG$9*INDEX(Curve,1,MAX(1,MIN(8,INT((AG$5-$H$26)/4)+1)))/1000000</f>
        <v>0</v>
      </c>
      <c r="AI109" s="131" t="n">
        <f aca="false">SUMIF($F$7:$AG$7,AI$7,$F109:$AG109)</f>
        <v>0</v>
      </c>
      <c r="AJ109" s="131" t="n">
        <f aca="false">SUMIF($F$7:$AG$7,AJ$7,$F109:$AG109)</f>
        <v>0</v>
      </c>
      <c r="AK109" s="131" t="n">
        <f aca="false">SUMIF($F$7:$AG$7,AK$7,$F109:$AG109)</f>
        <v>0</v>
      </c>
      <c r="AL109" s="131" t="n">
        <f aca="false">SUMIF($F$7:$AG$7,AL$7,$F109:$AG109)</f>
        <v>0</v>
      </c>
      <c r="AM109" s="131" t="n">
        <f aca="false">SUMIF($F$7:$AG$7,AM$7,$F109:$AG109)</f>
        <v>0</v>
      </c>
      <c r="AN109" s="131" t="n">
        <f aca="false">SUMIF($F$7:$AG$7,AN$7,$F109:$AG109)</f>
        <v>0</v>
      </c>
      <c r="AO109" s="131" t="n">
        <f aca="false">SUMIF($F$7:$AG$7,AO$7,$F109:$AG109)</f>
        <v>0</v>
      </c>
    </row>
    <row r="110" customFormat="false" ht="15" hidden="false" customHeight="false" outlineLevel="0" collapsed="false">
      <c r="A110" s="112" t="s">
        <v>2150</v>
      </c>
      <c r="B110" s="24" t="s">
        <v>745</v>
      </c>
      <c r="C110" s="24"/>
      <c r="D110" s="24"/>
      <c r="F110" s="130" t="n">
        <f aca="false">(1-$I$27)*(1-$J$27)*$D$27*$E$27/4*MIN(1,MAX(0,(F$5-$H$27+1)/$T$27))*IF(F$5=$H$27,$U$27,IF(AND(F$5&gt;$H$27,F$5&lt;$H$27+$F$27),1,IF(F$5=$H$27+$F$27,1-$U$27,0)))</f>
        <v>0</v>
      </c>
      <c r="G110" s="130" t="n">
        <f aca="false">(1-$I$27)*(1-$J$27)*$D$27*$E$27/4*MIN(1,MAX(0,(G$5-$H$27+1)/$T$27))*IF(G$5=$H$27,$U$27,IF(AND(G$5&gt;$H$27,G$5&lt;$H$27+$F$27),1,IF(G$5=$H$27+$F$27,1-$U$27,0)))</f>
        <v>0</v>
      </c>
      <c r="H110" s="130" t="n">
        <f aca="false">(1-$I$27)*(1-$J$27)*$D$27*$E$27/4*MIN(1,MAX(0,(H$5-$H$27+1)/$T$27))*IF(H$5=$H$27,$U$27,IF(AND(H$5&gt;$H$27,H$5&lt;$H$27+$F$27),1,IF(H$5=$H$27+$F$27,1-$U$27,0)))</f>
        <v>0</v>
      </c>
      <c r="I110" s="130" t="n">
        <f aca="false">(1-$I$27)*(1-$J$27)*$D$27*$E$27/4*MIN(1,MAX(0,(I$5-$H$27+1)/$T$27))*IF(I$5=$H$27,$U$27,IF(AND(I$5&gt;$H$27,I$5&lt;$H$27+$F$27),1,IF(I$5=$H$27+$F$27,1-$U$27,0)))</f>
        <v>0</v>
      </c>
      <c r="J110" s="130" t="n">
        <f aca="false">(1-$I$27)*(1-$J$27)*$D$27*$E$27/4*MIN(1,MAX(0,(J$5-$H$27+1)/$T$27))*IF(J$5=$H$27,$U$27,IF(AND(J$5&gt;$H$27,J$5&lt;$H$27+$F$27),1,IF(J$5=$H$27+$F$27,1-$U$27,0)))</f>
        <v>0</v>
      </c>
      <c r="K110" s="130" t="n">
        <f aca="false">(1-$I$27)*(1-$J$27)*$D$27*$E$27/4*MIN(1,MAX(0,(K$5-$H$27+1)/$T$27))*IF(K$5=$H$27,$U$27,IF(AND(K$5&gt;$H$27,K$5&lt;$H$27+$F$27),1,IF(K$5=$H$27+$F$27,1-$U$27,0)))</f>
        <v>0</v>
      </c>
      <c r="L110" s="130" t="n">
        <f aca="false">(1-$I$27)*(1-$J$27)*$D$27*$E$27/4*MIN(1,MAX(0,(L$5-$H$27+1)/$T$27))*IF(L$5=$H$27,$U$27,IF(AND(L$5&gt;$H$27,L$5&lt;$H$27+$F$27),1,IF(L$5=$H$27+$F$27,1-$U$27,0)))</f>
        <v>0</v>
      </c>
      <c r="M110" s="130" t="n">
        <f aca="false">(1-$I$27)*(1-$J$27)*$D$27*$E$27/4*MIN(1,MAX(0,(M$5-$H$27+1)/$T$27))*IF(M$5=$H$27,$U$27,IF(AND(M$5&gt;$H$27,M$5&lt;$H$27+$F$27),1,IF(M$5=$H$27+$F$27,1-$U$27,0)))</f>
        <v>0</v>
      </c>
      <c r="N110" s="130" t="n">
        <f aca="false">(1-$I$27)*(1-$J$27)*$D$27*$E$27/4*MIN(1,MAX(0,(N$5-$H$27+1)/$T$27))*IF(N$5=$H$27,$U$27,IF(AND(N$5&gt;$H$27,N$5&lt;$H$27+$F$27),1,IF(N$5=$H$27+$F$27,1-$U$27,0)))</f>
        <v>0</v>
      </c>
      <c r="O110" s="130" t="n">
        <f aca="false">(1-$I$27)*(1-$J$27)*$D$27*$E$27/4*MIN(1,MAX(0,(O$5-$H$27+1)/$T$27))*IF(O$5=$H$27,$U$27,IF(AND(O$5&gt;$H$27,O$5&lt;$H$27+$F$27),1,IF(O$5=$H$27+$F$27,1-$U$27,0)))</f>
        <v>0</v>
      </c>
      <c r="P110" s="131" t="n">
        <f aca="false">(1-$I$27)*(1-$J$27)*$D$27*$E$27/4*MIN(1,MAX(0,(P$5-$H$27+1)/$T$27))*IF(P$5=$H$27,$U$27,IF(AND(P$5&gt;$H$27,P$5&lt;$H$27+$F$27),1,IF(P$5=$H$27+$F$27,1-$U$27,0)))</f>
        <v>0</v>
      </c>
      <c r="Q110" s="131" t="n">
        <f aca="false">(1-$I$27)*(1-$J$27)*$D$27*$E$27/4*MIN(1,MAX(0,(Q$5-$H$27+1)/$T$27))*IF(Q$5=$H$27,$U$27,IF(AND(Q$5&gt;$H$27,Q$5&lt;$H$27+$F$27),1,IF(Q$5=$H$27+$F$27,1-$U$27,0)))</f>
        <v>0</v>
      </c>
      <c r="R110" s="131" t="n">
        <f aca="false">(1-$I$27)*(1-$J$27)*$D$27*$E$27/4*MIN(1,MAX(0,(R$5-$H$27+1)/$T$27))*IF(R$5=$H$27,$U$27,IF(AND(R$5&gt;$H$27,R$5&lt;$H$27+$F$27),1,IF(R$5=$H$27+$F$27,1-$U$27,0)))</f>
        <v>0</v>
      </c>
      <c r="S110" s="131" t="n">
        <f aca="false">(1-$I$27)*(1-$J$27)*$D$27*$E$27/4*MIN(1,MAX(0,(S$5-$H$27+1)/$T$27))*IF(S$5=$H$27,$U$27,IF(AND(S$5&gt;$H$27,S$5&lt;$H$27+$F$27),1,IF(S$5=$H$27+$F$27,1-$U$27,0)))</f>
        <v>0</v>
      </c>
      <c r="T110" s="131" t="n">
        <f aca="false">(1-$I$27)*(1-$J$27)*$D$27*$E$27/4*MIN(1,MAX(0,(T$5-$H$27+1)/$T$27))*IF(T$5=$H$27,$U$27,IF(AND(T$5&gt;$H$27,T$5&lt;$H$27+$F$27),1,IF(T$5=$H$27+$F$27,1-$U$27,0)))</f>
        <v>0</v>
      </c>
      <c r="U110" s="131" t="n">
        <f aca="false">(1-$I$27)*(1-$J$27)*$D$27*$E$27/4*MIN(1,MAX(0,(U$5-$H$27+1)/$T$27))*IF(U$5=$H$27,$U$27,IF(AND(U$5&gt;$H$27,U$5&lt;$H$27+$F$27),1,IF(U$5=$H$27+$F$27,1-$U$27,0)))</f>
        <v>0</v>
      </c>
      <c r="V110" s="131" t="n">
        <f aca="false">(1-$I$27)*(1-$J$27)*$D$27*$E$27/4*MIN(1,MAX(0,(V$5-$H$27+1)/$T$27))*IF(V$5=$H$27,$U$27,IF(AND(V$5&gt;$H$27,V$5&lt;$H$27+$F$27),1,IF(V$5=$H$27+$F$27,1-$U$27,0)))</f>
        <v>0</v>
      </c>
      <c r="W110" s="131" t="n">
        <f aca="false">(1-$I$27)*(1-$J$27)*$D$27*$E$27/4*MIN(1,MAX(0,(W$5-$H$27+1)/$T$27))*IF(W$5=$H$27,$U$27,IF(AND(W$5&gt;$H$27,W$5&lt;$H$27+$F$27),1,IF(W$5=$H$27+$F$27,1-$U$27,0)))</f>
        <v>0</v>
      </c>
      <c r="X110" s="131" t="n">
        <f aca="false">(1-$I$27)*(1-$J$27)*$D$27*$E$27/4*MIN(1,MAX(0,(X$5-$H$27+1)/$T$27))*IF(X$5=$H$27,$U$27,IF(AND(X$5&gt;$H$27,X$5&lt;$H$27+$F$27),1,IF(X$5=$H$27+$F$27,1-$U$27,0)))</f>
        <v>0</v>
      </c>
      <c r="Y110" s="131" t="n">
        <f aca="false">(1-$I$27)*(1-$J$27)*$D$27*$E$27/4*MIN(1,MAX(0,(Y$5-$H$27+1)/$T$27))*IF(Y$5=$H$27,$U$27,IF(AND(Y$5&gt;$H$27,Y$5&lt;$H$27+$F$27),1,IF(Y$5=$H$27+$F$27,1-$U$27,0)))</f>
        <v>0</v>
      </c>
      <c r="Z110" s="131" t="n">
        <f aca="false">(1-$I$27)*(1-$J$27)*$D$27*$E$27/4*MIN(1,MAX(0,(Z$5-$H$27+1)/$T$27))*IF(Z$5=$H$27,$U$27,IF(AND(Z$5&gt;$H$27,Z$5&lt;$H$27+$F$27),1,IF(Z$5=$H$27+$F$27,1-$U$27,0)))</f>
        <v>0</v>
      </c>
      <c r="AA110" s="131" t="n">
        <f aca="false">(1-$I$27)*(1-$J$27)*$D$27*$E$27/4*MIN(1,MAX(0,(AA$5-$H$27+1)/$T$27))*IF(AA$5=$H$27,$U$27,IF(AND(AA$5&gt;$H$27,AA$5&lt;$H$27+$F$27),1,IF(AA$5=$H$27+$F$27,1-$U$27,0)))</f>
        <v>0</v>
      </c>
      <c r="AB110" s="131" t="n">
        <f aca="false">(1-$I$27)*(1-$J$27)*$D$27*$E$27/4*MIN(1,MAX(0,(AB$5-$H$27+1)/$T$27))*IF(AB$5=$H$27,$U$27,IF(AND(AB$5&gt;$H$27,AB$5&lt;$H$27+$F$27),1,IF(AB$5=$H$27+$F$27,1-$U$27,0)))</f>
        <v>0</v>
      </c>
      <c r="AC110" s="131" t="n">
        <f aca="false">(1-$I$27)*(1-$J$27)*$D$27*$E$27/4*MIN(1,MAX(0,(AC$5-$H$27+1)/$T$27))*IF(AC$5=$H$27,$U$27,IF(AND(AC$5&gt;$H$27,AC$5&lt;$H$27+$F$27),1,IF(AC$5=$H$27+$F$27,1-$U$27,0)))</f>
        <v>0</v>
      </c>
      <c r="AD110" s="131" t="n">
        <f aca="false">(1-$I$27)*(1-$J$27)*$D$27*$E$27/4*MIN(1,MAX(0,(AD$5-$H$27+1)/$T$27))*IF(AD$5=$H$27,$U$27,IF(AND(AD$5&gt;$H$27,AD$5&lt;$H$27+$F$27),1,IF(AD$5=$H$27+$F$27,1-$U$27,0)))</f>
        <v>0</v>
      </c>
      <c r="AE110" s="131" t="n">
        <f aca="false">(1-$I$27)*(1-$J$27)*$D$27*$E$27/4*MIN(1,MAX(0,(AE$5-$H$27+1)/$T$27))*IF(AE$5=$H$27,$U$27,IF(AND(AE$5&gt;$H$27,AE$5&lt;$H$27+$F$27),1,IF(AE$5=$H$27+$F$27,1-$U$27,0)))</f>
        <v>0</v>
      </c>
      <c r="AF110" s="131" t="n">
        <f aca="false">(1-$I$27)*(1-$J$27)*$D$27*$E$27/4*MIN(1,MAX(0,(AF$5-$H$27+1)/$T$27))*IF(AF$5=$H$27,$U$27,IF(AND(AF$5&gt;$H$27,AF$5&lt;$H$27+$F$27),1,IF(AF$5=$H$27+$F$27,1-$U$27,0)))</f>
        <v>0</v>
      </c>
      <c r="AG110" s="131" t="n">
        <f aca="false">(1-$I$27)*(1-$J$27)*$D$27*$E$27/4*MIN(1,MAX(0,(AG$5-$H$27+1)/$T$27))*IF(AG$5=$H$27,$U$27,IF(AND(AG$5&gt;$H$27,AG$5&lt;$H$27+$F$27),1,IF(AG$5=$H$27+$F$27,1-$U$27,0)))</f>
        <v>0</v>
      </c>
      <c r="AI110" s="131" t="n">
        <f aca="false">SUMIF($F$7:$AG$7,AI$7,$F110:$AG110)</f>
        <v>0</v>
      </c>
      <c r="AJ110" s="131" t="n">
        <f aca="false">SUMIF($F$7:$AG$7,AJ$7,$F110:$AG110)</f>
        <v>0</v>
      </c>
      <c r="AK110" s="131" t="n">
        <f aca="false">SUMIF($F$7:$AG$7,AK$7,$F110:$AG110)</f>
        <v>0</v>
      </c>
      <c r="AL110" s="131" t="n">
        <f aca="false">SUMIF($F$7:$AG$7,AL$7,$F110:$AG110)</f>
        <v>0</v>
      </c>
      <c r="AM110" s="131" t="n">
        <f aca="false">SUMIF($F$7:$AG$7,AM$7,$F110:$AG110)</f>
        <v>0</v>
      </c>
      <c r="AN110" s="131" t="n">
        <f aca="false">SUMIF($F$7:$AG$7,AN$7,$F110:$AG110)</f>
        <v>0</v>
      </c>
      <c r="AO110" s="131" t="n">
        <f aca="false">SUMIF($F$7:$AG$7,AO$7,$F110:$AG110)</f>
        <v>0</v>
      </c>
    </row>
    <row r="111" customFormat="false" ht="15" hidden="false" customHeight="false" outlineLevel="0" collapsed="false">
      <c r="A111" s="112" t="s">
        <v>2151</v>
      </c>
      <c r="B111" s="24" t="s">
        <v>857</v>
      </c>
      <c r="C111" s="24"/>
      <c r="D111" s="24"/>
      <c r="F111" s="121" t="n">
        <f aca="false">(1-$I$27)*(1-$J$27)*$D$27*AND(F$5&gt;=$H$27,F$5&lt;$H$27+$F$27)</f>
        <v>0</v>
      </c>
      <c r="G111" s="121" t="n">
        <f aca="false">(1-$I$27)*(1-$J$27)*$D$27*AND(G$5&gt;=$H$27,G$5&lt;$H$27+$F$27)</f>
        <v>0</v>
      </c>
      <c r="H111" s="121" t="n">
        <f aca="false">(1-$I$27)*(1-$J$27)*$D$27*AND(H$5&gt;=$H$27,H$5&lt;$H$27+$F$27)</f>
        <v>0</v>
      </c>
      <c r="I111" s="121" t="n">
        <f aca="false">(1-$I$27)*(1-$J$27)*$D$27*AND(I$5&gt;=$H$27,I$5&lt;$H$27+$F$27)</f>
        <v>0</v>
      </c>
      <c r="J111" s="121" t="n">
        <f aca="false">(1-$I$27)*(1-$J$27)*$D$27*AND(J$5&gt;=$H$27,J$5&lt;$H$27+$F$27)</f>
        <v>0</v>
      </c>
      <c r="K111" s="121" t="n">
        <f aca="false">(1-$I$27)*(1-$J$27)*$D$27*AND(K$5&gt;=$H$27,K$5&lt;$H$27+$F$27)</f>
        <v>0</v>
      </c>
      <c r="L111" s="121" t="n">
        <f aca="false">(1-$I$27)*(1-$J$27)*$D$27*AND(L$5&gt;=$H$27,L$5&lt;$H$27+$F$27)</f>
        <v>0</v>
      </c>
      <c r="M111" s="121" t="n">
        <f aca="false">(1-$I$27)*(1-$J$27)*$D$27*AND(M$5&gt;=$H$27,M$5&lt;$H$27+$F$27)</f>
        <v>0</v>
      </c>
      <c r="N111" s="121" t="n">
        <f aca="false">(1-$I$27)*(1-$J$27)*$D$27*AND(N$5&gt;=$H$27,N$5&lt;$H$27+$F$27)</f>
        <v>0</v>
      </c>
      <c r="O111" s="121" t="n">
        <f aca="false">(1-$I$27)*(1-$J$27)*$D$27*AND(O$5&gt;=$H$27,O$5&lt;$H$27+$F$27)</f>
        <v>0</v>
      </c>
      <c r="P111" s="39" t="n">
        <f aca="false">(1-$I$27)*(1-$J$27)*$D$27*AND(P$5&gt;=$H$27,P$5&lt;$H$27+$F$27)</f>
        <v>0</v>
      </c>
      <c r="Q111" s="39" t="n">
        <f aca="false">(1-$I$27)*(1-$J$27)*$D$27*AND(Q$5&gt;=$H$27,Q$5&lt;$H$27+$F$27)</f>
        <v>0</v>
      </c>
      <c r="R111" s="39" t="n">
        <f aca="false">(1-$I$27)*(1-$J$27)*$D$27*AND(R$5&gt;=$H$27,R$5&lt;$H$27+$F$27)</f>
        <v>0</v>
      </c>
      <c r="S111" s="39" t="n">
        <f aca="false">(1-$I$27)*(1-$J$27)*$D$27*AND(S$5&gt;=$H$27,S$5&lt;$H$27+$F$27)</f>
        <v>0</v>
      </c>
      <c r="T111" s="39" t="n">
        <f aca="false">(1-$I$27)*(1-$J$27)*$D$27*AND(T$5&gt;=$H$27,T$5&lt;$H$27+$F$27)</f>
        <v>0</v>
      </c>
      <c r="U111" s="39" t="n">
        <f aca="false">(1-$I$27)*(1-$J$27)*$D$27*AND(U$5&gt;=$H$27,U$5&lt;$H$27+$F$27)</f>
        <v>0</v>
      </c>
      <c r="V111" s="39" t="n">
        <f aca="false">(1-$I$27)*(1-$J$27)*$D$27*AND(V$5&gt;=$H$27,V$5&lt;$H$27+$F$27)</f>
        <v>0</v>
      </c>
      <c r="W111" s="39" t="n">
        <f aca="false">(1-$I$27)*(1-$J$27)*$D$27*AND(W$5&gt;=$H$27,W$5&lt;$H$27+$F$27)</f>
        <v>0</v>
      </c>
      <c r="X111" s="39" t="n">
        <f aca="false">(1-$I$27)*(1-$J$27)*$D$27*AND(X$5&gt;=$H$27,X$5&lt;$H$27+$F$27)</f>
        <v>0</v>
      </c>
      <c r="Y111" s="39" t="n">
        <f aca="false">(1-$I$27)*(1-$J$27)*$D$27*AND(Y$5&gt;=$H$27,Y$5&lt;$H$27+$F$27)</f>
        <v>0</v>
      </c>
      <c r="Z111" s="39" t="n">
        <f aca="false">(1-$I$27)*(1-$J$27)*$D$27*AND(Z$5&gt;=$H$27,Z$5&lt;$H$27+$F$27)</f>
        <v>0</v>
      </c>
      <c r="AA111" s="39" t="n">
        <f aca="false">(1-$I$27)*(1-$J$27)*$D$27*AND(AA$5&gt;=$H$27,AA$5&lt;$H$27+$F$27)</f>
        <v>0</v>
      </c>
      <c r="AB111" s="39" t="n">
        <f aca="false">(1-$I$27)*(1-$J$27)*$D$27*AND(AB$5&gt;=$H$27,AB$5&lt;$H$27+$F$27)</f>
        <v>0</v>
      </c>
      <c r="AC111" s="39" t="n">
        <f aca="false">(1-$I$27)*(1-$J$27)*$D$27*AND(AC$5&gt;=$H$27,AC$5&lt;$H$27+$F$27)</f>
        <v>0</v>
      </c>
      <c r="AD111" s="39" t="n">
        <f aca="false">(1-$I$27)*(1-$J$27)*$D$27*AND(AD$5&gt;=$H$27,AD$5&lt;$H$27+$F$27)</f>
        <v>0</v>
      </c>
      <c r="AE111" s="39" t="n">
        <f aca="false">(1-$I$27)*(1-$J$27)*$D$27*AND(AE$5&gt;=$H$27,AE$5&lt;$H$27+$F$27)</f>
        <v>0</v>
      </c>
      <c r="AF111" s="39" t="n">
        <f aca="false">(1-$I$27)*(1-$J$27)*$D$27*AND(AF$5&gt;=$H$27,AF$5&lt;$H$27+$F$27)</f>
        <v>0</v>
      </c>
      <c r="AG111" s="39" t="n">
        <f aca="false">(1-$I$27)*(1-$J$27)*$D$27*AND(AG$5&gt;=$H$27,AG$5&lt;$H$27+$F$27)</f>
        <v>0</v>
      </c>
      <c r="AI111" s="39" t="n">
        <f aca="false">INDEX($F111:$AG111,1,MATCH(AI$7,$F$7:$AG$7,1))</f>
        <v>0</v>
      </c>
      <c r="AJ111" s="39" t="n">
        <f aca="false">INDEX($F111:$AG111,1,MATCH(AJ$7,$F$7:$AG$7,1))</f>
        <v>0</v>
      </c>
      <c r="AK111" s="39" t="n">
        <f aca="false">INDEX($F111:$AG111,1,MATCH(AK$7,$F$7:$AG$7,1))</f>
        <v>0</v>
      </c>
      <c r="AL111" s="39" t="n">
        <f aca="false">INDEX($F111:$AG111,1,MATCH(AL$7,$F$7:$AG$7,1))</f>
        <v>0</v>
      </c>
      <c r="AM111" s="39" t="n">
        <f aca="false">INDEX($F111:$AG111,1,MATCH(AM$7,$F$7:$AG$7,1))</f>
        <v>0</v>
      </c>
      <c r="AN111" s="39" t="n">
        <f aca="false">INDEX($F111:$AG111,1,MATCH(AN$7,$F$7:$AG$7,1))</f>
        <v>0</v>
      </c>
      <c r="AO111" s="39" t="n">
        <f aca="false">INDEX($F111:$AG111,1,MATCH(AO$7,$F$7:$AG$7,1))</f>
        <v>0</v>
      </c>
    </row>
    <row r="112" customFormat="false" ht="15" hidden="false" customHeight="false" outlineLevel="0" collapsed="false">
      <c r="A112" s="112" t="s">
        <v>2152</v>
      </c>
      <c r="B112" s="24" t="s">
        <v>745</v>
      </c>
      <c r="C112" s="24"/>
      <c r="D112" s="24"/>
      <c r="F112" s="130" t="n">
        <f aca="false">-(1-$I$27)*LD_Pct*$D$27*$E$27/4*AND(F$5&gt;=$G$27,F$5&lt;$H$27)</f>
        <v>-0</v>
      </c>
      <c r="G112" s="130" t="n">
        <f aca="false">-(1-$I$27)*LD_Pct*$D$27*$E$27/4*AND(G$5&gt;=$G$27,G$5&lt;$H$27)</f>
        <v>-0</v>
      </c>
      <c r="H112" s="130" t="n">
        <f aca="false">-(1-$I$27)*LD_Pct*$D$27*$E$27/4*AND(H$5&gt;=$G$27,H$5&lt;$H$27)</f>
        <v>-0</v>
      </c>
      <c r="I112" s="130" t="n">
        <f aca="false">-(1-$I$27)*LD_Pct*$D$27*$E$27/4*AND(I$5&gt;=$G$27,I$5&lt;$H$27)</f>
        <v>-0</v>
      </c>
      <c r="J112" s="130" t="n">
        <f aca="false">-(1-$I$27)*LD_Pct*$D$27*$E$27/4*AND(J$5&gt;=$G$27,J$5&lt;$H$27)</f>
        <v>-0</v>
      </c>
      <c r="K112" s="130" t="n">
        <f aca="false">-(1-$I$27)*LD_Pct*$D$27*$E$27/4*AND(K$5&gt;=$G$27,K$5&lt;$H$27)</f>
        <v>-0</v>
      </c>
      <c r="L112" s="130" t="n">
        <f aca="false">-(1-$I$27)*LD_Pct*$D$27*$E$27/4*AND(L$5&gt;=$G$27,L$5&lt;$H$27)</f>
        <v>-0</v>
      </c>
      <c r="M112" s="130" t="n">
        <f aca="false">-(1-$I$27)*LD_Pct*$D$27*$E$27/4*AND(M$5&gt;=$G$27,M$5&lt;$H$27)</f>
        <v>-0</v>
      </c>
      <c r="N112" s="130" t="n">
        <f aca="false">-(1-$I$27)*LD_Pct*$D$27*$E$27/4*AND(N$5&gt;=$G$27,N$5&lt;$H$27)</f>
        <v>-0</v>
      </c>
      <c r="O112" s="130" t="n">
        <f aca="false">-(1-$I$27)*LD_Pct*$D$27*$E$27/4*AND(O$5&gt;=$G$27,O$5&lt;$H$27)</f>
        <v>-0</v>
      </c>
      <c r="P112" s="131" t="n">
        <f aca="false">-(1-$I$27)*LD_Pct*$D$27*$E$27/4*AND(P$5&gt;=$G$27,P$5&lt;$H$27)</f>
        <v>-0</v>
      </c>
      <c r="Q112" s="131" t="n">
        <f aca="false">-(1-$I$27)*LD_Pct*$D$27*$E$27/4*AND(Q$5&gt;=$G$27,Q$5&lt;$H$27)</f>
        <v>-0</v>
      </c>
      <c r="R112" s="131" t="n">
        <f aca="false">-(1-$I$27)*LD_Pct*$D$27*$E$27/4*AND(R$5&gt;=$G$27,R$5&lt;$H$27)</f>
        <v>-0</v>
      </c>
      <c r="S112" s="131" t="n">
        <f aca="false">-(1-$I$27)*LD_Pct*$D$27*$E$27/4*AND(S$5&gt;=$G$27,S$5&lt;$H$27)</f>
        <v>-0</v>
      </c>
      <c r="T112" s="131" t="n">
        <f aca="false">-(1-$I$27)*LD_Pct*$D$27*$E$27/4*AND(T$5&gt;=$G$27,T$5&lt;$H$27)</f>
        <v>-0</v>
      </c>
      <c r="U112" s="131" t="n">
        <f aca="false">-(1-$I$27)*LD_Pct*$D$27*$E$27/4*AND(U$5&gt;=$G$27,U$5&lt;$H$27)</f>
        <v>-0</v>
      </c>
      <c r="V112" s="131" t="n">
        <f aca="false">-(1-$I$27)*LD_Pct*$D$27*$E$27/4*AND(V$5&gt;=$G$27,V$5&lt;$H$27)</f>
        <v>-0</v>
      </c>
      <c r="W112" s="131" t="n">
        <f aca="false">-(1-$I$27)*LD_Pct*$D$27*$E$27/4*AND(W$5&gt;=$G$27,W$5&lt;$H$27)</f>
        <v>-0</v>
      </c>
      <c r="X112" s="131" t="n">
        <f aca="false">-(1-$I$27)*LD_Pct*$D$27*$E$27/4*AND(X$5&gt;=$G$27,X$5&lt;$H$27)</f>
        <v>-0</v>
      </c>
      <c r="Y112" s="131" t="n">
        <f aca="false">-(1-$I$27)*LD_Pct*$D$27*$E$27/4*AND(Y$5&gt;=$G$27,Y$5&lt;$H$27)</f>
        <v>-0</v>
      </c>
      <c r="Z112" s="131" t="n">
        <f aca="false">-(1-$I$27)*LD_Pct*$D$27*$E$27/4*AND(Z$5&gt;=$G$27,Z$5&lt;$H$27)</f>
        <v>-0</v>
      </c>
      <c r="AA112" s="131" t="n">
        <f aca="false">-(1-$I$27)*LD_Pct*$D$27*$E$27/4*AND(AA$5&gt;=$G$27,AA$5&lt;$H$27)</f>
        <v>-0</v>
      </c>
      <c r="AB112" s="131" t="n">
        <f aca="false">-(1-$I$27)*LD_Pct*$D$27*$E$27/4*AND(AB$5&gt;=$G$27,AB$5&lt;$H$27)</f>
        <v>-0</v>
      </c>
      <c r="AC112" s="131" t="n">
        <f aca="false">-(1-$I$27)*LD_Pct*$D$27*$E$27/4*AND(AC$5&gt;=$G$27,AC$5&lt;$H$27)</f>
        <v>-0</v>
      </c>
      <c r="AD112" s="131" t="n">
        <f aca="false">-(1-$I$27)*LD_Pct*$D$27*$E$27/4*AND(AD$5&gt;=$G$27,AD$5&lt;$H$27)</f>
        <v>-0</v>
      </c>
      <c r="AE112" s="131" t="n">
        <f aca="false">-(1-$I$27)*LD_Pct*$D$27*$E$27/4*AND(AE$5&gt;=$G$27,AE$5&lt;$H$27)</f>
        <v>-0</v>
      </c>
      <c r="AF112" s="131" t="n">
        <f aca="false">-(1-$I$27)*LD_Pct*$D$27*$E$27/4*AND(AF$5&gt;=$G$27,AF$5&lt;$H$27)</f>
        <v>-0</v>
      </c>
      <c r="AG112" s="131" t="n">
        <f aca="false">-(1-$I$27)*LD_Pct*$D$27*$E$27/4*AND(AG$5&gt;=$G$27,AG$5&lt;$H$27)</f>
        <v>-0</v>
      </c>
      <c r="AI112" s="131" t="n">
        <f aca="false">SUMIF($F$7:$AG$7,AI$7,$F112:$AG112)</f>
        <v>0</v>
      </c>
      <c r="AJ112" s="131" t="n">
        <f aca="false">SUMIF($F$7:$AG$7,AJ$7,$F112:$AG112)</f>
        <v>0</v>
      </c>
      <c r="AK112" s="131" t="n">
        <f aca="false">SUMIF($F$7:$AG$7,AK$7,$F112:$AG112)</f>
        <v>0</v>
      </c>
      <c r="AL112" s="131" t="n">
        <f aca="false">SUMIF($F$7:$AG$7,AL$7,$F112:$AG112)</f>
        <v>0</v>
      </c>
      <c r="AM112" s="131" t="n">
        <f aca="false">SUMIF($F$7:$AG$7,AM$7,$F112:$AG112)</f>
        <v>0</v>
      </c>
      <c r="AN112" s="131" t="n">
        <f aca="false">SUMIF($F$7:$AG$7,AN$7,$F112:$AG112)</f>
        <v>0</v>
      </c>
      <c r="AO112" s="131" t="n">
        <f aca="false">SUMIF($F$7:$AG$7,AO$7,$F112:$AG112)</f>
        <v>0</v>
      </c>
    </row>
    <row r="113" customFormat="false" ht="15" hidden="false" customHeight="false" outlineLevel="0" collapsed="false">
      <c r="A113" s="112" t="s">
        <v>2153</v>
      </c>
      <c r="B113" s="24" t="s">
        <v>857</v>
      </c>
      <c r="C113" s="24"/>
      <c r="D113" s="24"/>
      <c r="F113" s="121" t="n">
        <f aca="false">(1-$I$27)*(1-$J$27)*$D$27*(F$5&gt;=$H$27+$F$27)</f>
        <v>0</v>
      </c>
      <c r="G113" s="121" t="n">
        <f aca="false">(1-$I$27)*(1-$J$27)*$D$27*(G$5&gt;=$H$27+$F$27)</f>
        <v>0</v>
      </c>
      <c r="H113" s="121" t="n">
        <f aca="false">(1-$I$27)*(1-$J$27)*$D$27*(H$5&gt;=$H$27+$F$27)</f>
        <v>0</v>
      </c>
      <c r="I113" s="121" t="n">
        <f aca="false">(1-$I$27)*(1-$J$27)*$D$27*(I$5&gt;=$H$27+$F$27)</f>
        <v>0</v>
      </c>
      <c r="J113" s="121" t="n">
        <f aca="false">(1-$I$27)*(1-$J$27)*$D$27*(J$5&gt;=$H$27+$F$27)</f>
        <v>0</v>
      </c>
      <c r="K113" s="121" t="n">
        <f aca="false">(1-$I$27)*(1-$J$27)*$D$27*(K$5&gt;=$H$27+$F$27)</f>
        <v>0</v>
      </c>
      <c r="L113" s="121" t="n">
        <f aca="false">(1-$I$27)*(1-$J$27)*$D$27*(L$5&gt;=$H$27+$F$27)</f>
        <v>0</v>
      </c>
      <c r="M113" s="121" t="n">
        <f aca="false">(1-$I$27)*(1-$J$27)*$D$27*(M$5&gt;=$H$27+$F$27)</f>
        <v>0</v>
      </c>
      <c r="N113" s="121" t="n">
        <f aca="false">(1-$I$27)*(1-$J$27)*$D$27*(N$5&gt;=$H$27+$F$27)</f>
        <v>0</v>
      </c>
      <c r="O113" s="121" t="n">
        <f aca="false">(1-$I$27)*(1-$J$27)*$D$27*(O$5&gt;=$H$27+$F$27)</f>
        <v>0</v>
      </c>
      <c r="P113" s="39" t="n">
        <f aca="false">(1-$I$27)*(1-$J$27)*$D$27*(P$5&gt;=$H$27+$F$27)</f>
        <v>0</v>
      </c>
      <c r="Q113" s="39" t="n">
        <f aca="false">(1-$I$27)*(1-$J$27)*$D$27*(Q$5&gt;=$H$27+$F$27)</f>
        <v>0</v>
      </c>
      <c r="R113" s="39" t="n">
        <f aca="false">(1-$I$27)*(1-$J$27)*$D$27*(R$5&gt;=$H$27+$F$27)</f>
        <v>0</v>
      </c>
      <c r="S113" s="39" t="n">
        <f aca="false">(1-$I$27)*(1-$J$27)*$D$27*(S$5&gt;=$H$27+$F$27)</f>
        <v>0</v>
      </c>
      <c r="T113" s="39" t="n">
        <f aca="false">(1-$I$27)*(1-$J$27)*$D$27*(T$5&gt;=$H$27+$F$27)</f>
        <v>0</v>
      </c>
      <c r="U113" s="39" t="n">
        <f aca="false">(1-$I$27)*(1-$J$27)*$D$27*(U$5&gt;=$H$27+$F$27)</f>
        <v>0</v>
      </c>
      <c r="V113" s="39" t="n">
        <f aca="false">(1-$I$27)*(1-$J$27)*$D$27*(V$5&gt;=$H$27+$F$27)</f>
        <v>0</v>
      </c>
      <c r="W113" s="39" t="n">
        <f aca="false">(1-$I$27)*(1-$J$27)*$D$27*(W$5&gt;=$H$27+$F$27)</f>
        <v>0</v>
      </c>
      <c r="X113" s="39" t="n">
        <f aca="false">(1-$I$27)*(1-$J$27)*$D$27*(X$5&gt;=$H$27+$F$27)</f>
        <v>0</v>
      </c>
      <c r="Y113" s="39" t="n">
        <f aca="false">(1-$I$27)*(1-$J$27)*$D$27*(Y$5&gt;=$H$27+$F$27)</f>
        <v>0</v>
      </c>
      <c r="Z113" s="39" t="n">
        <f aca="false">(1-$I$27)*(1-$J$27)*$D$27*(Z$5&gt;=$H$27+$F$27)</f>
        <v>0</v>
      </c>
      <c r="AA113" s="39" t="n">
        <f aca="false">(1-$I$27)*(1-$J$27)*$D$27*(AA$5&gt;=$H$27+$F$27)</f>
        <v>0</v>
      </c>
      <c r="AB113" s="39" t="n">
        <f aca="false">(1-$I$27)*(1-$J$27)*$D$27*(AB$5&gt;=$H$27+$F$27)</f>
        <v>0</v>
      </c>
      <c r="AC113" s="39" t="n">
        <f aca="false">(1-$I$27)*(1-$J$27)*$D$27*(AC$5&gt;=$H$27+$F$27)</f>
        <v>0</v>
      </c>
      <c r="AD113" s="39" t="n">
        <f aca="false">(1-$I$27)*(1-$J$27)*$D$27*(AD$5&gt;=$H$27+$F$27)</f>
        <v>0</v>
      </c>
      <c r="AE113" s="39" t="n">
        <f aca="false">(1-$I$27)*(1-$J$27)*$D$27*(AE$5&gt;=$H$27+$F$27)</f>
        <v>0</v>
      </c>
      <c r="AF113" s="39" t="n">
        <f aca="false">(1-$I$27)*(1-$J$27)*$D$27*(AF$5&gt;=$H$27+$F$27)</f>
        <v>0</v>
      </c>
      <c r="AG113" s="39" t="n">
        <f aca="false">(1-$I$27)*(1-$J$27)*$D$27*(AG$5&gt;=$H$27+$F$27)</f>
        <v>0</v>
      </c>
      <c r="AI113" s="39" t="n">
        <f aca="false">INDEX($F113:$AG113,1,MATCH(AI$7,$F$7:$AG$7,1))</f>
        <v>0</v>
      </c>
      <c r="AJ113" s="39" t="n">
        <f aca="false">INDEX($F113:$AG113,1,MATCH(AJ$7,$F$7:$AG$7,1))</f>
        <v>0</v>
      </c>
      <c r="AK113" s="39" t="n">
        <f aca="false">INDEX($F113:$AG113,1,MATCH(AK$7,$F$7:$AG$7,1))</f>
        <v>0</v>
      </c>
      <c r="AL113" s="39" t="n">
        <f aca="false">INDEX($F113:$AG113,1,MATCH(AL$7,$F$7:$AG$7,1))</f>
        <v>0</v>
      </c>
      <c r="AM113" s="39" t="n">
        <f aca="false">INDEX($F113:$AG113,1,MATCH(AM$7,$F$7:$AG$7,1))</f>
        <v>0</v>
      </c>
      <c r="AN113" s="39" t="n">
        <f aca="false">INDEX($F113:$AG113,1,MATCH(AN$7,$F$7:$AG$7,1))</f>
        <v>0</v>
      </c>
      <c r="AO113" s="39" t="n">
        <f aca="false">INDEX($F113:$AG113,1,MATCH(AO$7,$F$7:$AG$7,1))</f>
        <v>0</v>
      </c>
    </row>
    <row r="114" customFormat="false" ht="15" hidden="false" customHeight="false" outlineLevel="0" collapsed="false">
      <c r="A114" s="112" t="s">
        <v>2154</v>
      </c>
      <c r="B114" s="24" t="s">
        <v>745</v>
      </c>
      <c r="C114" s="24"/>
      <c r="D114" s="24" t="s">
        <v>2079</v>
      </c>
      <c r="F114" s="130" t="n">
        <f aca="false">F113*CHOOSE(MATCH($C$27,{"H";"B";"N"},0),GPUMW_H*ODc_H,GPUMW_B*ODc_B,GPUMW_N*ODc_N)*ResidUtil*Timeline!F$9*INDEX(Curve,1,MAX(1,MIN(8,INT((F$5-$H$27)/4)+1)))/1000000</f>
        <v>0</v>
      </c>
      <c r="G114" s="130" t="n">
        <f aca="false">G113*CHOOSE(MATCH($C$27,{"H";"B";"N"},0),GPUMW_H*ODc_H,GPUMW_B*ODc_B,GPUMW_N*ODc_N)*ResidUtil*Timeline!G$9*INDEX(Curve,1,MAX(1,MIN(8,INT((G$5-$H$27)/4)+1)))/1000000</f>
        <v>0</v>
      </c>
      <c r="H114" s="130" t="n">
        <f aca="false">H113*CHOOSE(MATCH($C$27,{"H";"B";"N"},0),GPUMW_H*ODc_H,GPUMW_B*ODc_B,GPUMW_N*ODc_N)*ResidUtil*Timeline!H$9*INDEX(Curve,1,MAX(1,MIN(8,INT((H$5-$H$27)/4)+1)))/1000000</f>
        <v>0</v>
      </c>
      <c r="I114" s="130" t="n">
        <f aca="false">I113*CHOOSE(MATCH($C$27,{"H";"B";"N"},0),GPUMW_H*ODc_H,GPUMW_B*ODc_B,GPUMW_N*ODc_N)*ResidUtil*Timeline!I$9*INDEX(Curve,1,MAX(1,MIN(8,INT((I$5-$H$27)/4)+1)))/1000000</f>
        <v>0</v>
      </c>
      <c r="J114" s="130" t="n">
        <f aca="false">J113*CHOOSE(MATCH($C$27,{"H";"B";"N"},0),GPUMW_H*ODc_H,GPUMW_B*ODc_B,GPUMW_N*ODc_N)*ResidUtil*Timeline!J$9*INDEX(Curve,1,MAX(1,MIN(8,INT((J$5-$H$27)/4)+1)))/1000000</f>
        <v>0</v>
      </c>
      <c r="K114" s="130" t="n">
        <f aca="false">K113*CHOOSE(MATCH($C$27,{"H";"B";"N"},0),GPUMW_H*ODc_H,GPUMW_B*ODc_B,GPUMW_N*ODc_N)*ResidUtil*Timeline!K$9*INDEX(Curve,1,MAX(1,MIN(8,INT((K$5-$H$27)/4)+1)))/1000000</f>
        <v>0</v>
      </c>
      <c r="L114" s="130" t="n">
        <f aca="false">L113*CHOOSE(MATCH($C$27,{"H";"B";"N"},0),GPUMW_H*ODc_H,GPUMW_B*ODc_B,GPUMW_N*ODc_N)*ResidUtil*Timeline!L$9*INDEX(Curve,1,MAX(1,MIN(8,INT((L$5-$H$27)/4)+1)))/1000000</f>
        <v>0</v>
      </c>
      <c r="M114" s="130" t="n">
        <f aca="false">M113*CHOOSE(MATCH($C$27,{"H";"B";"N"},0),GPUMW_H*ODc_H,GPUMW_B*ODc_B,GPUMW_N*ODc_N)*ResidUtil*Timeline!M$9*INDEX(Curve,1,MAX(1,MIN(8,INT((M$5-$H$27)/4)+1)))/1000000</f>
        <v>0</v>
      </c>
      <c r="N114" s="130" t="n">
        <f aca="false">N113*CHOOSE(MATCH($C$27,{"H";"B";"N"},0),GPUMW_H*ODc_H,GPUMW_B*ODc_B,GPUMW_N*ODc_N)*ResidUtil*Timeline!N$9*INDEX(Curve,1,MAX(1,MIN(8,INT((N$5-$H$27)/4)+1)))/1000000</f>
        <v>0</v>
      </c>
      <c r="O114" s="130" t="n">
        <f aca="false">O113*CHOOSE(MATCH($C$27,{"H";"B";"N"},0),GPUMW_H*ODc_H,GPUMW_B*ODc_B,GPUMW_N*ODc_N)*ResidUtil*Timeline!O$9*INDEX(Curve,1,MAX(1,MIN(8,INT((O$5-$H$27)/4)+1)))/1000000</f>
        <v>0</v>
      </c>
      <c r="P114" s="131" t="n">
        <f aca="false">P113*CHOOSE(MATCH($C$27,{"H";"B";"N"},0),GPUMW_H*ODc_H,GPUMW_B*ODc_B,GPUMW_N*ODc_N)*ResidUtil*Timeline!P$9*INDEX(Curve,1,MAX(1,MIN(8,INT((P$5-$H$27)/4)+1)))/1000000</f>
        <v>0</v>
      </c>
      <c r="Q114" s="131" t="n">
        <f aca="false">Q113*CHOOSE(MATCH($C$27,{"H";"B";"N"},0),GPUMW_H*ODc_H,GPUMW_B*ODc_B,GPUMW_N*ODc_N)*ResidUtil*Timeline!Q$9*INDEX(Curve,1,MAX(1,MIN(8,INT((Q$5-$H$27)/4)+1)))/1000000</f>
        <v>0</v>
      </c>
      <c r="R114" s="131" t="n">
        <f aca="false">R113*CHOOSE(MATCH($C$27,{"H";"B";"N"},0),GPUMW_H*ODc_H,GPUMW_B*ODc_B,GPUMW_N*ODc_N)*ResidUtil*Timeline!R$9*INDEX(Curve,1,MAX(1,MIN(8,INT((R$5-$H$27)/4)+1)))/1000000</f>
        <v>0</v>
      </c>
      <c r="S114" s="131" t="n">
        <f aca="false">S113*CHOOSE(MATCH($C$27,{"H";"B";"N"},0),GPUMW_H*ODc_H,GPUMW_B*ODc_B,GPUMW_N*ODc_N)*ResidUtil*Timeline!S$9*INDEX(Curve,1,MAX(1,MIN(8,INT((S$5-$H$27)/4)+1)))/1000000</f>
        <v>0</v>
      </c>
      <c r="T114" s="131" t="n">
        <f aca="false">T113*CHOOSE(MATCH($C$27,{"H";"B";"N"},0),GPUMW_H*ODc_H,GPUMW_B*ODc_B,GPUMW_N*ODc_N)*ResidUtil*Timeline!T$9*INDEX(Curve,1,MAX(1,MIN(8,INT((T$5-$H$27)/4)+1)))/1000000</f>
        <v>0</v>
      </c>
      <c r="U114" s="131" t="n">
        <f aca="false">U113*CHOOSE(MATCH($C$27,{"H";"B";"N"},0),GPUMW_H*ODc_H,GPUMW_B*ODc_B,GPUMW_N*ODc_N)*ResidUtil*Timeline!U$9*INDEX(Curve,1,MAX(1,MIN(8,INT((U$5-$H$27)/4)+1)))/1000000</f>
        <v>0</v>
      </c>
      <c r="V114" s="131" t="n">
        <f aca="false">V113*CHOOSE(MATCH($C$27,{"H";"B";"N"},0),GPUMW_H*ODc_H,GPUMW_B*ODc_B,GPUMW_N*ODc_N)*ResidUtil*Timeline!V$9*INDEX(Curve,1,MAX(1,MIN(8,INT((V$5-$H$27)/4)+1)))/1000000</f>
        <v>0</v>
      </c>
      <c r="W114" s="131" t="n">
        <f aca="false">W113*CHOOSE(MATCH($C$27,{"H";"B";"N"},0),GPUMW_H*ODc_H,GPUMW_B*ODc_B,GPUMW_N*ODc_N)*ResidUtil*Timeline!W$9*INDEX(Curve,1,MAX(1,MIN(8,INT((W$5-$H$27)/4)+1)))/1000000</f>
        <v>0</v>
      </c>
      <c r="X114" s="131" t="n">
        <f aca="false">X113*CHOOSE(MATCH($C$27,{"H";"B";"N"},0),GPUMW_H*ODc_H,GPUMW_B*ODc_B,GPUMW_N*ODc_N)*ResidUtil*Timeline!X$9*INDEX(Curve,1,MAX(1,MIN(8,INT((X$5-$H$27)/4)+1)))/1000000</f>
        <v>0</v>
      </c>
      <c r="Y114" s="131" t="n">
        <f aca="false">Y113*CHOOSE(MATCH($C$27,{"H";"B";"N"},0),GPUMW_H*ODc_H,GPUMW_B*ODc_B,GPUMW_N*ODc_N)*ResidUtil*Timeline!Y$9*INDEX(Curve,1,MAX(1,MIN(8,INT((Y$5-$H$27)/4)+1)))/1000000</f>
        <v>0</v>
      </c>
      <c r="Z114" s="131" t="n">
        <f aca="false">Z113*CHOOSE(MATCH($C$27,{"H";"B";"N"},0),GPUMW_H*ODc_H,GPUMW_B*ODc_B,GPUMW_N*ODc_N)*ResidUtil*Timeline!Z$9*INDEX(Curve,1,MAX(1,MIN(8,INT((Z$5-$H$27)/4)+1)))/1000000</f>
        <v>0</v>
      </c>
      <c r="AA114" s="131" t="n">
        <f aca="false">AA113*CHOOSE(MATCH($C$27,{"H";"B";"N"},0),GPUMW_H*ODc_H,GPUMW_B*ODc_B,GPUMW_N*ODc_N)*ResidUtil*Timeline!AA$9*INDEX(Curve,1,MAX(1,MIN(8,INT((AA$5-$H$27)/4)+1)))/1000000</f>
        <v>0</v>
      </c>
      <c r="AB114" s="131" t="n">
        <f aca="false">AB113*CHOOSE(MATCH($C$27,{"H";"B";"N"},0),GPUMW_H*ODc_H,GPUMW_B*ODc_B,GPUMW_N*ODc_N)*ResidUtil*Timeline!AB$9*INDEX(Curve,1,MAX(1,MIN(8,INT((AB$5-$H$27)/4)+1)))/1000000</f>
        <v>0</v>
      </c>
      <c r="AC114" s="131" t="n">
        <f aca="false">AC113*CHOOSE(MATCH($C$27,{"H";"B";"N"},0),GPUMW_H*ODc_H,GPUMW_B*ODc_B,GPUMW_N*ODc_N)*ResidUtil*Timeline!AC$9*INDEX(Curve,1,MAX(1,MIN(8,INT((AC$5-$H$27)/4)+1)))/1000000</f>
        <v>0</v>
      </c>
      <c r="AD114" s="131" t="n">
        <f aca="false">AD113*CHOOSE(MATCH($C$27,{"H";"B";"N"},0),GPUMW_H*ODc_H,GPUMW_B*ODc_B,GPUMW_N*ODc_N)*ResidUtil*Timeline!AD$9*INDEX(Curve,1,MAX(1,MIN(8,INT((AD$5-$H$27)/4)+1)))/1000000</f>
        <v>0</v>
      </c>
      <c r="AE114" s="131" t="n">
        <f aca="false">AE113*CHOOSE(MATCH($C$27,{"H";"B";"N"},0),GPUMW_H*ODc_H,GPUMW_B*ODc_B,GPUMW_N*ODc_N)*ResidUtil*Timeline!AE$9*INDEX(Curve,1,MAX(1,MIN(8,INT((AE$5-$H$27)/4)+1)))/1000000</f>
        <v>0</v>
      </c>
      <c r="AF114" s="131" t="n">
        <f aca="false">AF113*CHOOSE(MATCH($C$27,{"H";"B";"N"},0),GPUMW_H*ODc_H,GPUMW_B*ODc_B,GPUMW_N*ODc_N)*ResidUtil*Timeline!AF$9*INDEX(Curve,1,MAX(1,MIN(8,INT((AF$5-$H$27)/4)+1)))/1000000</f>
        <v>0</v>
      </c>
      <c r="AG114" s="131" t="n">
        <f aca="false">AG113*CHOOSE(MATCH($C$27,{"H";"B";"N"},0),GPUMW_H*ODc_H,GPUMW_B*ODc_B,GPUMW_N*ODc_N)*ResidUtil*Timeline!AG$9*INDEX(Curve,1,MAX(1,MIN(8,INT((AG$5-$H$27)/4)+1)))/1000000</f>
        <v>0</v>
      </c>
      <c r="AI114" s="131" t="n">
        <f aca="false">SUMIF($F$7:$AG$7,AI$7,$F114:$AG114)</f>
        <v>0</v>
      </c>
      <c r="AJ114" s="131" t="n">
        <f aca="false">SUMIF($F$7:$AG$7,AJ$7,$F114:$AG114)</f>
        <v>0</v>
      </c>
      <c r="AK114" s="131" t="n">
        <f aca="false">SUMIF($F$7:$AG$7,AK$7,$F114:$AG114)</f>
        <v>0</v>
      </c>
      <c r="AL114" s="131" t="n">
        <f aca="false">SUMIF($F$7:$AG$7,AL$7,$F114:$AG114)</f>
        <v>0</v>
      </c>
      <c r="AM114" s="131" t="n">
        <f aca="false">SUMIF($F$7:$AG$7,AM$7,$F114:$AG114)</f>
        <v>0</v>
      </c>
      <c r="AN114" s="131" t="n">
        <f aca="false">SUMIF($F$7:$AG$7,AN$7,$F114:$AG114)</f>
        <v>0</v>
      </c>
      <c r="AO114" s="131" t="n">
        <f aca="false">SUMIF($F$7:$AG$7,AO$7,$F114:$AG114)</f>
        <v>0</v>
      </c>
    </row>
    <row r="115" customFormat="false" ht="15" hidden="false" customHeight="false" outlineLevel="0" collapsed="false">
      <c r="A115" s="112" t="s">
        <v>2155</v>
      </c>
      <c r="B115" s="24" t="s">
        <v>745</v>
      </c>
      <c r="C115" s="24"/>
      <c r="D115" s="24"/>
      <c r="F115" s="130" t="n">
        <f aca="false">(1-$I$28)*(1-$J$28)*$D$28*$E$28/4*MIN(1,MAX(0,(F$5-$H$28+1)/$T$28))*IF(F$5=$H$28,$U$28,IF(AND(F$5&gt;$H$28,F$5&lt;$H$28+$F$28),1,IF(F$5=$H$28+$F$28,1-$U$28,0)))</f>
        <v>0</v>
      </c>
      <c r="G115" s="130" t="n">
        <f aca="false">(1-$I$28)*(1-$J$28)*$D$28*$E$28/4*MIN(1,MAX(0,(G$5-$H$28+1)/$T$28))*IF(G$5=$H$28,$U$28,IF(AND(G$5&gt;$H$28,G$5&lt;$H$28+$F$28),1,IF(G$5=$H$28+$F$28,1-$U$28,0)))</f>
        <v>0</v>
      </c>
      <c r="H115" s="130" t="n">
        <f aca="false">(1-$I$28)*(1-$J$28)*$D$28*$E$28/4*MIN(1,MAX(0,(H$5-$H$28+1)/$T$28))*IF(H$5=$H$28,$U$28,IF(AND(H$5&gt;$H$28,H$5&lt;$H$28+$F$28),1,IF(H$5=$H$28+$F$28,1-$U$28,0)))</f>
        <v>0</v>
      </c>
      <c r="I115" s="130" t="n">
        <f aca="false">(1-$I$28)*(1-$J$28)*$D$28*$E$28/4*MIN(1,MAX(0,(I$5-$H$28+1)/$T$28))*IF(I$5=$H$28,$U$28,IF(AND(I$5&gt;$H$28,I$5&lt;$H$28+$F$28),1,IF(I$5=$H$28+$F$28,1-$U$28,0)))</f>
        <v>0</v>
      </c>
      <c r="J115" s="130" t="n">
        <f aca="false">(1-$I$28)*(1-$J$28)*$D$28*$E$28/4*MIN(1,MAX(0,(J$5-$H$28+1)/$T$28))*IF(J$5=$H$28,$U$28,IF(AND(J$5&gt;$H$28,J$5&lt;$H$28+$F$28),1,IF(J$5=$H$28+$F$28,1-$U$28,0)))</f>
        <v>0</v>
      </c>
      <c r="K115" s="130" t="n">
        <f aca="false">(1-$I$28)*(1-$J$28)*$D$28*$E$28/4*MIN(1,MAX(0,(K$5-$H$28+1)/$T$28))*IF(K$5=$H$28,$U$28,IF(AND(K$5&gt;$H$28,K$5&lt;$H$28+$F$28),1,IF(K$5=$H$28+$F$28,1-$U$28,0)))</f>
        <v>0</v>
      </c>
      <c r="L115" s="130" t="n">
        <f aca="false">(1-$I$28)*(1-$J$28)*$D$28*$E$28/4*MIN(1,MAX(0,(L$5-$H$28+1)/$T$28))*IF(L$5=$H$28,$U$28,IF(AND(L$5&gt;$H$28,L$5&lt;$H$28+$F$28),1,IF(L$5=$H$28+$F$28,1-$U$28,0)))</f>
        <v>0</v>
      </c>
      <c r="M115" s="130" t="n">
        <f aca="false">(1-$I$28)*(1-$J$28)*$D$28*$E$28/4*MIN(1,MAX(0,(M$5-$H$28+1)/$T$28))*IF(M$5=$H$28,$U$28,IF(AND(M$5&gt;$H$28,M$5&lt;$H$28+$F$28),1,IF(M$5=$H$28+$F$28,1-$U$28,0)))</f>
        <v>0</v>
      </c>
      <c r="N115" s="130" t="n">
        <f aca="false">(1-$I$28)*(1-$J$28)*$D$28*$E$28/4*MIN(1,MAX(0,(N$5-$H$28+1)/$T$28))*IF(N$5=$H$28,$U$28,IF(AND(N$5&gt;$H$28,N$5&lt;$H$28+$F$28),1,IF(N$5=$H$28+$F$28,1-$U$28,0)))</f>
        <v>0</v>
      </c>
      <c r="O115" s="130" t="n">
        <f aca="false">(1-$I$28)*(1-$J$28)*$D$28*$E$28/4*MIN(1,MAX(0,(O$5-$H$28+1)/$T$28))*IF(O$5=$H$28,$U$28,IF(AND(O$5&gt;$H$28,O$5&lt;$H$28+$F$28),1,IF(O$5=$H$28+$F$28,1-$U$28,0)))</f>
        <v>0</v>
      </c>
      <c r="P115" s="131" t="n">
        <f aca="false">(1-$I$28)*(1-$J$28)*$D$28*$E$28/4*MIN(1,MAX(0,(P$5-$H$28+1)/$T$28))*IF(P$5=$H$28,$U$28,IF(AND(P$5&gt;$H$28,P$5&lt;$H$28+$F$28),1,IF(P$5=$H$28+$F$28,1-$U$28,0)))</f>
        <v>0</v>
      </c>
      <c r="Q115" s="131" t="n">
        <f aca="false">(1-$I$28)*(1-$J$28)*$D$28*$E$28/4*MIN(1,MAX(0,(Q$5-$H$28+1)/$T$28))*IF(Q$5=$H$28,$U$28,IF(AND(Q$5&gt;$H$28,Q$5&lt;$H$28+$F$28),1,IF(Q$5=$H$28+$F$28,1-$U$28,0)))</f>
        <v>0</v>
      </c>
      <c r="R115" s="131" t="n">
        <f aca="false">(1-$I$28)*(1-$J$28)*$D$28*$E$28/4*MIN(1,MAX(0,(R$5-$H$28+1)/$T$28))*IF(R$5=$H$28,$U$28,IF(AND(R$5&gt;$H$28,R$5&lt;$H$28+$F$28),1,IF(R$5=$H$28+$F$28,1-$U$28,0)))</f>
        <v>0</v>
      </c>
      <c r="S115" s="131" t="n">
        <f aca="false">(1-$I$28)*(1-$J$28)*$D$28*$E$28/4*MIN(1,MAX(0,(S$5-$H$28+1)/$T$28))*IF(S$5=$H$28,$U$28,IF(AND(S$5&gt;$H$28,S$5&lt;$H$28+$F$28),1,IF(S$5=$H$28+$F$28,1-$U$28,0)))</f>
        <v>0</v>
      </c>
      <c r="T115" s="131" t="n">
        <f aca="false">(1-$I$28)*(1-$J$28)*$D$28*$E$28/4*MIN(1,MAX(0,(T$5-$H$28+1)/$T$28))*IF(T$5=$H$28,$U$28,IF(AND(T$5&gt;$H$28,T$5&lt;$H$28+$F$28),1,IF(T$5=$H$28+$F$28,1-$U$28,0)))</f>
        <v>0</v>
      </c>
      <c r="U115" s="131" t="n">
        <f aca="false">(1-$I$28)*(1-$J$28)*$D$28*$E$28/4*MIN(1,MAX(0,(U$5-$H$28+1)/$T$28))*IF(U$5=$H$28,$U$28,IF(AND(U$5&gt;$H$28,U$5&lt;$H$28+$F$28),1,IF(U$5=$H$28+$F$28,1-$U$28,0)))</f>
        <v>0</v>
      </c>
      <c r="V115" s="131" t="n">
        <f aca="false">(1-$I$28)*(1-$J$28)*$D$28*$E$28/4*MIN(1,MAX(0,(V$5-$H$28+1)/$T$28))*IF(V$5=$H$28,$U$28,IF(AND(V$5&gt;$H$28,V$5&lt;$H$28+$F$28),1,IF(V$5=$H$28+$F$28,1-$U$28,0)))</f>
        <v>0</v>
      </c>
      <c r="W115" s="131" t="n">
        <f aca="false">(1-$I$28)*(1-$J$28)*$D$28*$E$28/4*MIN(1,MAX(0,(W$5-$H$28+1)/$T$28))*IF(W$5=$H$28,$U$28,IF(AND(W$5&gt;$H$28,W$5&lt;$H$28+$F$28),1,IF(W$5=$H$28+$F$28,1-$U$28,0)))</f>
        <v>0</v>
      </c>
      <c r="X115" s="131" t="n">
        <f aca="false">(1-$I$28)*(1-$J$28)*$D$28*$E$28/4*MIN(1,MAX(0,(X$5-$H$28+1)/$T$28))*IF(X$5=$H$28,$U$28,IF(AND(X$5&gt;$H$28,X$5&lt;$H$28+$F$28),1,IF(X$5=$H$28+$F$28,1-$U$28,0)))</f>
        <v>0</v>
      </c>
      <c r="Y115" s="131" t="n">
        <f aca="false">(1-$I$28)*(1-$J$28)*$D$28*$E$28/4*MIN(1,MAX(0,(Y$5-$H$28+1)/$T$28))*IF(Y$5=$H$28,$U$28,IF(AND(Y$5&gt;$H$28,Y$5&lt;$H$28+$F$28),1,IF(Y$5=$H$28+$F$28,1-$U$28,0)))</f>
        <v>0</v>
      </c>
      <c r="Z115" s="131" t="n">
        <f aca="false">(1-$I$28)*(1-$J$28)*$D$28*$E$28/4*MIN(1,MAX(0,(Z$5-$H$28+1)/$T$28))*IF(Z$5=$H$28,$U$28,IF(AND(Z$5&gt;$H$28,Z$5&lt;$H$28+$F$28),1,IF(Z$5=$H$28+$F$28,1-$U$28,0)))</f>
        <v>0</v>
      </c>
      <c r="AA115" s="131" t="n">
        <f aca="false">(1-$I$28)*(1-$J$28)*$D$28*$E$28/4*MIN(1,MAX(0,(AA$5-$H$28+1)/$T$28))*IF(AA$5=$H$28,$U$28,IF(AND(AA$5&gt;$H$28,AA$5&lt;$H$28+$F$28),1,IF(AA$5=$H$28+$F$28,1-$U$28,0)))</f>
        <v>0</v>
      </c>
      <c r="AB115" s="131" t="n">
        <f aca="false">(1-$I$28)*(1-$J$28)*$D$28*$E$28/4*MIN(1,MAX(0,(AB$5-$H$28+1)/$T$28))*IF(AB$5=$H$28,$U$28,IF(AND(AB$5&gt;$H$28,AB$5&lt;$H$28+$F$28),1,IF(AB$5=$H$28+$F$28,1-$U$28,0)))</f>
        <v>0</v>
      </c>
      <c r="AC115" s="131" t="n">
        <f aca="false">(1-$I$28)*(1-$J$28)*$D$28*$E$28/4*MIN(1,MAX(0,(AC$5-$H$28+1)/$T$28))*IF(AC$5=$H$28,$U$28,IF(AND(AC$5&gt;$H$28,AC$5&lt;$H$28+$F$28),1,IF(AC$5=$H$28+$F$28,1-$U$28,0)))</f>
        <v>0</v>
      </c>
      <c r="AD115" s="131" t="n">
        <f aca="false">(1-$I$28)*(1-$J$28)*$D$28*$E$28/4*MIN(1,MAX(0,(AD$5-$H$28+1)/$T$28))*IF(AD$5=$H$28,$U$28,IF(AND(AD$5&gt;$H$28,AD$5&lt;$H$28+$F$28),1,IF(AD$5=$H$28+$F$28,1-$U$28,0)))</f>
        <v>0</v>
      </c>
      <c r="AE115" s="131" t="n">
        <f aca="false">(1-$I$28)*(1-$J$28)*$D$28*$E$28/4*MIN(1,MAX(0,(AE$5-$H$28+1)/$T$28))*IF(AE$5=$H$28,$U$28,IF(AND(AE$5&gt;$H$28,AE$5&lt;$H$28+$F$28),1,IF(AE$5=$H$28+$F$28,1-$U$28,0)))</f>
        <v>0</v>
      </c>
      <c r="AF115" s="131" t="n">
        <f aca="false">(1-$I$28)*(1-$J$28)*$D$28*$E$28/4*MIN(1,MAX(0,(AF$5-$H$28+1)/$T$28))*IF(AF$5=$H$28,$U$28,IF(AND(AF$5&gt;$H$28,AF$5&lt;$H$28+$F$28),1,IF(AF$5=$H$28+$F$28,1-$U$28,0)))</f>
        <v>0</v>
      </c>
      <c r="AG115" s="131" t="n">
        <f aca="false">(1-$I$28)*(1-$J$28)*$D$28*$E$28/4*MIN(1,MAX(0,(AG$5-$H$28+1)/$T$28))*IF(AG$5=$H$28,$U$28,IF(AND(AG$5&gt;$H$28,AG$5&lt;$H$28+$F$28),1,IF(AG$5=$H$28+$F$28,1-$U$28,0)))</f>
        <v>0</v>
      </c>
      <c r="AI115" s="131" t="n">
        <f aca="false">SUMIF($F$7:$AG$7,AI$7,$F115:$AG115)</f>
        <v>0</v>
      </c>
      <c r="AJ115" s="131" t="n">
        <f aca="false">SUMIF($F$7:$AG$7,AJ$7,$F115:$AG115)</f>
        <v>0</v>
      </c>
      <c r="AK115" s="131" t="n">
        <f aca="false">SUMIF($F$7:$AG$7,AK$7,$F115:$AG115)</f>
        <v>0</v>
      </c>
      <c r="AL115" s="131" t="n">
        <f aca="false">SUMIF($F$7:$AG$7,AL$7,$F115:$AG115)</f>
        <v>0</v>
      </c>
      <c r="AM115" s="131" t="n">
        <f aca="false">SUMIF($F$7:$AG$7,AM$7,$F115:$AG115)</f>
        <v>0</v>
      </c>
      <c r="AN115" s="131" t="n">
        <f aca="false">SUMIF($F$7:$AG$7,AN$7,$F115:$AG115)</f>
        <v>0</v>
      </c>
      <c r="AO115" s="131" t="n">
        <f aca="false">SUMIF($F$7:$AG$7,AO$7,$F115:$AG115)</f>
        <v>0</v>
      </c>
    </row>
    <row r="116" customFormat="false" ht="15" hidden="false" customHeight="false" outlineLevel="0" collapsed="false">
      <c r="A116" s="112" t="s">
        <v>2156</v>
      </c>
      <c r="B116" s="24" t="s">
        <v>857</v>
      </c>
      <c r="C116" s="24"/>
      <c r="D116" s="24"/>
      <c r="F116" s="121" t="n">
        <f aca="false">(1-$I$28)*(1-$J$28)*$D$28*AND(F$5&gt;=$H$28,F$5&lt;$H$28+$F$28)</f>
        <v>0</v>
      </c>
      <c r="G116" s="121" t="n">
        <f aca="false">(1-$I$28)*(1-$J$28)*$D$28*AND(G$5&gt;=$H$28,G$5&lt;$H$28+$F$28)</f>
        <v>0</v>
      </c>
      <c r="H116" s="121" t="n">
        <f aca="false">(1-$I$28)*(1-$J$28)*$D$28*AND(H$5&gt;=$H$28,H$5&lt;$H$28+$F$28)</f>
        <v>0</v>
      </c>
      <c r="I116" s="121" t="n">
        <f aca="false">(1-$I$28)*(1-$J$28)*$D$28*AND(I$5&gt;=$H$28,I$5&lt;$H$28+$F$28)</f>
        <v>0</v>
      </c>
      <c r="J116" s="121" t="n">
        <f aca="false">(1-$I$28)*(1-$J$28)*$D$28*AND(J$5&gt;=$H$28,J$5&lt;$H$28+$F$28)</f>
        <v>0</v>
      </c>
      <c r="K116" s="121" t="n">
        <f aca="false">(1-$I$28)*(1-$J$28)*$D$28*AND(K$5&gt;=$H$28,K$5&lt;$H$28+$F$28)</f>
        <v>0</v>
      </c>
      <c r="L116" s="121" t="n">
        <f aca="false">(1-$I$28)*(1-$J$28)*$D$28*AND(L$5&gt;=$H$28,L$5&lt;$H$28+$F$28)</f>
        <v>0</v>
      </c>
      <c r="M116" s="121" t="n">
        <f aca="false">(1-$I$28)*(1-$J$28)*$D$28*AND(M$5&gt;=$H$28,M$5&lt;$H$28+$F$28)</f>
        <v>0</v>
      </c>
      <c r="N116" s="121" t="n">
        <f aca="false">(1-$I$28)*(1-$J$28)*$D$28*AND(N$5&gt;=$H$28,N$5&lt;$H$28+$F$28)</f>
        <v>0</v>
      </c>
      <c r="O116" s="121" t="n">
        <f aca="false">(1-$I$28)*(1-$J$28)*$D$28*AND(O$5&gt;=$H$28,O$5&lt;$H$28+$F$28)</f>
        <v>0</v>
      </c>
      <c r="P116" s="39" t="n">
        <f aca="false">(1-$I$28)*(1-$J$28)*$D$28*AND(P$5&gt;=$H$28,P$5&lt;$H$28+$F$28)</f>
        <v>0</v>
      </c>
      <c r="Q116" s="39" t="n">
        <f aca="false">(1-$I$28)*(1-$J$28)*$D$28*AND(Q$5&gt;=$H$28,Q$5&lt;$H$28+$F$28)</f>
        <v>0</v>
      </c>
      <c r="R116" s="39" t="n">
        <f aca="false">(1-$I$28)*(1-$J$28)*$D$28*AND(R$5&gt;=$H$28,R$5&lt;$H$28+$F$28)</f>
        <v>0</v>
      </c>
      <c r="S116" s="39" t="n">
        <f aca="false">(1-$I$28)*(1-$J$28)*$D$28*AND(S$5&gt;=$H$28,S$5&lt;$H$28+$F$28)</f>
        <v>0</v>
      </c>
      <c r="T116" s="39" t="n">
        <f aca="false">(1-$I$28)*(1-$J$28)*$D$28*AND(T$5&gt;=$H$28,T$5&lt;$H$28+$F$28)</f>
        <v>0</v>
      </c>
      <c r="U116" s="39" t="n">
        <f aca="false">(1-$I$28)*(1-$J$28)*$D$28*AND(U$5&gt;=$H$28,U$5&lt;$H$28+$F$28)</f>
        <v>0</v>
      </c>
      <c r="V116" s="39" t="n">
        <f aca="false">(1-$I$28)*(1-$J$28)*$D$28*AND(V$5&gt;=$H$28,V$5&lt;$H$28+$F$28)</f>
        <v>0</v>
      </c>
      <c r="W116" s="39" t="n">
        <f aca="false">(1-$I$28)*(1-$J$28)*$D$28*AND(W$5&gt;=$H$28,W$5&lt;$H$28+$F$28)</f>
        <v>0</v>
      </c>
      <c r="X116" s="39" t="n">
        <f aca="false">(1-$I$28)*(1-$J$28)*$D$28*AND(X$5&gt;=$H$28,X$5&lt;$H$28+$F$28)</f>
        <v>0</v>
      </c>
      <c r="Y116" s="39" t="n">
        <f aca="false">(1-$I$28)*(1-$J$28)*$D$28*AND(Y$5&gt;=$H$28,Y$5&lt;$H$28+$F$28)</f>
        <v>0</v>
      </c>
      <c r="Z116" s="39" t="n">
        <f aca="false">(1-$I$28)*(1-$J$28)*$D$28*AND(Z$5&gt;=$H$28,Z$5&lt;$H$28+$F$28)</f>
        <v>0</v>
      </c>
      <c r="AA116" s="39" t="n">
        <f aca="false">(1-$I$28)*(1-$J$28)*$D$28*AND(AA$5&gt;=$H$28,AA$5&lt;$H$28+$F$28)</f>
        <v>0</v>
      </c>
      <c r="AB116" s="39" t="n">
        <f aca="false">(1-$I$28)*(1-$J$28)*$D$28*AND(AB$5&gt;=$H$28,AB$5&lt;$H$28+$F$28)</f>
        <v>0</v>
      </c>
      <c r="AC116" s="39" t="n">
        <f aca="false">(1-$I$28)*(1-$J$28)*$D$28*AND(AC$5&gt;=$H$28,AC$5&lt;$H$28+$F$28)</f>
        <v>0</v>
      </c>
      <c r="AD116" s="39" t="n">
        <f aca="false">(1-$I$28)*(1-$J$28)*$D$28*AND(AD$5&gt;=$H$28,AD$5&lt;$H$28+$F$28)</f>
        <v>0</v>
      </c>
      <c r="AE116" s="39" t="n">
        <f aca="false">(1-$I$28)*(1-$J$28)*$D$28*AND(AE$5&gt;=$H$28,AE$5&lt;$H$28+$F$28)</f>
        <v>0</v>
      </c>
      <c r="AF116" s="39" t="n">
        <f aca="false">(1-$I$28)*(1-$J$28)*$D$28*AND(AF$5&gt;=$H$28,AF$5&lt;$H$28+$F$28)</f>
        <v>0</v>
      </c>
      <c r="AG116" s="39" t="n">
        <f aca="false">(1-$I$28)*(1-$J$28)*$D$28*AND(AG$5&gt;=$H$28,AG$5&lt;$H$28+$F$28)</f>
        <v>0</v>
      </c>
      <c r="AI116" s="39" t="n">
        <f aca="false">INDEX($F116:$AG116,1,MATCH(AI$7,$F$7:$AG$7,1))</f>
        <v>0</v>
      </c>
      <c r="AJ116" s="39" t="n">
        <f aca="false">INDEX($F116:$AG116,1,MATCH(AJ$7,$F$7:$AG$7,1))</f>
        <v>0</v>
      </c>
      <c r="AK116" s="39" t="n">
        <f aca="false">INDEX($F116:$AG116,1,MATCH(AK$7,$F$7:$AG$7,1))</f>
        <v>0</v>
      </c>
      <c r="AL116" s="39" t="n">
        <f aca="false">INDEX($F116:$AG116,1,MATCH(AL$7,$F$7:$AG$7,1))</f>
        <v>0</v>
      </c>
      <c r="AM116" s="39" t="n">
        <f aca="false">INDEX($F116:$AG116,1,MATCH(AM$7,$F$7:$AG$7,1))</f>
        <v>0</v>
      </c>
      <c r="AN116" s="39" t="n">
        <f aca="false">INDEX($F116:$AG116,1,MATCH(AN$7,$F$7:$AG$7,1))</f>
        <v>0</v>
      </c>
      <c r="AO116" s="39" t="n">
        <f aca="false">INDEX($F116:$AG116,1,MATCH(AO$7,$F$7:$AG$7,1))</f>
        <v>0</v>
      </c>
    </row>
    <row r="117" customFormat="false" ht="15" hidden="false" customHeight="false" outlineLevel="0" collapsed="false">
      <c r="A117" s="112" t="s">
        <v>2157</v>
      </c>
      <c r="B117" s="24" t="s">
        <v>745</v>
      </c>
      <c r="C117" s="24"/>
      <c r="D117" s="24"/>
      <c r="F117" s="130" t="n">
        <f aca="false">-(1-$I$28)*LD_Pct*$D$28*$E$28/4*AND(F$5&gt;=$G$28,F$5&lt;$H$28)</f>
        <v>-0</v>
      </c>
      <c r="G117" s="130" t="n">
        <f aca="false">-(1-$I$28)*LD_Pct*$D$28*$E$28/4*AND(G$5&gt;=$G$28,G$5&lt;$H$28)</f>
        <v>-0</v>
      </c>
      <c r="H117" s="130" t="n">
        <f aca="false">-(1-$I$28)*LD_Pct*$D$28*$E$28/4*AND(H$5&gt;=$G$28,H$5&lt;$H$28)</f>
        <v>-0</v>
      </c>
      <c r="I117" s="130" t="n">
        <f aca="false">-(1-$I$28)*LD_Pct*$D$28*$E$28/4*AND(I$5&gt;=$G$28,I$5&lt;$H$28)</f>
        <v>-0</v>
      </c>
      <c r="J117" s="130" t="n">
        <f aca="false">-(1-$I$28)*LD_Pct*$D$28*$E$28/4*AND(J$5&gt;=$G$28,J$5&lt;$H$28)</f>
        <v>-0</v>
      </c>
      <c r="K117" s="130" t="n">
        <f aca="false">-(1-$I$28)*LD_Pct*$D$28*$E$28/4*AND(K$5&gt;=$G$28,K$5&lt;$H$28)</f>
        <v>-0</v>
      </c>
      <c r="L117" s="130" t="n">
        <f aca="false">-(1-$I$28)*LD_Pct*$D$28*$E$28/4*AND(L$5&gt;=$G$28,L$5&lt;$H$28)</f>
        <v>-0</v>
      </c>
      <c r="M117" s="130" t="n">
        <f aca="false">-(1-$I$28)*LD_Pct*$D$28*$E$28/4*AND(M$5&gt;=$G$28,M$5&lt;$H$28)</f>
        <v>-0</v>
      </c>
      <c r="N117" s="130" t="n">
        <f aca="false">-(1-$I$28)*LD_Pct*$D$28*$E$28/4*AND(N$5&gt;=$G$28,N$5&lt;$H$28)</f>
        <v>-0</v>
      </c>
      <c r="O117" s="130" t="n">
        <f aca="false">-(1-$I$28)*LD_Pct*$D$28*$E$28/4*AND(O$5&gt;=$G$28,O$5&lt;$H$28)</f>
        <v>-0</v>
      </c>
      <c r="P117" s="131" t="n">
        <f aca="false">-(1-$I$28)*LD_Pct*$D$28*$E$28/4*AND(P$5&gt;=$G$28,P$5&lt;$H$28)</f>
        <v>-0</v>
      </c>
      <c r="Q117" s="131" t="n">
        <f aca="false">-(1-$I$28)*LD_Pct*$D$28*$E$28/4*AND(Q$5&gt;=$G$28,Q$5&lt;$H$28)</f>
        <v>-0</v>
      </c>
      <c r="R117" s="131" t="n">
        <f aca="false">-(1-$I$28)*LD_Pct*$D$28*$E$28/4*AND(R$5&gt;=$G$28,R$5&lt;$H$28)</f>
        <v>-0</v>
      </c>
      <c r="S117" s="131" t="n">
        <f aca="false">-(1-$I$28)*LD_Pct*$D$28*$E$28/4*AND(S$5&gt;=$G$28,S$5&lt;$H$28)</f>
        <v>-0</v>
      </c>
      <c r="T117" s="131" t="n">
        <f aca="false">-(1-$I$28)*LD_Pct*$D$28*$E$28/4*AND(T$5&gt;=$G$28,T$5&lt;$H$28)</f>
        <v>-0</v>
      </c>
      <c r="U117" s="131" t="n">
        <f aca="false">-(1-$I$28)*LD_Pct*$D$28*$E$28/4*AND(U$5&gt;=$G$28,U$5&lt;$H$28)</f>
        <v>-0</v>
      </c>
      <c r="V117" s="131" t="n">
        <f aca="false">-(1-$I$28)*LD_Pct*$D$28*$E$28/4*AND(V$5&gt;=$G$28,V$5&lt;$H$28)</f>
        <v>-0</v>
      </c>
      <c r="W117" s="131" t="n">
        <f aca="false">-(1-$I$28)*LD_Pct*$D$28*$E$28/4*AND(W$5&gt;=$G$28,W$5&lt;$H$28)</f>
        <v>-0</v>
      </c>
      <c r="X117" s="131" t="n">
        <f aca="false">-(1-$I$28)*LD_Pct*$D$28*$E$28/4*AND(X$5&gt;=$G$28,X$5&lt;$H$28)</f>
        <v>-0</v>
      </c>
      <c r="Y117" s="131" t="n">
        <f aca="false">-(1-$I$28)*LD_Pct*$D$28*$E$28/4*AND(Y$5&gt;=$G$28,Y$5&lt;$H$28)</f>
        <v>-0</v>
      </c>
      <c r="Z117" s="131" t="n">
        <f aca="false">-(1-$I$28)*LD_Pct*$D$28*$E$28/4*AND(Z$5&gt;=$G$28,Z$5&lt;$H$28)</f>
        <v>-0</v>
      </c>
      <c r="AA117" s="131" t="n">
        <f aca="false">-(1-$I$28)*LD_Pct*$D$28*$E$28/4*AND(AA$5&gt;=$G$28,AA$5&lt;$H$28)</f>
        <v>-0</v>
      </c>
      <c r="AB117" s="131" t="n">
        <f aca="false">-(1-$I$28)*LD_Pct*$D$28*$E$28/4*AND(AB$5&gt;=$G$28,AB$5&lt;$H$28)</f>
        <v>-0</v>
      </c>
      <c r="AC117" s="131" t="n">
        <f aca="false">-(1-$I$28)*LD_Pct*$D$28*$E$28/4*AND(AC$5&gt;=$G$28,AC$5&lt;$H$28)</f>
        <v>-0</v>
      </c>
      <c r="AD117" s="131" t="n">
        <f aca="false">-(1-$I$28)*LD_Pct*$D$28*$E$28/4*AND(AD$5&gt;=$G$28,AD$5&lt;$H$28)</f>
        <v>-0</v>
      </c>
      <c r="AE117" s="131" t="n">
        <f aca="false">-(1-$I$28)*LD_Pct*$D$28*$E$28/4*AND(AE$5&gt;=$G$28,AE$5&lt;$H$28)</f>
        <v>-0</v>
      </c>
      <c r="AF117" s="131" t="n">
        <f aca="false">-(1-$I$28)*LD_Pct*$D$28*$E$28/4*AND(AF$5&gt;=$G$28,AF$5&lt;$H$28)</f>
        <v>-0</v>
      </c>
      <c r="AG117" s="131" t="n">
        <f aca="false">-(1-$I$28)*LD_Pct*$D$28*$E$28/4*AND(AG$5&gt;=$G$28,AG$5&lt;$H$28)</f>
        <v>-0</v>
      </c>
      <c r="AI117" s="131" t="n">
        <f aca="false">SUMIF($F$7:$AG$7,AI$7,$F117:$AG117)</f>
        <v>0</v>
      </c>
      <c r="AJ117" s="131" t="n">
        <f aca="false">SUMIF($F$7:$AG$7,AJ$7,$F117:$AG117)</f>
        <v>0</v>
      </c>
      <c r="AK117" s="131" t="n">
        <f aca="false">SUMIF($F$7:$AG$7,AK$7,$F117:$AG117)</f>
        <v>0</v>
      </c>
      <c r="AL117" s="131" t="n">
        <f aca="false">SUMIF($F$7:$AG$7,AL$7,$F117:$AG117)</f>
        <v>0</v>
      </c>
      <c r="AM117" s="131" t="n">
        <f aca="false">SUMIF($F$7:$AG$7,AM$7,$F117:$AG117)</f>
        <v>0</v>
      </c>
      <c r="AN117" s="131" t="n">
        <f aca="false">SUMIF($F$7:$AG$7,AN$7,$F117:$AG117)</f>
        <v>0</v>
      </c>
      <c r="AO117" s="131" t="n">
        <f aca="false">SUMIF($F$7:$AG$7,AO$7,$F117:$AG117)</f>
        <v>0</v>
      </c>
    </row>
    <row r="118" customFormat="false" ht="15" hidden="false" customHeight="false" outlineLevel="0" collapsed="false">
      <c r="A118" s="112" t="s">
        <v>2158</v>
      </c>
      <c r="B118" s="24" t="s">
        <v>857</v>
      </c>
      <c r="C118" s="24"/>
      <c r="D118" s="24"/>
      <c r="F118" s="121" t="n">
        <f aca="false">(1-$I$28)*(1-$J$28)*$D$28*(F$5&gt;=$H$28+$F$28)</f>
        <v>0</v>
      </c>
      <c r="G118" s="121" t="n">
        <f aca="false">(1-$I$28)*(1-$J$28)*$D$28*(G$5&gt;=$H$28+$F$28)</f>
        <v>0</v>
      </c>
      <c r="H118" s="121" t="n">
        <f aca="false">(1-$I$28)*(1-$J$28)*$D$28*(H$5&gt;=$H$28+$F$28)</f>
        <v>0</v>
      </c>
      <c r="I118" s="121" t="n">
        <f aca="false">(1-$I$28)*(1-$J$28)*$D$28*(I$5&gt;=$H$28+$F$28)</f>
        <v>0</v>
      </c>
      <c r="J118" s="121" t="n">
        <f aca="false">(1-$I$28)*(1-$J$28)*$D$28*(J$5&gt;=$H$28+$F$28)</f>
        <v>0</v>
      </c>
      <c r="K118" s="121" t="n">
        <f aca="false">(1-$I$28)*(1-$J$28)*$D$28*(K$5&gt;=$H$28+$F$28)</f>
        <v>0</v>
      </c>
      <c r="L118" s="121" t="n">
        <f aca="false">(1-$I$28)*(1-$J$28)*$D$28*(L$5&gt;=$H$28+$F$28)</f>
        <v>0</v>
      </c>
      <c r="M118" s="121" t="n">
        <f aca="false">(1-$I$28)*(1-$J$28)*$D$28*(M$5&gt;=$H$28+$F$28)</f>
        <v>0</v>
      </c>
      <c r="N118" s="121" t="n">
        <f aca="false">(1-$I$28)*(1-$J$28)*$D$28*(N$5&gt;=$H$28+$F$28)</f>
        <v>0</v>
      </c>
      <c r="O118" s="121" t="n">
        <f aca="false">(1-$I$28)*(1-$J$28)*$D$28*(O$5&gt;=$H$28+$F$28)</f>
        <v>0</v>
      </c>
      <c r="P118" s="39" t="n">
        <f aca="false">(1-$I$28)*(1-$J$28)*$D$28*(P$5&gt;=$H$28+$F$28)</f>
        <v>0</v>
      </c>
      <c r="Q118" s="39" t="n">
        <f aca="false">(1-$I$28)*(1-$J$28)*$D$28*(Q$5&gt;=$H$28+$F$28)</f>
        <v>0</v>
      </c>
      <c r="R118" s="39" t="n">
        <f aca="false">(1-$I$28)*(1-$J$28)*$D$28*(R$5&gt;=$H$28+$F$28)</f>
        <v>0</v>
      </c>
      <c r="S118" s="39" t="n">
        <f aca="false">(1-$I$28)*(1-$J$28)*$D$28*(S$5&gt;=$H$28+$F$28)</f>
        <v>0</v>
      </c>
      <c r="T118" s="39" t="n">
        <f aca="false">(1-$I$28)*(1-$J$28)*$D$28*(T$5&gt;=$H$28+$F$28)</f>
        <v>0</v>
      </c>
      <c r="U118" s="39" t="n">
        <f aca="false">(1-$I$28)*(1-$J$28)*$D$28*(U$5&gt;=$H$28+$F$28)</f>
        <v>0</v>
      </c>
      <c r="V118" s="39" t="n">
        <f aca="false">(1-$I$28)*(1-$J$28)*$D$28*(V$5&gt;=$H$28+$F$28)</f>
        <v>0</v>
      </c>
      <c r="W118" s="39" t="n">
        <f aca="false">(1-$I$28)*(1-$J$28)*$D$28*(W$5&gt;=$H$28+$F$28)</f>
        <v>0</v>
      </c>
      <c r="X118" s="39" t="n">
        <f aca="false">(1-$I$28)*(1-$J$28)*$D$28*(X$5&gt;=$H$28+$F$28)</f>
        <v>0</v>
      </c>
      <c r="Y118" s="39" t="n">
        <f aca="false">(1-$I$28)*(1-$J$28)*$D$28*(Y$5&gt;=$H$28+$F$28)</f>
        <v>0</v>
      </c>
      <c r="Z118" s="39" t="n">
        <f aca="false">(1-$I$28)*(1-$J$28)*$D$28*(Z$5&gt;=$H$28+$F$28)</f>
        <v>0</v>
      </c>
      <c r="AA118" s="39" t="n">
        <f aca="false">(1-$I$28)*(1-$J$28)*$D$28*(AA$5&gt;=$H$28+$F$28)</f>
        <v>0</v>
      </c>
      <c r="AB118" s="39" t="n">
        <f aca="false">(1-$I$28)*(1-$J$28)*$D$28*(AB$5&gt;=$H$28+$F$28)</f>
        <v>0</v>
      </c>
      <c r="AC118" s="39" t="n">
        <f aca="false">(1-$I$28)*(1-$J$28)*$D$28*(AC$5&gt;=$H$28+$F$28)</f>
        <v>0</v>
      </c>
      <c r="AD118" s="39" t="n">
        <f aca="false">(1-$I$28)*(1-$J$28)*$D$28*(AD$5&gt;=$H$28+$F$28)</f>
        <v>0</v>
      </c>
      <c r="AE118" s="39" t="n">
        <f aca="false">(1-$I$28)*(1-$J$28)*$D$28*(AE$5&gt;=$H$28+$F$28)</f>
        <v>0</v>
      </c>
      <c r="AF118" s="39" t="n">
        <f aca="false">(1-$I$28)*(1-$J$28)*$D$28*(AF$5&gt;=$H$28+$F$28)</f>
        <v>0</v>
      </c>
      <c r="AG118" s="39" t="n">
        <f aca="false">(1-$I$28)*(1-$J$28)*$D$28*(AG$5&gt;=$H$28+$F$28)</f>
        <v>0</v>
      </c>
      <c r="AI118" s="39" t="n">
        <f aca="false">INDEX($F118:$AG118,1,MATCH(AI$7,$F$7:$AG$7,1))</f>
        <v>0</v>
      </c>
      <c r="AJ118" s="39" t="n">
        <f aca="false">INDEX($F118:$AG118,1,MATCH(AJ$7,$F$7:$AG$7,1))</f>
        <v>0</v>
      </c>
      <c r="AK118" s="39" t="n">
        <f aca="false">INDEX($F118:$AG118,1,MATCH(AK$7,$F$7:$AG$7,1))</f>
        <v>0</v>
      </c>
      <c r="AL118" s="39" t="n">
        <f aca="false">INDEX($F118:$AG118,1,MATCH(AL$7,$F$7:$AG$7,1))</f>
        <v>0</v>
      </c>
      <c r="AM118" s="39" t="n">
        <f aca="false">INDEX($F118:$AG118,1,MATCH(AM$7,$F$7:$AG$7,1))</f>
        <v>0</v>
      </c>
      <c r="AN118" s="39" t="n">
        <f aca="false">INDEX($F118:$AG118,1,MATCH(AN$7,$F$7:$AG$7,1))</f>
        <v>0</v>
      </c>
      <c r="AO118" s="39" t="n">
        <f aca="false">INDEX($F118:$AG118,1,MATCH(AO$7,$F$7:$AG$7,1))</f>
        <v>0</v>
      </c>
    </row>
    <row r="119" customFormat="false" ht="15" hidden="false" customHeight="false" outlineLevel="0" collapsed="false">
      <c r="A119" s="112" t="s">
        <v>2159</v>
      </c>
      <c r="B119" s="24" t="s">
        <v>745</v>
      </c>
      <c r="C119" s="24"/>
      <c r="D119" s="24" t="s">
        <v>2079</v>
      </c>
      <c r="F119" s="130" t="n">
        <f aca="false">F118*CHOOSE(MATCH($C$28,{"H";"B";"N"},0),GPUMW_H*ODc_H,GPUMW_B*ODc_B,GPUMW_N*ODc_N)*ResidUtil*Timeline!F$9*INDEX(Curve,1,MAX(1,MIN(8,INT((F$5-$H$28)/4)+1)))/1000000</f>
        <v>0</v>
      </c>
      <c r="G119" s="130" t="n">
        <f aca="false">G118*CHOOSE(MATCH($C$28,{"H";"B";"N"},0),GPUMW_H*ODc_H,GPUMW_B*ODc_B,GPUMW_N*ODc_N)*ResidUtil*Timeline!G$9*INDEX(Curve,1,MAX(1,MIN(8,INT((G$5-$H$28)/4)+1)))/1000000</f>
        <v>0</v>
      </c>
      <c r="H119" s="130" t="n">
        <f aca="false">H118*CHOOSE(MATCH($C$28,{"H";"B";"N"},0),GPUMW_H*ODc_H,GPUMW_B*ODc_B,GPUMW_N*ODc_N)*ResidUtil*Timeline!H$9*INDEX(Curve,1,MAX(1,MIN(8,INT((H$5-$H$28)/4)+1)))/1000000</f>
        <v>0</v>
      </c>
      <c r="I119" s="130" t="n">
        <f aca="false">I118*CHOOSE(MATCH($C$28,{"H";"B";"N"},0),GPUMW_H*ODc_H,GPUMW_B*ODc_B,GPUMW_N*ODc_N)*ResidUtil*Timeline!I$9*INDEX(Curve,1,MAX(1,MIN(8,INT((I$5-$H$28)/4)+1)))/1000000</f>
        <v>0</v>
      </c>
      <c r="J119" s="130" t="n">
        <f aca="false">J118*CHOOSE(MATCH($C$28,{"H";"B";"N"},0),GPUMW_H*ODc_H,GPUMW_B*ODc_B,GPUMW_N*ODc_N)*ResidUtil*Timeline!J$9*INDEX(Curve,1,MAX(1,MIN(8,INT((J$5-$H$28)/4)+1)))/1000000</f>
        <v>0</v>
      </c>
      <c r="K119" s="130" t="n">
        <f aca="false">K118*CHOOSE(MATCH($C$28,{"H";"B";"N"},0),GPUMW_H*ODc_H,GPUMW_B*ODc_B,GPUMW_N*ODc_N)*ResidUtil*Timeline!K$9*INDEX(Curve,1,MAX(1,MIN(8,INT((K$5-$H$28)/4)+1)))/1000000</f>
        <v>0</v>
      </c>
      <c r="L119" s="130" t="n">
        <f aca="false">L118*CHOOSE(MATCH($C$28,{"H";"B";"N"},0),GPUMW_H*ODc_H,GPUMW_B*ODc_B,GPUMW_N*ODc_N)*ResidUtil*Timeline!L$9*INDEX(Curve,1,MAX(1,MIN(8,INT((L$5-$H$28)/4)+1)))/1000000</f>
        <v>0</v>
      </c>
      <c r="M119" s="130" t="n">
        <f aca="false">M118*CHOOSE(MATCH($C$28,{"H";"B";"N"},0),GPUMW_H*ODc_H,GPUMW_B*ODc_B,GPUMW_N*ODc_N)*ResidUtil*Timeline!M$9*INDEX(Curve,1,MAX(1,MIN(8,INT((M$5-$H$28)/4)+1)))/1000000</f>
        <v>0</v>
      </c>
      <c r="N119" s="130" t="n">
        <f aca="false">N118*CHOOSE(MATCH($C$28,{"H";"B";"N"},0),GPUMW_H*ODc_H,GPUMW_B*ODc_B,GPUMW_N*ODc_N)*ResidUtil*Timeline!N$9*INDEX(Curve,1,MAX(1,MIN(8,INT((N$5-$H$28)/4)+1)))/1000000</f>
        <v>0</v>
      </c>
      <c r="O119" s="130" t="n">
        <f aca="false">O118*CHOOSE(MATCH($C$28,{"H";"B";"N"},0),GPUMW_H*ODc_H,GPUMW_B*ODc_B,GPUMW_N*ODc_N)*ResidUtil*Timeline!O$9*INDEX(Curve,1,MAX(1,MIN(8,INT((O$5-$H$28)/4)+1)))/1000000</f>
        <v>0</v>
      </c>
      <c r="P119" s="131" t="n">
        <f aca="false">P118*CHOOSE(MATCH($C$28,{"H";"B";"N"},0),GPUMW_H*ODc_H,GPUMW_B*ODc_B,GPUMW_N*ODc_N)*ResidUtil*Timeline!P$9*INDEX(Curve,1,MAX(1,MIN(8,INT((P$5-$H$28)/4)+1)))/1000000</f>
        <v>0</v>
      </c>
      <c r="Q119" s="131" t="n">
        <f aca="false">Q118*CHOOSE(MATCH($C$28,{"H";"B";"N"},0),GPUMW_H*ODc_H,GPUMW_B*ODc_B,GPUMW_N*ODc_N)*ResidUtil*Timeline!Q$9*INDEX(Curve,1,MAX(1,MIN(8,INT((Q$5-$H$28)/4)+1)))/1000000</f>
        <v>0</v>
      </c>
      <c r="R119" s="131" t="n">
        <f aca="false">R118*CHOOSE(MATCH($C$28,{"H";"B";"N"},0),GPUMW_H*ODc_H,GPUMW_B*ODc_B,GPUMW_N*ODc_N)*ResidUtil*Timeline!R$9*INDEX(Curve,1,MAX(1,MIN(8,INT((R$5-$H$28)/4)+1)))/1000000</f>
        <v>0</v>
      </c>
      <c r="S119" s="131" t="n">
        <f aca="false">S118*CHOOSE(MATCH($C$28,{"H";"B";"N"},0),GPUMW_H*ODc_H,GPUMW_B*ODc_B,GPUMW_N*ODc_N)*ResidUtil*Timeline!S$9*INDEX(Curve,1,MAX(1,MIN(8,INT((S$5-$H$28)/4)+1)))/1000000</f>
        <v>0</v>
      </c>
      <c r="T119" s="131" t="n">
        <f aca="false">T118*CHOOSE(MATCH($C$28,{"H";"B";"N"},0),GPUMW_H*ODc_H,GPUMW_B*ODc_B,GPUMW_N*ODc_N)*ResidUtil*Timeline!T$9*INDEX(Curve,1,MAX(1,MIN(8,INT((T$5-$H$28)/4)+1)))/1000000</f>
        <v>0</v>
      </c>
      <c r="U119" s="131" t="n">
        <f aca="false">U118*CHOOSE(MATCH($C$28,{"H";"B";"N"},0),GPUMW_H*ODc_H,GPUMW_B*ODc_B,GPUMW_N*ODc_N)*ResidUtil*Timeline!U$9*INDEX(Curve,1,MAX(1,MIN(8,INT((U$5-$H$28)/4)+1)))/1000000</f>
        <v>0</v>
      </c>
      <c r="V119" s="131" t="n">
        <f aca="false">V118*CHOOSE(MATCH($C$28,{"H";"B";"N"},0),GPUMW_H*ODc_H,GPUMW_B*ODc_B,GPUMW_N*ODc_N)*ResidUtil*Timeline!V$9*INDEX(Curve,1,MAX(1,MIN(8,INT((V$5-$H$28)/4)+1)))/1000000</f>
        <v>0</v>
      </c>
      <c r="W119" s="131" t="n">
        <f aca="false">W118*CHOOSE(MATCH($C$28,{"H";"B";"N"},0),GPUMW_H*ODc_H,GPUMW_B*ODc_B,GPUMW_N*ODc_N)*ResidUtil*Timeline!W$9*INDEX(Curve,1,MAX(1,MIN(8,INT((W$5-$H$28)/4)+1)))/1000000</f>
        <v>0</v>
      </c>
      <c r="X119" s="131" t="n">
        <f aca="false">X118*CHOOSE(MATCH($C$28,{"H";"B";"N"},0),GPUMW_H*ODc_H,GPUMW_B*ODc_B,GPUMW_N*ODc_N)*ResidUtil*Timeline!X$9*INDEX(Curve,1,MAX(1,MIN(8,INT((X$5-$H$28)/4)+1)))/1000000</f>
        <v>0</v>
      </c>
      <c r="Y119" s="131" t="n">
        <f aca="false">Y118*CHOOSE(MATCH($C$28,{"H";"B";"N"},0),GPUMW_H*ODc_H,GPUMW_B*ODc_B,GPUMW_N*ODc_N)*ResidUtil*Timeline!Y$9*INDEX(Curve,1,MAX(1,MIN(8,INT((Y$5-$H$28)/4)+1)))/1000000</f>
        <v>0</v>
      </c>
      <c r="Z119" s="131" t="n">
        <f aca="false">Z118*CHOOSE(MATCH($C$28,{"H";"B";"N"},0),GPUMW_H*ODc_H,GPUMW_B*ODc_B,GPUMW_N*ODc_N)*ResidUtil*Timeline!Z$9*INDEX(Curve,1,MAX(1,MIN(8,INT((Z$5-$H$28)/4)+1)))/1000000</f>
        <v>0</v>
      </c>
      <c r="AA119" s="131" t="n">
        <f aca="false">AA118*CHOOSE(MATCH($C$28,{"H";"B";"N"},0),GPUMW_H*ODc_H,GPUMW_B*ODc_B,GPUMW_N*ODc_N)*ResidUtil*Timeline!AA$9*INDEX(Curve,1,MAX(1,MIN(8,INT((AA$5-$H$28)/4)+1)))/1000000</f>
        <v>0</v>
      </c>
      <c r="AB119" s="131" t="n">
        <f aca="false">AB118*CHOOSE(MATCH($C$28,{"H";"B";"N"},0),GPUMW_H*ODc_H,GPUMW_B*ODc_B,GPUMW_N*ODc_N)*ResidUtil*Timeline!AB$9*INDEX(Curve,1,MAX(1,MIN(8,INT((AB$5-$H$28)/4)+1)))/1000000</f>
        <v>0</v>
      </c>
      <c r="AC119" s="131" t="n">
        <f aca="false">AC118*CHOOSE(MATCH($C$28,{"H";"B";"N"},0),GPUMW_H*ODc_H,GPUMW_B*ODc_B,GPUMW_N*ODc_N)*ResidUtil*Timeline!AC$9*INDEX(Curve,1,MAX(1,MIN(8,INT((AC$5-$H$28)/4)+1)))/1000000</f>
        <v>0</v>
      </c>
      <c r="AD119" s="131" t="n">
        <f aca="false">AD118*CHOOSE(MATCH($C$28,{"H";"B";"N"},0),GPUMW_H*ODc_H,GPUMW_B*ODc_B,GPUMW_N*ODc_N)*ResidUtil*Timeline!AD$9*INDEX(Curve,1,MAX(1,MIN(8,INT((AD$5-$H$28)/4)+1)))/1000000</f>
        <v>0</v>
      </c>
      <c r="AE119" s="131" t="n">
        <f aca="false">AE118*CHOOSE(MATCH($C$28,{"H";"B";"N"},0),GPUMW_H*ODc_H,GPUMW_B*ODc_B,GPUMW_N*ODc_N)*ResidUtil*Timeline!AE$9*INDEX(Curve,1,MAX(1,MIN(8,INT((AE$5-$H$28)/4)+1)))/1000000</f>
        <v>0</v>
      </c>
      <c r="AF119" s="131" t="n">
        <f aca="false">AF118*CHOOSE(MATCH($C$28,{"H";"B";"N"},0),GPUMW_H*ODc_H,GPUMW_B*ODc_B,GPUMW_N*ODc_N)*ResidUtil*Timeline!AF$9*INDEX(Curve,1,MAX(1,MIN(8,INT((AF$5-$H$28)/4)+1)))/1000000</f>
        <v>0</v>
      </c>
      <c r="AG119" s="131" t="n">
        <f aca="false">AG118*CHOOSE(MATCH($C$28,{"H";"B";"N"},0),GPUMW_H*ODc_H,GPUMW_B*ODc_B,GPUMW_N*ODc_N)*ResidUtil*Timeline!AG$9*INDEX(Curve,1,MAX(1,MIN(8,INT((AG$5-$H$28)/4)+1)))/1000000</f>
        <v>0</v>
      </c>
      <c r="AI119" s="131" t="n">
        <f aca="false">SUMIF($F$7:$AG$7,AI$7,$F119:$AG119)</f>
        <v>0</v>
      </c>
      <c r="AJ119" s="131" t="n">
        <f aca="false">SUMIF($F$7:$AG$7,AJ$7,$F119:$AG119)</f>
        <v>0</v>
      </c>
      <c r="AK119" s="131" t="n">
        <f aca="false">SUMIF($F$7:$AG$7,AK$7,$F119:$AG119)</f>
        <v>0</v>
      </c>
      <c r="AL119" s="131" t="n">
        <f aca="false">SUMIF($F$7:$AG$7,AL$7,$F119:$AG119)</f>
        <v>0</v>
      </c>
      <c r="AM119" s="131" t="n">
        <f aca="false">SUMIF($F$7:$AG$7,AM$7,$F119:$AG119)</f>
        <v>0</v>
      </c>
      <c r="AN119" s="131" t="n">
        <f aca="false">SUMIF($F$7:$AG$7,AN$7,$F119:$AG119)</f>
        <v>0</v>
      </c>
      <c r="AO119" s="131" t="n">
        <f aca="false">SUMIF($F$7:$AG$7,AO$7,$F119:$AG119)</f>
        <v>0</v>
      </c>
    </row>
    <row r="120" customFormat="false" ht="15" hidden="false" customHeight="false" outlineLevel="0" collapsed="false">
      <c r="A120" s="112" t="s">
        <v>2160</v>
      </c>
      <c r="B120" s="24" t="s">
        <v>745</v>
      </c>
      <c r="C120" s="24"/>
      <c r="D120" s="24"/>
      <c r="F120" s="130" t="n">
        <f aca="false">(1-$I$29)*(1-$J$29)*$D$29*$E$29/4*MIN(1,MAX(0,(F$5-$H$29+1)/$T$29))*IF(F$5=$H$29,$U$29,IF(AND(F$5&gt;$H$29,F$5&lt;$H$29+$F$29),1,IF(F$5=$H$29+$F$29,1-$U$29,0)))</f>
        <v>0</v>
      </c>
      <c r="G120" s="130" t="n">
        <f aca="false">(1-$I$29)*(1-$J$29)*$D$29*$E$29/4*MIN(1,MAX(0,(G$5-$H$29+1)/$T$29))*IF(G$5=$H$29,$U$29,IF(AND(G$5&gt;$H$29,G$5&lt;$H$29+$F$29),1,IF(G$5=$H$29+$F$29,1-$U$29,0)))</f>
        <v>0</v>
      </c>
      <c r="H120" s="130" t="n">
        <f aca="false">(1-$I$29)*(1-$J$29)*$D$29*$E$29/4*MIN(1,MAX(0,(H$5-$H$29+1)/$T$29))*IF(H$5=$H$29,$U$29,IF(AND(H$5&gt;$H$29,H$5&lt;$H$29+$F$29),1,IF(H$5=$H$29+$F$29,1-$U$29,0)))</f>
        <v>0</v>
      </c>
      <c r="I120" s="130" t="n">
        <f aca="false">(1-$I$29)*(1-$J$29)*$D$29*$E$29/4*MIN(1,MAX(0,(I$5-$H$29+1)/$T$29))*IF(I$5=$H$29,$U$29,IF(AND(I$5&gt;$H$29,I$5&lt;$H$29+$F$29),1,IF(I$5=$H$29+$F$29,1-$U$29,0)))</f>
        <v>0</v>
      </c>
      <c r="J120" s="130" t="n">
        <f aca="false">(1-$I$29)*(1-$J$29)*$D$29*$E$29/4*MIN(1,MAX(0,(J$5-$H$29+1)/$T$29))*IF(J$5=$H$29,$U$29,IF(AND(J$5&gt;$H$29,J$5&lt;$H$29+$F$29),1,IF(J$5=$H$29+$F$29,1-$U$29,0)))</f>
        <v>0</v>
      </c>
      <c r="K120" s="130" t="n">
        <f aca="false">(1-$I$29)*(1-$J$29)*$D$29*$E$29/4*MIN(1,MAX(0,(K$5-$H$29+1)/$T$29))*IF(K$5=$H$29,$U$29,IF(AND(K$5&gt;$H$29,K$5&lt;$H$29+$F$29),1,IF(K$5=$H$29+$F$29,1-$U$29,0)))</f>
        <v>0</v>
      </c>
      <c r="L120" s="130" t="n">
        <f aca="false">(1-$I$29)*(1-$J$29)*$D$29*$E$29/4*MIN(1,MAX(0,(L$5-$H$29+1)/$T$29))*IF(L$5=$H$29,$U$29,IF(AND(L$5&gt;$H$29,L$5&lt;$H$29+$F$29),1,IF(L$5=$H$29+$F$29,1-$U$29,0)))</f>
        <v>0</v>
      </c>
      <c r="M120" s="130" t="n">
        <f aca="false">(1-$I$29)*(1-$J$29)*$D$29*$E$29/4*MIN(1,MAX(0,(M$5-$H$29+1)/$T$29))*IF(M$5=$H$29,$U$29,IF(AND(M$5&gt;$H$29,M$5&lt;$H$29+$F$29),1,IF(M$5=$H$29+$F$29,1-$U$29,0)))</f>
        <v>0</v>
      </c>
      <c r="N120" s="130" t="n">
        <f aca="false">(1-$I$29)*(1-$J$29)*$D$29*$E$29/4*MIN(1,MAX(0,(N$5-$H$29+1)/$T$29))*IF(N$5=$H$29,$U$29,IF(AND(N$5&gt;$H$29,N$5&lt;$H$29+$F$29),1,IF(N$5=$H$29+$F$29,1-$U$29,0)))</f>
        <v>0</v>
      </c>
      <c r="O120" s="130" t="n">
        <f aca="false">(1-$I$29)*(1-$J$29)*$D$29*$E$29/4*MIN(1,MAX(0,(O$5-$H$29+1)/$T$29))*IF(O$5=$H$29,$U$29,IF(AND(O$5&gt;$H$29,O$5&lt;$H$29+$F$29),1,IF(O$5=$H$29+$F$29,1-$U$29,0)))</f>
        <v>0</v>
      </c>
      <c r="P120" s="131" t="n">
        <f aca="false">(1-$I$29)*(1-$J$29)*$D$29*$E$29/4*MIN(1,MAX(0,(P$5-$H$29+1)/$T$29))*IF(P$5=$H$29,$U$29,IF(AND(P$5&gt;$H$29,P$5&lt;$H$29+$F$29),1,IF(P$5=$H$29+$F$29,1-$U$29,0)))</f>
        <v>0</v>
      </c>
      <c r="Q120" s="131" t="n">
        <f aca="false">(1-$I$29)*(1-$J$29)*$D$29*$E$29/4*MIN(1,MAX(0,(Q$5-$H$29+1)/$T$29))*IF(Q$5=$H$29,$U$29,IF(AND(Q$5&gt;$H$29,Q$5&lt;$H$29+$F$29),1,IF(Q$5=$H$29+$F$29,1-$U$29,0)))</f>
        <v>0</v>
      </c>
      <c r="R120" s="131" t="n">
        <f aca="false">(1-$I$29)*(1-$J$29)*$D$29*$E$29/4*MIN(1,MAX(0,(R$5-$H$29+1)/$T$29))*IF(R$5=$H$29,$U$29,IF(AND(R$5&gt;$H$29,R$5&lt;$H$29+$F$29),1,IF(R$5=$H$29+$F$29,1-$U$29,0)))</f>
        <v>0</v>
      </c>
      <c r="S120" s="131" t="n">
        <f aca="false">(1-$I$29)*(1-$J$29)*$D$29*$E$29/4*MIN(1,MAX(0,(S$5-$H$29+1)/$T$29))*IF(S$5=$H$29,$U$29,IF(AND(S$5&gt;$H$29,S$5&lt;$H$29+$F$29),1,IF(S$5=$H$29+$F$29,1-$U$29,0)))</f>
        <v>0</v>
      </c>
      <c r="T120" s="131" t="n">
        <f aca="false">(1-$I$29)*(1-$J$29)*$D$29*$E$29/4*MIN(1,MAX(0,(T$5-$H$29+1)/$T$29))*IF(T$5=$H$29,$U$29,IF(AND(T$5&gt;$H$29,T$5&lt;$H$29+$F$29),1,IF(T$5=$H$29+$F$29,1-$U$29,0)))</f>
        <v>0</v>
      </c>
      <c r="U120" s="131" t="n">
        <f aca="false">(1-$I$29)*(1-$J$29)*$D$29*$E$29/4*MIN(1,MAX(0,(U$5-$H$29+1)/$T$29))*IF(U$5=$H$29,$U$29,IF(AND(U$5&gt;$H$29,U$5&lt;$H$29+$F$29),1,IF(U$5=$H$29+$F$29,1-$U$29,0)))</f>
        <v>0</v>
      </c>
      <c r="V120" s="131" t="n">
        <f aca="false">(1-$I$29)*(1-$J$29)*$D$29*$E$29/4*MIN(1,MAX(0,(V$5-$H$29+1)/$T$29))*IF(V$5=$H$29,$U$29,IF(AND(V$5&gt;$H$29,V$5&lt;$H$29+$F$29),1,IF(V$5=$H$29+$F$29,1-$U$29,0)))</f>
        <v>0</v>
      </c>
      <c r="W120" s="131" t="n">
        <f aca="false">(1-$I$29)*(1-$J$29)*$D$29*$E$29/4*MIN(1,MAX(0,(W$5-$H$29+1)/$T$29))*IF(W$5=$H$29,$U$29,IF(AND(W$5&gt;$H$29,W$5&lt;$H$29+$F$29),1,IF(W$5=$H$29+$F$29,1-$U$29,0)))</f>
        <v>0</v>
      </c>
      <c r="X120" s="131" t="n">
        <f aca="false">(1-$I$29)*(1-$J$29)*$D$29*$E$29/4*MIN(1,MAX(0,(X$5-$H$29+1)/$T$29))*IF(X$5=$H$29,$U$29,IF(AND(X$5&gt;$H$29,X$5&lt;$H$29+$F$29),1,IF(X$5=$H$29+$F$29,1-$U$29,0)))</f>
        <v>0</v>
      </c>
      <c r="Y120" s="131" t="n">
        <f aca="false">(1-$I$29)*(1-$J$29)*$D$29*$E$29/4*MIN(1,MAX(0,(Y$5-$H$29+1)/$T$29))*IF(Y$5=$H$29,$U$29,IF(AND(Y$5&gt;$H$29,Y$5&lt;$H$29+$F$29),1,IF(Y$5=$H$29+$F$29,1-$U$29,0)))</f>
        <v>0</v>
      </c>
      <c r="Z120" s="131" t="n">
        <f aca="false">(1-$I$29)*(1-$J$29)*$D$29*$E$29/4*MIN(1,MAX(0,(Z$5-$H$29+1)/$T$29))*IF(Z$5=$H$29,$U$29,IF(AND(Z$5&gt;$H$29,Z$5&lt;$H$29+$F$29),1,IF(Z$5=$H$29+$F$29,1-$U$29,0)))</f>
        <v>0</v>
      </c>
      <c r="AA120" s="131" t="n">
        <f aca="false">(1-$I$29)*(1-$J$29)*$D$29*$E$29/4*MIN(1,MAX(0,(AA$5-$H$29+1)/$T$29))*IF(AA$5=$H$29,$U$29,IF(AND(AA$5&gt;$H$29,AA$5&lt;$H$29+$F$29),1,IF(AA$5=$H$29+$F$29,1-$U$29,0)))</f>
        <v>0</v>
      </c>
      <c r="AB120" s="131" t="n">
        <f aca="false">(1-$I$29)*(1-$J$29)*$D$29*$E$29/4*MIN(1,MAX(0,(AB$5-$H$29+1)/$T$29))*IF(AB$5=$H$29,$U$29,IF(AND(AB$5&gt;$H$29,AB$5&lt;$H$29+$F$29),1,IF(AB$5=$H$29+$F$29,1-$U$29,0)))</f>
        <v>0</v>
      </c>
      <c r="AC120" s="131" t="n">
        <f aca="false">(1-$I$29)*(1-$J$29)*$D$29*$E$29/4*MIN(1,MAX(0,(AC$5-$H$29+1)/$T$29))*IF(AC$5=$H$29,$U$29,IF(AND(AC$5&gt;$H$29,AC$5&lt;$H$29+$F$29),1,IF(AC$5=$H$29+$F$29,1-$U$29,0)))</f>
        <v>0</v>
      </c>
      <c r="AD120" s="131" t="n">
        <f aca="false">(1-$I$29)*(1-$J$29)*$D$29*$E$29/4*MIN(1,MAX(0,(AD$5-$H$29+1)/$T$29))*IF(AD$5=$H$29,$U$29,IF(AND(AD$5&gt;$H$29,AD$5&lt;$H$29+$F$29),1,IF(AD$5=$H$29+$F$29,1-$U$29,0)))</f>
        <v>0</v>
      </c>
      <c r="AE120" s="131" t="n">
        <f aca="false">(1-$I$29)*(1-$J$29)*$D$29*$E$29/4*MIN(1,MAX(0,(AE$5-$H$29+1)/$T$29))*IF(AE$5=$H$29,$U$29,IF(AND(AE$5&gt;$H$29,AE$5&lt;$H$29+$F$29),1,IF(AE$5=$H$29+$F$29,1-$U$29,0)))</f>
        <v>0</v>
      </c>
      <c r="AF120" s="131" t="n">
        <f aca="false">(1-$I$29)*(1-$J$29)*$D$29*$E$29/4*MIN(1,MAX(0,(AF$5-$H$29+1)/$T$29))*IF(AF$5=$H$29,$U$29,IF(AND(AF$5&gt;$H$29,AF$5&lt;$H$29+$F$29),1,IF(AF$5=$H$29+$F$29,1-$U$29,0)))</f>
        <v>0</v>
      </c>
      <c r="AG120" s="131" t="n">
        <f aca="false">(1-$I$29)*(1-$J$29)*$D$29*$E$29/4*MIN(1,MAX(0,(AG$5-$H$29+1)/$T$29))*IF(AG$5=$H$29,$U$29,IF(AND(AG$5&gt;$H$29,AG$5&lt;$H$29+$F$29),1,IF(AG$5=$H$29+$F$29,1-$U$29,0)))</f>
        <v>0</v>
      </c>
      <c r="AI120" s="131" t="n">
        <f aca="false">SUMIF($F$7:$AG$7,AI$7,$F120:$AG120)</f>
        <v>0</v>
      </c>
      <c r="AJ120" s="131" t="n">
        <f aca="false">SUMIF($F$7:$AG$7,AJ$7,$F120:$AG120)</f>
        <v>0</v>
      </c>
      <c r="AK120" s="131" t="n">
        <f aca="false">SUMIF($F$7:$AG$7,AK$7,$F120:$AG120)</f>
        <v>0</v>
      </c>
      <c r="AL120" s="131" t="n">
        <f aca="false">SUMIF($F$7:$AG$7,AL$7,$F120:$AG120)</f>
        <v>0</v>
      </c>
      <c r="AM120" s="131" t="n">
        <f aca="false">SUMIF($F$7:$AG$7,AM$7,$F120:$AG120)</f>
        <v>0</v>
      </c>
      <c r="AN120" s="131" t="n">
        <f aca="false">SUMIF($F$7:$AG$7,AN$7,$F120:$AG120)</f>
        <v>0</v>
      </c>
      <c r="AO120" s="131" t="n">
        <f aca="false">SUMIF($F$7:$AG$7,AO$7,$F120:$AG120)</f>
        <v>0</v>
      </c>
    </row>
    <row r="121" customFormat="false" ht="15" hidden="false" customHeight="false" outlineLevel="0" collapsed="false">
      <c r="A121" s="112" t="s">
        <v>2161</v>
      </c>
      <c r="B121" s="24" t="s">
        <v>857</v>
      </c>
      <c r="C121" s="24"/>
      <c r="D121" s="24"/>
      <c r="F121" s="121" t="n">
        <f aca="false">(1-$I$29)*(1-$J$29)*$D$29*AND(F$5&gt;=$H$29,F$5&lt;$H$29+$F$29)</f>
        <v>0</v>
      </c>
      <c r="G121" s="121" t="n">
        <f aca="false">(1-$I$29)*(1-$J$29)*$D$29*AND(G$5&gt;=$H$29,G$5&lt;$H$29+$F$29)</f>
        <v>0</v>
      </c>
      <c r="H121" s="121" t="n">
        <f aca="false">(1-$I$29)*(1-$J$29)*$D$29*AND(H$5&gt;=$H$29,H$5&lt;$H$29+$F$29)</f>
        <v>0</v>
      </c>
      <c r="I121" s="121" t="n">
        <f aca="false">(1-$I$29)*(1-$J$29)*$D$29*AND(I$5&gt;=$H$29,I$5&lt;$H$29+$F$29)</f>
        <v>0</v>
      </c>
      <c r="J121" s="121" t="n">
        <f aca="false">(1-$I$29)*(1-$J$29)*$D$29*AND(J$5&gt;=$H$29,J$5&lt;$H$29+$F$29)</f>
        <v>0</v>
      </c>
      <c r="K121" s="121" t="n">
        <f aca="false">(1-$I$29)*(1-$J$29)*$D$29*AND(K$5&gt;=$H$29,K$5&lt;$H$29+$F$29)</f>
        <v>0</v>
      </c>
      <c r="L121" s="121" t="n">
        <f aca="false">(1-$I$29)*(1-$J$29)*$D$29*AND(L$5&gt;=$H$29,L$5&lt;$H$29+$F$29)</f>
        <v>0</v>
      </c>
      <c r="M121" s="121" t="n">
        <f aca="false">(1-$I$29)*(1-$J$29)*$D$29*AND(M$5&gt;=$H$29,M$5&lt;$H$29+$F$29)</f>
        <v>0</v>
      </c>
      <c r="N121" s="121" t="n">
        <f aca="false">(1-$I$29)*(1-$J$29)*$D$29*AND(N$5&gt;=$H$29,N$5&lt;$H$29+$F$29)</f>
        <v>0</v>
      </c>
      <c r="O121" s="121" t="n">
        <f aca="false">(1-$I$29)*(1-$J$29)*$D$29*AND(O$5&gt;=$H$29,O$5&lt;$H$29+$F$29)</f>
        <v>0</v>
      </c>
      <c r="P121" s="39" t="n">
        <f aca="false">(1-$I$29)*(1-$J$29)*$D$29*AND(P$5&gt;=$H$29,P$5&lt;$H$29+$F$29)</f>
        <v>0</v>
      </c>
      <c r="Q121" s="39" t="n">
        <f aca="false">(1-$I$29)*(1-$J$29)*$D$29*AND(Q$5&gt;=$H$29,Q$5&lt;$H$29+$F$29)</f>
        <v>0</v>
      </c>
      <c r="R121" s="39" t="n">
        <f aca="false">(1-$I$29)*(1-$J$29)*$D$29*AND(R$5&gt;=$H$29,R$5&lt;$H$29+$F$29)</f>
        <v>0</v>
      </c>
      <c r="S121" s="39" t="n">
        <f aca="false">(1-$I$29)*(1-$J$29)*$D$29*AND(S$5&gt;=$H$29,S$5&lt;$H$29+$F$29)</f>
        <v>0</v>
      </c>
      <c r="T121" s="39" t="n">
        <f aca="false">(1-$I$29)*(1-$J$29)*$D$29*AND(T$5&gt;=$H$29,T$5&lt;$H$29+$F$29)</f>
        <v>0</v>
      </c>
      <c r="U121" s="39" t="n">
        <f aca="false">(1-$I$29)*(1-$J$29)*$D$29*AND(U$5&gt;=$H$29,U$5&lt;$H$29+$F$29)</f>
        <v>0</v>
      </c>
      <c r="V121" s="39" t="n">
        <f aca="false">(1-$I$29)*(1-$J$29)*$D$29*AND(V$5&gt;=$H$29,V$5&lt;$H$29+$F$29)</f>
        <v>0</v>
      </c>
      <c r="W121" s="39" t="n">
        <f aca="false">(1-$I$29)*(1-$J$29)*$D$29*AND(W$5&gt;=$H$29,W$5&lt;$H$29+$F$29)</f>
        <v>0</v>
      </c>
      <c r="X121" s="39" t="n">
        <f aca="false">(1-$I$29)*(1-$J$29)*$D$29*AND(X$5&gt;=$H$29,X$5&lt;$H$29+$F$29)</f>
        <v>0</v>
      </c>
      <c r="Y121" s="39" t="n">
        <f aca="false">(1-$I$29)*(1-$J$29)*$D$29*AND(Y$5&gt;=$H$29,Y$5&lt;$H$29+$F$29)</f>
        <v>0</v>
      </c>
      <c r="Z121" s="39" t="n">
        <f aca="false">(1-$I$29)*(1-$J$29)*$D$29*AND(Z$5&gt;=$H$29,Z$5&lt;$H$29+$F$29)</f>
        <v>0</v>
      </c>
      <c r="AA121" s="39" t="n">
        <f aca="false">(1-$I$29)*(1-$J$29)*$D$29*AND(AA$5&gt;=$H$29,AA$5&lt;$H$29+$F$29)</f>
        <v>0</v>
      </c>
      <c r="AB121" s="39" t="n">
        <f aca="false">(1-$I$29)*(1-$J$29)*$D$29*AND(AB$5&gt;=$H$29,AB$5&lt;$H$29+$F$29)</f>
        <v>0</v>
      </c>
      <c r="AC121" s="39" t="n">
        <f aca="false">(1-$I$29)*(1-$J$29)*$D$29*AND(AC$5&gt;=$H$29,AC$5&lt;$H$29+$F$29)</f>
        <v>0</v>
      </c>
      <c r="AD121" s="39" t="n">
        <f aca="false">(1-$I$29)*(1-$J$29)*$D$29*AND(AD$5&gt;=$H$29,AD$5&lt;$H$29+$F$29)</f>
        <v>0</v>
      </c>
      <c r="AE121" s="39" t="n">
        <f aca="false">(1-$I$29)*(1-$J$29)*$D$29*AND(AE$5&gt;=$H$29,AE$5&lt;$H$29+$F$29)</f>
        <v>0</v>
      </c>
      <c r="AF121" s="39" t="n">
        <f aca="false">(1-$I$29)*(1-$J$29)*$D$29*AND(AF$5&gt;=$H$29,AF$5&lt;$H$29+$F$29)</f>
        <v>0</v>
      </c>
      <c r="AG121" s="39" t="n">
        <f aca="false">(1-$I$29)*(1-$J$29)*$D$29*AND(AG$5&gt;=$H$29,AG$5&lt;$H$29+$F$29)</f>
        <v>0</v>
      </c>
      <c r="AI121" s="39" t="n">
        <f aca="false">INDEX($F121:$AG121,1,MATCH(AI$7,$F$7:$AG$7,1))</f>
        <v>0</v>
      </c>
      <c r="AJ121" s="39" t="n">
        <f aca="false">INDEX($F121:$AG121,1,MATCH(AJ$7,$F$7:$AG$7,1))</f>
        <v>0</v>
      </c>
      <c r="AK121" s="39" t="n">
        <f aca="false">INDEX($F121:$AG121,1,MATCH(AK$7,$F$7:$AG$7,1))</f>
        <v>0</v>
      </c>
      <c r="AL121" s="39" t="n">
        <f aca="false">INDEX($F121:$AG121,1,MATCH(AL$7,$F$7:$AG$7,1))</f>
        <v>0</v>
      </c>
      <c r="AM121" s="39" t="n">
        <f aca="false">INDEX($F121:$AG121,1,MATCH(AM$7,$F$7:$AG$7,1))</f>
        <v>0</v>
      </c>
      <c r="AN121" s="39" t="n">
        <f aca="false">INDEX($F121:$AG121,1,MATCH(AN$7,$F$7:$AG$7,1))</f>
        <v>0</v>
      </c>
      <c r="AO121" s="39" t="n">
        <f aca="false">INDEX($F121:$AG121,1,MATCH(AO$7,$F$7:$AG$7,1))</f>
        <v>0</v>
      </c>
    </row>
    <row r="122" customFormat="false" ht="15" hidden="false" customHeight="false" outlineLevel="0" collapsed="false">
      <c r="A122" s="112" t="s">
        <v>2162</v>
      </c>
      <c r="B122" s="24" t="s">
        <v>745</v>
      </c>
      <c r="C122" s="24"/>
      <c r="D122" s="24"/>
      <c r="F122" s="130" t="n">
        <f aca="false">-(1-$I$29)*LD_Pct*$D$29*$E$29/4*AND(F$5&gt;=$G$29,F$5&lt;$H$29)</f>
        <v>-0</v>
      </c>
      <c r="G122" s="130" t="n">
        <f aca="false">-(1-$I$29)*LD_Pct*$D$29*$E$29/4*AND(G$5&gt;=$G$29,G$5&lt;$H$29)</f>
        <v>-0</v>
      </c>
      <c r="H122" s="130" t="n">
        <f aca="false">-(1-$I$29)*LD_Pct*$D$29*$E$29/4*AND(H$5&gt;=$G$29,H$5&lt;$H$29)</f>
        <v>-0</v>
      </c>
      <c r="I122" s="130" t="n">
        <f aca="false">-(1-$I$29)*LD_Pct*$D$29*$E$29/4*AND(I$5&gt;=$G$29,I$5&lt;$H$29)</f>
        <v>-0</v>
      </c>
      <c r="J122" s="130" t="n">
        <f aca="false">-(1-$I$29)*LD_Pct*$D$29*$E$29/4*AND(J$5&gt;=$G$29,J$5&lt;$H$29)</f>
        <v>-0</v>
      </c>
      <c r="K122" s="130" t="n">
        <f aca="false">-(1-$I$29)*LD_Pct*$D$29*$E$29/4*AND(K$5&gt;=$G$29,K$5&lt;$H$29)</f>
        <v>-0</v>
      </c>
      <c r="L122" s="130" t="n">
        <f aca="false">-(1-$I$29)*LD_Pct*$D$29*$E$29/4*AND(L$5&gt;=$G$29,L$5&lt;$H$29)</f>
        <v>-0</v>
      </c>
      <c r="M122" s="130" t="n">
        <f aca="false">-(1-$I$29)*LD_Pct*$D$29*$E$29/4*AND(M$5&gt;=$G$29,M$5&lt;$H$29)</f>
        <v>-0</v>
      </c>
      <c r="N122" s="130" t="n">
        <f aca="false">-(1-$I$29)*LD_Pct*$D$29*$E$29/4*AND(N$5&gt;=$G$29,N$5&lt;$H$29)</f>
        <v>-0</v>
      </c>
      <c r="O122" s="130" t="n">
        <f aca="false">-(1-$I$29)*LD_Pct*$D$29*$E$29/4*AND(O$5&gt;=$G$29,O$5&lt;$H$29)</f>
        <v>-0</v>
      </c>
      <c r="P122" s="131" t="n">
        <f aca="false">-(1-$I$29)*LD_Pct*$D$29*$E$29/4*AND(P$5&gt;=$G$29,P$5&lt;$H$29)</f>
        <v>-0</v>
      </c>
      <c r="Q122" s="131" t="n">
        <f aca="false">-(1-$I$29)*LD_Pct*$D$29*$E$29/4*AND(Q$5&gt;=$G$29,Q$5&lt;$H$29)</f>
        <v>-0</v>
      </c>
      <c r="R122" s="131" t="n">
        <f aca="false">-(1-$I$29)*LD_Pct*$D$29*$E$29/4*AND(R$5&gt;=$G$29,R$5&lt;$H$29)</f>
        <v>-0</v>
      </c>
      <c r="S122" s="131" t="n">
        <f aca="false">-(1-$I$29)*LD_Pct*$D$29*$E$29/4*AND(S$5&gt;=$G$29,S$5&lt;$H$29)</f>
        <v>-0</v>
      </c>
      <c r="T122" s="131" t="n">
        <f aca="false">-(1-$I$29)*LD_Pct*$D$29*$E$29/4*AND(T$5&gt;=$G$29,T$5&lt;$H$29)</f>
        <v>-0</v>
      </c>
      <c r="U122" s="131" t="n">
        <f aca="false">-(1-$I$29)*LD_Pct*$D$29*$E$29/4*AND(U$5&gt;=$G$29,U$5&lt;$H$29)</f>
        <v>-0</v>
      </c>
      <c r="V122" s="131" t="n">
        <f aca="false">-(1-$I$29)*LD_Pct*$D$29*$E$29/4*AND(V$5&gt;=$G$29,V$5&lt;$H$29)</f>
        <v>-0</v>
      </c>
      <c r="W122" s="131" t="n">
        <f aca="false">-(1-$I$29)*LD_Pct*$D$29*$E$29/4*AND(W$5&gt;=$G$29,W$5&lt;$H$29)</f>
        <v>-0</v>
      </c>
      <c r="X122" s="131" t="n">
        <f aca="false">-(1-$I$29)*LD_Pct*$D$29*$E$29/4*AND(X$5&gt;=$G$29,X$5&lt;$H$29)</f>
        <v>-0</v>
      </c>
      <c r="Y122" s="131" t="n">
        <f aca="false">-(1-$I$29)*LD_Pct*$D$29*$E$29/4*AND(Y$5&gt;=$G$29,Y$5&lt;$H$29)</f>
        <v>-0</v>
      </c>
      <c r="Z122" s="131" t="n">
        <f aca="false">-(1-$I$29)*LD_Pct*$D$29*$E$29/4*AND(Z$5&gt;=$G$29,Z$5&lt;$H$29)</f>
        <v>-0</v>
      </c>
      <c r="AA122" s="131" t="n">
        <f aca="false">-(1-$I$29)*LD_Pct*$D$29*$E$29/4*AND(AA$5&gt;=$G$29,AA$5&lt;$H$29)</f>
        <v>-0</v>
      </c>
      <c r="AB122" s="131" t="n">
        <f aca="false">-(1-$I$29)*LD_Pct*$D$29*$E$29/4*AND(AB$5&gt;=$G$29,AB$5&lt;$H$29)</f>
        <v>-0</v>
      </c>
      <c r="AC122" s="131" t="n">
        <f aca="false">-(1-$I$29)*LD_Pct*$D$29*$E$29/4*AND(AC$5&gt;=$G$29,AC$5&lt;$H$29)</f>
        <v>-0</v>
      </c>
      <c r="AD122" s="131" t="n">
        <f aca="false">-(1-$I$29)*LD_Pct*$D$29*$E$29/4*AND(AD$5&gt;=$G$29,AD$5&lt;$H$29)</f>
        <v>-0</v>
      </c>
      <c r="AE122" s="131" t="n">
        <f aca="false">-(1-$I$29)*LD_Pct*$D$29*$E$29/4*AND(AE$5&gt;=$G$29,AE$5&lt;$H$29)</f>
        <v>-0</v>
      </c>
      <c r="AF122" s="131" t="n">
        <f aca="false">-(1-$I$29)*LD_Pct*$D$29*$E$29/4*AND(AF$5&gt;=$G$29,AF$5&lt;$H$29)</f>
        <v>-0</v>
      </c>
      <c r="AG122" s="131" t="n">
        <f aca="false">-(1-$I$29)*LD_Pct*$D$29*$E$29/4*AND(AG$5&gt;=$G$29,AG$5&lt;$H$29)</f>
        <v>-0</v>
      </c>
      <c r="AI122" s="131" t="n">
        <f aca="false">SUMIF($F$7:$AG$7,AI$7,$F122:$AG122)</f>
        <v>0</v>
      </c>
      <c r="AJ122" s="131" t="n">
        <f aca="false">SUMIF($F$7:$AG$7,AJ$7,$F122:$AG122)</f>
        <v>0</v>
      </c>
      <c r="AK122" s="131" t="n">
        <f aca="false">SUMIF($F$7:$AG$7,AK$7,$F122:$AG122)</f>
        <v>0</v>
      </c>
      <c r="AL122" s="131" t="n">
        <f aca="false">SUMIF($F$7:$AG$7,AL$7,$F122:$AG122)</f>
        <v>0</v>
      </c>
      <c r="AM122" s="131" t="n">
        <f aca="false">SUMIF($F$7:$AG$7,AM$7,$F122:$AG122)</f>
        <v>0</v>
      </c>
      <c r="AN122" s="131" t="n">
        <f aca="false">SUMIF($F$7:$AG$7,AN$7,$F122:$AG122)</f>
        <v>0</v>
      </c>
      <c r="AO122" s="131" t="n">
        <f aca="false">SUMIF($F$7:$AG$7,AO$7,$F122:$AG122)</f>
        <v>0</v>
      </c>
    </row>
    <row r="123" customFormat="false" ht="15" hidden="false" customHeight="false" outlineLevel="0" collapsed="false">
      <c r="A123" s="112" t="s">
        <v>2163</v>
      </c>
      <c r="B123" s="24" t="s">
        <v>857</v>
      </c>
      <c r="C123" s="24"/>
      <c r="D123" s="24"/>
      <c r="F123" s="121" t="n">
        <f aca="false">(1-$I$29)*(1-$J$29)*$D$29*(F$5&gt;=$H$29+$F$29)</f>
        <v>0</v>
      </c>
      <c r="G123" s="121" t="n">
        <f aca="false">(1-$I$29)*(1-$J$29)*$D$29*(G$5&gt;=$H$29+$F$29)</f>
        <v>0</v>
      </c>
      <c r="H123" s="121" t="n">
        <f aca="false">(1-$I$29)*(1-$J$29)*$D$29*(H$5&gt;=$H$29+$F$29)</f>
        <v>0</v>
      </c>
      <c r="I123" s="121" t="n">
        <f aca="false">(1-$I$29)*(1-$J$29)*$D$29*(I$5&gt;=$H$29+$F$29)</f>
        <v>0</v>
      </c>
      <c r="J123" s="121" t="n">
        <f aca="false">(1-$I$29)*(1-$J$29)*$D$29*(J$5&gt;=$H$29+$F$29)</f>
        <v>0</v>
      </c>
      <c r="K123" s="121" t="n">
        <f aca="false">(1-$I$29)*(1-$J$29)*$D$29*(K$5&gt;=$H$29+$F$29)</f>
        <v>0</v>
      </c>
      <c r="L123" s="121" t="n">
        <f aca="false">(1-$I$29)*(1-$J$29)*$D$29*(L$5&gt;=$H$29+$F$29)</f>
        <v>0</v>
      </c>
      <c r="M123" s="121" t="n">
        <f aca="false">(1-$I$29)*(1-$J$29)*$D$29*(M$5&gt;=$H$29+$F$29)</f>
        <v>0</v>
      </c>
      <c r="N123" s="121" t="n">
        <f aca="false">(1-$I$29)*(1-$J$29)*$D$29*(N$5&gt;=$H$29+$F$29)</f>
        <v>0</v>
      </c>
      <c r="O123" s="121" t="n">
        <f aca="false">(1-$I$29)*(1-$J$29)*$D$29*(O$5&gt;=$H$29+$F$29)</f>
        <v>0</v>
      </c>
      <c r="P123" s="39" t="n">
        <f aca="false">(1-$I$29)*(1-$J$29)*$D$29*(P$5&gt;=$H$29+$F$29)</f>
        <v>0</v>
      </c>
      <c r="Q123" s="39" t="n">
        <f aca="false">(1-$I$29)*(1-$J$29)*$D$29*(Q$5&gt;=$H$29+$F$29)</f>
        <v>0</v>
      </c>
      <c r="R123" s="39" t="n">
        <f aca="false">(1-$I$29)*(1-$J$29)*$D$29*(R$5&gt;=$H$29+$F$29)</f>
        <v>0</v>
      </c>
      <c r="S123" s="39" t="n">
        <f aca="false">(1-$I$29)*(1-$J$29)*$D$29*(S$5&gt;=$H$29+$F$29)</f>
        <v>0</v>
      </c>
      <c r="T123" s="39" t="n">
        <f aca="false">(1-$I$29)*(1-$J$29)*$D$29*(T$5&gt;=$H$29+$F$29)</f>
        <v>0</v>
      </c>
      <c r="U123" s="39" t="n">
        <f aca="false">(1-$I$29)*(1-$J$29)*$D$29*(U$5&gt;=$H$29+$F$29)</f>
        <v>0</v>
      </c>
      <c r="V123" s="39" t="n">
        <f aca="false">(1-$I$29)*(1-$J$29)*$D$29*(V$5&gt;=$H$29+$F$29)</f>
        <v>0</v>
      </c>
      <c r="W123" s="39" t="n">
        <f aca="false">(1-$I$29)*(1-$J$29)*$D$29*(W$5&gt;=$H$29+$F$29)</f>
        <v>0</v>
      </c>
      <c r="X123" s="39" t="n">
        <f aca="false">(1-$I$29)*(1-$J$29)*$D$29*(X$5&gt;=$H$29+$F$29)</f>
        <v>0</v>
      </c>
      <c r="Y123" s="39" t="n">
        <f aca="false">(1-$I$29)*(1-$J$29)*$D$29*(Y$5&gt;=$H$29+$F$29)</f>
        <v>0</v>
      </c>
      <c r="Z123" s="39" t="n">
        <f aca="false">(1-$I$29)*(1-$J$29)*$D$29*(Z$5&gt;=$H$29+$F$29)</f>
        <v>0</v>
      </c>
      <c r="AA123" s="39" t="n">
        <f aca="false">(1-$I$29)*(1-$J$29)*$D$29*(AA$5&gt;=$H$29+$F$29)</f>
        <v>0</v>
      </c>
      <c r="AB123" s="39" t="n">
        <f aca="false">(1-$I$29)*(1-$J$29)*$D$29*(AB$5&gt;=$H$29+$F$29)</f>
        <v>0</v>
      </c>
      <c r="AC123" s="39" t="n">
        <f aca="false">(1-$I$29)*(1-$J$29)*$D$29*(AC$5&gt;=$H$29+$F$29)</f>
        <v>0</v>
      </c>
      <c r="AD123" s="39" t="n">
        <f aca="false">(1-$I$29)*(1-$J$29)*$D$29*(AD$5&gt;=$H$29+$F$29)</f>
        <v>0</v>
      </c>
      <c r="AE123" s="39" t="n">
        <f aca="false">(1-$I$29)*(1-$J$29)*$D$29*(AE$5&gt;=$H$29+$F$29)</f>
        <v>0</v>
      </c>
      <c r="AF123" s="39" t="n">
        <f aca="false">(1-$I$29)*(1-$J$29)*$D$29*(AF$5&gt;=$H$29+$F$29)</f>
        <v>0</v>
      </c>
      <c r="AG123" s="39" t="n">
        <f aca="false">(1-$I$29)*(1-$J$29)*$D$29*(AG$5&gt;=$H$29+$F$29)</f>
        <v>0</v>
      </c>
      <c r="AI123" s="39" t="n">
        <f aca="false">INDEX($F123:$AG123,1,MATCH(AI$7,$F$7:$AG$7,1))</f>
        <v>0</v>
      </c>
      <c r="AJ123" s="39" t="n">
        <f aca="false">INDEX($F123:$AG123,1,MATCH(AJ$7,$F$7:$AG$7,1))</f>
        <v>0</v>
      </c>
      <c r="AK123" s="39" t="n">
        <f aca="false">INDEX($F123:$AG123,1,MATCH(AK$7,$F$7:$AG$7,1))</f>
        <v>0</v>
      </c>
      <c r="AL123" s="39" t="n">
        <f aca="false">INDEX($F123:$AG123,1,MATCH(AL$7,$F$7:$AG$7,1))</f>
        <v>0</v>
      </c>
      <c r="AM123" s="39" t="n">
        <f aca="false">INDEX($F123:$AG123,1,MATCH(AM$7,$F$7:$AG$7,1))</f>
        <v>0</v>
      </c>
      <c r="AN123" s="39" t="n">
        <f aca="false">INDEX($F123:$AG123,1,MATCH(AN$7,$F$7:$AG$7,1))</f>
        <v>0</v>
      </c>
      <c r="AO123" s="39" t="n">
        <f aca="false">INDEX($F123:$AG123,1,MATCH(AO$7,$F$7:$AG$7,1))</f>
        <v>0</v>
      </c>
    </row>
    <row r="124" customFormat="false" ht="15" hidden="false" customHeight="false" outlineLevel="0" collapsed="false">
      <c r="A124" s="112" t="s">
        <v>2164</v>
      </c>
      <c r="B124" s="24" t="s">
        <v>745</v>
      </c>
      <c r="C124" s="24"/>
      <c r="D124" s="24" t="s">
        <v>2079</v>
      </c>
      <c r="F124" s="130" t="n">
        <f aca="false">F123*CHOOSE(MATCH($C$29,{"H";"B";"N"},0),GPUMW_H*ODc_H,GPUMW_B*ODc_B,GPUMW_N*ODc_N)*ResidUtil*Timeline!F$9*INDEX(Curve,1,MAX(1,MIN(8,INT((F$5-$H$29)/4)+1)))/1000000</f>
        <v>0</v>
      </c>
      <c r="G124" s="130" t="n">
        <f aca="false">G123*CHOOSE(MATCH($C$29,{"H";"B";"N"},0),GPUMW_H*ODc_H,GPUMW_B*ODc_B,GPUMW_N*ODc_N)*ResidUtil*Timeline!G$9*INDEX(Curve,1,MAX(1,MIN(8,INT((G$5-$H$29)/4)+1)))/1000000</f>
        <v>0</v>
      </c>
      <c r="H124" s="130" t="n">
        <f aca="false">H123*CHOOSE(MATCH($C$29,{"H";"B";"N"},0),GPUMW_H*ODc_H,GPUMW_B*ODc_B,GPUMW_N*ODc_N)*ResidUtil*Timeline!H$9*INDEX(Curve,1,MAX(1,MIN(8,INT((H$5-$H$29)/4)+1)))/1000000</f>
        <v>0</v>
      </c>
      <c r="I124" s="130" t="n">
        <f aca="false">I123*CHOOSE(MATCH($C$29,{"H";"B";"N"},0),GPUMW_H*ODc_H,GPUMW_B*ODc_B,GPUMW_N*ODc_N)*ResidUtil*Timeline!I$9*INDEX(Curve,1,MAX(1,MIN(8,INT((I$5-$H$29)/4)+1)))/1000000</f>
        <v>0</v>
      </c>
      <c r="J124" s="130" t="n">
        <f aca="false">J123*CHOOSE(MATCH($C$29,{"H";"B";"N"},0),GPUMW_H*ODc_H,GPUMW_B*ODc_B,GPUMW_N*ODc_N)*ResidUtil*Timeline!J$9*INDEX(Curve,1,MAX(1,MIN(8,INT((J$5-$H$29)/4)+1)))/1000000</f>
        <v>0</v>
      </c>
      <c r="K124" s="130" t="n">
        <f aca="false">K123*CHOOSE(MATCH($C$29,{"H";"B";"N"},0),GPUMW_H*ODc_H,GPUMW_B*ODc_B,GPUMW_N*ODc_N)*ResidUtil*Timeline!K$9*INDEX(Curve,1,MAX(1,MIN(8,INT((K$5-$H$29)/4)+1)))/1000000</f>
        <v>0</v>
      </c>
      <c r="L124" s="130" t="n">
        <f aca="false">L123*CHOOSE(MATCH($C$29,{"H";"B";"N"},0),GPUMW_H*ODc_H,GPUMW_B*ODc_B,GPUMW_N*ODc_N)*ResidUtil*Timeline!L$9*INDEX(Curve,1,MAX(1,MIN(8,INT((L$5-$H$29)/4)+1)))/1000000</f>
        <v>0</v>
      </c>
      <c r="M124" s="130" t="n">
        <f aca="false">M123*CHOOSE(MATCH($C$29,{"H";"B";"N"},0),GPUMW_H*ODc_H,GPUMW_B*ODc_B,GPUMW_N*ODc_N)*ResidUtil*Timeline!M$9*INDEX(Curve,1,MAX(1,MIN(8,INT((M$5-$H$29)/4)+1)))/1000000</f>
        <v>0</v>
      </c>
      <c r="N124" s="130" t="n">
        <f aca="false">N123*CHOOSE(MATCH($C$29,{"H";"B";"N"},0),GPUMW_H*ODc_H,GPUMW_B*ODc_B,GPUMW_N*ODc_N)*ResidUtil*Timeline!N$9*INDEX(Curve,1,MAX(1,MIN(8,INT((N$5-$H$29)/4)+1)))/1000000</f>
        <v>0</v>
      </c>
      <c r="O124" s="130" t="n">
        <f aca="false">O123*CHOOSE(MATCH($C$29,{"H";"B";"N"},0),GPUMW_H*ODc_H,GPUMW_B*ODc_B,GPUMW_N*ODc_N)*ResidUtil*Timeline!O$9*INDEX(Curve,1,MAX(1,MIN(8,INT((O$5-$H$29)/4)+1)))/1000000</f>
        <v>0</v>
      </c>
      <c r="P124" s="131" t="n">
        <f aca="false">P123*CHOOSE(MATCH($C$29,{"H";"B";"N"},0),GPUMW_H*ODc_H,GPUMW_B*ODc_B,GPUMW_N*ODc_N)*ResidUtil*Timeline!P$9*INDEX(Curve,1,MAX(1,MIN(8,INT((P$5-$H$29)/4)+1)))/1000000</f>
        <v>0</v>
      </c>
      <c r="Q124" s="131" t="n">
        <f aca="false">Q123*CHOOSE(MATCH($C$29,{"H";"B";"N"},0),GPUMW_H*ODc_H,GPUMW_B*ODc_B,GPUMW_N*ODc_N)*ResidUtil*Timeline!Q$9*INDEX(Curve,1,MAX(1,MIN(8,INT((Q$5-$H$29)/4)+1)))/1000000</f>
        <v>0</v>
      </c>
      <c r="R124" s="131" t="n">
        <f aca="false">R123*CHOOSE(MATCH($C$29,{"H";"B";"N"},0),GPUMW_H*ODc_H,GPUMW_B*ODc_B,GPUMW_N*ODc_N)*ResidUtil*Timeline!R$9*INDEX(Curve,1,MAX(1,MIN(8,INT((R$5-$H$29)/4)+1)))/1000000</f>
        <v>0</v>
      </c>
      <c r="S124" s="131" t="n">
        <f aca="false">S123*CHOOSE(MATCH($C$29,{"H";"B";"N"},0),GPUMW_H*ODc_H,GPUMW_B*ODc_B,GPUMW_N*ODc_N)*ResidUtil*Timeline!S$9*INDEX(Curve,1,MAX(1,MIN(8,INT((S$5-$H$29)/4)+1)))/1000000</f>
        <v>0</v>
      </c>
      <c r="T124" s="131" t="n">
        <f aca="false">T123*CHOOSE(MATCH($C$29,{"H";"B";"N"},0),GPUMW_H*ODc_H,GPUMW_B*ODc_B,GPUMW_N*ODc_N)*ResidUtil*Timeline!T$9*INDEX(Curve,1,MAX(1,MIN(8,INT((T$5-$H$29)/4)+1)))/1000000</f>
        <v>0</v>
      </c>
      <c r="U124" s="131" t="n">
        <f aca="false">U123*CHOOSE(MATCH($C$29,{"H";"B";"N"},0),GPUMW_H*ODc_H,GPUMW_B*ODc_B,GPUMW_N*ODc_N)*ResidUtil*Timeline!U$9*INDEX(Curve,1,MAX(1,MIN(8,INT((U$5-$H$29)/4)+1)))/1000000</f>
        <v>0</v>
      </c>
      <c r="V124" s="131" t="n">
        <f aca="false">V123*CHOOSE(MATCH($C$29,{"H";"B";"N"},0),GPUMW_H*ODc_H,GPUMW_B*ODc_B,GPUMW_N*ODc_N)*ResidUtil*Timeline!V$9*INDEX(Curve,1,MAX(1,MIN(8,INT((V$5-$H$29)/4)+1)))/1000000</f>
        <v>0</v>
      </c>
      <c r="W124" s="131" t="n">
        <f aca="false">W123*CHOOSE(MATCH($C$29,{"H";"B";"N"},0),GPUMW_H*ODc_H,GPUMW_B*ODc_B,GPUMW_N*ODc_N)*ResidUtil*Timeline!W$9*INDEX(Curve,1,MAX(1,MIN(8,INT((W$5-$H$29)/4)+1)))/1000000</f>
        <v>0</v>
      </c>
      <c r="X124" s="131" t="n">
        <f aca="false">X123*CHOOSE(MATCH($C$29,{"H";"B";"N"},0),GPUMW_H*ODc_H,GPUMW_B*ODc_B,GPUMW_N*ODc_N)*ResidUtil*Timeline!X$9*INDEX(Curve,1,MAX(1,MIN(8,INT((X$5-$H$29)/4)+1)))/1000000</f>
        <v>0</v>
      </c>
      <c r="Y124" s="131" t="n">
        <f aca="false">Y123*CHOOSE(MATCH($C$29,{"H";"B";"N"},0),GPUMW_H*ODc_H,GPUMW_B*ODc_B,GPUMW_N*ODc_N)*ResidUtil*Timeline!Y$9*INDEX(Curve,1,MAX(1,MIN(8,INT((Y$5-$H$29)/4)+1)))/1000000</f>
        <v>0</v>
      </c>
      <c r="Z124" s="131" t="n">
        <f aca="false">Z123*CHOOSE(MATCH($C$29,{"H";"B";"N"},0),GPUMW_H*ODc_H,GPUMW_B*ODc_B,GPUMW_N*ODc_N)*ResidUtil*Timeline!Z$9*INDEX(Curve,1,MAX(1,MIN(8,INT((Z$5-$H$29)/4)+1)))/1000000</f>
        <v>0</v>
      </c>
      <c r="AA124" s="131" t="n">
        <f aca="false">AA123*CHOOSE(MATCH($C$29,{"H";"B";"N"},0),GPUMW_H*ODc_H,GPUMW_B*ODc_B,GPUMW_N*ODc_N)*ResidUtil*Timeline!AA$9*INDEX(Curve,1,MAX(1,MIN(8,INT((AA$5-$H$29)/4)+1)))/1000000</f>
        <v>0</v>
      </c>
      <c r="AB124" s="131" t="n">
        <f aca="false">AB123*CHOOSE(MATCH($C$29,{"H";"B";"N"},0),GPUMW_H*ODc_H,GPUMW_B*ODc_B,GPUMW_N*ODc_N)*ResidUtil*Timeline!AB$9*INDEX(Curve,1,MAX(1,MIN(8,INT((AB$5-$H$29)/4)+1)))/1000000</f>
        <v>0</v>
      </c>
      <c r="AC124" s="131" t="n">
        <f aca="false">AC123*CHOOSE(MATCH($C$29,{"H";"B";"N"},0),GPUMW_H*ODc_H,GPUMW_B*ODc_B,GPUMW_N*ODc_N)*ResidUtil*Timeline!AC$9*INDEX(Curve,1,MAX(1,MIN(8,INT((AC$5-$H$29)/4)+1)))/1000000</f>
        <v>0</v>
      </c>
      <c r="AD124" s="131" t="n">
        <f aca="false">AD123*CHOOSE(MATCH($C$29,{"H";"B";"N"},0),GPUMW_H*ODc_H,GPUMW_B*ODc_B,GPUMW_N*ODc_N)*ResidUtil*Timeline!AD$9*INDEX(Curve,1,MAX(1,MIN(8,INT((AD$5-$H$29)/4)+1)))/1000000</f>
        <v>0</v>
      </c>
      <c r="AE124" s="131" t="n">
        <f aca="false">AE123*CHOOSE(MATCH($C$29,{"H";"B";"N"},0),GPUMW_H*ODc_H,GPUMW_B*ODc_B,GPUMW_N*ODc_N)*ResidUtil*Timeline!AE$9*INDEX(Curve,1,MAX(1,MIN(8,INT((AE$5-$H$29)/4)+1)))/1000000</f>
        <v>0</v>
      </c>
      <c r="AF124" s="131" t="n">
        <f aca="false">AF123*CHOOSE(MATCH($C$29,{"H";"B";"N"},0),GPUMW_H*ODc_H,GPUMW_B*ODc_B,GPUMW_N*ODc_N)*ResidUtil*Timeline!AF$9*INDEX(Curve,1,MAX(1,MIN(8,INT((AF$5-$H$29)/4)+1)))/1000000</f>
        <v>0</v>
      </c>
      <c r="AG124" s="131" t="n">
        <f aca="false">AG123*CHOOSE(MATCH($C$29,{"H";"B";"N"},0),GPUMW_H*ODc_H,GPUMW_B*ODc_B,GPUMW_N*ODc_N)*ResidUtil*Timeline!AG$9*INDEX(Curve,1,MAX(1,MIN(8,INT((AG$5-$H$29)/4)+1)))/1000000</f>
        <v>0</v>
      </c>
      <c r="AI124" s="131" t="n">
        <f aca="false">SUMIF($F$7:$AG$7,AI$7,$F124:$AG124)</f>
        <v>0</v>
      </c>
      <c r="AJ124" s="131" t="n">
        <f aca="false">SUMIF($F$7:$AG$7,AJ$7,$F124:$AG124)</f>
        <v>0</v>
      </c>
      <c r="AK124" s="131" t="n">
        <f aca="false">SUMIF($F$7:$AG$7,AK$7,$F124:$AG124)</f>
        <v>0</v>
      </c>
      <c r="AL124" s="131" t="n">
        <f aca="false">SUMIF($F$7:$AG$7,AL$7,$F124:$AG124)</f>
        <v>0</v>
      </c>
      <c r="AM124" s="131" t="n">
        <f aca="false">SUMIF($F$7:$AG$7,AM$7,$F124:$AG124)</f>
        <v>0</v>
      </c>
      <c r="AN124" s="131" t="n">
        <f aca="false">SUMIF($F$7:$AG$7,AN$7,$F124:$AG124)</f>
        <v>0</v>
      </c>
      <c r="AO124" s="131" t="n">
        <f aca="false">SUMIF($F$7:$AG$7,AO$7,$F124:$AG124)</f>
        <v>0</v>
      </c>
    </row>
    <row r="126" customFormat="false" ht="15" hidden="false" customHeight="false" outlineLevel="0" collapsed="false">
      <c r="A126" s="64" t="s">
        <v>2165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8" customFormat="false" ht="15" hidden="false" customHeight="false" outlineLevel="0" collapsed="false">
      <c r="A128" s="64" t="s">
        <v>2166</v>
      </c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customFormat="false" ht="15" hidden="false" customHeight="false" outlineLevel="0" collapsed="false">
      <c r="A129" s="112" t="s">
        <v>2167</v>
      </c>
      <c r="B129" s="24" t="s">
        <v>745</v>
      </c>
      <c r="C129" s="24" t="s">
        <v>672</v>
      </c>
      <c r="D129" s="24"/>
      <c r="F129" s="130" t="n">
        <f aca="false">F35+F40+F45+F50+F55+F60+F65+F70+F75+F80+F85</f>
        <v>0</v>
      </c>
      <c r="G129" s="130" t="n">
        <f aca="false">G35+G40+G45+G50+G55+G60+G65+G70+G75+G80+G85</f>
        <v>0</v>
      </c>
      <c r="H129" s="130" t="n">
        <f aca="false">H35+H40+H45+H50+H55+H60+H65+H70+H75+H80+H85</f>
        <v>0</v>
      </c>
      <c r="I129" s="130" t="n">
        <f aca="false">I35+I40+I45+I50+I55+I60+I65+I70+I75+I80+I85</f>
        <v>0</v>
      </c>
      <c r="J129" s="130" t="n">
        <f aca="false">J35+J40+J45+J50+J55+J60+J65+J70+J75+J80+J85</f>
        <v>0</v>
      </c>
      <c r="K129" s="130" t="n">
        <f aca="false">K35+K40+K45+K50+K55+K60+K65+K70+K75+K80+K85</f>
        <v>0</v>
      </c>
      <c r="L129" s="130" t="n">
        <f aca="false">L35+L40+L45+L50+L55+L60+L65+L70+L75+L80+L85</f>
        <v>0</v>
      </c>
      <c r="M129" s="130" t="n">
        <f aca="false">M35+M40+M45+M50+M55+M60+M65+M70+M75+M80+M85</f>
        <v>12.0784027777778</v>
      </c>
      <c r="N129" s="130" t="n">
        <f aca="false">N35+N40+N45+N50+N55+N60+N65+N70+N75+N80+N85</f>
        <v>60.3920138888889</v>
      </c>
      <c r="O129" s="130" t="n">
        <f aca="false">O35+O40+O45+O50+O55+O60+O65+O70+O75+O80+O85</f>
        <v>120.784027777778</v>
      </c>
      <c r="P129" s="131" t="n">
        <f aca="false">P35+P40+P45+P50+P55+P60+P65+P70+P75+P80+P85</f>
        <v>193.254444444444</v>
      </c>
      <c r="Q129" s="131" t="n">
        <f aca="false">Q35+Q40+Q45+Q50+Q55+Q60+Q65+Q70+Q75+Q80+Q85</f>
        <v>289.881666666667</v>
      </c>
      <c r="R129" s="131" t="n">
        <f aca="false">R35+R40+R45+R50+R55+R60+R65+R70+R75+R80+R85</f>
        <v>338.195277777778</v>
      </c>
      <c r="S129" s="131" t="n">
        <f aca="false">S35+S40+S45+S50+S55+S60+S65+S70+S75+S80+S85</f>
        <v>579.763333333333</v>
      </c>
      <c r="T129" s="131" t="n">
        <f aca="false">T35+T40+T45+T50+T55+T60+T65+T70+T75+T80+T85</f>
        <v>869.645</v>
      </c>
      <c r="U129" s="131" t="n">
        <f aca="false">U35+U40+U45+U50+U55+U60+U65+U70+U75+U80+U85</f>
        <v>869.645</v>
      </c>
      <c r="V129" s="131" t="n">
        <f aca="false">V35+V40+V45+V50+V55+V60+V65+V70+V75+V80+V85</f>
        <v>869.645</v>
      </c>
      <c r="W129" s="131" t="n">
        <f aca="false">W35+W40+W45+W50+W55+W60+W65+W70+W75+W80+W85</f>
        <v>869.645</v>
      </c>
      <c r="X129" s="131" t="n">
        <f aca="false">X35+X40+X45+X50+X55+X60+X65+X70+X75+X80+X85</f>
        <v>869.645</v>
      </c>
      <c r="Y129" s="131" t="n">
        <f aca="false">Y35+Y40+Y45+Y50+Y55+Y60+Y65+Y70+Y75+Y80+Y85</f>
        <v>869.645</v>
      </c>
      <c r="Z129" s="131" t="n">
        <f aca="false">Z35+Z40+Z45+Z50+Z55+Z60+Z65+Z70+Z75+Z80+Z85</f>
        <v>869.645</v>
      </c>
      <c r="AA129" s="131" t="n">
        <f aca="false">AA35+AA40+AA45+AA50+AA55+AA60+AA65+AA70+AA75+AA80+AA85</f>
        <v>869.645</v>
      </c>
      <c r="AB129" s="131" t="n">
        <f aca="false">AB35+AB40+AB45+AB50+AB55+AB60+AB65+AB70+AB75+AB80+AB85</f>
        <v>869.645</v>
      </c>
      <c r="AC129" s="131" t="n">
        <f aca="false">AC35+AC40+AC45+AC50+AC55+AC60+AC65+AC70+AC75+AC80+AC85</f>
        <v>869.645</v>
      </c>
      <c r="AD129" s="131" t="n">
        <f aca="false">AD35+AD40+AD45+AD50+AD55+AD60+AD65+AD70+AD75+AD80+AD85</f>
        <v>869.645</v>
      </c>
      <c r="AE129" s="131" t="n">
        <f aca="false">AE35+AE40+AE45+AE50+AE55+AE60+AE65+AE70+AE75+AE80+AE85</f>
        <v>869.645</v>
      </c>
      <c r="AF129" s="131" t="n">
        <f aca="false">AF35+AF40+AF45+AF50+AF55+AF60+AF65+AF70+AF75+AF80+AF85</f>
        <v>869.645</v>
      </c>
      <c r="AG129" s="131" t="n">
        <f aca="false">AG35+AG40+AG45+AG50+AG55+AG60+AG65+AG70+AG75+AG80+AG85</f>
        <v>821.331388888889</v>
      </c>
      <c r="AI129" s="131" t="n">
        <f aca="false">SUMIF($F$7:$AG$7,AI$7,$F129:$AG129)</f>
        <v>0</v>
      </c>
      <c r="AJ129" s="131" t="n">
        <f aca="false">SUMIF($F$7:$AG$7,AJ$7,$F129:$AG129)</f>
        <v>12.0784027777778</v>
      </c>
      <c r="AK129" s="131" t="n">
        <f aca="false">SUMIF($F$7:$AG$7,AK$7,$F129:$AG129)</f>
        <v>664.312152777778</v>
      </c>
      <c r="AL129" s="131" t="n">
        <f aca="false">SUMIF($F$7:$AG$7,AL$7,$F129:$AG129)</f>
        <v>2657.24861111111</v>
      </c>
      <c r="AM129" s="131" t="n">
        <f aca="false">SUMIF($F$7:$AG$7,AM$7,$F129:$AG129)</f>
        <v>3478.58</v>
      </c>
      <c r="AN129" s="131" t="n">
        <f aca="false">SUMIF($F$7:$AG$7,AN$7,$F129:$AG129)</f>
        <v>3478.58</v>
      </c>
      <c r="AO129" s="131" t="n">
        <f aca="false">SUMIF($F$7:$AG$7,AO$7,$F129:$AG129)</f>
        <v>3430.26638888889</v>
      </c>
    </row>
    <row r="130" customFormat="false" ht="15" hidden="false" customHeight="false" outlineLevel="0" collapsed="false">
      <c r="A130" s="112" t="s">
        <v>2168</v>
      </c>
      <c r="B130" s="24" t="s">
        <v>857</v>
      </c>
      <c r="C130" s="24" t="s">
        <v>672</v>
      </c>
      <c r="D130" s="24"/>
      <c r="F130" s="130" t="n">
        <f aca="false">F36+F41+F46+F51+F56+F61+F66+F71+F76+F81+F86</f>
        <v>0</v>
      </c>
      <c r="G130" s="130" t="n">
        <f aca="false">G36+G41+G46+G51+G56+G61+G66+G71+G76+G81+G86</f>
        <v>0</v>
      </c>
      <c r="H130" s="130" t="n">
        <f aca="false">H36+H41+H46+H51+H56+H61+H66+H71+H76+H81+H86</f>
        <v>0</v>
      </c>
      <c r="I130" s="130" t="n">
        <f aca="false">I36+I41+I46+I51+I56+I61+I66+I71+I76+I81+I86</f>
        <v>0</v>
      </c>
      <c r="J130" s="130" t="n">
        <f aca="false">J36+J41+J46+J51+J56+J61+J66+J71+J76+J81+J86</f>
        <v>0</v>
      </c>
      <c r="K130" s="130" t="n">
        <f aca="false">K36+K41+K46+K51+K56+K61+K66+K71+K76+K81+K86</f>
        <v>0</v>
      </c>
      <c r="L130" s="130" t="n">
        <f aca="false">L36+L41+L46+L51+L56+L61+L66+L71+L76+L81+L86</f>
        <v>0</v>
      </c>
      <c r="M130" s="130" t="n">
        <f aca="false">M36+M41+M46+M51+M56+M61+M66+M71+M76+M81+M86</f>
        <v>26.6666666666667</v>
      </c>
      <c r="N130" s="130" t="n">
        <f aca="false">N36+N41+N46+N51+N56+N61+N66+N71+N76+N81+N86</f>
        <v>53.3333333333333</v>
      </c>
      <c r="O130" s="130" t="n">
        <f aca="false">O36+O41+O46+O51+O56+O61+O66+O71+O76+O81+O86</f>
        <v>53.3333333333333</v>
      </c>
      <c r="P130" s="131" t="n">
        <f aca="false">P36+P41+P46+P51+P56+P61+P66+P71+P76+P81+P86</f>
        <v>106.666666666667</v>
      </c>
      <c r="Q130" s="131" t="n">
        <f aca="false">Q36+Q41+Q46+Q51+Q56+Q61+Q66+Q71+Q76+Q81+Q86</f>
        <v>106.666666666667</v>
      </c>
      <c r="R130" s="131" t="n">
        <f aca="false">R36+R41+R46+R51+R56+R61+R66+R71+R76+R81+R86</f>
        <v>106.666666666667</v>
      </c>
      <c r="S130" s="131" t="n">
        <f aca="false">S36+S41+S46+S51+S56+S61+S66+S71+S76+S81+S86</f>
        <v>160</v>
      </c>
      <c r="T130" s="131" t="n">
        <f aca="false">T36+T41+T46+T51+T56+T61+T66+T71+T76+T81+T86</f>
        <v>240</v>
      </c>
      <c r="U130" s="131" t="n">
        <f aca="false">U36+U41+U46+U51+U56+U61+U66+U71+U76+U81+U86</f>
        <v>240</v>
      </c>
      <c r="V130" s="131" t="n">
        <f aca="false">V36+V41+V46+V51+V56+V61+V66+V71+V76+V81+V86</f>
        <v>240</v>
      </c>
      <c r="W130" s="131" t="n">
        <f aca="false">W36+W41+W46+W51+W56+W61+W66+W71+W76+W81+W86</f>
        <v>240</v>
      </c>
      <c r="X130" s="131" t="n">
        <f aca="false">X36+X41+X46+X51+X56+X61+X66+X71+X76+X81+X86</f>
        <v>240</v>
      </c>
      <c r="Y130" s="131" t="n">
        <f aca="false">Y36+Y41+Y46+Y51+Y56+Y61+Y66+Y71+Y76+Y81+Y86</f>
        <v>240</v>
      </c>
      <c r="Z130" s="131" t="n">
        <f aca="false">Z36+Z41+Z46+Z51+Z56+Z61+Z66+Z71+Z76+Z81+Z86</f>
        <v>240</v>
      </c>
      <c r="AA130" s="131" t="n">
        <f aca="false">AA36+AA41+AA46+AA51+AA56+AA61+AA66+AA71+AA76+AA81+AA86</f>
        <v>240</v>
      </c>
      <c r="AB130" s="131" t="n">
        <f aca="false">AB36+AB41+AB46+AB51+AB56+AB61+AB66+AB71+AB76+AB81+AB86</f>
        <v>240</v>
      </c>
      <c r="AC130" s="131" t="n">
        <f aca="false">AC36+AC41+AC46+AC51+AC56+AC61+AC66+AC71+AC76+AC81+AC86</f>
        <v>240</v>
      </c>
      <c r="AD130" s="131" t="n">
        <f aca="false">AD36+AD41+AD46+AD51+AD56+AD61+AD66+AD71+AD76+AD81+AD86</f>
        <v>240</v>
      </c>
      <c r="AE130" s="131" t="n">
        <f aca="false">AE36+AE41+AE46+AE51+AE56+AE61+AE66+AE71+AE76+AE81+AE86</f>
        <v>240</v>
      </c>
      <c r="AF130" s="131" t="n">
        <f aca="false">AF36+AF41+AF46+AF51+AF56+AF61+AF66+AF71+AF76+AF81+AF86</f>
        <v>240</v>
      </c>
      <c r="AG130" s="131" t="n">
        <f aca="false">AG36+AG41+AG46+AG51+AG56+AG61+AG66+AG71+AG76+AG81+AG86</f>
        <v>213.333333333333</v>
      </c>
      <c r="AI130" s="131" t="n">
        <f aca="false">INDEX($F130:$AG130,1,MATCH(AI$7,$F$7:$AG$7,1))</f>
        <v>0</v>
      </c>
      <c r="AJ130" s="131" t="n">
        <f aca="false">INDEX($F130:$AG130,1,MATCH(AJ$7,$F$7:$AG$7,1))</f>
        <v>26.6666666666667</v>
      </c>
      <c r="AK130" s="131" t="n">
        <f aca="false">INDEX($F130:$AG130,1,MATCH(AK$7,$F$7:$AG$7,1))</f>
        <v>106.666666666667</v>
      </c>
      <c r="AL130" s="131" t="n">
        <f aca="false">INDEX($F130:$AG130,1,MATCH(AL$7,$F$7:$AG$7,1))</f>
        <v>240</v>
      </c>
      <c r="AM130" s="131" t="n">
        <f aca="false">INDEX($F130:$AG130,1,MATCH(AM$7,$F$7:$AG$7,1))</f>
        <v>240</v>
      </c>
      <c r="AN130" s="131" t="n">
        <f aca="false">INDEX($F130:$AG130,1,MATCH(AN$7,$F$7:$AG$7,1))</f>
        <v>240</v>
      </c>
      <c r="AO130" s="131" t="n">
        <f aca="false">INDEX($F130:$AG130,1,MATCH(AO$7,$F$7:$AG$7,1))</f>
        <v>213.333333333333</v>
      </c>
    </row>
    <row r="131" customFormat="false" ht="15" hidden="false" customHeight="false" outlineLevel="0" collapsed="false">
      <c r="A131" s="112" t="s">
        <v>2169</v>
      </c>
      <c r="B131" s="24" t="s">
        <v>857</v>
      </c>
      <c r="C131" s="24" t="s">
        <v>690</v>
      </c>
      <c r="D131" s="24"/>
      <c r="F131" s="130" t="n">
        <f aca="false">IF(AND(BloomOn=1,F$5&gt;=BloomIdx+2*BloomSlipOn),F130,GensetMW/VinPUE)</f>
        <v>102.416666666667</v>
      </c>
      <c r="G131" s="130" t="n">
        <f aca="false">IF(AND(BloomOn=1,G$5&gt;=BloomIdx+2*BloomSlipOn),G130,GensetMW/VinPUE)</f>
        <v>102.416666666667</v>
      </c>
      <c r="H131" s="130" t="n">
        <f aca="false">IF(AND(BloomOn=1,H$5&gt;=BloomIdx+2*BloomSlipOn),H130,GensetMW/VinPUE)</f>
        <v>102.416666666667</v>
      </c>
      <c r="I131" s="130" t="n">
        <f aca="false">IF(AND(BloomOn=1,I$5&gt;=BloomIdx+2*BloomSlipOn),I130,GensetMW/VinPUE)</f>
        <v>102.416666666667</v>
      </c>
      <c r="J131" s="130" t="n">
        <f aca="false">IF(AND(BloomOn=1,J$5&gt;=BloomIdx+2*BloomSlipOn),J130,GensetMW/VinPUE)</f>
        <v>102.416666666667</v>
      </c>
      <c r="K131" s="130" t="n">
        <f aca="false">IF(AND(BloomOn=1,K$5&gt;=BloomIdx+2*BloomSlipOn),K130,GensetMW/VinPUE)</f>
        <v>102.416666666667</v>
      </c>
      <c r="L131" s="130" t="n">
        <f aca="false">IF(AND(BloomOn=1,L$5&gt;=BloomIdx+2*BloomSlipOn),L130,GensetMW/VinPUE)</f>
        <v>102.416666666667</v>
      </c>
      <c r="M131" s="130" t="n">
        <f aca="false">IF(AND(BloomOn=1,M$5&gt;=BloomIdx+2*BloomSlipOn),M130,GensetMW/VinPUE)</f>
        <v>102.416666666667</v>
      </c>
      <c r="N131" s="130" t="n">
        <f aca="false">IF(AND(BloomOn=1,N$5&gt;=BloomIdx+2*BloomSlipOn),N130,GensetMW/VinPUE)</f>
        <v>102.416666666667</v>
      </c>
      <c r="O131" s="130" t="n">
        <f aca="false">IF(AND(BloomOn=1,O$5&gt;=BloomIdx+2*BloomSlipOn),O130,GensetMW/VinPUE)</f>
        <v>102.416666666667</v>
      </c>
      <c r="P131" s="131" t="n">
        <f aca="false">IF(AND(BloomOn=1,P$5&gt;=BloomIdx+2*BloomSlipOn),P130,GensetMW/VinPUE)</f>
        <v>102.416666666667</v>
      </c>
      <c r="Q131" s="131" t="n">
        <f aca="false">IF(AND(BloomOn=1,Q$5&gt;=BloomIdx+2*BloomSlipOn),Q130,GensetMW/VinPUE)</f>
        <v>102.416666666667</v>
      </c>
      <c r="R131" s="131" t="n">
        <f aca="false">IF(AND(BloomOn=1,R$5&gt;=BloomIdx+2*BloomSlipOn),R130,GensetMW/VinPUE)</f>
        <v>102.416666666667</v>
      </c>
      <c r="S131" s="131" t="n">
        <f aca="false">IF(AND(BloomOn=1,S$5&gt;=BloomIdx+2*BloomSlipOn),S130,GensetMW/VinPUE)</f>
        <v>160</v>
      </c>
      <c r="T131" s="131" t="n">
        <f aca="false">IF(AND(BloomOn=1,T$5&gt;=BloomIdx+2*BloomSlipOn),T130,GensetMW/VinPUE)</f>
        <v>240</v>
      </c>
      <c r="U131" s="131" t="n">
        <f aca="false">IF(AND(BloomOn=1,U$5&gt;=BloomIdx+2*BloomSlipOn),U130,GensetMW/VinPUE)</f>
        <v>240</v>
      </c>
      <c r="V131" s="131" t="n">
        <f aca="false">IF(AND(BloomOn=1,V$5&gt;=BloomIdx+2*BloomSlipOn),V130,GensetMW/VinPUE)</f>
        <v>240</v>
      </c>
      <c r="W131" s="131" t="n">
        <f aca="false">IF(AND(BloomOn=1,W$5&gt;=BloomIdx+2*BloomSlipOn),W130,GensetMW/VinPUE)</f>
        <v>240</v>
      </c>
      <c r="X131" s="131" t="n">
        <f aca="false">IF(AND(BloomOn=1,X$5&gt;=BloomIdx+2*BloomSlipOn),X130,GensetMW/VinPUE)</f>
        <v>240</v>
      </c>
      <c r="Y131" s="131" t="n">
        <f aca="false">IF(AND(BloomOn=1,Y$5&gt;=BloomIdx+2*BloomSlipOn),Y130,GensetMW/VinPUE)</f>
        <v>240</v>
      </c>
      <c r="Z131" s="131" t="n">
        <f aca="false">IF(AND(BloomOn=1,Z$5&gt;=BloomIdx+2*BloomSlipOn),Z130,GensetMW/VinPUE)</f>
        <v>240</v>
      </c>
      <c r="AA131" s="131" t="n">
        <f aca="false">IF(AND(BloomOn=1,AA$5&gt;=BloomIdx+2*BloomSlipOn),AA130,GensetMW/VinPUE)</f>
        <v>240</v>
      </c>
      <c r="AB131" s="131" t="n">
        <f aca="false">IF(AND(BloomOn=1,AB$5&gt;=BloomIdx+2*BloomSlipOn),AB130,GensetMW/VinPUE)</f>
        <v>240</v>
      </c>
      <c r="AC131" s="131" t="n">
        <f aca="false">IF(AND(BloomOn=1,AC$5&gt;=BloomIdx+2*BloomSlipOn),AC130,GensetMW/VinPUE)</f>
        <v>240</v>
      </c>
      <c r="AD131" s="131" t="n">
        <f aca="false">IF(AND(BloomOn=1,AD$5&gt;=BloomIdx+2*BloomSlipOn),AD130,GensetMW/VinPUE)</f>
        <v>240</v>
      </c>
      <c r="AE131" s="131" t="n">
        <f aca="false">IF(AND(BloomOn=1,AE$5&gt;=BloomIdx+2*BloomSlipOn),AE130,GensetMW/VinPUE)</f>
        <v>240</v>
      </c>
      <c r="AF131" s="131" t="n">
        <f aca="false">IF(AND(BloomOn=1,AF$5&gt;=BloomIdx+2*BloomSlipOn),AF130,GensetMW/VinPUE)</f>
        <v>240</v>
      </c>
      <c r="AG131" s="131" t="n">
        <f aca="false">IF(AND(BloomOn=1,AG$5&gt;=BloomIdx+2*BloomSlipOn),AG130,GensetMW/VinPUE)</f>
        <v>213.333333333333</v>
      </c>
      <c r="AI131" s="131" t="n">
        <f aca="false">INDEX($F131:$AG131,1,MATCH(AI$7,$F$7:$AG$7,1))</f>
        <v>102.416666666667</v>
      </c>
      <c r="AJ131" s="131" t="n">
        <f aca="false">INDEX($F131:$AG131,1,MATCH(AJ$7,$F$7:$AG$7,1))</f>
        <v>102.416666666667</v>
      </c>
      <c r="AK131" s="131" t="n">
        <f aca="false">INDEX($F131:$AG131,1,MATCH(AK$7,$F$7:$AG$7,1))</f>
        <v>102.416666666667</v>
      </c>
      <c r="AL131" s="131" t="n">
        <f aca="false">INDEX($F131:$AG131,1,MATCH(AL$7,$F$7:$AG$7,1))</f>
        <v>240</v>
      </c>
      <c r="AM131" s="131" t="n">
        <f aca="false">INDEX($F131:$AG131,1,MATCH(AM$7,$F$7:$AG$7,1))</f>
        <v>240</v>
      </c>
      <c r="AN131" s="131" t="n">
        <f aca="false">INDEX($F131:$AG131,1,MATCH(AN$7,$F$7:$AG$7,1))</f>
        <v>240</v>
      </c>
      <c r="AO131" s="131" t="n">
        <f aca="false">INDEX($F131:$AG131,1,MATCH(AO$7,$F$7:$AG$7,1))</f>
        <v>213.333333333333</v>
      </c>
    </row>
    <row r="133" customFormat="false" ht="15" hidden="false" customHeight="false" outlineLevel="0" collapsed="false">
      <c r="A133" s="64" t="s">
        <v>2170</v>
      </c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</row>
    <row r="134" customFormat="false" ht="15" hidden="false" customHeight="false" outlineLevel="0" collapsed="false">
      <c r="A134" s="0" t="s">
        <v>2171</v>
      </c>
      <c r="C134" s="92" t="n">
        <v>0</v>
      </c>
      <c r="D134" s="31" t="n">
        <v>0</v>
      </c>
      <c r="E134" s="31" t="n">
        <v>0</v>
      </c>
      <c r="F134" s="43" t="n">
        <v>0.55</v>
      </c>
      <c r="G134" s="0" t="s">
        <v>2172</v>
      </c>
    </row>
    <row r="135" customFormat="false" ht="15" hidden="false" customHeight="false" outlineLevel="0" collapsed="false">
      <c r="A135" s="0" t="s">
        <v>2173</v>
      </c>
      <c r="C135" s="92" t="n">
        <v>51.25</v>
      </c>
      <c r="D135" s="31" t="n">
        <v>55</v>
      </c>
      <c r="E135" s="31" t="n">
        <v>6</v>
      </c>
      <c r="F135" s="43" t="n">
        <v>0.2</v>
      </c>
      <c r="G135" s="0" t="s">
        <v>2172</v>
      </c>
    </row>
    <row r="136" customFormat="false" ht="15" hidden="false" customHeight="false" outlineLevel="0" collapsed="false">
      <c r="A136" s="0" t="s">
        <v>2174</v>
      </c>
      <c r="C136" s="92" t="n">
        <v>100.95</v>
      </c>
      <c r="D136" s="31" t="n">
        <v>55</v>
      </c>
      <c r="E136" s="31" t="n">
        <v>6</v>
      </c>
      <c r="F136" s="43" t="n">
        <v>0.05</v>
      </c>
      <c r="G136" s="0" t="s">
        <v>2172</v>
      </c>
    </row>
    <row r="137" customFormat="false" ht="15" hidden="false" customHeight="false" outlineLevel="0" collapsed="false">
      <c r="A137" s="0" t="s">
        <v>2175</v>
      </c>
      <c r="C137" s="92" t="n">
        <v>102.5</v>
      </c>
      <c r="D137" s="31" t="n">
        <v>30</v>
      </c>
      <c r="E137" s="31" t="n">
        <v>0</v>
      </c>
      <c r="F137" s="43" t="n">
        <v>0.1</v>
      </c>
      <c r="G137" s="0" t="s">
        <v>2172</v>
      </c>
    </row>
    <row r="138" customFormat="false" ht="15" hidden="false" customHeight="false" outlineLevel="0" collapsed="false">
      <c r="A138" s="0" t="s">
        <v>2176</v>
      </c>
      <c r="C138" s="92" t="n">
        <v>102.5</v>
      </c>
      <c r="D138" s="31" t="n">
        <v>55</v>
      </c>
      <c r="E138" s="31" t="n">
        <v>6</v>
      </c>
      <c r="F138" s="43" t="n">
        <v>0.06</v>
      </c>
      <c r="G138" s="0" t="s">
        <v>2172</v>
      </c>
    </row>
    <row r="139" customFormat="false" ht="15" hidden="false" customHeight="false" outlineLevel="0" collapsed="false">
      <c r="A139" s="0" t="s">
        <v>2177</v>
      </c>
      <c r="C139" s="92" t="n">
        <v>102.5</v>
      </c>
      <c r="D139" s="31" t="n">
        <v>55</v>
      </c>
      <c r="E139" s="31" t="n">
        <v>36</v>
      </c>
      <c r="F139" s="43" t="n">
        <v>0.04</v>
      </c>
      <c r="G139" s="0" t="s">
        <v>2172</v>
      </c>
    </row>
    <row r="140" customFormat="false" ht="15" hidden="false" customHeight="false" outlineLevel="0" collapsed="false">
      <c r="A140" s="112" t="s">
        <v>2178</v>
      </c>
      <c r="B140" s="24" t="s">
        <v>857</v>
      </c>
      <c r="C140" s="24" t="s">
        <v>690</v>
      </c>
      <c r="D140" s="24" t="s">
        <v>2179</v>
      </c>
      <c r="F140" s="130" t="n">
        <f aca="false">0/Timeline!F$9*24</f>
        <v>0</v>
      </c>
      <c r="G140" s="130" t="n">
        <f aca="false">0/Timeline!G$9*24</f>
        <v>0</v>
      </c>
      <c r="H140" s="130" t="n">
        <f aca="false">0/Timeline!H$9*24</f>
        <v>0</v>
      </c>
      <c r="I140" s="130" t="n">
        <f aca="false">0/Timeline!I$9*24</f>
        <v>0</v>
      </c>
      <c r="J140" s="130" t="n">
        <f aca="false">0/Timeline!J$9*24</f>
        <v>0</v>
      </c>
      <c r="K140" s="130" t="n">
        <f aca="false">0/Timeline!K$9*24</f>
        <v>0</v>
      </c>
      <c r="L140" s="130" t="n">
        <f aca="false">0/Timeline!L$9*24</f>
        <v>0</v>
      </c>
      <c r="M140" s="130" t="n">
        <f aca="false">0/Timeline!M$9*24</f>
        <v>0</v>
      </c>
      <c r="N140" s="130" t="n">
        <f aca="false">0/Timeline!N$9*24</f>
        <v>0</v>
      </c>
      <c r="O140" s="130" t="n">
        <f aca="false">0/Timeline!O$9*24</f>
        <v>0</v>
      </c>
      <c r="P140" s="131" t="n">
        <f aca="false">0/Timeline!P$9*24</f>
        <v>0</v>
      </c>
      <c r="Q140" s="131" t="n">
        <f aca="false">IF(VinShutSel=0,0,IF(VinShutSel=7,SUMPRODUCT($C$134:$C$139,$D$134:$D$139,$F$134:$F$139),INDEX($C$134:$C$139,VinShutSel)*INDEX($D$134:$D$139,VinShutSel)))/Timeline!Q$9*24</f>
        <v>0</v>
      </c>
      <c r="R140" s="131" t="n">
        <f aca="false">IF(VinShutSel=0,0,IF(VinShutSel=7,SUMPRODUCT($C$134:$C$139,$E$134:$E$139,$F$134:$F$139),INDEX($C$134:$C$139,VinShutSel)*INDEX($E$134:$E$139,VinShutSel)))/Timeline!R$9*24</f>
        <v>0</v>
      </c>
      <c r="S140" s="131" t="n">
        <f aca="false">0/Timeline!S$9*24</f>
        <v>0</v>
      </c>
      <c r="T140" s="131" t="n">
        <f aca="false">0/Timeline!T$9*24</f>
        <v>0</v>
      </c>
      <c r="U140" s="131" t="n">
        <f aca="false">0/Timeline!U$9*24</f>
        <v>0</v>
      </c>
      <c r="V140" s="131" t="n">
        <f aca="false">0/Timeline!V$9*24</f>
        <v>0</v>
      </c>
      <c r="W140" s="131" t="n">
        <f aca="false">0/Timeline!W$9*24</f>
        <v>0</v>
      </c>
      <c r="X140" s="131" t="n">
        <f aca="false">0/Timeline!X$9*24</f>
        <v>0</v>
      </c>
      <c r="Y140" s="131" t="n">
        <f aca="false">0/Timeline!Y$9*24</f>
        <v>0</v>
      </c>
      <c r="Z140" s="131" t="n">
        <f aca="false">0/Timeline!Z$9*24</f>
        <v>0</v>
      </c>
      <c r="AA140" s="131" t="n">
        <f aca="false">0/Timeline!AA$9*24</f>
        <v>0</v>
      </c>
      <c r="AB140" s="131" t="n">
        <f aca="false">0/Timeline!AB$9*24</f>
        <v>0</v>
      </c>
      <c r="AC140" s="131" t="n">
        <f aca="false">0/Timeline!AC$9*24</f>
        <v>0</v>
      </c>
      <c r="AD140" s="131" t="n">
        <f aca="false">0/Timeline!AD$9*24</f>
        <v>0</v>
      </c>
      <c r="AE140" s="131" t="n">
        <f aca="false">0/Timeline!AE$9*24</f>
        <v>0</v>
      </c>
      <c r="AF140" s="131" t="n">
        <f aca="false">0/Timeline!AF$9*24</f>
        <v>0</v>
      </c>
      <c r="AG140" s="131" t="n">
        <f aca="false">0/Timeline!AG$9*24</f>
        <v>0</v>
      </c>
      <c r="AI140" s="131" t="n">
        <f aca="false">AVERAGEIF($F$7:$AG$7,AI$7,$F140:$AG140)</f>
        <v>0</v>
      </c>
      <c r="AJ140" s="131" t="n">
        <f aca="false">AVERAGEIF($F$7:$AG$7,AJ$7,$F140:$AG140)</f>
        <v>0</v>
      </c>
      <c r="AK140" s="131" t="n">
        <f aca="false">AVERAGEIF($F$7:$AG$7,AK$7,$F140:$AG140)</f>
        <v>0</v>
      </c>
      <c r="AL140" s="131" t="n">
        <f aca="false">AVERAGEIF($F$7:$AG$7,AL$7,$F140:$AG140)</f>
        <v>0</v>
      </c>
      <c r="AM140" s="131" t="n">
        <f aca="false">AVERAGEIF($F$7:$AG$7,AM$7,$F140:$AG140)</f>
        <v>0</v>
      </c>
      <c r="AN140" s="131" t="n">
        <f aca="false">AVERAGEIF($F$7:$AG$7,AN$7,$F140:$AG140)</f>
        <v>0</v>
      </c>
      <c r="AO140" s="131" t="n">
        <f aca="false">AVERAGEIF($F$7:$AG$7,AO$7,$F140:$AG140)</f>
        <v>0</v>
      </c>
    </row>
    <row r="141" customFormat="false" ht="15" hidden="false" customHeight="false" outlineLevel="0" collapsed="false">
      <c r="A141" s="3" t="s">
        <v>2180</v>
      </c>
      <c r="B141" s="24" t="s">
        <v>857</v>
      </c>
      <c r="C141" s="24" t="s">
        <v>672</v>
      </c>
      <c r="D141" s="24"/>
      <c r="F141" s="132" t="n">
        <f aca="false">MIN(F130,F131)</f>
        <v>0</v>
      </c>
      <c r="G141" s="132" t="n">
        <f aca="false">MIN(G130,G131)</f>
        <v>0</v>
      </c>
      <c r="H141" s="132" t="n">
        <f aca="false">MIN(H130,H131)</f>
        <v>0</v>
      </c>
      <c r="I141" s="132" t="n">
        <f aca="false">MIN(I130,I131)</f>
        <v>0</v>
      </c>
      <c r="J141" s="132" t="n">
        <f aca="false">MIN(J130,J131)</f>
        <v>0</v>
      </c>
      <c r="K141" s="132" t="n">
        <f aca="false">MIN(K130,K131)</f>
        <v>0</v>
      </c>
      <c r="L141" s="132" t="n">
        <f aca="false">MIN(L130,L131)</f>
        <v>0</v>
      </c>
      <c r="M141" s="132" t="n">
        <f aca="false">MIN(M130,M131)</f>
        <v>26.6666666666667</v>
      </c>
      <c r="N141" s="132" t="n">
        <f aca="false">MIN(N130,N131)</f>
        <v>53.3333333333333</v>
      </c>
      <c r="O141" s="132" t="n">
        <f aca="false">MIN(O130,O131)</f>
        <v>53.3333333333333</v>
      </c>
      <c r="P141" s="104" t="n">
        <f aca="false">MIN(P130,P131)</f>
        <v>102.416666666667</v>
      </c>
      <c r="Q141" s="104" t="n">
        <f aca="false">MIN(Q130,Q131)</f>
        <v>102.416666666667</v>
      </c>
      <c r="R141" s="104" t="n">
        <f aca="false">MIN(R130,R131)</f>
        <v>102.416666666667</v>
      </c>
      <c r="S141" s="104" t="n">
        <f aca="false">MIN(S130,S131)</f>
        <v>160</v>
      </c>
      <c r="T141" s="104" t="n">
        <f aca="false">MIN(T130,T131)</f>
        <v>240</v>
      </c>
      <c r="U141" s="104" t="n">
        <f aca="false">MIN(U130,U131)</f>
        <v>240</v>
      </c>
      <c r="V141" s="104" t="n">
        <f aca="false">MIN(V130,V131)</f>
        <v>240</v>
      </c>
      <c r="W141" s="104" t="n">
        <f aca="false">MIN(W130,W131)</f>
        <v>240</v>
      </c>
      <c r="X141" s="104" t="n">
        <f aca="false">MIN(X130,X131)</f>
        <v>240</v>
      </c>
      <c r="Y141" s="104" t="n">
        <f aca="false">MIN(Y130,Y131)</f>
        <v>240</v>
      </c>
      <c r="Z141" s="104" t="n">
        <f aca="false">MIN(Z130,Z131)</f>
        <v>240</v>
      </c>
      <c r="AA141" s="104" t="n">
        <f aca="false">MIN(AA130,AA131)</f>
        <v>240</v>
      </c>
      <c r="AB141" s="104" t="n">
        <f aca="false">MIN(AB130,AB131)</f>
        <v>240</v>
      </c>
      <c r="AC141" s="104" t="n">
        <f aca="false">MIN(AC130,AC131)</f>
        <v>240</v>
      </c>
      <c r="AD141" s="104" t="n">
        <f aca="false">MIN(AD130,AD131)</f>
        <v>240</v>
      </c>
      <c r="AE141" s="104" t="n">
        <f aca="false">MIN(AE130,AE131)</f>
        <v>240</v>
      </c>
      <c r="AF141" s="104" t="n">
        <f aca="false">MIN(AF130,AF131)</f>
        <v>240</v>
      </c>
      <c r="AG141" s="104" t="n">
        <f aca="false">MIN(AG130,AG131)</f>
        <v>213.333333333333</v>
      </c>
      <c r="AI141" s="104" t="n">
        <f aca="false">INDEX($F141:$AG141,1,MATCH(AI$7,$F$7:$AG$7,1))</f>
        <v>0</v>
      </c>
      <c r="AJ141" s="104" t="n">
        <f aca="false">INDEX($F141:$AG141,1,MATCH(AJ$7,$F$7:$AG$7,1))</f>
        <v>26.6666666666667</v>
      </c>
      <c r="AK141" s="104" t="n">
        <f aca="false">INDEX($F141:$AG141,1,MATCH(AK$7,$F$7:$AG$7,1))</f>
        <v>102.416666666667</v>
      </c>
      <c r="AL141" s="104" t="n">
        <f aca="false">INDEX($F141:$AG141,1,MATCH(AL$7,$F$7:$AG$7,1))</f>
        <v>240</v>
      </c>
      <c r="AM141" s="104" t="n">
        <f aca="false">INDEX($F141:$AG141,1,MATCH(AM$7,$F$7:$AG$7,1))</f>
        <v>240</v>
      </c>
      <c r="AN141" s="104" t="n">
        <f aca="false">INDEX($F141:$AG141,1,MATCH(AN$7,$F$7:$AG$7,1))</f>
        <v>240</v>
      </c>
      <c r="AO141" s="104" t="n">
        <f aca="false">INDEX($F141:$AG141,1,MATCH(AO$7,$F$7:$AG$7,1))</f>
        <v>213.333333333333</v>
      </c>
    </row>
    <row r="142" customFormat="false" ht="15" hidden="false" customHeight="false" outlineLevel="0" collapsed="false">
      <c r="A142" s="112" t="s">
        <v>2181</v>
      </c>
      <c r="B142" s="24" t="s">
        <v>745</v>
      </c>
      <c r="C142" s="24" t="s">
        <v>672</v>
      </c>
      <c r="D142" s="24"/>
      <c r="F142" s="130" t="n">
        <f aca="false">IF(F130&gt;0,F129*F141/F130,0)</f>
        <v>0</v>
      </c>
      <c r="G142" s="130" t="n">
        <f aca="false">IF(G130&gt;0,G129*G141/G130,0)</f>
        <v>0</v>
      </c>
      <c r="H142" s="130" t="n">
        <f aca="false">IF(H130&gt;0,H129*H141/H130,0)</f>
        <v>0</v>
      </c>
      <c r="I142" s="130" t="n">
        <f aca="false">IF(I130&gt;0,I129*I141/I130,0)</f>
        <v>0</v>
      </c>
      <c r="J142" s="130" t="n">
        <f aca="false">IF(J130&gt;0,J129*J141/J130,0)</f>
        <v>0</v>
      </c>
      <c r="K142" s="130" t="n">
        <f aca="false">IF(K130&gt;0,K129*K141/K130,0)</f>
        <v>0</v>
      </c>
      <c r="L142" s="130" t="n">
        <f aca="false">IF(L130&gt;0,L129*L141/L130,0)</f>
        <v>0</v>
      </c>
      <c r="M142" s="130" t="n">
        <f aca="false">IF(M130&gt;0,M129*M141/M130,0)</f>
        <v>12.0784027777778</v>
      </c>
      <c r="N142" s="130" t="n">
        <f aca="false">IF(N130&gt;0,N129*N141/N130,0)</f>
        <v>60.3920138888889</v>
      </c>
      <c r="O142" s="130" t="n">
        <f aca="false">IF(O130&gt;0,O129*O141/O130,0)</f>
        <v>120.784027777778</v>
      </c>
      <c r="P142" s="131" t="n">
        <f aca="false">IF(P130&gt;0,P129*P141/P130,0)</f>
        <v>185.554462673611</v>
      </c>
      <c r="Q142" s="131" t="n">
        <f aca="false">IF(Q130&gt;0,Q129*Q141/Q130,0)</f>
        <v>278.331694010417</v>
      </c>
      <c r="R142" s="131" t="n">
        <f aca="false">IF(R130&gt;0,R129*R141/R130,0)</f>
        <v>324.72030967882</v>
      </c>
      <c r="S142" s="131" t="n">
        <f aca="false">IF(S130&gt;0,S129*S141/S130,0)</f>
        <v>579.763333333333</v>
      </c>
      <c r="T142" s="131" t="n">
        <f aca="false">IF(T130&gt;0,T129*T141/T130,0)</f>
        <v>869.645</v>
      </c>
      <c r="U142" s="131" t="n">
        <f aca="false">IF(U130&gt;0,U129*U141/U130,0)</f>
        <v>869.645</v>
      </c>
      <c r="V142" s="131" t="n">
        <f aca="false">IF(V130&gt;0,V129*V141/V130,0)</f>
        <v>869.645</v>
      </c>
      <c r="W142" s="131" t="n">
        <f aca="false">IF(W130&gt;0,W129*W141/W130,0)</f>
        <v>869.645</v>
      </c>
      <c r="X142" s="131" t="n">
        <f aca="false">IF(X130&gt;0,X129*X141/X130,0)</f>
        <v>869.645</v>
      </c>
      <c r="Y142" s="131" t="n">
        <f aca="false">IF(Y130&gt;0,Y129*Y141/Y130,0)</f>
        <v>869.645</v>
      </c>
      <c r="Z142" s="131" t="n">
        <f aca="false">IF(Z130&gt;0,Z129*Z141/Z130,0)</f>
        <v>869.645</v>
      </c>
      <c r="AA142" s="131" t="n">
        <f aca="false">IF(AA130&gt;0,AA129*AA141/AA130,0)</f>
        <v>869.645</v>
      </c>
      <c r="AB142" s="131" t="n">
        <f aca="false">IF(AB130&gt;0,AB129*AB141/AB130,0)</f>
        <v>869.645</v>
      </c>
      <c r="AC142" s="131" t="n">
        <f aca="false">IF(AC130&gt;0,AC129*AC141/AC130,0)</f>
        <v>869.645</v>
      </c>
      <c r="AD142" s="131" t="n">
        <f aca="false">IF(AD130&gt;0,AD129*AD141/AD130,0)</f>
        <v>869.645</v>
      </c>
      <c r="AE142" s="131" t="n">
        <f aca="false">IF(AE130&gt;0,AE129*AE141/AE130,0)</f>
        <v>869.645</v>
      </c>
      <c r="AF142" s="131" t="n">
        <f aca="false">IF(AF130&gt;0,AF129*AF141/AF130,0)</f>
        <v>869.645</v>
      </c>
      <c r="AG142" s="131" t="n">
        <f aca="false">IF(AG130&gt;0,AG129*AG141/AG130,0)</f>
        <v>821.331388888889</v>
      </c>
      <c r="AI142" s="131" t="n">
        <f aca="false">SUMIF($F$7:$AG$7,AI$7,$F142:$AG142)</f>
        <v>0</v>
      </c>
      <c r="AJ142" s="131" t="n">
        <f aca="false">SUMIF($F$7:$AG$7,AJ$7,$F142:$AG142)</f>
        <v>12.0784027777778</v>
      </c>
      <c r="AK142" s="131" t="n">
        <f aca="false">SUMIF($F$7:$AG$7,AK$7,$F142:$AG142)</f>
        <v>645.062198350694</v>
      </c>
      <c r="AL142" s="131" t="n">
        <f aca="false">SUMIF($F$7:$AG$7,AL$7,$F142:$AG142)</f>
        <v>2643.77364301215</v>
      </c>
      <c r="AM142" s="131" t="n">
        <f aca="false">SUMIF($F$7:$AG$7,AM$7,$F142:$AG142)</f>
        <v>3478.58</v>
      </c>
      <c r="AN142" s="131" t="n">
        <f aca="false">SUMIF($F$7:$AG$7,AN$7,$F142:$AG142)</f>
        <v>3478.58</v>
      </c>
      <c r="AO142" s="131" t="n">
        <f aca="false">SUMIF($F$7:$AG$7,AO$7,$F142:$AG142)</f>
        <v>3430.26638888889</v>
      </c>
    </row>
    <row r="143" customFormat="false" ht="15" hidden="false" customHeight="false" outlineLevel="0" collapsed="false">
      <c r="A143" s="112" t="s">
        <v>2182</v>
      </c>
      <c r="B143" s="24" t="s">
        <v>745</v>
      </c>
      <c r="C143" s="24" t="s">
        <v>690</v>
      </c>
      <c r="D143" s="24" t="s">
        <v>2183</v>
      </c>
      <c r="F143" s="130" t="n">
        <f aca="false">MIN(F142,0*VinRevMW/365)</f>
        <v>0</v>
      </c>
      <c r="G143" s="130" t="n">
        <f aca="false">MIN(G142,0*VinRevMW/365)</f>
        <v>0</v>
      </c>
      <c r="H143" s="130" t="n">
        <f aca="false">MIN(H142,0*VinRevMW/365)</f>
        <v>0</v>
      </c>
      <c r="I143" s="130" t="n">
        <f aca="false">MIN(I142,0*VinRevMW/365)</f>
        <v>0</v>
      </c>
      <c r="J143" s="130" t="n">
        <f aca="false">MIN(J142,0*VinRevMW/365)</f>
        <v>0</v>
      </c>
      <c r="K143" s="130" t="n">
        <f aca="false">MIN(K142,0*VinRevMW/365)</f>
        <v>0</v>
      </c>
      <c r="L143" s="130" t="n">
        <f aca="false">MIN(L142,0*VinRevMW/365)</f>
        <v>0</v>
      </c>
      <c r="M143" s="130" t="n">
        <f aca="false">MIN(M142,0*VinRevMW/365)</f>
        <v>0</v>
      </c>
      <c r="N143" s="130" t="n">
        <f aca="false">MIN(N142,0*VinRevMW/365)</f>
        <v>0</v>
      </c>
      <c r="O143" s="130" t="n">
        <f aca="false">MIN(O142,0*VinRevMW/365)</f>
        <v>0</v>
      </c>
      <c r="P143" s="131" t="n">
        <f aca="false">MIN(P142,0*VinRevMW/365)</f>
        <v>0</v>
      </c>
      <c r="Q143" s="131" t="n">
        <f aca="false">MIN(Q142,IF(VinShutSel=0,0,IF(VinShutSel=7,SUMPRODUCT($C$134:$C$139,$D$134:$D$139,$F$134:$F$139),INDEX($C$134:$C$139,VinShutSel)*INDEX($D$134:$D$139,VinShutSel)))*VinRevMW/365)</f>
        <v>0</v>
      </c>
      <c r="R143" s="131" t="n">
        <f aca="false">MIN(R142,IF(VinShutSel=0,0,IF(VinShutSel=7,SUMPRODUCT($C$134:$C$139,$E$134:$E$139,$F$134:$F$139),INDEX($C$134:$C$139,VinShutSel)*INDEX($E$134:$E$139,VinShutSel)))*VinRevMW/365)</f>
        <v>0</v>
      </c>
      <c r="S143" s="131" t="n">
        <f aca="false">MIN(S142,0*VinRevMW/365)</f>
        <v>0</v>
      </c>
      <c r="T143" s="131" t="n">
        <f aca="false">MIN(T142,0*VinRevMW/365)</f>
        <v>0</v>
      </c>
      <c r="U143" s="131" t="n">
        <f aca="false">MIN(U142,0*VinRevMW/365)</f>
        <v>0</v>
      </c>
      <c r="V143" s="131" t="n">
        <f aca="false">MIN(V142,0*VinRevMW/365)</f>
        <v>0</v>
      </c>
      <c r="W143" s="131" t="n">
        <f aca="false">MIN(W142,0*VinRevMW/365)</f>
        <v>0</v>
      </c>
      <c r="X143" s="131" t="n">
        <f aca="false">MIN(X142,0*VinRevMW/365)</f>
        <v>0</v>
      </c>
      <c r="Y143" s="131" t="n">
        <f aca="false">MIN(Y142,0*VinRevMW/365)</f>
        <v>0</v>
      </c>
      <c r="Z143" s="131" t="n">
        <f aca="false">MIN(Z142,0*VinRevMW/365)</f>
        <v>0</v>
      </c>
      <c r="AA143" s="131" t="n">
        <f aca="false">MIN(AA142,0*VinRevMW/365)</f>
        <v>0</v>
      </c>
      <c r="AB143" s="131" t="n">
        <f aca="false">MIN(AB142,0*VinRevMW/365)</f>
        <v>0</v>
      </c>
      <c r="AC143" s="131" t="n">
        <f aca="false">MIN(AC142,0*VinRevMW/365)</f>
        <v>0</v>
      </c>
      <c r="AD143" s="131" t="n">
        <f aca="false">MIN(AD142,0*VinRevMW/365)</f>
        <v>0</v>
      </c>
      <c r="AE143" s="131" t="n">
        <f aca="false">MIN(AE142,0*VinRevMW/365)</f>
        <v>0</v>
      </c>
      <c r="AF143" s="131" t="n">
        <f aca="false">MIN(AF142,0*VinRevMW/365)</f>
        <v>0</v>
      </c>
      <c r="AG143" s="131" t="n">
        <f aca="false">MIN(AG142,0*VinRevMW/365)</f>
        <v>0</v>
      </c>
      <c r="AI143" s="131" t="n">
        <f aca="false">SUMIF($F$7:$AG$7,AI$7,$F143:$AG143)</f>
        <v>0</v>
      </c>
      <c r="AJ143" s="131" t="n">
        <f aca="false">SUMIF($F$7:$AG$7,AJ$7,$F143:$AG143)</f>
        <v>0</v>
      </c>
      <c r="AK143" s="131" t="n">
        <f aca="false">SUMIF($F$7:$AG$7,AK$7,$F143:$AG143)</f>
        <v>0</v>
      </c>
      <c r="AL143" s="131" t="n">
        <f aca="false">SUMIF($F$7:$AG$7,AL$7,$F143:$AG143)</f>
        <v>0</v>
      </c>
      <c r="AM143" s="131" t="n">
        <f aca="false">SUMIF($F$7:$AG$7,AM$7,$F143:$AG143)</f>
        <v>0</v>
      </c>
      <c r="AN143" s="131" t="n">
        <f aca="false">SUMIF($F$7:$AG$7,AN$7,$F143:$AG143)</f>
        <v>0</v>
      </c>
      <c r="AO143" s="131" t="n">
        <f aca="false">SUMIF($F$7:$AG$7,AO$7,$F143:$AG143)</f>
        <v>0</v>
      </c>
    </row>
    <row r="144" customFormat="false" ht="15" hidden="false" customHeight="false" outlineLevel="0" collapsed="false">
      <c r="A144" s="112" t="s">
        <v>2184</v>
      </c>
      <c r="B144" s="24" t="s">
        <v>745</v>
      </c>
      <c r="C144" s="24" t="s">
        <v>690</v>
      </c>
      <c r="D144" s="24" t="s">
        <v>2185</v>
      </c>
      <c r="F144" s="130" t="n">
        <f aca="false">-VinT14Loss*VinSLAOn*VinSLA*AND(F$5&gt;=12,F$5&lt;=13)*(F35+F40+F45+F50)</f>
        <v>-0</v>
      </c>
      <c r="G144" s="130" t="n">
        <f aca="false">-VinT14Loss*VinSLAOn*VinSLA*AND(G$5&gt;=12,G$5&lt;=13)*(G35+G40+G45+G50)</f>
        <v>-0</v>
      </c>
      <c r="H144" s="130" t="n">
        <f aca="false">-VinT14Loss*VinSLAOn*VinSLA*AND(H$5&gt;=12,H$5&lt;=13)*(H35+H40+H45+H50)</f>
        <v>-0</v>
      </c>
      <c r="I144" s="130" t="n">
        <f aca="false">-VinT14Loss*VinSLAOn*VinSLA*AND(I$5&gt;=12,I$5&lt;=13)*(I35+I40+I45+I50)</f>
        <v>-0</v>
      </c>
      <c r="J144" s="130" t="n">
        <f aca="false">-VinT14Loss*VinSLAOn*VinSLA*AND(J$5&gt;=12,J$5&lt;=13)*(J35+J40+J45+J50)</f>
        <v>-0</v>
      </c>
      <c r="K144" s="130" t="n">
        <f aca="false">-VinT14Loss*VinSLAOn*VinSLA*AND(K$5&gt;=12,K$5&lt;=13)*(K35+K40+K45+K50)</f>
        <v>-0</v>
      </c>
      <c r="L144" s="130" t="n">
        <f aca="false">-VinT14Loss*VinSLAOn*VinSLA*AND(L$5&gt;=12,L$5&lt;=13)*(L35+L40+L45+L50)</f>
        <v>-0</v>
      </c>
      <c r="M144" s="130" t="n">
        <f aca="false">-VinT14Loss*VinSLAOn*VinSLA*AND(M$5&gt;=12,M$5&lt;=13)*(M35+M40+M45+M50)</f>
        <v>-0</v>
      </c>
      <c r="N144" s="130" t="n">
        <f aca="false">-VinT14Loss*VinSLAOn*VinSLA*AND(N$5&gt;=12,N$5&lt;=13)*(N35+N40+N45+N50)</f>
        <v>-0</v>
      </c>
      <c r="O144" s="130" t="n">
        <f aca="false">-VinT14Loss*VinSLAOn*VinSLA*AND(O$5&gt;=12,O$5&lt;=13)*(O35+O40+O45+O50)</f>
        <v>-0</v>
      </c>
      <c r="P144" s="131" t="n">
        <f aca="false">-VinT14Loss*VinSLAOn*VinSLA*AND(P$5&gt;=12,P$5&lt;=13)*(P35+P40+P45+P50)</f>
        <v>-0</v>
      </c>
      <c r="Q144" s="131" t="n">
        <f aca="false">-VinT14Loss*VinSLAOn*VinSLA*AND(Q$5&gt;=12,Q$5&lt;=13)*(Q35+Q40+Q45+Q50)</f>
        <v>-0</v>
      </c>
      <c r="R144" s="131" t="n">
        <f aca="false">-VinT14Loss*VinSLAOn*VinSLA*AND(R$5&gt;=12,R$5&lt;=13)*(R35+R40+R45+R50)</f>
        <v>-0</v>
      </c>
      <c r="S144" s="131" t="n">
        <f aca="false">-VinT14Loss*VinSLAOn*VinSLA*AND(S$5&gt;=12,S$5&lt;=13)*(S35+S40+S45+S50)</f>
        <v>-0</v>
      </c>
      <c r="T144" s="131" t="n">
        <f aca="false">-VinT14Loss*VinSLAOn*VinSLA*AND(T$5&gt;=12,T$5&lt;=13)*(T35+T40+T45+T50)</f>
        <v>-0</v>
      </c>
      <c r="U144" s="131" t="n">
        <f aca="false">-VinT14Loss*VinSLAOn*VinSLA*AND(U$5&gt;=12,U$5&lt;=13)*(U35+U40+U45+U50)</f>
        <v>-0</v>
      </c>
      <c r="V144" s="131" t="n">
        <f aca="false">-VinT14Loss*VinSLAOn*VinSLA*AND(V$5&gt;=12,V$5&lt;=13)*(V35+V40+V45+V50)</f>
        <v>-0</v>
      </c>
      <c r="W144" s="131" t="n">
        <f aca="false">-VinT14Loss*VinSLAOn*VinSLA*AND(W$5&gt;=12,W$5&lt;=13)*(W35+W40+W45+W50)</f>
        <v>-0</v>
      </c>
      <c r="X144" s="131" t="n">
        <f aca="false">-VinT14Loss*VinSLAOn*VinSLA*AND(X$5&gt;=12,X$5&lt;=13)*(X35+X40+X45+X50)</f>
        <v>-0</v>
      </c>
      <c r="Y144" s="131" t="n">
        <f aca="false">-VinT14Loss*VinSLAOn*VinSLA*AND(Y$5&gt;=12,Y$5&lt;=13)*(Y35+Y40+Y45+Y50)</f>
        <v>-0</v>
      </c>
      <c r="Z144" s="131" t="n">
        <f aca="false">-VinT14Loss*VinSLAOn*VinSLA*AND(Z$5&gt;=12,Z$5&lt;=13)*(Z35+Z40+Z45+Z50)</f>
        <v>-0</v>
      </c>
      <c r="AA144" s="131" t="n">
        <f aca="false">-VinT14Loss*VinSLAOn*VinSLA*AND(AA$5&gt;=12,AA$5&lt;=13)*(AA35+AA40+AA45+AA50)</f>
        <v>-0</v>
      </c>
      <c r="AB144" s="131" t="n">
        <f aca="false">-VinT14Loss*VinSLAOn*VinSLA*AND(AB$5&gt;=12,AB$5&lt;=13)*(AB35+AB40+AB45+AB50)</f>
        <v>-0</v>
      </c>
      <c r="AC144" s="131" t="n">
        <f aca="false">-VinT14Loss*VinSLAOn*VinSLA*AND(AC$5&gt;=12,AC$5&lt;=13)*(AC35+AC40+AC45+AC50)</f>
        <v>-0</v>
      </c>
      <c r="AD144" s="131" t="n">
        <f aca="false">-VinT14Loss*VinSLAOn*VinSLA*AND(AD$5&gt;=12,AD$5&lt;=13)*(AD35+AD40+AD45+AD50)</f>
        <v>-0</v>
      </c>
      <c r="AE144" s="131" t="n">
        <f aca="false">-VinT14Loss*VinSLAOn*VinSLA*AND(AE$5&gt;=12,AE$5&lt;=13)*(AE35+AE40+AE45+AE50)</f>
        <v>-0</v>
      </c>
      <c r="AF144" s="131" t="n">
        <f aca="false">-VinT14Loss*VinSLAOn*VinSLA*AND(AF$5&gt;=12,AF$5&lt;=13)*(AF35+AF40+AF45+AF50)</f>
        <v>-0</v>
      </c>
      <c r="AG144" s="131" t="n">
        <f aca="false">-VinT14Loss*VinSLAOn*VinSLA*AND(AG$5&gt;=12,AG$5&lt;=13)*(AG35+AG40+AG45+AG50)</f>
        <v>-0</v>
      </c>
      <c r="AI144" s="131" t="n">
        <f aca="false">SUMIF($F$7:$AG$7,AI$7,$F144:$AG144)</f>
        <v>0</v>
      </c>
      <c r="AJ144" s="131" t="n">
        <f aca="false">SUMIF($F$7:$AG$7,AJ$7,$F144:$AG144)</f>
        <v>0</v>
      </c>
      <c r="AK144" s="131" t="n">
        <f aca="false">SUMIF($F$7:$AG$7,AK$7,$F144:$AG144)</f>
        <v>0</v>
      </c>
      <c r="AL144" s="131" t="n">
        <f aca="false">SUMIF($F$7:$AG$7,AL$7,$F144:$AG144)</f>
        <v>0</v>
      </c>
      <c r="AM144" s="131" t="n">
        <f aca="false">SUMIF($F$7:$AG$7,AM$7,$F144:$AG144)</f>
        <v>0</v>
      </c>
      <c r="AN144" s="131" t="n">
        <f aca="false">SUMIF($F$7:$AG$7,AN$7,$F144:$AG144)</f>
        <v>0</v>
      </c>
      <c r="AO144" s="131" t="n">
        <f aca="false">SUMIF($F$7:$AG$7,AO$7,$F144:$AG144)</f>
        <v>0</v>
      </c>
    </row>
    <row r="145" customFormat="false" ht="15" hidden="false" customHeight="false" outlineLevel="0" collapsed="false">
      <c r="A145" s="3" t="s">
        <v>2186</v>
      </c>
      <c r="B145" s="24" t="s">
        <v>745</v>
      </c>
      <c r="C145" s="24" t="s">
        <v>672</v>
      </c>
      <c r="D145" s="24"/>
      <c r="F145" s="132" t="n">
        <f aca="false">F142-F143+F144</f>
        <v>0</v>
      </c>
      <c r="G145" s="132" t="n">
        <f aca="false">G142-G143+G144</f>
        <v>0</v>
      </c>
      <c r="H145" s="132" t="n">
        <f aca="false">H142-H143+H144</f>
        <v>0</v>
      </c>
      <c r="I145" s="132" t="n">
        <f aca="false">I142-I143+I144</f>
        <v>0</v>
      </c>
      <c r="J145" s="132" t="n">
        <f aca="false">J142-J143+J144</f>
        <v>0</v>
      </c>
      <c r="K145" s="132" t="n">
        <f aca="false">K142-K143+K144</f>
        <v>0</v>
      </c>
      <c r="L145" s="132" t="n">
        <f aca="false">L142-L143+L144</f>
        <v>0</v>
      </c>
      <c r="M145" s="132" t="n">
        <f aca="false">M142-M143+M144</f>
        <v>12.0784027777778</v>
      </c>
      <c r="N145" s="132" t="n">
        <f aca="false">N142-N143+N144</f>
        <v>60.3920138888889</v>
      </c>
      <c r="O145" s="132" t="n">
        <f aca="false">O142-O143+O144</f>
        <v>120.784027777778</v>
      </c>
      <c r="P145" s="104" t="n">
        <f aca="false">P142-P143+P144</f>
        <v>185.554462673611</v>
      </c>
      <c r="Q145" s="104" t="n">
        <f aca="false">Q142-Q143+Q144</f>
        <v>278.331694010417</v>
      </c>
      <c r="R145" s="104" t="n">
        <f aca="false">R142-R143+R144</f>
        <v>324.72030967882</v>
      </c>
      <c r="S145" s="104" t="n">
        <f aca="false">S142-S143+S144</f>
        <v>579.763333333333</v>
      </c>
      <c r="T145" s="104" t="n">
        <f aca="false">T142-T143+T144</f>
        <v>869.645</v>
      </c>
      <c r="U145" s="104" t="n">
        <f aca="false">U142-U143+U144</f>
        <v>869.645</v>
      </c>
      <c r="V145" s="104" t="n">
        <f aca="false">V142-V143+V144</f>
        <v>869.645</v>
      </c>
      <c r="W145" s="104" t="n">
        <f aca="false">W142-W143+W144</f>
        <v>869.645</v>
      </c>
      <c r="X145" s="104" t="n">
        <f aca="false">X142-X143+X144</f>
        <v>869.645</v>
      </c>
      <c r="Y145" s="104" t="n">
        <f aca="false">Y142-Y143+Y144</f>
        <v>869.645</v>
      </c>
      <c r="Z145" s="104" t="n">
        <f aca="false">Z142-Z143+Z144</f>
        <v>869.645</v>
      </c>
      <c r="AA145" s="104" t="n">
        <f aca="false">AA142-AA143+AA144</f>
        <v>869.645</v>
      </c>
      <c r="AB145" s="104" t="n">
        <f aca="false">AB142-AB143+AB144</f>
        <v>869.645</v>
      </c>
      <c r="AC145" s="104" t="n">
        <f aca="false">AC142-AC143+AC144</f>
        <v>869.645</v>
      </c>
      <c r="AD145" s="104" t="n">
        <f aca="false">AD142-AD143+AD144</f>
        <v>869.645</v>
      </c>
      <c r="AE145" s="104" t="n">
        <f aca="false">AE142-AE143+AE144</f>
        <v>869.645</v>
      </c>
      <c r="AF145" s="104" t="n">
        <f aca="false">AF142-AF143+AF144</f>
        <v>869.645</v>
      </c>
      <c r="AG145" s="104" t="n">
        <f aca="false">AG142-AG143+AG144</f>
        <v>821.331388888889</v>
      </c>
      <c r="AI145" s="104" t="n">
        <f aca="false">SUMIF($F$7:$AG$7,AI$7,$F145:$AG145)</f>
        <v>0</v>
      </c>
      <c r="AJ145" s="104" t="n">
        <f aca="false">SUMIF($F$7:$AG$7,AJ$7,$F145:$AG145)</f>
        <v>12.0784027777778</v>
      </c>
      <c r="AK145" s="104" t="n">
        <f aca="false">SUMIF($F$7:$AG$7,AK$7,$F145:$AG145)</f>
        <v>645.062198350694</v>
      </c>
      <c r="AL145" s="104" t="n">
        <f aca="false">SUMIF($F$7:$AG$7,AL$7,$F145:$AG145)</f>
        <v>2643.77364301215</v>
      </c>
      <c r="AM145" s="104" t="n">
        <f aca="false">SUMIF($F$7:$AG$7,AM$7,$F145:$AG145)</f>
        <v>3478.58</v>
      </c>
      <c r="AN145" s="104" t="n">
        <f aca="false">SUMIF($F$7:$AG$7,AN$7,$F145:$AG145)</f>
        <v>3478.58</v>
      </c>
      <c r="AO145" s="104" t="n">
        <f aca="false">SUMIF($F$7:$AG$7,AO$7,$F145:$AG145)</f>
        <v>3430.26638888889</v>
      </c>
    </row>
    <row r="146" customFormat="false" ht="15" hidden="false" customHeight="false" outlineLevel="0" collapsed="false">
      <c r="A146" s="112" t="s">
        <v>2187</v>
      </c>
      <c r="B146" s="24" t="s">
        <v>857</v>
      </c>
      <c r="C146" s="24" t="s">
        <v>690</v>
      </c>
      <c r="D146" s="24" t="s">
        <v>2188</v>
      </c>
      <c r="F146" s="130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30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30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30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30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30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30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30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30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30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31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31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31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31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31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31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31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31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31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31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31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31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31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31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31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31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31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31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31" t="n">
        <f aca="false">INDEX($F146:$AG146,1,MATCH(AI$7,$F$7:$AG$7,1))</f>
        <v>0</v>
      </c>
      <c r="AJ146" s="131" t="n">
        <f aca="false">INDEX($F146:$AG146,1,MATCH(AJ$7,$F$7:$AG$7,1))</f>
        <v>0</v>
      </c>
      <c r="AK146" s="131" t="n">
        <f aca="false">INDEX($F146:$AG146,1,MATCH(AK$7,$F$7:$AG$7,1))</f>
        <v>0</v>
      </c>
      <c r="AL146" s="131" t="n">
        <f aca="false">INDEX($F146:$AG146,1,MATCH(AL$7,$F$7:$AG$7,1))</f>
        <v>0</v>
      </c>
      <c r="AM146" s="131" t="n">
        <f aca="false">INDEX($F146:$AG146,1,MATCH(AM$7,$F$7:$AG$7,1))</f>
        <v>0</v>
      </c>
      <c r="AN146" s="131" t="n">
        <f aca="false">INDEX($F146:$AG146,1,MATCH(AN$7,$F$7:$AG$7,1))</f>
        <v>0</v>
      </c>
      <c r="AO146" s="131" t="n">
        <f aca="false">INDEX($F146:$AG146,1,MATCH(AO$7,$F$7:$AG$7,1))</f>
        <v>0</v>
      </c>
    </row>
    <row r="147" customFormat="false" ht="15" hidden="false" customHeight="false" outlineLevel="0" collapsed="false">
      <c r="A147" s="112" t="s">
        <v>2189</v>
      </c>
      <c r="B147" s="24" t="s">
        <v>676</v>
      </c>
      <c r="C147" s="24" t="s">
        <v>690</v>
      </c>
      <c r="D147" s="24"/>
      <c r="F147" s="122" t="n">
        <f aca="false">F140/26.67</f>
        <v>0</v>
      </c>
      <c r="G147" s="122" t="n">
        <f aca="false">G140/26.67</f>
        <v>0</v>
      </c>
      <c r="H147" s="122" t="n">
        <f aca="false">H140/26.67</f>
        <v>0</v>
      </c>
      <c r="I147" s="122" t="n">
        <f aca="false">I140/26.67</f>
        <v>0</v>
      </c>
      <c r="J147" s="122" t="n">
        <f aca="false">J140/26.67</f>
        <v>0</v>
      </c>
      <c r="K147" s="122" t="n">
        <f aca="false">K140/26.67</f>
        <v>0</v>
      </c>
      <c r="L147" s="122" t="n">
        <f aca="false">L140/26.67</f>
        <v>0</v>
      </c>
      <c r="M147" s="122" t="n">
        <f aca="false">M140/26.67</f>
        <v>0</v>
      </c>
      <c r="N147" s="122" t="n">
        <f aca="false">N140/26.67</f>
        <v>0</v>
      </c>
      <c r="O147" s="122" t="n">
        <f aca="false">O140/26.67</f>
        <v>0</v>
      </c>
      <c r="P147" s="32" t="n">
        <f aca="false">P140/26.67</f>
        <v>0</v>
      </c>
      <c r="Q147" s="32" t="n">
        <f aca="false">Q140/26.67</f>
        <v>0</v>
      </c>
      <c r="R147" s="32" t="n">
        <f aca="false">R140/26.67</f>
        <v>0</v>
      </c>
      <c r="S147" s="32" t="n">
        <f aca="false">S140/26.67</f>
        <v>0</v>
      </c>
      <c r="T147" s="32" t="n">
        <f aca="false">T140/26.67</f>
        <v>0</v>
      </c>
      <c r="U147" s="32" t="n">
        <f aca="false">U140/26.67</f>
        <v>0</v>
      </c>
      <c r="V147" s="32" t="n">
        <f aca="false">V140/26.67</f>
        <v>0</v>
      </c>
      <c r="W147" s="32" t="n">
        <f aca="false">W140/26.67</f>
        <v>0</v>
      </c>
      <c r="X147" s="32" t="n">
        <f aca="false">X140/26.67</f>
        <v>0</v>
      </c>
      <c r="Y147" s="32" t="n">
        <f aca="false">Y140/26.67</f>
        <v>0</v>
      </c>
      <c r="Z147" s="32" t="n">
        <f aca="false">Z140/26.67</f>
        <v>0</v>
      </c>
      <c r="AA147" s="32" t="n">
        <f aca="false">AA140/26.67</f>
        <v>0</v>
      </c>
      <c r="AB147" s="32" t="n">
        <f aca="false">AB140/26.67</f>
        <v>0</v>
      </c>
      <c r="AC147" s="32" t="n">
        <f aca="false">AC140/26.67</f>
        <v>0</v>
      </c>
      <c r="AD147" s="32" t="n">
        <f aca="false">AD140/26.67</f>
        <v>0</v>
      </c>
      <c r="AE147" s="32" t="n">
        <f aca="false">AE140/26.67</f>
        <v>0</v>
      </c>
      <c r="AF147" s="32" t="n">
        <f aca="false">AF140/26.67</f>
        <v>0</v>
      </c>
      <c r="AG147" s="32" t="n">
        <f aca="false">AG140/26.67</f>
        <v>0</v>
      </c>
      <c r="AI147" s="32" t="n">
        <f aca="false">AVERAGEIF($F$7:$AG$7,AI$7,$F147:$AG147)</f>
        <v>0</v>
      </c>
      <c r="AJ147" s="32" t="n">
        <f aca="false">AVERAGEIF($F$7:$AG$7,AJ$7,$F147:$AG147)</f>
        <v>0</v>
      </c>
      <c r="AK147" s="32" t="n">
        <f aca="false">AVERAGEIF($F$7:$AG$7,AK$7,$F147:$AG147)</f>
        <v>0</v>
      </c>
      <c r="AL147" s="32" t="n">
        <f aca="false">AVERAGEIF($F$7:$AG$7,AL$7,$F147:$AG147)</f>
        <v>0</v>
      </c>
      <c r="AM147" s="32" t="n">
        <f aca="false">AVERAGEIF($F$7:$AG$7,AM$7,$F147:$AG147)</f>
        <v>0</v>
      </c>
      <c r="AN147" s="32" t="n">
        <f aca="false">AVERAGEIF($F$7:$AG$7,AN$7,$F147:$AG147)</f>
        <v>0</v>
      </c>
      <c r="AO147" s="32" t="n">
        <f aca="false">AVERAGEIF($F$7:$AG$7,AO$7,$F147:$AG147)</f>
        <v>0</v>
      </c>
    </row>
    <row r="148" customFormat="false" ht="15" hidden="false" customHeight="false" outlineLevel="0" collapsed="false">
      <c r="A148" s="112" t="s">
        <v>2190</v>
      </c>
      <c r="B148" s="24" t="s">
        <v>745</v>
      </c>
      <c r="C148" s="24" t="s">
        <v>690</v>
      </c>
      <c r="D148" s="24" t="s">
        <v>2191</v>
      </c>
      <c r="Q148" s="131" t="n">
        <f aca="false">SUMPRODUCT($C$134:$C$139,$D$134:$D$139,$F$134:$F$139)*VinRevMW/365</f>
        <v>68.0352910958904</v>
      </c>
      <c r="R148" s="131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12" t="s">
        <v>2192</v>
      </c>
      <c r="B149" s="24" t="s">
        <v>745</v>
      </c>
      <c r="C149" s="24" t="s">
        <v>722</v>
      </c>
      <c r="D149" s="24"/>
      <c r="F149" s="130" t="n">
        <f aca="false">F145-MSFT_Ceil</f>
        <v>-350</v>
      </c>
      <c r="G149" s="130" t="n">
        <f aca="false">G145-MSFT_Ceil</f>
        <v>-350</v>
      </c>
      <c r="H149" s="130" t="n">
        <f aca="false">H145-MSFT_Ceil</f>
        <v>-350</v>
      </c>
      <c r="I149" s="130" t="n">
        <f aca="false">I145-MSFT_Ceil</f>
        <v>-350</v>
      </c>
      <c r="J149" s="130" t="n">
        <f aca="false">J145-MSFT_Ceil</f>
        <v>-350</v>
      </c>
      <c r="K149" s="130" t="n">
        <f aca="false">K145-MSFT_Ceil</f>
        <v>-350</v>
      </c>
      <c r="L149" s="130" t="n">
        <f aca="false">L145-MSFT_Ceil</f>
        <v>-350</v>
      </c>
      <c r="M149" s="130" t="n">
        <f aca="false">M145-MSFT_Ceil</f>
        <v>-337.921597222222</v>
      </c>
      <c r="N149" s="130" t="n">
        <f aca="false">N145-MSFT_Ceil</f>
        <v>-289.607986111111</v>
      </c>
      <c r="O149" s="130" t="n">
        <f aca="false">O145-MSFT_Ceil</f>
        <v>-229.215972222222</v>
      </c>
      <c r="P149" s="131" t="n">
        <f aca="false">P145-MSFT_Ceil</f>
        <v>-164.445537326389</v>
      </c>
      <c r="Q149" s="131" t="n">
        <f aca="false">Q145-MSFT_Ceil</f>
        <v>-71.6683059895833</v>
      </c>
      <c r="R149" s="131" t="n">
        <f aca="false">R145-MSFT_Ceil</f>
        <v>-25.2796903211805</v>
      </c>
      <c r="S149" s="131" t="n">
        <f aca="false">S145-MSFT_Ceil</f>
        <v>229.763333333333</v>
      </c>
      <c r="T149" s="131" t="n">
        <f aca="false">T145-MSFT_Ceil</f>
        <v>519.645</v>
      </c>
      <c r="U149" s="131" t="n">
        <f aca="false">U145-MSFT_Ceil</f>
        <v>519.645</v>
      </c>
      <c r="V149" s="131" t="n">
        <f aca="false">V145-MSFT_Ceil</f>
        <v>519.645</v>
      </c>
      <c r="W149" s="131" t="n">
        <f aca="false">W145-MSFT_Ceil</f>
        <v>519.645</v>
      </c>
      <c r="X149" s="131" t="n">
        <f aca="false">X145-MSFT_Ceil</f>
        <v>519.645</v>
      </c>
      <c r="Y149" s="131" t="n">
        <f aca="false">Y145-MSFT_Ceil</f>
        <v>519.645</v>
      </c>
      <c r="Z149" s="131" t="n">
        <f aca="false">Z145-MSFT_Ceil</f>
        <v>519.645</v>
      </c>
      <c r="AA149" s="131" t="n">
        <f aca="false">AA145-MSFT_Ceil</f>
        <v>519.645</v>
      </c>
      <c r="AB149" s="131" t="n">
        <f aca="false">AB145-MSFT_Ceil</f>
        <v>519.645</v>
      </c>
      <c r="AC149" s="131" t="n">
        <f aca="false">AC145-MSFT_Ceil</f>
        <v>519.645</v>
      </c>
      <c r="AD149" s="131" t="n">
        <f aca="false">AD145-MSFT_Ceil</f>
        <v>519.645</v>
      </c>
      <c r="AE149" s="131" t="n">
        <f aca="false">AE145-MSFT_Ceil</f>
        <v>519.645</v>
      </c>
      <c r="AF149" s="131" t="n">
        <f aca="false">AF145-MSFT_Ceil</f>
        <v>519.645</v>
      </c>
      <c r="AG149" s="131" t="n">
        <f aca="false">AG145-MSFT_Ceil</f>
        <v>471.331388888889</v>
      </c>
    </row>
    <row r="150" customFormat="false" ht="15" hidden="false" customHeight="false" outlineLevel="0" collapsed="false">
      <c r="A150" s="112" t="s">
        <v>2193</v>
      </c>
      <c r="B150" s="24" t="s">
        <v>745</v>
      </c>
      <c r="C150" s="24" t="s">
        <v>672</v>
      </c>
      <c r="D150" s="24"/>
      <c r="F150" s="130" t="n">
        <f aca="false">F90+F95+F100+F105+F110+F115+F120</f>
        <v>0</v>
      </c>
      <c r="G150" s="130" t="n">
        <f aca="false">G90+G95+G100+G105+G110+G115+G120</f>
        <v>0</v>
      </c>
      <c r="H150" s="130" t="n">
        <f aca="false">H90+H95+H100+H105+H110+H115+H120</f>
        <v>0</v>
      </c>
      <c r="I150" s="130" t="n">
        <f aca="false">I90+I95+I100+I105+I110+I115+I120</f>
        <v>0</v>
      </c>
      <c r="J150" s="130" t="n">
        <f aca="false">J90+J95+J100+J105+J110+J115+J120</f>
        <v>0</v>
      </c>
      <c r="K150" s="130" t="n">
        <f aca="false">K90+K95+K100+K105+K110+K115+K120</f>
        <v>0</v>
      </c>
      <c r="L150" s="130" t="n">
        <f aca="false">L90+L95+L100+L105+L110+L115+L120</f>
        <v>0</v>
      </c>
      <c r="M150" s="130" t="n">
        <f aca="false">M90+M95+M100+M105+M110+M115+M120</f>
        <v>36.00875</v>
      </c>
      <c r="N150" s="130" t="n">
        <f aca="false">N90+N95+N100+N105+N110+N115+N120</f>
        <v>108.02625</v>
      </c>
      <c r="O150" s="130" t="n">
        <f aca="false">O90+O95+O100+O105+O110+O115+O120</f>
        <v>144.035</v>
      </c>
      <c r="P150" s="131" t="n">
        <f aca="false">P90+P95+P100+P105+P110+P115+P120</f>
        <v>144.035</v>
      </c>
      <c r="Q150" s="131" t="n">
        <f aca="false">Q90+Q95+Q100+Q105+Q110+Q115+Q120</f>
        <v>144.035</v>
      </c>
      <c r="R150" s="131" t="n">
        <f aca="false">R90+R95+R100+R105+R110+R115+R120</f>
        <v>144.035</v>
      </c>
      <c r="S150" s="131" t="n">
        <f aca="false">S90+S95+S100+S105+S110+S115+S120</f>
        <v>144.035</v>
      </c>
      <c r="T150" s="131" t="n">
        <f aca="false">T90+T95+T100+T105+T110+T115+T120</f>
        <v>294.035</v>
      </c>
      <c r="U150" s="131" t="n">
        <f aca="false">U90+U95+U100+U105+U110+U115+U120</f>
        <v>594.035</v>
      </c>
      <c r="V150" s="131" t="n">
        <f aca="false">V90+V95+V100+V105+V110+V115+V120</f>
        <v>744.035</v>
      </c>
      <c r="W150" s="131" t="n">
        <f aca="false">W90+W95+W100+W105+W110+W115+W120</f>
        <v>744.035</v>
      </c>
      <c r="X150" s="131" t="n">
        <f aca="false">X90+X95+X100+X105+X110+X115+X120</f>
        <v>744.035</v>
      </c>
      <c r="Y150" s="131" t="n">
        <f aca="false">Y90+Y95+Y100+Y105+Y110+Y115+Y120</f>
        <v>744.035</v>
      </c>
      <c r="Z150" s="131" t="n">
        <f aca="false">Z90+Z95+Z100+Z105+Z110+Z115+Z120</f>
        <v>744.035</v>
      </c>
      <c r="AA150" s="131" t="n">
        <f aca="false">AA90+AA95+AA100+AA105+AA110+AA115+AA120</f>
        <v>744.035</v>
      </c>
      <c r="AB150" s="131" t="n">
        <f aca="false">AB90+AB95+AB100+AB105+AB110+AB115+AB120</f>
        <v>744.035</v>
      </c>
      <c r="AC150" s="131" t="n">
        <f aca="false">AC90+AC95+AC100+AC105+AC110+AC115+AC120</f>
        <v>744.035</v>
      </c>
      <c r="AD150" s="131" t="n">
        <f aca="false">AD90+AD95+AD100+AD105+AD110+AD115+AD120</f>
        <v>744.035</v>
      </c>
      <c r="AE150" s="131" t="n">
        <f aca="false">AE90+AE95+AE100+AE105+AE110+AE115+AE120</f>
        <v>744.035</v>
      </c>
      <c r="AF150" s="131" t="n">
        <f aca="false">AF90+AF95+AF100+AF105+AF110+AF115+AF120</f>
        <v>744.035</v>
      </c>
      <c r="AG150" s="131" t="n">
        <f aca="false">AG90+AG95+AG100+AG105+AG110+AG115+AG120</f>
        <v>708.02625</v>
      </c>
      <c r="AI150" s="131" t="n">
        <f aca="false">SUMIF($F$7:$AG$7,AI$7,$F150:$AG150)</f>
        <v>0</v>
      </c>
      <c r="AJ150" s="131" t="n">
        <f aca="false">SUMIF($F$7:$AG$7,AJ$7,$F150:$AG150)</f>
        <v>36.00875</v>
      </c>
      <c r="AK150" s="131" t="n">
        <f aca="false">SUMIF($F$7:$AG$7,AK$7,$F150:$AG150)</f>
        <v>540.13125</v>
      </c>
      <c r="AL150" s="131" t="n">
        <f aca="false">SUMIF($F$7:$AG$7,AL$7,$F150:$AG150)</f>
        <v>1176.14</v>
      </c>
      <c r="AM150" s="131" t="n">
        <f aca="false">SUMIF($F$7:$AG$7,AM$7,$F150:$AG150)</f>
        <v>2976.14</v>
      </c>
      <c r="AN150" s="131" t="n">
        <f aca="false">SUMIF($F$7:$AG$7,AN$7,$F150:$AG150)</f>
        <v>2976.14</v>
      </c>
      <c r="AO150" s="131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2194</v>
      </c>
      <c r="B151" s="24" t="s">
        <v>745</v>
      </c>
      <c r="C151" s="24" t="s">
        <v>672</v>
      </c>
      <c r="D151" s="24"/>
      <c r="F151" s="132" t="n">
        <f aca="false">F145+F150</f>
        <v>0</v>
      </c>
      <c r="G151" s="132" t="n">
        <f aca="false">G145+G150</f>
        <v>0</v>
      </c>
      <c r="H151" s="132" t="n">
        <f aca="false">H145+H150</f>
        <v>0</v>
      </c>
      <c r="I151" s="132" t="n">
        <f aca="false">I145+I150</f>
        <v>0</v>
      </c>
      <c r="J151" s="132" t="n">
        <f aca="false">J145+J150</f>
        <v>0</v>
      </c>
      <c r="K151" s="132" t="n">
        <f aca="false">K145+K150</f>
        <v>0</v>
      </c>
      <c r="L151" s="132" t="n">
        <f aca="false">L145+L150</f>
        <v>0</v>
      </c>
      <c r="M151" s="132" t="n">
        <f aca="false">M145+M150</f>
        <v>48.0871527777778</v>
      </c>
      <c r="N151" s="132" t="n">
        <f aca="false">N145+N150</f>
        <v>168.418263888889</v>
      </c>
      <c r="O151" s="132" t="n">
        <f aca="false">O145+O150</f>
        <v>264.819027777778</v>
      </c>
      <c r="P151" s="104" t="n">
        <f aca="false">P145+P150</f>
        <v>329.589462673611</v>
      </c>
      <c r="Q151" s="104" t="n">
        <f aca="false">Q145+Q150</f>
        <v>422.366694010417</v>
      </c>
      <c r="R151" s="104" t="n">
        <f aca="false">R145+R150</f>
        <v>468.755309678819</v>
      </c>
      <c r="S151" s="104" t="n">
        <f aca="false">S145+S150</f>
        <v>723.798333333333</v>
      </c>
      <c r="T151" s="104" t="n">
        <f aca="false">T145+T150</f>
        <v>1163.68</v>
      </c>
      <c r="U151" s="104" t="n">
        <f aca="false">U145+U150</f>
        <v>1463.68</v>
      </c>
      <c r="V151" s="104" t="n">
        <f aca="false">V145+V150</f>
        <v>1613.68</v>
      </c>
      <c r="W151" s="104" t="n">
        <f aca="false">W145+W150</f>
        <v>1613.68</v>
      </c>
      <c r="X151" s="104" t="n">
        <f aca="false">X145+X150</f>
        <v>1613.68</v>
      </c>
      <c r="Y151" s="104" t="n">
        <f aca="false">Y145+Y150</f>
        <v>1613.68</v>
      </c>
      <c r="Z151" s="104" t="n">
        <f aca="false">Z145+Z150</f>
        <v>1613.68</v>
      </c>
      <c r="AA151" s="104" t="n">
        <f aca="false">AA145+AA150</f>
        <v>1613.68</v>
      </c>
      <c r="AB151" s="104" t="n">
        <f aca="false">AB145+AB150</f>
        <v>1613.68</v>
      </c>
      <c r="AC151" s="104" t="n">
        <f aca="false">AC145+AC150</f>
        <v>1613.68</v>
      </c>
      <c r="AD151" s="104" t="n">
        <f aca="false">AD145+AD150</f>
        <v>1613.68</v>
      </c>
      <c r="AE151" s="104" t="n">
        <f aca="false">AE145+AE150</f>
        <v>1613.68</v>
      </c>
      <c r="AF151" s="104" t="n">
        <f aca="false">AF145+AF150</f>
        <v>1613.68</v>
      </c>
      <c r="AG151" s="104" t="n">
        <f aca="false">AG145+AG150</f>
        <v>1529.35763888889</v>
      </c>
      <c r="AI151" s="104" t="n">
        <f aca="false">SUMIF($F$7:$AG$7,AI$7,$F151:$AG151)</f>
        <v>0</v>
      </c>
      <c r="AJ151" s="104" t="n">
        <f aca="false">SUMIF($F$7:$AG$7,AJ$7,$F151:$AG151)</f>
        <v>48.0871527777778</v>
      </c>
      <c r="AK151" s="104" t="n">
        <f aca="false">SUMIF($F$7:$AG$7,AK$7,$F151:$AG151)</f>
        <v>1185.19344835069</v>
      </c>
      <c r="AL151" s="104" t="n">
        <f aca="false">SUMIF($F$7:$AG$7,AL$7,$F151:$AG151)</f>
        <v>3819.91364301215</v>
      </c>
      <c r="AM151" s="104" t="n">
        <f aca="false">SUMIF($F$7:$AG$7,AM$7,$F151:$AG151)</f>
        <v>6454.72</v>
      </c>
      <c r="AN151" s="104" t="n">
        <f aca="false">SUMIF($F$7:$AG$7,AN$7,$F151:$AG151)</f>
        <v>6454.72</v>
      </c>
      <c r="AO151" s="104" t="n">
        <f aca="false">SUMIF($F$7:$AG$7,AO$7,$F151:$AG151)</f>
        <v>6370.39763888889</v>
      </c>
    </row>
    <row r="152" customFormat="false" ht="15" hidden="false" customHeight="false" outlineLevel="0" collapsed="false">
      <c r="A152" s="112" t="s">
        <v>2195</v>
      </c>
      <c r="B152" s="24" t="s">
        <v>857</v>
      </c>
      <c r="C152" s="24" t="s">
        <v>672</v>
      </c>
      <c r="D152" s="24"/>
      <c r="F152" s="130" t="n">
        <f aca="false">F141+F91+F96+F101+F106+F111+F116+F121</f>
        <v>0</v>
      </c>
      <c r="G152" s="130" t="n">
        <f aca="false">G141+G91+G96+G101+G106+G111+G116+G121</f>
        <v>0</v>
      </c>
      <c r="H152" s="130" t="n">
        <f aca="false">H141+H91+H96+H101+H106+H111+H116+H121</f>
        <v>0</v>
      </c>
      <c r="I152" s="130" t="n">
        <f aca="false">I141+I91+I96+I101+I106+I111+I116+I121</f>
        <v>0</v>
      </c>
      <c r="J152" s="130" t="n">
        <f aca="false">J141+J91+J96+J101+J106+J111+J116+J121</f>
        <v>0</v>
      </c>
      <c r="K152" s="130" t="n">
        <f aca="false">K141+K91+K96+K101+K106+K111+K116+K121</f>
        <v>0</v>
      </c>
      <c r="L152" s="130" t="n">
        <f aca="false">L141+L91+L96+L101+L106+L111+L116+L121</f>
        <v>0</v>
      </c>
      <c r="M152" s="130" t="n">
        <f aca="false">M141+M91+M96+M101+M106+M111+M116+M121</f>
        <v>50.6725</v>
      </c>
      <c r="N152" s="130" t="n">
        <f aca="false">N141+N91+N96+N101+N106+N111+N116+N121</f>
        <v>101.345</v>
      </c>
      <c r="O152" s="130" t="n">
        <f aca="false">O141+O91+O96+O101+O106+O111+O116+O121</f>
        <v>101.345</v>
      </c>
      <c r="P152" s="131" t="n">
        <f aca="false">P141+P91+P96+P101+P106+P111+P116+P121</f>
        <v>150.428333333333</v>
      </c>
      <c r="Q152" s="131" t="n">
        <f aca="false">Q141+Q91+Q96+Q101+Q106+Q111+Q116+Q121</f>
        <v>150.428333333333</v>
      </c>
      <c r="R152" s="131" t="n">
        <f aca="false">R141+R91+R96+R101+R106+R111+R116+R121</f>
        <v>150.428333333333</v>
      </c>
      <c r="S152" s="131" t="n">
        <f aca="false">S141+S91+S96+S101+S106+S111+S116+S121</f>
        <v>208.011666666667</v>
      </c>
      <c r="T152" s="131" t="n">
        <f aca="false">T141+T91+T96+T101+T106+T111+T116+T121</f>
        <v>341.345</v>
      </c>
      <c r="U152" s="131" t="n">
        <f aca="false">U141+U91+U96+U101+U106+U111+U116+U121</f>
        <v>394.678333333333</v>
      </c>
      <c r="V152" s="131" t="n">
        <f aca="false">V141+V91+V96+V101+V106+V111+V116+V121</f>
        <v>394.678333333333</v>
      </c>
      <c r="W152" s="131" t="n">
        <f aca="false">W141+W91+W96+W101+W106+W111+W116+W121</f>
        <v>394.678333333333</v>
      </c>
      <c r="X152" s="131" t="n">
        <f aca="false">X141+X91+X96+X101+X106+X111+X116+X121</f>
        <v>394.678333333333</v>
      </c>
      <c r="Y152" s="131" t="n">
        <f aca="false">Y141+Y91+Y96+Y101+Y106+Y111+Y116+Y121</f>
        <v>394.678333333333</v>
      </c>
      <c r="Z152" s="131" t="n">
        <f aca="false">Z141+Z91+Z96+Z101+Z106+Z111+Z116+Z121</f>
        <v>394.678333333333</v>
      </c>
      <c r="AA152" s="131" t="n">
        <f aca="false">AA141+AA91+AA96+AA101+AA106+AA111+AA116+AA121</f>
        <v>394.678333333333</v>
      </c>
      <c r="AB152" s="131" t="n">
        <f aca="false">AB141+AB91+AB96+AB101+AB106+AB111+AB116+AB121</f>
        <v>394.678333333333</v>
      </c>
      <c r="AC152" s="131" t="n">
        <f aca="false">AC141+AC91+AC96+AC101+AC106+AC111+AC116+AC121</f>
        <v>394.678333333333</v>
      </c>
      <c r="AD152" s="131" t="n">
        <f aca="false">AD141+AD91+AD96+AD101+AD106+AD111+AD116+AD121</f>
        <v>394.678333333333</v>
      </c>
      <c r="AE152" s="131" t="n">
        <f aca="false">AE141+AE91+AE96+AE101+AE106+AE111+AE116+AE121</f>
        <v>394.678333333333</v>
      </c>
      <c r="AF152" s="131" t="n">
        <f aca="false">AF141+AF91+AF96+AF101+AF106+AF111+AF116+AF121</f>
        <v>394.678333333333</v>
      </c>
      <c r="AG152" s="131" t="n">
        <f aca="false">AG141+AG91+AG96+AG101+AG106+AG111+AG116+AG121</f>
        <v>344.005833333333</v>
      </c>
      <c r="AI152" s="131" t="n">
        <f aca="false">INDEX($F152:$AG152,1,MATCH(AI$7,$F$7:$AG$7,1))</f>
        <v>0</v>
      </c>
      <c r="AJ152" s="131" t="n">
        <f aca="false">INDEX($F152:$AG152,1,MATCH(AJ$7,$F$7:$AG$7,1))</f>
        <v>50.6725</v>
      </c>
      <c r="AK152" s="131" t="n">
        <f aca="false">INDEX($F152:$AG152,1,MATCH(AK$7,$F$7:$AG$7,1))</f>
        <v>150.428333333333</v>
      </c>
      <c r="AL152" s="131" t="n">
        <f aca="false">INDEX($F152:$AG152,1,MATCH(AL$7,$F$7:$AG$7,1))</f>
        <v>394.678333333333</v>
      </c>
      <c r="AM152" s="131" t="n">
        <f aca="false">INDEX($F152:$AG152,1,MATCH(AM$7,$F$7:$AG$7,1))</f>
        <v>394.678333333333</v>
      </c>
      <c r="AN152" s="131" t="n">
        <f aca="false">INDEX($F152:$AG152,1,MATCH(AN$7,$F$7:$AG$7,1))</f>
        <v>394.678333333333</v>
      </c>
      <c r="AO152" s="131" t="n">
        <f aca="false">INDEX($F152:$AG152,1,MATCH(AO$7,$F$7:$AG$7,1))</f>
        <v>344.005833333333</v>
      </c>
    </row>
    <row r="153" customFormat="false" ht="15" hidden="false" customHeight="false" outlineLevel="0" collapsed="false">
      <c r="A153" s="112" t="s">
        <v>2196</v>
      </c>
      <c r="B153" s="24" t="s">
        <v>745</v>
      </c>
      <c r="C153" s="24" t="s">
        <v>672</v>
      </c>
      <c r="D153" s="24"/>
      <c r="F153" s="130" t="n">
        <f aca="false">F37+F42+F47+F52+F57+F62+F67+F72+F77+F82+F87+F92+F97+F102+F107+F112+F117+F122</f>
        <v>-0</v>
      </c>
      <c r="G153" s="130" t="n">
        <f aca="false">G37+G42+G47+G52+G57+G62+G67+G72+G77+G82+G87+G92+G97+G102+G107+G112+G117+G122</f>
        <v>-0</v>
      </c>
      <c r="H153" s="130" t="n">
        <f aca="false">H37+H42+H47+H52+H57+H62+H67+H72+H77+H82+H87+H92+H97+H102+H107+H112+H117+H122</f>
        <v>-0</v>
      </c>
      <c r="I153" s="130" t="n">
        <f aca="false">I37+I42+I47+I52+I57+I62+I67+I72+I77+I82+I87+I92+I97+I102+I107+I112+I117+I122</f>
        <v>-0</v>
      </c>
      <c r="J153" s="130" t="n">
        <f aca="false">J37+J42+J47+J52+J57+J62+J67+J72+J77+J82+J87+J92+J97+J102+J107+J112+J117+J122</f>
        <v>-0</v>
      </c>
      <c r="K153" s="130" t="n">
        <f aca="false">K37+K42+K47+K52+K57+K62+K67+K72+K77+K82+K87+K92+K97+K102+K107+K112+K117+K122</f>
        <v>-0</v>
      </c>
      <c r="L153" s="130" t="n">
        <f aca="false">L37+L42+L47+L52+L57+L62+L67+L72+L77+L82+L87+L92+L97+L102+L107+L112+L117+L122</f>
        <v>-0</v>
      </c>
      <c r="M153" s="130" t="n">
        <f aca="false">M37+M42+M47+M52+M57+M62+M67+M72+M77+M82+M87+M92+M97+M102+M107+M112+M117+M122</f>
        <v>-0</v>
      </c>
      <c r="N153" s="130" t="n">
        <f aca="false">N37+N42+N47+N52+N57+N62+N67+N72+N77+N82+N87+N92+N97+N102+N107+N112+N117+N122</f>
        <v>-0</v>
      </c>
      <c r="O153" s="130" t="n">
        <f aca="false">O37+O42+O47+O52+O57+O62+O67+O72+O77+O82+O87+O92+O97+O102+O107+O112+O117+O122</f>
        <v>-0</v>
      </c>
      <c r="P153" s="131" t="n">
        <f aca="false">P37+P42+P47+P52+P57+P62+P67+P72+P77+P82+P87+P92+P97+P102+P107+P112+P117+P122</f>
        <v>-0</v>
      </c>
      <c r="Q153" s="131" t="n">
        <f aca="false">Q37+Q42+Q47+Q52+Q57+Q62+Q67+Q72+Q77+Q82+Q87+Q92+Q97+Q102+Q107+Q112+Q117+Q122</f>
        <v>-0</v>
      </c>
      <c r="R153" s="131" t="n">
        <f aca="false">R37+R42+R47+R52+R57+R62+R67+R72+R77+R82+R87+R92+R97+R102+R107+R112+R117+R122</f>
        <v>-0</v>
      </c>
      <c r="S153" s="131" t="n">
        <f aca="false">S37+S42+S47+S52+S57+S62+S67+S72+S77+S82+S87+S92+S97+S102+S107+S112+S117+S122</f>
        <v>-0</v>
      </c>
      <c r="T153" s="131" t="n">
        <f aca="false">T37+T42+T47+T52+T57+T62+T67+T72+T77+T82+T87+T92+T97+T102+T107+T112+T117+T122</f>
        <v>-0</v>
      </c>
      <c r="U153" s="131" t="n">
        <f aca="false">U37+U42+U47+U52+U57+U62+U67+U72+U77+U82+U87+U92+U97+U102+U107+U112+U117+U122</f>
        <v>-0</v>
      </c>
      <c r="V153" s="131" t="n">
        <f aca="false">V37+V42+V47+V52+V57+V62+V67+V72+V77+V82+V87+V92+V97+V102+V107+V112+V117+V122</f>
        <v>-0</v>
      </c>
      <c r="W153" s="131" t="n">
        <f aca="false">W37+W42+W47+W52+W57+W62+W67+W72+W77+W82+W87+W92+W97+W102+W107+W112+W117+W122</f>
        <v>-0</v>
      </c>
      <c r="X153" s="131" t="n">
        <f aca="false">X37+X42+X47+X52+X57+X62+X67+X72+X77+X82+X87+X92+X97+X102+X107+X112+X117+X122</f>
        <v>-0</v>
      </c>
      <c r="Y153" s="131" t="n">
        <f aca="false">Y37+Y42+Y47+Y52+Y57+Y62+Y67+Y72+Y77+Y82+Y87+Y92+Y97+Y102+Y107+Y112+Y117+Y122</f>
        <v>-0</v>
      </c>
      <c r="Z153" s="131" t="n">
        <f aca="false">Z37+Z42+Z47+Z52+Z57+Z62+Z67+Z72+Z77+Z82+Z87+Z92+Z97+Z102+Z107+Z112+Z117+Z122</f>
        <v>-0</v>
      </c>
      <c r="AA153" s="131" t="n">
        <f aca="false">AA37+AA42+AA47+AA52+AA57+AA62+AA67+AA72+AA77+AA82+AA87+AA92+AA97+AA102+AA107+AA112+AA117+AA122</f>
        <v>-0</v>
      </c>
      <c r="AB153" s="131" t="n">
        <f aca="false">AB37+AB42+AB47+AB52+AB57+AB62+AB67+AB72+AB77+AB82+AB87+AB92+AB97+AB102+AB107+AB112+AB117+AB122</f>
        <v>-0</v>
      </c>
      <c r="AC153" s="131" t="n">
        <f aca="false">AC37+AC42+AC47+AC52+AC57+AC62+AC67+AC72+AC77+AC82+AC87+AC92+AC97+AC102+AC107+AC112+AC117+AC122</f>
        <v>-0</v>
      </c>
      <c r="AD153" s="131" t="n">
        <f aca="false">AD37+AD42+AD47+AD52+AD57+AD62+AD67+AD72+AD77+AD82+AD87+AD92+AD97+AD102+AD107+AD112+AD117+AD122</f>
        <v>-0</v>
      </c>
      <c r="AE153" s="131" t="n">
        <f aca="false">AE37+AE42+AE47+AE52+AE57+AE62+AE67+AE72+AE77+AE82+AE87+AE92+AE97+AE102+AE107+AE112+AE117+AE122</f>
        <v>-0</v>
      </c>
      <c r="AF153" s="131" t="n">
        <f aca="false">AF37+AF42+AF47+AF52+AF57+AF62+AF67+AF72+AF77+AF82+AF87+AF92+AF97+AF102+AF107+AF112+AF117+AF122</f>
        <v>-0</v>
      </c>
      <c r="AG153" s="131" t="n">
        <f aca="false">AG37+AG42+AG47+AG52+AG57+AG62+AG67+AG72+AG77+AG82+AG87+AG92+AG97+AG102+AG107+AG112+AG117+AG122</f>
        <v>-0</v>
      </c>
      <c r="AI153" s="131" t="n">
        <f aca="false">SUMIF($F$7:$AG$7,AI$7,$F153:$AG153)</f>
        <v>0</v>
      </c>
      <c r="AJ153" s="131" t="n">
        <f aca="false">SUMIF($F$7:$AG$7,AJ$7,$F153:$AG153)</f>
        <v>0</v>
      </c>
      <c r="AK153" s="131" t="n">
        <f aca="false">SUMIF($F$7:$AG$7,AK$7,$F153:$AG153)</f>
        <v>0</v>
      </c>
      <c r="AL153" s="131" t="n">
        <f aca="false">SUMIF($F$7:$AG$7,AL$7,$F153:$AG153)</f>
        <v>0</v>
      </c>
      <c r="AM153" s="131" t="n">
        <f aca="false">SUMIF($F$7:$AG$7,AM$7,$F153:$AG153)</f>
        <v>0</v>
      </c>
      <c r="AN153" s="131" t="n">
        <f aca="false">SUMIF($F$7:$AG$7,AN$7,$F153:$AG153)</f>
        <v>0</v>
      </c>
      <c r="AO153" s="131" t="n">
        <f aca="false">SUMIF($F$7:$AG$7,AO$7,$F153:$AG153)</f>
        <v>0</v>
      </c>
    </row>
    <row r="154" customFormat="false" ht="15" hidden="false" customHeight="false" outlineLevel="0" collapsed="false">
      <c r="A154" s="112" t="s">
        <v>2197</v>
      </c>
      <c r="B154" s="24" t="s">
        <v>745</v>
      </c>
      <c r="C154" s="24" t="s">
        <v>672</v>
      </c>
      <c r="D154" s="24"/>
      <c r="F154" s="130" t="n">
        <f aca="false">F39+F44+F49+F54+F59+F64+F69+F74+F79+F84+F89+F94+F99+F104+F109+F114+F119+F124</f>
        <v>0</v>
      </c>
      <c r="G154" s="130" t="n">
        <f aca="false">G39+G44+G49+G54+G59+G64+G69+G74+G79+G84+G89+G94+G99+G104+G109+G114+G119+G124</f>
        <v>0</v>
      </c>
      <c r="H154" s="130" t="n">
        <f aca="false">H39+H44+H49+H54+H59+H64+H69+H74+H79+H84+H89+H94+H99+H104+H109+H114+H119+H124</f>
        <v>0</v>
      </c>
      <c r="I154" s="130" t="n">
        <f aca="false">I39+I44+I49+I54+I59+I64+I69+I74+I79+I84+I89+I94+I99+I104+I109+I114+I119+I124</f>
        <v>0</v>
      </c>
      <c r="J154" s="130" t="n">
        <f aca="false">J39+J44+J49+J54+J59+J64+J69+J74+J79+J84+J89+J94+J99+J104+J109+J114+J119+J124</f>
        <v>0</v>
      </c>
      <c r="K154" s="130" t="n">
        <f aca="false">K39+K44+K49+K54+K59+K64+K69+K74+K79+K84+K89+K94+K99+K104+K109+K114+K119+K124</f>
        <v>0</v>
      </c>
      <c r="L154" s="130" t="n">
        <f aca="false">L39+L44+L49+L54+L59+L64+L69+L74+L79+L84+L89+L94+L99+L104+L109+L114+L119+L124</f>
        <v>0</v>
      </c>
      <c r="M154" s="130" t="n">
        <f aca="false">M39+M44+M49+M54+M59+M64+M69+M74+M79+M84+M89+M94+M99+M104+M109+M114+M119+M124</f>
        <v>0</v>
      </c>
      <c r="N154" s="130" t="n">
        <f aca="false">N39+N44+N49+N54+N59+N64+N69+N74+N79+N84+N89+N94+N99+N104+N109+N114+N119+N124</f>
        <v>0</v>
      </c>
      <c r="O154" s="130" t="n">
        <f aca="false">O39+O44+O49+O54+O59+O64+O69+O74+O79+O84+O89+O94+O99+O104+O109+O114+O119+O124</f>
        <v>0</v>
      </c>
      <c r="P154" s="131" t="n">
        <f aca="false">P39+P44+P49+P54+P59+P64+P69+P74+P79+P84+P89+P94+P99+P104+P109+P114+P119+P124</f>
        <v>0</v>
      </c>
      <c r="Q154" s="131" t="n">
        <f aca="false">Q39+Q44+Q49+Q54+Q59+Q64+Q69+Q74+Q79+Q84+Q89+Q94+Q99+Q104+Q109+Q114+Q119+Q124</f>
        <v>0</v>
      </c>
      <c r="R154" s="131" t="n">
        <f aca="false">R39+R44+R49+R54+R59+R64+R69+R74+R79+R84+R89+R94+R99+R104+R109+R114+R119+R124</f>
        <v>0</v>
      </c>
      <c r="S154" s="131" t="n">
        <f aca="false">S39+S44+S49+S54+S59+S64+S69+S74+S79+S84+S89+S94+S99+S104+S109+S114+S119+S124</f>
        <v>0</v>
      </c>
      <c r="T154" s="131" t="n">
        <f aca="false">T39+T44+T49+T54+T59+T64+T69+T74+T79+T84+T89+T94+T99+T104+T109+T114+T119+T124</f>
        <v>0</v>
      </c>
      <c r="U154" s="131" t="n">
        <f aca="false">U39+U44+U49+U54+U59+U64+U69+U74+U79+U84+U89+U94+U99+U104+U109+U114+U119+U124</f>
        <v>0</v>
      </c>
      <c r="V154" s="131" t="n">
        <f aca="false">V39+V44+V49+V54+V59+V64+V69+V74+V79+V84+V89+V94+V99+V104+V109+V114+V119+V124</f>
        <v>0</v>
      </c>
      <c r="W154" s="131" t="n">
        <f aca="false">W39+W44+W49+W54+W59+W64+W69+W74+W79+W84+W89+W94+W99+W104+W109+W114+W119+W124</f>
        <v>0</v>
      </c>
      <c r="X154" s="131" t="n">
        <f aca="false">X39+X44+X49+X54+X59+X64+X69+X74+X79+X84+X89+X94+X99+X104+X109+X114+X119+X124</f>
        <v>0</v>
      </c>
      <c r="Y154" s="131" t="n">
        <f aca="false">Y39+Y44+Y49+Y54+Y59+Y64+Y69+Y74+Y79+Y84+Y89+Y94+Y99+Y104+Y109+Y114+Y119+Y124</f>
        <v>0</v>
      </c>
      <c r="Z154" s="131" t="n">
        <f aca="false">Z39+Z44+Z49+Z54+Z59+Z64+Z69+Z74+Z79+Z84+Z89+Z94+Z99+Z104+Z109+Z114+Z119+Z124</f>
        <v>0</v>
      </c>
      <c r="AA154" s="131" t="n">
        <f aca="false">AA39+AA44+AA49+AA54+AA59+AA64+AA69+AA74+AA79+AA84+AA89+AA94+AA99+AA104+AA109+AA114+AA119+AA124</f>
        <v>0</v>
      </c>
      <c r="AB154" s="131" t="n">
        <f aca="false">AB39+AB44+AB49+AB54+AB59+AB64+AB69+AB74+AB79+AB84+AB89+AB94+AB99+AB104+AB109+AB114+AB119+AB124</f>
        <v>0</v>
      </c>
      <c r="AC154" s="131" t="n">
        <f aca="false">AC39+AC44+AC49+AC54+AC59+AC64+AC69+AC74+AC79+AC84+AC89+AC94+AC99+AC104+AC109+AC114+AC119+AC124</f>
        <v>0</v>
      </c>
      <c r="AD154" s="131" t="n">
        <f aca="false">AD39+AD44+AD49+AD54+AD59+AD64+AD69+AD74+AD79+AD84+AD89+AD94+AD99+AD104+AD109+AD114+AD119+AD124</f>
        <v>0</v>
      </c>
      <c r="AE154" s="131" t="n">
        <f aca="false">AE39+AE44+AE49+AE54+AE59+AE64+AE69+AE74+AE79+AE84+AE89+AE94+AE99+AE104+AE109+AE114+AE119+AE124</f>
        <v>0</v>
      </c>
      <c r="AF154" s="131" t="n">
        <f aca="false">AF39+AF44+AF49+AF54+AF59+AF64+AF69+AF74+AF79+AF84+AF89+AF94+AF99+AF104+AF109+AF114+AF119+AF124</f>
        <v>0</v>
      </c>
      <c r="AG154" s="131" t="n">
        <f aca="false">AG39+AG44+AG49+AG54+AG59+AG64+AG69+AG74+AG79+AG84+AG89+AG94+AG99+AG104+AG109+AG114+AG119+AG124</f>
        <v>205.8940525785</v>
      </c>
      <c r="AI154" s="131" t="n">
        <f aca="false">SUMIF($F$7:$AG$7,AI$7,$F154:$AG154)</f>
        <v>0</v>
      </c>
      <c r="AJ154" s="131" t="n">
        <f aca="false">SUMIF($F$7:$AG$7,AJ$7,$F154:$AG154)</f>
        <v>0</v>
      </c>
      <c r="AK154" s="131" t="n">
        <f aca="false">SUMIF($F$7:$AG$7,AK$7,$F154:$AG154)</f>
        <v>0</v>
      </c>
      <c r="AL154" s="131" t="n">
        <f aca="false">SUMIF($F$7:$AG$7,AL$7,$F154:$AG154)</f>
        <v>0</v>
      </c>
      <c r="AM154" s="131" t="n">
        <f aca="false">SUMIF($F$7:$AG$7,AM$7,$F154:$AG154)</f>
        <v>0</v>
      </c>
      <c r="AN154" s="131" t="n">
        <f aca="false">SUMIF($F$7:$AG$7,AN$7,$F154:$AG154)</f>
        <v>0</v>
      </c>
      <c r="AO154" s="131" t="n">
        <f aca="false">SUMIF($F$7:$AG$7,AO$7,$F154:$AG154)</f>
        <v>205.8940525785</v>
      </c>
    </row>
    <row r="155" customFormat="false" ht="15" hidden="false" customHeight="false" outlineLevel="0" collapsed="false">
      <c r="A155" s="112" t="s">
        <v>2198</v>
      </c>
      <c r="B155" s="24" t="s">
        <v>857</v>
      </c>
      <c r="C155" s="24" t="s">
        <v>672</v>
      </c>
      <c r="D155" s="24"/>
      <c r="F155" s="130" t="n">
        <f aca="false">F36+F41+F46+F51+F56+F61+F66+F71+F76+F81+F86+F91+F96+F101+F106+F111+F116+F121</f>
        <v>0</v>
      </c>
      <c r="G155" s="130" t="n">
        <f aca="false">G36+G41+G46+G51+G56+G61+G66+G71+G76+G81+G86+G91+G96+G101+G106+G111+G116+G121</f>
        <v>0</v>
      </c>
      <c r="H155" s="130" t="n">
        <f aca="false">H36+H41+H46+H51+H56+H61+H66+H71+H76+H81+H86+H91+H96+H101+H106+H111+H116+H121</f>
        <v>0</v>
      </c>
      <c r="I155" s="130" t="n">
        <f aca="false">I36+I41+I46+I51+I56+I61+I66+I71+I76+I81+I86+I91+I96+I101+I106+I111+I116+I121</f>
        <v>0</v>
      </c>
      <c r="J155" s="130" t="n">
        <f aca="false">J36+J41+J46+J51+J56+J61+J66+J71+J76+J81+J86+J91+J96+J101+J106+J111+J116+J121</f>
        <v>0</v>
      </c>
      <c r="K155" s="130" t="n">
        <f aca="false">K36+K41+K46+K51+K56+K61+K66+K71+K76+K81+K86+K91+K96+K101+K106+K111+K116+K121</f>
        <v>0</v>
      </c>
      <c r="L155" s="130" t="n">
        <f aca="false">L36+L41+L46+L51+L56+L61+L66+L71+L76+L81+L86+L91+L96+L101+L106+L111+L116+L121</f>
        <v>0</v>
      </c>
      <c r="M155" s="130" t="n">
        <f aca="false">M36+M41+M46+M51+M56+M61+M66+M71+M76+M81+M86+M91+M96+M101+M106+M111+M116+M121</f>
        <v>50.6725</v>
      </c>
      <c r="N155" s="130" t="n">
        <f aca="false">N36+N41+N46+N51+N56+N61+N66+N71+N76+N81+N86+N91+N96+N101+N106+N111+N116+N121</f>
        <v>101.345</v>
      </c>
      <c r="O155" s="130" t="n">
        <f aca="false">O36+O41+O46+O51+O56+O61+O66+O71+O76+O81+O86+O91+O96+O101+O106+O111+O116+O121</f>
        <v>101.345</v>
      </c>
      <c r="P155" s="131" t="n">
        <f aca="false">P36+P41+P46+P51+P56+P61+P66+P71+P76+P81+P86+P91+P96+P101+P106+P111+P116+P121</f>
        <v>154.678333333333</v>
      </c>
      <c r="Q155" s="131" t="n">
        <f aca="false">Q36+Q41+Q46+Q51+Q56+Q61+Q66+Q71+Q76+Q81+Q86+Q91+Q96+Q101+Q106+Q111+Q116+Q121</f>
        <v>154.678333333333</v>
      </c>
      <c r="R155" s="131" t="n">
        <f aca="false">R36+R41+R46+R51+R56+R61+R66+R71+R76+R81+R86+R91+R96+R101+R106+R111+R116+R121</f>
        <v>154.678333333333</v>
      </c>
      <c r="S155" s="131" t="n">
        <f aca="false">S36+S41+S46+S51+S56+S61+S66+S71+S76+S81+S86+S91+S96+S101+S106+S111+S116+S121</f>
        <v>208.011666666667</v>
      </c>
      <c r="T155" s="131" t="n">
        <f aca="false">T36+T41+T46+T51+T56+T61+T66+T71+T76+T81+T86+T91+T96+T101+T106+T111+T116+T121</f>
        <v>341.345</v>
      </c>
      <c r="U155" s="131" t="n">
        <f aca="false">U36+U41+U46+U51+U56+U61+U66+U71+U76+U81+U86+U91+U96+U101+U106+U111+U116+U121</f>
        <v>394.678333333333</v>
      </c>
      <c r="V155" s="131" t="n">
        <f aca="false">V36+V41+V46+V51+V56+V61+V66+V71+V76+V81+V86+V91+V96+V101+V106+V111+V116+V121</f>
        <v>394.678333333333</v>
      </c>
      <c r="W155" s="131" t="n">
        <f aca="false">W36+W41+W46+W51+W56+W61+W66+W71+W76+W81+W86+W91+W96+W101+W106+W111+W116+W121</f>
        <v>394.678333333333</v>
      </c>
      <c r="X155" s="131" t="n">
        <f aca="false">X36+X41+X46+X51+X56+X61+X66+X71+X76+X81+X86+X91+X96+X101+X106+X111+X116+X121</f>
        <v>394.678333333333</v>
      </c>
      <c r="Y155" s="131" t="n">
        <f aca="false">Y36+Y41+Y46+Y51+Y56+Y61+Y66+Y71+Y76+Y81+Y86+Y91+Y96+Y101+Y106+Y111+Y116+Y121</f>
        <v>394.678333333333</v>
      </c>
      <c r="Z155" s="131" t="n">
        <f aca="false">Z36+Z41+Z46+Z51+Z56+Z61+Z66+Z71+Z76+Z81+Z86+Z91+Z96+Z101+Z106+Z111+Z116+Z121</f>
        <v>394.678333333333</v>
      </c>
      <c r="AA155" s="131" t="n">
        <f aca="false">AA36+AA41+AA46+AA51+AA56+AA61+AA66+AA71+AA76+AA81+AA86+AA91+AA96+AA101+AA106+AA111+AA116+AA121</f>
        <v>394.678333333333</v>
      </c>
      <c r="AB155" s="131" t="n">
        <f aca="false">AB36+AB41+AB46+AB51+AB56+AB61+AB66+AB71+AB76+AB81+AB86+AB91+AB96+AB101+AB106+AB111+AB116+AB121</f>
        <v>394.678333333333</v>
      </c>
      <c r="AC155" s="131" t="n">
        <f aca="false">AC36+AC41+AC46+AC51+AC56+AC61+AC66+AC71+AC76+AC81+AC86+AC91+AC96+AC101+AC106+AC111+AC116+AC121</f>
        <v>394.678333333333</v>
      </c>
      <c r="AD155" s="131" t="n">
        <f aca="false">AD36+AD41+AD46+AD51+AD56+AD61+AD66+AD71+AD76+AD81+AD86+AD91+AD96+AD101+AD106+AD111+AD116+AD121</f>
        <v>394.678333333333</v>
      </c>
      <c r="AE155" s="131" t="n">
        <f aca="false">AE36+AE41+AE46+AE51+AE56+AE61+AE66+AE71+AE76+AE81+AE86+AE91+AE96+AE101+AE106+AE111+AE116+AE121</f>
        <v>394.678333333333</v>
      </c>
      <c r="AF155" s="131" t="n">
        <f aca="false">AF36+AF41+AF46+AF51+AF56+AF61+AF66+AF71+AF76+AF81+AF86+AF91+AF96+AF101+AF106+AF111+AF116+AF121</f>
        <v>394.678333333333</v>
      </c>
      <c r="AG155" s="131" t="n">
        <f aca="false">AG36+AG41+AG46+AG51+AG56+AG61+AG66+AG71+AG76+AG81+AG86+AG91+AG96+AG101+AG106+AG111+AG116+AG121</f>
        <v>344.005833333333</v>
      </c>
      <c r="AI155" s="131" t="n">
        <f aca="false">INDEX($F155:$AG155,1,MATCH(AI$7,$F$7:$AG$7,1))</f>
        <v>0</v>
      </c>
      <c r="AJ155" s="131" t="n">
        <f aca="false">INDEX($F155:$AG155,1,MATCH(AJ$7,$F$7:$AG$7,1))</f>
        <v>50.6725</v>
      </c>
      <c r="AK155" s="131" t="n">
        <f aca="false">INDEX($F155:$AG155,1,MATCH(AK$7,$F$7:$AG$7,1))</f>
        <v>154.678333333333</v>
      </c>
      <c r="AL155" s="131" t="n">
        <f aca="false">INDEX($F155:$AG155,1,MATCH(AL$7,$F$7:$AG$7,1))</f>
        <v>394.678333333333</v>
      </c>
      <c r="AM155" s="131" t="n">
        <f aca="false">INDEX($F155:$AG155,1,MATCH(AM$7,$F$7:$AG$7,1))</f>
        <v>394.678333333333</v>
      </c>
      <c r="AN155" s="131" t="n">
        <f aca="false">INDEX($F155:$AG155,1,MATCH(AN$7,$F$7:$AG$7,1))</f>
        <v>394.678333333333</v>
      </c>
      <c r="AO155" s="131" t="n">
        <f aca="false">INDEX($F155:$AG155,1,MATCH(AO$7,$F$7:$AG$7,1))</f>
        <v>344.005833333333</v>
      </c>
    </row>
    <row r="156" customFormat="false" ht="15" hidden="false" customHeight="false" outlineLevel="0" collapsed="false">
      <c r="A156" s="112" t="s">
        <v>2199</v>
      </c>
      <c r="B156" s="24" t="s">
        <v>857</v>
      </c>
      <c r="C156" s="24" t="s">
        <v>672</v>
      </c>
      <c r="D156" s="24"/>
      <c r="F156" s="130" t="n">
        <f aca="false">F36+F41+F46+F51+F56+F61+F66+F71+F76+F81+F86+F91+F96+F101+F106+F111</f>
        <v>0</v>
      </c>
      <c r="G156" s="130" t="n">
        <f aca="false">G36+G41+G46+G51+G56+G61+G66+G71+G76+G81+G86+G91+G96+G101+G106+G111</f>
        <v>0</v>
      </c>
      <c r="H156" s="130" t="n">
        <f aca="false">H36+H41+H46+H51+H56+H61+H66+H71+H76+H81+H86+H91+H96+H101+H106+H111</f>
        <v>0</v>
      </c>
      <c r="I156" s="130" t="n">
        <f aca="false">I36+I41+I46+I51+I56+I61+I66+I71+I76+I81+I86+I91+I96+I101+I106+I111</f>
        <v>0</v>
      </c>
      <c r="J156" s="130" t="n">
        <f aca="false">J36+J41+J46+J51+J56+J61+J66+J71+J76+J81+J86+J91+J96+J101+J106+J111</f>
        <v>0</v>
      </c>
      <c r="K156" s="130" t="n">
        <f aca="false">K36+K41+K46+K51+K56+K61+K66+K71+K76+K81+K86+K91+K96+K101+K106+K111</f>
        <v>0</v>
      </c>
      <c r="L156" s="130" t="n">
        <f aca="false">L36+L41+L46+L51+L56+L61+L66+L71+L76+L81+L86+L91+L96+L101+L106+L111</f>
        <v>0</v>
      </c>
      <c r="M156" s="130" t="n">
        <f aca="false">M36+M41+M46+M51+M56+M61+M66+M71+M76+M81+M86+M91+M96+M101+M106+M111</f>
        <v>50.6725</v>
      </c>
      <c r="N156" s="130" t="n">
        <f aca="false">N36+N41+N46+N51+N56+N61+N66+N71+N76+N81+N86+N91+N96+N101+N106+N111</f>
        <v>101.345</v>
      </c>
      <c r="O156" s="130" t="n">
        <f aca="false">O36+O41+O46+O51+O56+O61+O66+O71+O76+O81+O86+O91+O96+O101+O106+O111</f>
        <v>101.345</v>
      </c>
      <c r="P156" s="131" t="n">
        <f aca="false">P36+P41+P46+P51+P56+P61+P66+P71+P76+P81+P86+P91+P96+P101+P106+P111</f>
        <v>154.678333333333</v>
      </c>
      <c r="Q156" s="131" t="n">
        <f aca="false">Q36+Q41+Q46+Q51+Q56+Q61+Q66+Q71+Q76+Q81+Q86+Q91+Q96+Q101+Q106+Q111</f>
        <v>154.678333333333</v>
      </c>
      <c r="R156" s="131" t="n">
        <f aca="false">R36+R41+R46+R51+R56+R61+R66+R71+R76+R81+R86+R91+R96+R101+R106+R111</f>
        <v>154.678333333333</v>
      </c>
      <c r="S156" s="131" t="n">
        <f aca="false">S36+S41+S46+S51+S56+S61+S66+S71+S76+S81+S86+S91+S96+S101+S106+S111</f>
        <v>208.011666666667</v>
      </c>
      <c r="T156" s="131" t="n">
        <f aca="false">T36+T41+T46+T51+T56+T61+T66+T71+T76+T81+T86+T91+T96+T101+T106+T111</f>
        <v>341.345</v>
      </c>
      <c r="U156" s="131" t="n">
        <f aca="false">U36+U41+U46+U51+U56+U61+U66+U71+U76+U81+U86+U91+U96+U101+U106+U111</f>
        <v>394.678333333333</v>
      </c>
      <c r="V156" s="131" t="n">
        <f aca="false">V36+V41+V46+V51+V56+V61+V66+V71+V76+V81+V86+V91+V96+V101+V106+V111</f>
        <v>394.678333333333</v>
      </c>
      <c r="W156" s="131" t="n">
        <f aca="false">W36+W41+W46+W51+W56+W61+W66+W71+W76+W81+W86+W91+W96+W101+W106+W111</f>
        <v>394.678333333333</v>
      </c>
      <c r="X156" s="131" t="n">
        <f aca="false">X36+X41+X46+X51+X56+X61+X66+X71+X76+X81+X86+X91+X96+X101+X106+X111</f>
        <v>394.678333333333</v>
      </c>
      <c r="Y156" s="131" t="n">
        <f aca="false">Y36+Y41+Y46+Y51+Y56+Y61+Y66+Y71+Y76+Y81+Y86+Y91+Y96+Y101+Y106+Y111</f>
        <v>394.678333333333</v>
      </c>
      <c r="Z156" s="131" t="n">
        <f aca="false">Z36+Z41+Z46+Z51+Z56+Z61+Z66+Z71+Z76+Z81+Z86+Z91+Z96+Z101+Z106+Z111</f>
        <v>394.678333333333</v>
      </c>
      <c r="AA156" s="131" t="n">
        <f aca="false">AA36+AA41+AA46+AA51+AA56+AA61+AA66+AA71+AA76+AA81+AA86+AA91+AA96+AA101+AA106+AA111</f>
        <v>394.678333333333</v>
      </c>
      <c r="AB156" s="131" t="n">
        <f aca="false">AB36+AB41+AB46+AB51+AB56+AB61+AB66+AB71+AB76+AB81+AB86+AB91+AB96+AB101+AB106+AB111</f>
        <v>394.678333333333</v>
      </c>
      <c r="AC156" s="131" t="n">
        <f aca="false">AC36+AC41+AC46+AC51+AC56+AC61+AC66+AC71+AC76+AC81+AC86+AC91+AC96+AC101+AC106+AC111</f>
        <v>394.678333333333</v>
      </c>
      <c r="AD156" s="131" t="n">
        <f aca="false">AD36+AD41+AD46+AD51+AD56+AD61+AD66+AD71+AD76+AD81+AD86+AD91+AD96+AD101+AD106+AD111</f>
        <v>394.678333333333</v>
      </c>
      <c r="AE156" s="131" t="n">
        <f aca="false">AE36+AE41+AE46+AE51+AE56+AE61+AE66+AE71+AE76+AE81+AE86+AE91+AE96+AE101+AE106+AE111</f>
        <v>394.678333333333</v>
      </c>
      <c r="AF156" s="131" t="n">
        <f aca="false">AF36+AF41+AF46+AF51+AF56+AF61+AF66+AF71+AF76+AF81+AF86+AF91+AF96+AF101+AF106+AF111</f>
        <v>394.678333333333</v>
      </c>
      <c r="AG156" s="131" t="n">
        <f aca="false">AG36+AG41+AG46+AG51+AG56+AG61+AG66+AG71+AG76+AG81+AG86+AG91+AG96+AG101+AG106+AG111</f>
        <v>344.005833333333</v>
      </c>
      <c r="AI156" s="131" t="n">
        <f aca="false">INDEX($F156:$AG156,1,MATCH(AI$7,$F$7:$AG$7,1))</f>
        <v>0</v>
      </c>
      <c r="AJ156" s="131" t="n">
        <f aca="false">INDEX($F156:$AG156,1,MATCH(AJ$7,$F$7:$AG$7,1))</f>
        <v>50.6725</v>
      </c>
      <c r="AK156" s="131" t="n">
        <f aca="false">INDEX($F156:$AG156,1,MATCH(AK$7,$F$7:$AG$7,1))</f>
        <v>154.678333333333</v>
      </c>
      <c r="AL156" s="131" t="n">
        <f aca="false">INDEX($F156:$AG156,1,MATCH(AL$7,$F$7:$AG$7,1))</f>
        <v>394.678333333333</v>
      </c>
      <c r="AM156" s="131" t="n">
        <f aca="false">INDEX($F156:$AG156,1,MATCH(AM$7,$F$7:$AG$7,1))</f>
        <v>394.678333333333</v>
      </c>
      <c r="AN156" s="131" t="n">
        <f aca="false">INDEX($F156:$AG156,1,MATCH(AN$7,$F$7:$AG$7,1))</f>
        <v>394.678333333333</v>
      </c>
      <c r="AO156" s="131" t="n">
        <f aca="false">INDEX($F156:$AG156,1,MATCH(AO$7,$F$7:$AG$7,1))</f>
        <v>344.005833333333</v>
      </c>
    </row>
    <row r="157" customFormat="false" ht="15" hidden="false" customHeight="false" outlineLevel="0" collapsed="false">
      <c r="A157" s="112" t="s">
        <v>2200</v>
      </c>
      <c r="B157" s="24" t="s">
        <v>857</v>
      </c>
      <c r="C157" s="24" t="s">
        <v>672</v>
      </c>
      <c r="D157" s="24"/>
      <c r="F157" s="130" t="n">
        <f aca="false">F116+F121</f>
        <v>0</v>
      </c>
      <c r="G157" s="130" t="n">
        <f aca="false">G116+G121</f>
        <v>0</v>
      </c>
      <c r="H157" s="130" t="n">
        <f aca="false">H116+H121</f>
        <v>0</v>
      </c>
      <c r="I157" s="130" t="n">
        <f aca="false">I116+I121</f>
        <v>0</v>
      </c>
      <c r="J157" s="130" t="n">
        <f aca="false">J116+J121</f>
        <v>0</v>
      </c>
      <c r="K157" s="130" t="n">
        <f aca="false">K116+K121</f>
        <v>0</v>
      </c>
      <c r="L157" s="130" t="n">
        <f aca="false">L116+L121</f>
        <v>0</v>
      </c>
      <c r="M157" s="130" t="n">
        <f aca="false">M116+M121</f>
        <v>0</v>
      </c>
      <c r="N157" s="130" t="n">
        <f aca="false">N116+N121</f>
        <v>0</v>
      </c>
      <c r="O157" s="130" t="n">
        <f aca="false">O116+O121</f>
        <v>0</v>
      </c>
      <c r="P157" s="131" t="n">
        <f aca="false">P116+P121</f>
        <v>0</v>
      </c>
      <c r="Q157" s="131" t="n">
        <f aca="false">Q116+Q121</f>
        <v>0</v>
      </c>
      <c r="R157" s="131" t="n">
        <f aca="false">R116+R121</f>
        <v>0</v>
      </c>
      <c r="S157" s="131" t="n">
        <f aca="false">S116+S121</f>
        <v>0</v>
      </c>
      <c r="T157" s="131" t="n">
        <f aca="false">T116+T121</f>
        <v>0</v>
      </c>
      <c r="U157" s="131" t="n">
        <f aca="false">U116+U121</f>
        <v>0</v>
      </c>
      <c r="V157" s="131" t="n">
        <f aca="false">V116+V121</f>
        <v>0</v>
      </c>
      <c r="W157" s="131" t="n">
        <f aca="false">W116+W121</f>
        <v>0</v>
      </c>
      <c r="X157" s="131" t="n">
        <f aca="false">X116+X121</f>
        <v>0</v>
      </c>
      <c r="Y157" s="131" t="n">
        <f aca="false">Y116+Y121</f>
        <v>0</v>
      </c>
      <c r="Z157" s="131" t="n">
        <f aca="false">Z116+Z121</f>
        <v>0</v>
      </c>
      <c r="AA157" s="131" t="n">
        <f aca="false">AA116+AA121</f>
        <v>0</v>
      </c>
      <c r="AB157" s="131" t="n">
        <f aca="false">AB116+AB121</f>
        <v>0</v>
      </c>
      <c r="AC157" s="131" t="n">
        <f aca="false">AC116+AC121</f>
        <v>0</v>
      </c>
      <c r="AD157" s="131" t="n">
        <f aca="false">AD116+AD121</f>
        <v>0</v>
      </c>
      <c r="AE157" s="131" t="n">
        <f aca="false">AE116+AE121</f>
        <v>0</v>
      </c>
      <c r="AF157" s="131" t="n">
        <f aca="false">AF116+AF121</f>
        <v>0</v>
      </c>
      <c r="AG157" s="131" t="n">
        <f aca="false">AG116+AG121</f>
        <v>0</v>
      </c>
      <c r="AI157" s="131" t="n">
        <f aca="false">INDEX($F157:$AG157,1,MATCH(AI$7,$F$7:$AG$7,1))</f>
        <v>0</v>
      </c>
      <c r="AJ157" s="131" t="n">
        <f aca="false">INDEX($F157:$AG157,1,MATCH(AJ$7,$F$7:$AG$7,1))</f>
        <v>0</v>
      </c>
      <c r="AK157" s="131" t="n">
        <f aca="false">INDEX($F157:$AG157,1,MATCH(AK$7,$F$7:$AG$7,1))</f>
        <v>0</v>
      </c>
      <c r="AL157" s="131" t="n">
        <f aca="false">INDEX($F157:$AG157,1,MATCH(AL$7,$F$7:$AG$7,1))</f>
        <v>0</v>
      </c>
      <c r="AM157" s="131" t="n">
        <f aca="false">INDEX($F157:$AG157,1,MATCH(AM$7,$F$7:$AG$7,1))</f>
        <v>0</v>
      </c>
      <c r="AN157" s="131" t="n">
        <f aca="false">INDEX($F157:$AG157,1,MATCH(AN$7,$F$7:$AG$7,1))</f>
        <v>0</v>
      </c>
      <c r="AO157" s="131" t="n">
        <f aca="false">INDEX($F157:$AG157,1,MATCH(AO$7,$F$7:$AG$7,1))</f>
        <v>0</v>
      </c>
    </row>
    <row r="158" customFormat="false" ht="15" hidden="false" customHeight="false" outlineLevel="0" collapsed="false">
      <c r="A158" s="112" t="s">
        <v>2201</v>
      </c>
      <c r="B158" s="24" t="s">
        <v>857</v>
      </c>
      <c r="C158" s="24" t="s">
        <v>672</v>
      </c>
      <c r="D158" s="24"/>
      <c r="F158" s="130" t="n">
        <f aca="false">F38+F43+F48+F53+F58+F63+F68+F73+F78+F83+F88+F93+F98+F103+F108+F113+F118+F123</f>
        <v>0</v>
      </c>
      <c r="G158" s="130" t="n">
        <f aca="false">G38+G43+G48+G53+G58+G63+G68+G73+G78+G83+G88+G93+G98+G103+G108+G113+G118+G123</f>
        <v>0</v>
      </c>
      <c r="H158" s="130" t="n">
        <f aca="false">H38+H43+H48+H53+H58+H63+H68+H73+H78+H83+H88+H93+H98+H103+H108+H113+H118+H123</f>
        <v>0</v>
      </c>
      <c r="I158" s="130" t="n">
        <f aca="false">I38+I43+I48+I53+I58+I63+I68+I73+I78+I83+I88+I93+I98+I103+I108+I113+I118+I123</f>
        <v>0</v>
      </c>
      <c r="J158" s="130" t="n">
        <f aca="false">J38+J43+J48+J53+J58+J63+J68+J73+J78+J83+J88+J93+J98+J103+J108+J113+J118+J123</f>
        <v>0</v>
      </c>
      <c r="K158" s="130" t="n">
        <f aca="false">K38+K43+K48+K53+K58+K63+K68+K73+K78+K83+K88+K93+K98+K103+K108+K113+K118+K123</f>
        <v>0</v>
      </c>
      <c r="L158" s="130" t="n">
        <f aca="false">L38+L43+L48+L53+L58+L63+L68+L73+L78+L83+L88+L93+L98+L103+L108+L113+L118+L123</f>
        <v>0</v>
      </c>
      <c r="M158" s="130" t="n">
        <f aca="false">M38+M43+M48+M53+M58+M63+M68+M73+M78+M83+M88+M93+M98+M103+M108+M113+M118+M123</f>
        <v>0</v>
      </c>
      <c r="N158" s="130" t="n">
        <f aca="false">N38+N43+N48+N53+N58+N63+N68+N73+N78+N83+N88+N93+N98+N103+N108+N113+N118+N123</f>
        <v>0</v>
      </c>
      <c r="O158" s="130" t="n">
        <f aca="false">O38+O43+O48+O53+O58+O63+O68+O73+O78+O83+O88+O93+O98+O103+O108+O113+O118+O123</f>
        <v>0</v>
      </c>
      <c r="P158" s="131" t="n">
        <f aca="false">P38+P43+P48+P53+P58+P63+P68+P73+P78+P83+P88+P93+P98+P103+P108+P113+P118+P123</f>
        <v>0</v>
      </c>
      <c r="Q158" s="131" t="n">
        <f aca="false">Q38+Q43+Q48+Q53+Q58+Q63+Q68+Q73+Q78+Q83+Q88+Q93+Q98+Q103+Q108+Q113+Q118+Q123</f>
        <v>0</v>
      </c>
      <c r="R158" s="131" t="n">
        <f aca="false">R38+R43+R48+R53+R58+R63+R68+R73+R78+R83+R88+R93+R98+R103+R108+R113+R118+R123</f>
        <v>0</v>
      </c>
      <c r="S158" s="131" t="n">
        <f aca="false">S38+S43+S48+S53+S58+S63+S68+S73+S78+S83+S88+S93+S98+S103+S108+S113+S118+S123</f>
        <v>0</v>
      </c>
      <c r="T158" s="131" t="n">
        <f aca="false">T38+T43+T48+T53+T58+T63+T68+T73+T78+T83+T88+T93+T98+T103+T108+T113+T118+T123</f>
        <v>0</v>
      </c>
      <c r="U158" s="131" t="n">
        <f aca="false">U38+U43+U48+U53+U58+U63+U68+U73+U78+U83+U88+U93+U98+U103+U108+U113+U118+U123</f>
        <v>0</v>
      </c>
      <c r="V158" s="131" t="n">
        <f aca="false">V38+V43+V48+V53+V58+V63+V68+V73+V78+V83+V88+V93+V98+V103+V108+V113+V118+V123</f>
        <v>0</v>
      </c>
      <c r="W158" s="131" t="n">
        <f aca="false">W38+W43+W48+W53+W58+W63+W68+W73+W78+W83+W88+W93+W98+W103+W108+W113+W118+W123</f>
        <v>0</v>
      </c>
      <c r="X158" s="131" t="n">
        <f aca="false">X38+X43+X48+X53+X58+X63+X68+X73+X78+X83+X88+X93+X98+X103+X108+X113+X118+X123</f>
        <v>0</v>
      </c>
      <c r="Y158" s="131" t="n">
        <f aca="false">Y38+Y43+Y48+Y53+Y58+Y63+Y68+Y73+Y78+Y83+Y88+Y93+Y98+Y103+Y108+Y113+Y118+Y123</f>
        <v>0</v>
      </c>
      <c r="Z158" s="131" t="n">
        <f aca="false">Z38+Z43+Z48+Z53+Z58+Z63+Z68+Z73+Z78+Z83+Z88+Z93+Z98+Z103+Z108+Z113+Z118+Z123</f>
        <v>0</v>
      </c>
      <c r="AA158" s="131" t="n">
        <f aca="false">AA38+AA43+AA48+AA53+AA58+AA63+AA68+AA73+AA78+AA83+AA88+AA93+AA98+AA103+AA108+AA113+AA118+AA123</f>
        <v>0</v>
      </c>
      <c r="AB158" s="131" t="n">
        <f aca="false">AB38+AB43+AB48+AB53+AB58+AB63+AB68+AB73+AB78+AB83+AB88+AB93+AB98+AB103+AB108+AB113+AB118+AB123</f>
        <v>0</v>
      </c>
      <c r="AC158" s="131" t="n">
        <f aca="false">AC38+AC43+AC48+AC53+AC58+AC63+AC68+AC73+AC78+AC83+AC88+AC93+AC98+AC103+AC108+AC113+AC118+AC123</f>
        <v>0</v>
      </c>
      <c r="AD158" s="131" t="n">
        <f aca="false">AD38+AD43+AD48+AD53+AD58+AD63+AD68+AD73+AD78+AD83+AD88+AD93+AD98+AD103+AD108+AD113+AD118+AD123</f>
        <v>0</v>
      </c>
      <c r="AE158" s="131" t="n">
        <f aca="false">AE38+AE43+AE48+AE53+AE58+AE63+AE68+AE73+AE78+AE83+AE88+AE93+AE98+AE103+AE108+AE113+AE118+AE123</f>
        <v>0</v>
      </c>
      <c r="AF158" s="131" t="n">
        <f aca="false">AF38+AF43+AF48+AF53+AF58+AF63+AF68+AF73+AF78+AF83+AF88+AF93+AF98+AF103+AF108+AF113+AF118+AF123</f>
        <v>0</v>
      </c>
      <c r="AG158" s="131" t="n">
        <f aca="false">AG38+AG43+AG48+AG53+AG58+AG63+AG68+AG73+AG78+AG83+AG88+AG93+AG98+AG103+AG108+AG113+AG118+AG123</f>
        <v>50.6725</v>
      </c>
      <c r="AI158" s="131" t="n">
        <f aca="false">INDEX($F158:$AG158,1,MATCH(AI$7,$F$7:$AG$7,1))</f>
        <v>0</v>
      </c>
      <c r="AJ158" s="131" t="n">
        <f aca="false">INDEX($F158:$AG158,1,MATCH(AJ$7,$F$7:$AG$7,1))</f>
        <v>0</v>
      </c>
      <c r="AK158" s="131" t="n">
        <f aca="false">INDEX($F158:$AG158,1,MATCH(AK$7,$F$7:$AG$7,1))</f>
        <v>0</v>
      </c>
      <c r="AL158" s="131" t="n">
        <f aca="false">INDEX($F158:$AG158,1,MATCH(AL$7,$F$7:$AG$7,1))</f>
        <v>0</v>
      </c>
      <c r="AM158" s="131" t="n">
        <f aca="false">INDEX($F158:$AG158,1,MATCH(AM$7,$F$7:$AG$7,1))</f>
        <v>0</v>
      </c>
      <c r="AN158" s="131" t="n">
        <f aca="false">INDEX($F158:$AG158,1,MATCH(AN$7,$F$7:$AG$7,1))</f>
        <v>0</v>
      </c>
      <c r="AO158" s="131" t="n">
        <f aca="false">INDEX($F158:$AG158,1,MATCH(AO$7,$F$7:$AG$7,1))</f>
        <v>50.6725</v>
      </c>
    </row>
    <row r="159" customFormat="false" ht="15" hidden="false" customHeight="false" outlineLevel="0" collapsed="false">
      <c r="A159" s="112" t="s">
        <v>2202</v>
      </c>
      <c r="B159" s="24" t="s">
        <v>956</v>
      </c>
      <c r="C159" s="24" t="s">
        <v>672</v>
      </c>
      <c r="D159" s="24"/>
      <c r="F159" s="116" t="n">
        <f aca="false">0</f>
        <v>0</v>
      </c>
      <c r="G159" s="116" t="n">
        <f aca="false">0</f>
        <v>0</v>
      </c>
      <c r="H159" s="116" t="n">
        <f aca="false">0</f>
        <v>0</v>
      </c>
      <c r="I159" s="116" t="n">
        <f aca="false">0</f>
        <v>0</v>
      </c>
      <c r="J159" s="116" t="n">
        <f aca="false">0</f>
        <v>0</v>
      </c>
      <c r="K159" s="116" t="n">
        <f aca="false">0</f>
        <v>0</v>
      </c>
      <c r="L159" s="116" t="n">
        <f aca="false">0</f>
        <v>0</v>
      </c>
      <c r="M159" s="116" t="n">
        <f aca="false">0</f>
        <v>0</v>
      </c>
      <c r="N159" s="116" t="n">
        <f aca="false">0</f>
        <v>0</v>
      </c>
      <c r="O159" s="116" t="n">
        <f aca="false">0</f>
        <v>0</v>
      </c>
      <c r="P159" s="35" t="n">
        <f aca="false">0</f>
        <v>0</v>
      </c>
      <c r="Q159" s="35" t="n">
        <f aca="false">0</f>
        <v>0</v>
      </c>
      <c r="R159" s="35" t="n">
        <f aca="false">0</f>
        <v>0</v>
      </c>
      <c r="S159" s="35" t="n">
        <f aca="false">0</f>
        <v>0</v>
      </c>
      <c r="T159" s="35" t="n">
        <f aca="false">0</f>
        <v>0</v>
      </c>
      <c r="U159" s="35" t="n">
        <f aca="false">0</f>
        <v>0</v>
      </c>
      <c r="V159" s="35" t="n">
        <f aca="false">0</f>
        <v>0</v>
      </c>
      <c r="W159" s="35" t="n">
        <f aca="false">0</f>
        <v>0</v>
      </c>
      <c r="X159" s="35" t="n">
        <f aca="false">0</f>
        <v>0</v>
      </c>
      <c r="Y159" s="35" t="n">
        <f aca="false">0</f>
        <v>0</v>
      </c>
      <c r="Z159" s="35" t="n">
        <f aca="false">0</f>
        <v>0</v>
      </c>
      <c r="AA159" s="35" t="n">
        <f aca="false">0</f>
        <v>0</v>
      </c>
      <c r="AB159" s="35" t="n">
        <f aca="false">0</f>
        <v>0</v>
      </c>
      <c r="AC159" s="35" t="n">
        <f aca="false">0</f>
        <v>0</v>
      </c>
      <c r="AD159" s="35" t="n">
        <f aca="false">0</f>
        <v>0</v>
      </c>
      <c r="AE159" s="35" t="n">
        <f aca="false">0</f>
        <v>0</v>
      </c>
      <c r="AF159" s="35" t="n">
        <f aca="false">0</f>
        <v>0</v>
      </c>
      <c r="AG159" s="35" t="n">
        <f aca="false">0</f>
        <v>0</v>
      </c>
      <c r="AI159" s="35" t="n">
        <f aca="false">INDEX($F159:$AG159,1,MATCH(AI$7,$F$7:$AG$7,1))</f>
        <v>0</v>
      </c>
      <c r="AJ159" s="35" t="n">
        <f aca="false">INDEX($F159:$AG159,1,MATCH(AJ$7,$F$7:$AG$7,1))</f>
        <v>0</v>
      </c>
      <c r="AK159" s="35" t="n">
        <f aca="false">INDEX($F159:$AG159,1,MATCH(AK$7,$F$7:$AG$7,1))</f>
        <v>0</v>
      </c>
      <c r="AL159" s="35" t="n">
        <f aca="false">INDEX($F159:$AG159,1,MATCH(AL$7,$F$7:$AG$7,1))</f>
        <v>0</v>
      </c>
      <c r="AM159" s="35" t="n">
        <f aca="false">INDEX($F159:$AG159,1,MATCH(AM$7,$F$7:$AG$7,1))</f>
        <v>0</v>
      </c>
      <c r="AN159" s="35" t="n">
        <f aca="false">INDEX($F159:$AG159,1,MATCH(AN$7,$F$7:$AG$7,1))</f>
        <v>0</v>
      </c>
      <c r="AO159" s="35" t="n">
        <f aca="false">INDEX($F159:$AG159,1,MATCH(AO$7,$F$7:$AG$7,1))</f>
        <v>0</v>
      </c>
    </row>
    <row r="160" customFormat="false" ht="15" hidden="false" customHeight="false" outlineLevel="0" collapsed="false">
      <c r="A160" s="112" t="s">
        <v>2203</v>
      </c>
      <c r="B160" s="24" t="s">
        <v>956</v>
      </c>
      <c r="C160" s="24" t="s">
        <v>672</v>
      </c>
      <c r="D160" s="24"/>
      <c r="F160" s="116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16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16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16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16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16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16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16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16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16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35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35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35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35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35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35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35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35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35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35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35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35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35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35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35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35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35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35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35" t="n">
        <f aca="false">INDEX($F160:$AG160,1,MATCH(AI$7,$F$7:$AG$7,1))</f>
        <v>0</v>
      </c>
      <c r="AJ160" s="35" t="n">
        <f aca="false">INDEX($F160:$AG160,1,MATCH(AJ$7,$F$7:$AG$7,1))</f>
        <v>25102.9166666667</v>
      </c>
      <c r="AK160" s="35" t="n">
        <f aca="false">INDEX($F160:$AG160,1,MATCH(AK$7,$F$7:$AG$7,1))</f>
        <v>57005.8333333333</v>
      </c>
      <c r="AL160" s="35" t="n">
        <f aca="false">INDEX($F160:$AG160,1,MATCH(AL$7,$F$7:$AG$7,1))</f>
        <v>124005.833333333</v>
      </c>
      <c r="AM160" s="35" t="n">
        <f aca="false">INDEX($F160:$AG160,1,MATCH(AM$7,$F$7:$AG$7,1))</f>
        <v>141505.833333333</v>
      </c>
      <c r="AN160" s="35" t="n">
        <f aca="false">INDEX($F160:$AG160,1,MATCH(AN$7,$F$7:$AG$7,1))</f>
        <v>141505.833333333</v>
      </c>
      <c r="AO160" s="35" t="n">
        <f aca="false">INDEX($F160:$AG160,1,MATCH(AO$7,$F$7:$AG$7,1))</f>
        <v>144005.833333333</v>
      </c>
    </row>
    <row r="161" customFormat="false" ht="15" hidden="false" customHeight="false" outlineLevel="0" collapsed="false">
      <c r="A161" s="112" t="s">
        <v>2204</v>
      </c>
      <c r="B161" s="24" t="s">
        <v>956</v>
      </c>
      <c r="C161" s="24" t="s">
        <v>672</v>
      </c>
      <c r="D161" s="24"/>
      <c r="F161" s="116" t="n">
        <f aca="false">(0+F101+F106+F111+F116+F121+F103+F108+F113+F118+F123)*GPUMW_N</f>
        <v>0</v>
      </c>
      <c r="G161" s="116" t="n">
        <f aca="false">(0+G101+G106+G111+G116+G121+G103+G108+G113+G118+G123)*GPUMW_N</f>
        <v>0</v>
      </c>
      <c r="H161" s="116" t="n">
        <f aca="false">(0+H101+H106+H111+H116+H121+H103+H108+H113+H118+H123)*GPUMW_N</f>
        <v>0</v>
      </c>
      <c r="I161" s="116" t="n">
        <f aca="false">(0+I101+I106+I111+I116+I121+I103+I108+I113+I118+I123)*GPUMW_N</f>
        <v>0</v>
      </c>
      <c r="J161" s="116" t="n">
        <f aca="false">(0+J101+J106+J111+J116+J121+J103+J108+J113+J118+J123)*GPUMW_N</f>
        <v>0</v>
      </c>
      <c r="K161" s="116" t="n">
        <f aca="false">(0+K101+K106+K111+K116+K121+K103+K108+K113+K118+K123)*GPUMW_N</f>
        <v>0</v>
      </c>
      <c r="L161" s="116" t="n">
        <f aca="false">(0+L101+L106+L111+L116+L121+L103+L108+L113+L118+L123)*GPUMW_N</f>
        <v>0</v>
      </c>
      <c r="M161" s="116" t="n">
        <f aca="false">(0+M101+M106+M111+M116+M121+M103+M108+M113+M118+M123)*GPUMW_N</f>
        <v>0</v>
      </c>
      <c r="N161" s="116" t="n">
        <f aca="false">(0+N101+N106+N111+N116+N121+N103+N108+N113+N118+N123)*GPUMW_N</f>
        <v>0</v>
      </c>
      <c r="O161" s="116" t="n">
        <f aca="false">(0+O101+O106+O111+O116+O121+O103+O108+O113+O118+O123)*GPUMW_N</f>
        <v>0</v>
      </c>
      <c r="P161" s="35" t="n">
        <f aca="false">(0+P101+P106+P111+P116+P121+P103+P108+P113+P118+P123)*GPUMW_N</f>
        <v>0</v>
      </c>
      <c r="Q161" s="35" t="n">
        <f aca="false">(0+Q101+Q106+Q111+Q116+Q121+Q103+Q108+Q113+Q118+Q123)*GPUMW_N</f>
        <v>0</v>
      </c>
      <c r="R161" s="35" t="n">
        <f aca="false">(0+R101+R106+R111+R116+R121+R103+R108+R113+R118+R123)*GPUMW_N</f>
        <v>0</v>
      </c>
      <c r="S161" s="35" t="n">
        <f aca="false">(0+S101+S106+S111+S116+S121+S103+S108+S113+S118+S123)*GPUMW_N</f>
        <v>0</v>
      </c>
      <c r="T161" s="35" t="n">
        <f aca="false">(0+T101+T106+T111+T116+T121+T103+T108+T113+T118+T123)*GPUMW_N</f>
        <v>17066.6666666667</v>
      </c>
      <c r="U161" s="35" t="n">
        <f aca="false">(0+U101+U106+U111+U116+U121+U103+U108+U113+U118+U123)*GPUMW_N</f>
        <v>34133.3333333333</v>
      </c>
      <c r="V161" s="35" t="n">
        <f aca="false">(0+V101+V106+V111+V116+V121+V103+V108+V113+V118+V123)*GPUMW_N</f>
        <v>34133.3333333333</v>
      </c>
      <c r="W161" s="35" t="n">
        <f aca="false">(0+W101+W106+W111+W116+W121+W103+W108+W113+W118+W123)*GPUMW_N</f>
        <v>34133.3333333333</v>
      </c>
      <c r="X161" s="35" t="n">
        <f aca="false">(0+X101+X106+X111+X116+X121+X103+X108+X113+X118+X123)*GPUMW_N</f>
        <v>34133.3333333333</v>
      </c>
      <c r="Y161" s="35" t="n">
        <f aca="false">(0+Y101+Y106+Y111+Y116+Y121+Y103+Y108+Y113+Y118+Y123)*GPUMW_N</f>
        <v>34133.3333333333</v>
      </c>
      <c r="Z161" s="35" t="n">
        <f aca="false">(0+Z101+Z106+Z111+Z116+Z121+Z103+Z108+Z113+Z118+Z123)*GPUMW_N</f>
        <v>34133.3333333333</v>
      </c>
      <c r="AA161" s="35" t="n">
        <f aca="false">(0+AA101+AA106+AA111+AA116+AA121+AA103+AA108+AA113+AA118+AA123)*GPUMW_N</f>
        <v>34133.3333333333</v>
      </c>
      <c r="AB161" s="35" t="n">
        <f aca="false">(0+AB101+AB106+AB111+AB116+AB121+AB103+AB108+AB113+AB118+AB123)*GPUMW_N</f>
        <v>34133.3333333333</v>
      </c>
      <c r="AC161" s="35" t="n">
        <f aca="false">(0+AC101+AC106+AC111+AC116+AC121+AC103+AC108+AC113+AC118+AC123)*GPUMW_N</f>
        <v>34133.3333333333</v>
      </c>
      <c r="AD161" s="35" t="n">
        <f aca="false">(0+AD101+AD106+AD111+AD116+AD121+AD103+AD108+AD113+AD118+AD123)*GPUMW_N</f>
        <v>34133.3333333333</v>
      </c>
      <c r="AE161" s="35" t="n">
        <f aca="false">(0+AE101+AE106+AE111+AE116+AE121+AE103+AE108+AE113+AE118+AE123)*GPUMW_N</f>
        <v>34133.3333333333</v>
      </c>
      <c r="AF161" s="35" t="n">
        <f aca="false">(0+AF101+AF106+AF111+AF116+AF121+AF103+AF108+AF113+AF118+AF123)*GPUMW_N</f>
        <v>34133.3333333333</v>
      </c>
      <c r="AG161" s="35" t="n">
        <f aca="false">(0+AG101+AG106+AG111+AG116+AG121+AG103+AG108+AG113+AG118+AG123)*GPUMW_N</f>
        <v>34133.3333333333</v>
      </c>
      <c r="AI161" s="35" t="n">
        <f aca="false">INDEX($F161:$AG161,1,MATCH(AI$7,$F$7:$AG$7,1))</f>
        <v>0</v>
      </c>
      <c r="AJ161" s="35" t="n">
        <f aca="false">INDEX($F161:$AG161,1,MATCH(AJ$7,$F$7:$AG$7,1))</f>
        <v>0</v>
      </c>
      <c r="AK161" s="35" t="n">
        <f aca="false">INDEX($F161:$AG161,1,MATCH(AK$7,$F$7:$AG$7,1))</f>
        <v>0</v>
      </c>
      <c r="AL161" s="35" t="n">
        <f aca="false">INDEX($F161:$AG161,1,MATCH(AL$7,$F$7:$AG$7,1))</f>
        <v>34133.3333333333</v>
      </c>
      <c r="AM161" s="35" t="n">
        <f aca="false">INDEX($F161:$AG161,1,MATCH(AM$7,$F$7:$AG$7,1))</f>
        <v>34133.3333333333</v>
      </c>
      <c r="AN161" s="35" t="n">
        <f aca="false">INDEX($F161:$AG161,1,MATCH(AN$7,$F$7:$AG$7,1))</f>
        <v>34133.3333333333</v>
      </c>
      <c r="AO161" s="35" t="n">
        <f aca="false">INDEX($F161:$AG161,1,MATCH(AO$7,$F$7:$AG$7,1))</f>
        <v>34133.3333333333</v>
      </c>
    </row>
    <row r="163" customFormat="false" ht="15" hidden="false" customHeight="false" outlineLevel="0" collapsed="false">
      <c r="A163" s="64" t="s">
        <v>2205</v>
      </c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</row>
    <row r="164" customFormat="false" ht="15" hidden="false" customHeight="false" outlineLevel="0" collapsed="false">
      <c r="A164" s="112" t="s">
        <v>1162</v>
      </c>
      <c r="D164" s="24" t="s">
        <v>2206</v>
      </c>
      <c r="E164" s="114" t="n">
        <f aca="false">Cons_Q4</f>
        <v>1450</v>
      </c>
    </row>
    <row r="165" customFormat="false" ht="15" hidden="false" customHeight="false" outlineLevel="0" collapsed="false">
      <c r="A165" s="112" t="s">
        <v>2207</v>
      </c>
      <c r="D165" s="24" t="s">
        <v>684</v>
      </c>
      <c r="E165" s="114" t="n">
        <f aca="false">-Q2GroupRev</f>
        <v>-582.3</v>
      </c>
    </row>
    <row r="166" customFormat="false" ht="15" hidden="false" customHeight="false" outlineLevel="0" collapsed="false">
      <c r="A166" s="3" t="s">
        <v>2208</v>
      </c>
      <c r="D166" s="24"/>
      <c r="E166" s="120" t="n">
        <f aca="false">BR_Cons-Q2GroupRev</f>
        <v>867.7</v>
      </c>
    </row>
    <row r="167" customFormat="false" ht="15" hidden="false" customHeight="false" outlineLevel="0" collapsed="false">
      <c r="A167" s="112" t="s">
        <v>2209</v>
      </c>
      <c r="D167" s="24" t="s">
        <v>2210</v>
      </c>
      <c r="E167" s="114" t="n">
        <f aca="false">MS_Q2RR</f>
        <v>120.729</v>
      </c>
    </row>
    <row r="168" customFormat="false" ht="15" hidden="false" customHeight="false" outlineLevel="0" collapsed="false">
      <c r="A168" s="112" t="s">
        <v>2211</v>
      </c>
      <c r="D168" s="24" t="s">
        <v>2212</v>
      </c>
      <c r="E168" s="114" t="n">
        <f aca="false">INDEX(MS_Rev,1,12)</f>
        <v>278.331694010417</v>
      </c>
    </row>
    <row r="169" customFormat="false" ht="15" hidden="false" customHeight="false" outlineLevel="0" collapsed="false">
      <c r="A169" s="112" t="s">
        <v>2213</v>
      </c>
      <c r="D169" s="24"/>
      <c r="E169" s="114" t="n">
        <f aca="false">BR_MSQ4-BR_MSQ2</f>
        <v>157.602694010417</v>
      </c>
    </row>
    <row r="170" customFormat="false" ht="15" hidden="false" customHeight="false" outlineLevel="0" collapsed="false">
      <c r="A170" s="112" t="s">
        <v>2214</v>
      </c>
      <c r="D170" s="24"/>
      <c r="E170" s="114" t="n">
        <f aca="false">IF(TopCust=1,0.24,0.21)*574.9</f>
        <v>137.976</v>
      </c>
    </row>
    <row r="171" customFormat="false" ht="15" hidden="false" customHeight="false" outlineLevel="0" collapsed="false">
      <c r="A171" s="112" t="s">
        <v>2215</v>
      </c>
      <c r="D171" s="24"/>
      <c r="E171" s="114" t="n">
        <f aca="false">Meta1Q-BR_MetaQ2</f>
        <v>6.059</v>
      </c>
    </row>
    <row r="172" customFormat="false" ht="15" hidden="false" customHeight="false" outlineLevel="0" collapsed="false">
      <c r="A172" s="112" t="s">
        <v>2216</v>
      </c>
      <c r="D172" s="24" t="s">
        <v>2217</v>
      </c>
      <c r="E172" s="114" t="n">
        <f aca="false">PxLine_Lo</f>
        <v>40</v>
      </c>
    </row>
    <row r="173" customFormat="false" ht="15" hidden="false" customHeight="false" outlineLevel="0" collapsed="false">
      <c r="A173" s="112" t="s">
        <v>2218</v>
      </c>
      <c r="D173" s="24"/>
      <c r="E173" s="114" t="n">
        <f aca="false">PxLine_Hi</f>
        <v>125</v>
      </c>
    </row>
    <row r="174" customFormat="false" ht="15" hidden="false" customHeight="false" outlineLevel="0" collapsed="false">
      <c r="A174" s="3" t="s">
        <v>2219</v>
      </c>
      <c r="D174" s="24"/>
      <c r="E174" s="120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2220</v>
      </c>
      <c r="D175" s="24"/>
      <c r="E175" s="120" t="n">
        <f aca="false">BR_Gap-BR_MSInc-BR_MetaInc-BR_PxLo</f>
        <v>664.038305989583</v>
      </c>
    </row>
    <row r="176" customFormat="false" ht="15" hidden="false" customHeight="false" outlineLevel="0" collapsed="false">
      <c r="A176" s="112" t="s">
        <v>2221</v>
      </c>
      <c r="D176" s="24"/>
      <c r="E176" s="35" t="n">
        <f aca="false">BR_ResLo/(NewDealHi/4)</f>
        <v>92.6461289583333</v>
      </c>
    </row>
    <row r="177" customFormat="false" ht="15" hidden="false" customHeight="false" outlineLevel="0" collapsed="false">
      <c r="A177" s="112" t="s">
        <v>2222</v>
      </c>
      <c r="D177" s="24"/>
      <c r="E177" s="35" t="n">
        <f aca="false">BR_ResHi/(NewDealLo/4)</f>
        <v>132.807661197917</v>
      </c>
    </row>
    <row r="178" customFormat="false" ht="15" hidden="false" customHeight="false" outlineLevel="0" collapsed="false">
      <c r="A178" s="112" t="s">
        <v>2223</v>
      </c>
      <c r="D178" s="24"/>
      <c r="E178" s="35" t="n">
        <f aca="false">BR_ResHi/(BaseRateMW/4)</f>
        <v>221.346101996528</v>
      </c>
    </row>
    <row r="179" customFormat="false" ht="15" hidden="false" customHeight="false" outlineLevel="0" collapsed="false">
      <c r="A179" s="112" t="s">
        <v>2224</v>
      </c>
      <c r="D179" s="24"/>
      <c r="E179" s="33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12" t="s">
        <v>2225</v>
      </c>
      <c r="D180" s="24"/>
      <c r="E180" s="114" t="n">
        <f aca="false">INDEX(PL_Rev,1,12)</f>
        <v>809.093133895167</v>
      </c>
    </row>
    <row r="181" customFormat="false" ht="15" hidden="false" customHeight="false" outlineLevel="0" collapsed="false">
      <c r="A181" s="112" t="s">
        <v>2226</v>
      </c>
      <c r="D181" s="24"/>
      <c r="E181" s="114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2227</v>
      </c>
    </row>
    <row r="2" customFormat="false" ht="15" hidden="false" customHeight="false" outlineLevel="0" collapsed="false">
      <c r="A2" s="24" t="s">
        <v>2228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2229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112" t="s">
        <v>2230</v>
      </c>
      <c r="B11" s="24" t="s">
        <v>857</v>
      </c>
      <c r="C11" s="24" t="s">
        <v>1595</v>
      </c>
      <c r="D11" s="24"/>
      <c r="E11" s="35" t="n">
        <f aca="false">INDEX(MW_Act,1,1)</f>
        <v>22.7275</v>
      </c>
      <c r="F11" s="116" t="n">
        <f aca="false">INDEX(MW_Act,1,1)</f>
        <v>22.7275</v>
      </c>
      <c r="G11" s="116" t="n">
        <f aca="false">INDEX(MW_Act,1,2)</f>
        <v>22.7275</v>
      </c>
      <c r="H11" s="116" t="n">
        <f aca="false">INDEX(MW_Act,1,3)</f>
        <v>22.7275</v>
      </c>
      <c r="I11" s="116" t="n">
        <f aca="false">INDEX(MW_Act,1,4)</f>
        <v>27.7275</v>
      </c>
      <c r="J11" s="116" t="n">
        <f aca="false">INDEX(MW_Act,1,5)</f>
        <v>47.7275</v>
      </c>
      <c r="K11" s="116" t="n">
        <f aca="false">INDEX(MW_Act,1,6)</f>
        <v>47.7275</v>
      </c>
      <c r="L11" s="116" t="n">
        <f aca="false">INDEX(MW_Act,1,7)</f>
        <v>59.09125</v>
      </c>
      <c r="M11" s="116" t="n">
        <f aca="false">INDEX(MW_Act,1,8)</f>
        <v>138.32595</v>
      </c>
      <c r="N11" s="116" t="n">
        <f aca="false">INDEX(MW_Act,1,9)</f>
        <v>170.9897</v>
      </c>
      <c r="O11" s="116" t="n">
        <f aca="false">INDEX(MW_Act,1,10)</f>
        <v>182.4897</v>
      </c>
      <c r="P11" s="35" t="n">
        <f aca="false">INDEX(MW_Act,1,11)</f>
        <v>182.4897</v>
      </c>
      <c r="Q11" s="35" t="n">
        <f aca="false">INDEX(MW_Act,1,12)</f>
        <v>216.9897</v>
      </c>
      <c r="R11" s="35" t="n">
        <f aca="false">INDEX(MW_Act,1,13)</f>
        <v>301.7195</v>
      </c>
      <c r="S11" s="35" t="n">
        <f aca="false">INDEX(MW_Act,1,14)</f>
        <v>453.79225</v>
      </c>
      <c r="T11" s="35" t="n">
        <f aca="false">INDEX(MW_Act,1,15)</f>
        <v>629.5368</v>
      </c>
      <c r="U11" s="35" t="n">
        <f aca="false">INDEX(MW_Act,1,16)</f>
        <v>812.6073</v>
      </c>
      <c r="V11" s="35" t="n">
        <f aca="false">INDEX(MW_Act,1,17)</f>
        <v>1081.9108</v>
      </c>
      <c r="W11" s="35" t="n">
        <f aca="false">INDEX(MW_Act,1,18)</f>
        <v>1172.9923</v>
      </c>
      <c r="X11" s="35" t="n">
        <f aca="false">INDEX(MW_Act,1,19)</f>
        <v>1326.4518</v>
      </c>
      <c r="Y11" s="35" t="n">
        <f aca="false">INDEX(MW_Act,1,20)</f>
        <v>1338.9518</v>
      </c>
      <c r="Z11" s="35" t="n">
        <f aca="false">INDEX(MW_Act,1,21)</f>
        <v>1652.7273</v>
      </c>
      <c r="AA11" s="35" t="n">
        <f aca="false">INDEX(MW_Act,1,22)</f>
        <v>1652.7273</v>
      </c>
      <c r="AB11" s="35" t="n">
        <f aca="false">INDEX(MW_Act,1,23)</f>
        <v>1963.8213</v>
      </c>
      <c r="AC11" s="35" t="n">
        <f aca="false">INDEX(MW_Act,1,24)</f>
        <v>1963.8213</v>
      </c>
      <c r="AD11" s="35" t="n">
        <f aca="false">INDEX(MW_Act,1,25)</f>
        <v>2409.3763</v>
      </c>
      <c r="AE11" s="35" t="n">
        <f aca="false">INDEX(MW_Act,1,26)</f>
        <v>2409.3763</v>
      </c>
      <c r="AF11" s="35" t="n">
        <f aca="false">INDEX(MW_Act,1,27)</f>
        <v>2409.3763</v>
      </c>
      <c r="AG11" s="35" t="n">
        <f aca="false">INDEX(MW_Act,1,28)</f>
        <v>2409.3763</v>
      </c>
      <c r="AI11" s="35" t="n">
        <f aca="false">INDEX($F11:$AG11,1,MATCH(AI$7,$F$7:$AG$7,1))</f>
        <v>27.7275</v>
      </c>
      <c r="AJ11" s="35" t="n">
        <f aca="false">INDEX($F11:$AG11,1,MATCH(AJ$7,$F$7:$AG$7,1))</f>
        <v>138.32595</v>
      </c>
      <c r="AK11" s="35" t="n">
        <f aca="false">INDEX($F11:$AG11,1,MATCH(AK$7,$F$7:$AG$7,1))</f>
        <v>216.9897</v>
      </c>
      <c r="AL11" s="35" t="n">
        <f aca="false">INDEX($F11:$AG11,1,MATCH(AL$7,$F$7:$AG$7,1))</f>
        <v>812.6073</v>
      </c>
      <c r="AM11" s="35" t="n">
        <f aca="false">INDEX($F11:$AG11,1,MATCH(AM$7,$F$7:$AG$7,1))</f>
        <v>1338.9518</v>
      </c>
      <c r="AN11" s="35" t="n">
        <f aca="false">INDEX($F11:$AG11,1,MATCH(AN$7,$F$7:$AG$7,1))</f>
        <v>1963.8213</v>
      </c>
      <c r="AO11" s="35" t="n">
        <f aca="false">INDEX($F11:$AG11,1,MATCH(AO$7,$F$7:$AG$7,1))</f>
        <v>2409.3763</v>
      </c>
    </row>
    <row r="12" customFormat="false" ht="15" hidden="false" customHeight="false" outlineLevel="0" collapsed="false">
      <c r="A12" s="112" t="s">
        <v>2231</v>
      </c>
      <c r="B12" s="24" t="s">
        <v>857</v>
      </c>
      <c r="C12" s="24" t="s">
        <v>672</v>
      </c>
      <c r="D12" s="24"/>
      <c r="F12" s="116" t="n">
        <f aca="false">AVERAGE(E11,F11)</f>
        <v>22.7275</v>
      </c>
      <c r="G12" s="116" t="n">
        <f aca="false">AVERAGE(F11,G11)</f>
        <v>22.7275</v>
      </c>
      <c r="H12" s="116" t="n">
        <f aca="false">AVERAGE(G11,H11)</f>
        <v>22.7275</v>
      </c>
      <c r="I12" s="116" t="n">
        <f aca="false">AVERAGE(H11,I11)</f>
        <v>25.2275</v>
      </c>
      <c r="J12" s="116" t="n">
        <f aca="false">AVERAGE(I11,J11)</f>
        <v>37.7275</v>
      </c>
      <c r="K12" s="116" t="n">
        <f aca="false">AVERAGE(J11,K11)</f>
        <v>47.7275</v>
      </c>
      <c r="L12" s="116" t="n">
        <f aca="false">AVERAGE(K11,L11)</f>
        <v>53.409375</v>
      </c>
      <c r="M12" s="116" t="n">
        <f aca="false">AVERAGE(L11,M11)</f>
        <v>98.7086</v>
      </c>
      <c r="N12" s="116" t="n">
        <f aca="false">AVERAGE(M11,N11)</f>
        <v>154.657825</v>
      </c>
      <c r="O12" s="116" t="n">
        <f aca="false">AVERAGE(N11,O11)</f>
        <v>176.7397</v>
      </c>
      <c r="P12" s="35" t="n">
        <f aca="false">AVERAGE(O11,P11)</f>
        <v>182.4897</v>
      </c>
      <c r="Q12" s="35" t="n">
        <f aca="false">AVERAGE(P11,Q11)</f>
        <v>199.7397</v>
      </c>
      <c r="R12" s="35" t="n">
        <f aca="false">AVERAGE(Q11,R11)</f>
        <v>259.3546</v>
      </c>
      <c r="S12" s="35" t="n">
        <f aca="false">AVERAGE(R11,S11)</f>
        <v>377.755875</v>
      </c>
      <c r="T12" s="35" t="n">
        <f aca="false">AVERAGE(S11,T11)</f>
        <v>541.664525</v>
      </c>
      <c r="U12" s="35" t="n">
        <f aca="false">AVERAGE(T11,U11)</f>
        <v>721.07205</v>
      </c>
      <c r="V12" s="35" t="n">
        <f aca="false">AVERAGE(U11,V11)</f>
        <v>947.25905</v>
      </c>
      <c r="W12" s="35" t="n">
        <f aca="false">AVERAGE(V11,W11)</f>
        <v>1127.45155</v>
      </c>
      <c r="X12" s="35" t="n">
        <f aca="false">AVERAGE(W11,X11)</f>
        <v>1249.72205</v>
      </c>
      <c r="Y12" s="35" t="n">
        <f aca="false">AVERAGE(X11,Y11)</f>
        <v>1332.7018</v>
      </c>
      <c r="Z12" s="35" t="n">
        <f aca="false">AVERAGE(Y11,Z11)</f>
        <v>1495.83955</v>
      </c>
      <c r="AA12" s="35" t="n">
        <f aca="false">AVERAGE(Z11,AA11)</f>
        <v>1652.7273</v>
      </c>
      <c r="AB12" s="35" t="n">
        <f aca="false">AVERAGE(AA11,AB11)</f>
        <v>1808.2743</v>
      </c>
      <c r="AC12" s="35" t="n">
        <f aca="false">AVERAGE(AB11,AC11)</f>
        <v>1963.8213</v>
      </c>
      <c r="AD12" s="35" t="n">
        <f aca="false">AVERAGE(AC11,AD11)</f>
        <v>2186.5988</v>
      </c>
      <c r="AE12" s="35" t="n">
        <f aca="false">AVERAGE(AD11,AE11)</f>
        <v>2409.3763</v>
      </c>
      <c r="AF12" s="35" t="n">
        <f aca="false">AVERAGE(AE11,AF11)</f>
        <v>2409.3763</v>
      </c>
      <c r="AG12" s="35" t="n">
        <f aca="false">AVERAGE(AF11,AG11)</f>
        <v>2409.3763</v>
      </c>
      <c r="AI12" s="35" t="n">
        <f aca="false">AVERAGEIF($F$7:$AG$7,AI$7,$F12:$AG12)</f>
        <v>23.3525</v>
      </c>
      <c r="AJ12" s="35" t="n">
        <f aca="false">AVERAGEIF($F$7:$AG$7,AJ$7,$F12:$AG12)</f>
        <v>59.39324375</v>
      </c>
      <c r="AK12" s="35" t="n">
        <f aca="false">AVERAGEIF($F$7:$AG$7,AK$7,$F12:$AG12)</f>
        <v>178.40673125</v>
      </c>
      <c r="AL12" s="35" t="n">
        <f aca="false">AVERAGEIF($F$7:$AG$7,AL$7,$F12:$AG12)</f>
        <v>474.9617625</v>
      </c>
      <c r="AM12" s="35" t="n">
        <f aca="false">AVERAGEIF($F$7:$AG$7,AM$7,$F12:$AG12)</f>
        <v>1164.2836125</v>
      </c>
      <c r="AN12" s="35" t="n">
        <f aca="false">AVERAGEIF($F$7:$AG$7,AN$7,$F12:$AG12)</f>
        <v>1730.1656125</v>
      </c>
      <c r="AO12" s="35" t="n">
        <f aca="false">AVERAGEIF($F$7:$AG$7,AO$7,$F12:$AG12)</f>
        <v>2353.681925</v>
      </c>
    </row>
    <row r="13" customFormat="false" ht="15" hidden="false" customHeight="false" outlineLevel="0" collapsed="false">
      <c r="A13" s="112" t="s">
        <v>2232</v>
      </c>
      <c r="B13" s="24" t="s">
        <v>857</v>
      </c>
      <c r="C13" s="24" t="s">
        <v>672</v>
      </c>
      <c r="D13" s="24"/>
      <c r="F13" s="116" t="n">
        <f aca="false">MAX(0,F11-E11)</f>
        <v>0</v>
      </c>
      <c r="G13" s="116" t="n">
        <f aca="false">MAX(0,G11-F11)</f>
        <v>0</v>
      </c>
      <c r="H13" s="116" t="n">
        <f aca="false">MAX(0,H11-G11)</f>
        <v>0</v>
      </c>
      <c r="I13" s="116" t="n">
        <f aca="false">MAX(0,I11-H11)</f>
        <v>5</v>
      </c>
      <c r="J13" s="116" t="n">
        <f aca="false">MAX(0,J11-I11)</f>
        <v>20</v>
      </c>
      <c r="K13" s="116" t="n">
        <f aca="false">MAX(0,K11-J11)</f>
        <v>0</v>
      </c>
      <c r="L13" s="116" t="n">
        <f aca="false">MAX(0,L11-K11)</f>
        <v>11.36375</v>
      </c>
      <c r="M13" s="116" t="n">
        <f aca="false">MAX(0,M11-L11)</f>
        <v>79.2347</v>
      </c>
      <c r="N13" s="116" t="n">
        <f aca="false">MAX(0,N11-M11)</f>
        <v>32.66375</v>
      </c>
      <c r="O13" s="116" t="n">
        <f aca="false">MAX(0,O11-N11)</f>
        <v>11.5</v>
      </c>
      <c r="P13" s="35" t="n">
        <f aca="false">MAX(0,P11-O11)</f>
        <v>0</v>
      </c>
      <c r="Q13" s="35" t="n">
        <f aca="false">MAX(0,Q11-P11)</f>
        <v>34.5</v>
      </c>
      <c r="R13" s="35" t="n">
        <f aca="false">MAX(0,R11-Q11)</f>
        <v>84.7298</v>
      </c>
      <c r="S13" s="35" t="n">
        <f aca="false">MAX(0,S11-R11)</f>
        <v>152.07275</v>
      </c>
      <c r="T13" s="35" t="n">
        <f aca="false">MAX(0,T11-S11)</f>
        <v>175.74455</v>
      </c>
      <c r="U13" s="35" t="n">
        <f aca="false">MAX(0,U11-T11)</f>
        <v>183.0705</v>
      </c>
      <c r="V13" s="35" t="n">
        <f aca="false">MAX(0,V11-U11)</f>
        <v>269.3035</v>
      </c>
      <c r="W13" s="35" t="n">
        <f aca="false">MAX(0,W11-V11)</f>
        <v>91.0815</v>
      </c>
      <c r="X13" s="35" t="n">
        <f aca="false">MAX(0,X11-W11)</f>
        <v>153.4595</v>
      </c>
      <c r="Y13" s="35" t="n">
        <f aca="false">MAX(0,Y11-X11)</f>
        <v>12.5</v>
      </c>
      <c r="Z13" s="35" t="n">
        <f aca="false">MAX(0,Z11-Y11)</f>
        <v>313.7755</v>
      </c>
      <c r="AA13" s="35" t="n">
        <f aca="false">MAX(0,AA11-Z11)</f>
        <v>0</v>
      </c>
      <c r="AB13" s="35" t="n">
        <f aca="false">MAX(0,AB11-AA11)</f>
        <v>311.094</v>
      </c>
      <c r="AC13" s="35" t="n">
        <f aca="false">MAX(0,AC11-AB11)</f>
        <v>0</v>
      </c>
      <c r="AD13" s="35" t="n">
        <f aca="false">MAX(0,AD11-AC11)</f>
        <v>445.555</v>
      </c>
      <c r="AE13" s="35" t="n">
        <f aca="false">MAX(0,AE11-AD11)</f>
        <v>0</v>
      </c>
      <c r="AF13" s="35" t="n">
        <f aca="false">MAX(0,AF11-AE11)</f>
        <v>0</v>
      </c>
      <c r="AG13" s="35" t="n">
        <f aca="false">MAX(0,AG11-AF11)</f>
        <v>0</v>
      </c>
      <c r="AI13" s="35" t="n">
        <f aca="false">SUMIF($F$7:$AG$7,AI$7,$F13:$AG13)</f>
        <v>5</v>
      </c>
      <c r="AJ13" s="35" t="n">
        <f aca="false">SUMIF($F$7:$AG$7,AJ$7,$F13:$AG13)</f>
        <v>110.59845</v>
      </c>
      <c r="AK13" s="35" t="n">
        <f aca="false">SUMIF($F$7:$AG$7,AK$7,$F13:$AG13)</f>
        <v>78.66375</v>
      </c>
      <c r="AL13" s="35" t="n">
        <f aca="false">SUMIF($F$7:$AG$7,AL$7,$F13:$AG13)</f>
        <v>595.6176</v>
      </c>
      <c r="AM13" s="35" t="n">
        <f aca="false">SUMIF($F$7:$AG$7,AM$7,$F13:$AG13)</f>
        <v>526.3445</v>
      </c>
      <c r="AN13" s="35" t="n">
        <f aca="false">SUMIF($F$7:$AG$7,AN$7,$F13:$AG13)</f>
        <v>624.8695</v>
      </c>
      <c r="AO13" s="35" t="n">
        <f aca="false">SUMIF($F$7:$AG$7,AO$7,$F13:$AG13)</f>
        <v>445.555</v>
      </c>
    </row>
    <row r="14" customFormat="false" ht="15" hidden="false" customHeight="false" outlineLevel="0" collapsed="false">
      <c r="A14" s="112" t="s">
        <v>2233</v>
      </c>
      <c r="B14" s="24" t="s">
        <v>956</v>
      </c>
      <c r="C14" s="24" t="s">
        <v>1050</v>
      </c>
      <c r="D14" s="24"/>
      <c r="E14" s="35" t="n">
        <f aca="false">INDEX(FileGPU_H,1,1)</f>
        <v>13713</v>
      </c>
      <c r="F14" s="116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16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16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16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16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16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16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16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16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16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35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35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35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35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35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35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35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35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35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35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35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35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35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35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35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35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35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35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35" t="n">
        <f aca="false">INDEX($F14:$AG14,1,MATCH(AI$7,$F$7:$AG$7,1))</f>
        <v>16456</v>
      </c>
      <c r="AJ14" s="35" t="n">
        <f aca="false">INDEX($F14:$AG14,1,MATCH(AJ$7,$F$7:$AG$7,1))</f>
        <v>30000</v>
      </c>
      <c r="AK14" s="35" t="n">
        <f aca="false">INDEX($F14:$AG14,1,MATCH(AK$7,$F$7:$AG$7,1))</f>
        <v>30000</v>
      </c>
      <c r="AL14" s="35" t="n">
        <f aca="false">INDEX($F14:$AG14,1,MATCH(AL$7,$F$7:$AG$7,1))</f>
        <v>30000</v>
      </c>
      <c r="AM14" s="35" t="n">
        <f aca="false">INDEX($F14:$AG14,1,MATCH(AM$7,$F$7:$AG$7,1))</f>
        <v>30000</v>
      </c>
      <c r="AN14" s="35" t="n">
        <f aca="false">INDEX($F14:$AG14,1,MATCH(AN$7,$F$7:$AG$7,1))</f>
        <v>30000</v>
      </c>
      <c r="AO14" s="35" t="n">
        <f aca="false">INDEX($F14:$AG14,1,MATCH(AO$7,$F$7:$AG$7,1))</f>
        <v>30000</v>
      </c>
    </row>
    <row r="15" customFormat="false" ht="15" hidden="false" customHeight="false" outlineLevel="0" collapsed="false">
      <c r="A15" s="112" t="s">
        <v>2234</v>
      </c>
      <c r="B15" s="24" t="s">
        <v>956</v>
      </c>
      <c r="C15" s="24" t="s">
        <v>1050</v>
      </c>
      <c r="D15" s="24"/>
      <c r="E15" s="35" t="n">
        <f aca="false">0</f>
        <v>0</v>
      </c>
      <c r="F15" s="116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16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16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16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16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16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16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16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16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16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35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35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35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35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35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35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35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35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35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35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35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35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35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35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35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35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35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35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35" t="n">
        <f aca="false">INDEX($F15:$AG15,1,MATCH(AI$7,$F$7:$AG$7,1))</f>
        <v>0</v>
      </c>
      <c r="AJ15" s="35" t="n">
        <f aca="false">INDEX($F15:$AG15,1,MATCH(AJ$7,$F$7:$AG$7,1))</f>
        <v>42371</v>
      </c>
      <c r="AK15" s="35" t="n">
        <f aca="false">INDEX($F15:$AG15,1,MATCH(AK$7,$F$7:$AG$7,1))</f>
        <v>77883</v>
      </c>
      <c r="AL15" s="35" t="n">
        <f aca="false">INDEX($F15:$AG15,1,MATCH(AL$7,$F$7:$AG$7,1))</f>
        <v>295539</v>
      </c>
      <c r="AM15" s="35" t="n">
        <f aca="false">INDEX($F15:$AG15,1,MATCH(AM$7,$F$7:$AG$7,1))</f>
        <v>346521</v>
      </c>
      <c r="AN15" s="35" t="n">
        <f aca="false">INDEX($F15:$AG15,1,MATCH(AN$7,$F$7:$AG$7,1))</f>
        <v>371079</v>
      </c>
      <c r="AO15" s="35" t="n">
        <f aca="false">INDEX($F15:$AG15,1,MATCH(AO$7,$F$7:$AG$7,1))</f>
        <v>371079</v>
      </c>
    </row>
    <row r="16" customFormat="false" ht="15" hidden="false" customHeight="false" outlineLevel="0" collapsed="false">
      <c r="A16" s="112" t="s">
        <v>2235</v>
      </c>
      <c r="B16" s="24" t="s">
        <v>956</v>
      </c>
      <c r="C16" s="24" t="s">
        <v>1050</v>
      </c>
      <c r="D16" s="24"/>
      <c r="E16" s="35" t="n">
        <f aca="false">0</f>
        <v>0</v>
      </c>
      <c r="F16" s="116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16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16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16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16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16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16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16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16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16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35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35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35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35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35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35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35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35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35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35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35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35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35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35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35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35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35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35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35" t="n">
        <f aca="false">INDEX($F16:$AG16,1,MATCH(AI$7,$F$7:$AG$7,1))</f>
        <v>0</v>
      </c>
      <c r="AJ16" s="35" t="n">
        <f aca="false">INDEX($F16:$AG16,1,MATCH(AJ$7,$F$7:$AG$7,1))</f>
        <v>0</v>
      </c>
      <c r="AK16" s="35" t="n">
        <f aca="false">INDEX($F16:$AG16,1,MATCH(AK$7,$F$7:$AG$7,1))</f>
        <v>0</v>
      </c>
      <c r="AL16" s="35" t="n">
        <f aca="false">INDEX($F16:$AG16,1,MATCH(AL$7,$F$7:$AG$7,1))</f>
        <v>40045</v>
      </c>
      <c r="AM16" s="35" t="n">
        <f aca="false">INDEX($F16:$AG16,1,MATCH(AM$7,$F$7:$AG$7,1))</f>
        <v>184210</v>
      </c>
      <c r="AN16" s="35" t="n">
        <f aca="false">INDEX($F16:$AG16,1,MATCH(AN$7,$F$7:$AG$7,1))</f>
        <v>389800</v>
      </c>
      <c r="AO16" s="35" t="n">
        <f aca="false">INDEX($F16:$AG16,1,MATCH(AO$7,$F$7:$AG$7,1))</f>
        <v>545995</v>
      </c>
    </row>
    <row r="17" customFormat="false" ht="15" hidden="false" customHeight="false" outlineLevel="0" collapsed="false">
      <c r="A17" s="112" t="s">
        <v>2236</v>
      </c>
      <c r="B17" s="24" t="s">
        <v>956</v>
      </c>
      <c r="C17" s="24" t="s">
        <v>672</v>
      </c>
      <c r="D17" s="24" t="s">
        <v>2237</v>
      </c>
      <c r="F17" s="116" t="n">
        <f aca="false">MAX(0,F20-E20)</f>
        <v>0</v>
      </c>
      <c r="G17" s="116" t="n">
        <f aca="false">MAX(0,G20-F20)</f>
        <v>0</v>
      </c>
      <c r="H17" s="116" t="n">
        <f aca="false">MAX(0,H20-G20)</f>
        <v>0</v>
      </c>
      <c r="I17" s="116" t="n">
        <f aca="false">MAX(0,I20-H20)</f>
        <v>2743</v>
      </c>
      <c r="J17" s="116" t="n">
        <f aca="false">MAX(0,J20-I20)</f>
        <v>13544</v>
      </c>
      <c r="K17" s="116" t="n">
        <f aca="false">MAX(0,K20-J20)</f>
        <v>0</v>
      </c>
      <c r="L17" s="116" t="n">
        <f aca="false">MAX(0,L20-K20)</f>
        <v>0</v>
      </c>
      <c r="M17" s="116" t="n">
        <f aca="false">MAX(0,M20-L20)</f>
        <v>0</v>
      </c>
      <c r="N17" s="116" t="n">
        <f aca="false">MAX(0,N20-M20)</f>
        <v>0</v>
      </c>
      <c r="O17" s="116" t="n">
        <f aca="false">MAX(0,O20-N20)</f>
        <v>0</v>
      </c>
      <c r="P17" s="35" t="n">
        <f aca="false">MAX(0,P20-O20)</f>
        <v>0</v>
      </c>
      <c r="Q17" s="35" t="n">
        <f aca="false">MAX(0,Q20-P20)</f>
        <v>0</v>
      </c>
      <c r="R17" s="35" t="n">
        <f aca="false">MAX(0,R20-Q20)</f>
        <v>0</v>
      </c>
      <c r="S17" s="35" t="n">
        <f aca="false">MAX(0,S20-R20)</f>
        <v>0</v>
      </c>
      <c r="T17" s="35" t="n">
        <f aca="false">MAX(0,T20-S20)</f>
        <v>0</v>
      </c>
      <c r="U17" s="35" t="n">
        <f aca="false">MAX(0,U20-T20)</f>
        <v>0</v>
      </c>
      <c r="V17" s="35" t="n">
        <f aca="false">MAX(0,V20-U20)</f>
        <v>0</v>
      </c>
      <c r="W17" s="35" t="n">
        <f aca="false">MAX(0,W20-V20)</f>
        <v>0</v>
      </c>
      <c r="X17" s="35" t="n">
        <f aca="false">MAX(0,X20-W20)</f>
        <v>0</v>
      </c>
      <c r="Y17" s="35" t="n">
        <f aca="false">MAX(0,Y20-X20)</f>
        <v>0</v>
      </c>
      <c r="Z17" s="35" t="n">
        <f aca="false">MAX(0,Z20-Y20)</f>
        <v>0</v>
      </c>
      <c r="AA17" s="35" t="n">
        <f aca="false">MAX(0,AA20-Z20)</f>
        <v>0</v>
      </c>
      <c r="AB17" s="35" t="n">
        <f aca="false">MAX(0,AB20-AA20)</f>
        <v>0</v>
      </c>
      <c r="AC17" s="35" t="n">
        <f aca="false">MAX(0,AC20-AB20)</f>
        <v>0</v>
      </c>
      <c r="AD17" s="35" t="n">
        <f aca="false">MAX(0,AD20-AC20)</f>
        <v>0</v>
      </c>
      <c r="AE17" s="35" t="n">
        <f aca="false">MAX(0,AE20-AD20)</f>
        <v>0</v>
      </c>
      <c r="AF17" s="35" t="n">
        <f aca="false">MAX(0,AF20-AE20)</f>
        <v>0</v>
      </c>
      <c r="AG17" s="35" t="n">
        <f aca="false">MAX(0,AG20-AF20)</f>
        <v>0</v>
      </c>
      <c r="AI17" s="35" t="n">
        <f aca="false">SUMIF($F$7:$AG$7,AI$7,$F17:$AG17)</f>
        <v>2743</v>
      </c>
      <c r="AJ17" s="35" t="n">
        <f aca="false">SUMIF($F$7:$AG$7,AJ$7,$F17:$AG17)</f>
        <v>13544</v>
      </c>
      <c r="AK17" s="35" t="n">
        <f aca="false">SUMIF($F$7:$AG$7,AK$7,$F17:$AG17)</f>
        <v>0</v>
      </c>
      <c r="AL17" s="35" t="n">
        <f aca="false">SUMIF($F$7:$AG$7,AL$7,$F17:$AG17)</f>
        <v>0</v>
      </c>
      <c r="AM17" s="35" t="n">
        <f aca="false">SUMIF($F$7:$AG$7,AM$7,$F17:$AG17)</f>
        <v>0</v>
      </c>
      <c r="AN17" s="35" t="n">
        <f aca="false">SUMIF($F$7:$AG$7,AN$7,$F17:$AG17)</f>
        <v>0</v>
      </c>
      <c r="AO17" s="35" t="n">
        <f aca="false">SUMIF($F$7:$AG$7,AO$7,$F17:$AG17)</f>
        <v>0</v>
      </c>
    </row>
    <row r="18" customFormat="false" ht="15" hidden="false" customHeight="false" outlineLevel="0" collapsed="false">
      <c r="A18" s="112" t="s">
        <v>2238</v>
      </c>
      <c r="B18" s="24" t="s">
        <v>956</v>
      </c>
      <c r="C18" s="24" t="s">
        <v>672</v>
      </c>
      <c r="D18" s="24" t="s">
        <v>2237</v>
      </c>
      <c r="F18" s="116" t="n">
        <f aca="false">MAX(0,F21-E21)</f>
        <v>0</v>
      </c>
      <c r="G18" s="116" t="n">
        <f aca="false">MAX(0,G21-F21)</f>
        <v>0</v>
      </c>
      <c r="H18" s="116" t="n">
        <f aca="false">MAX(0,H21-G21)</f>
        <v>0</v>
      </c>
      <c r="I18" s="116" t="n">
        <f aca="false">MAX(0,I21-H21)</f>
        <v>0</v>
      </c>
      <c r="J18" s="116" t="n">
        <f aca="false">MAX(0,J21-I21)</f>
        <v>0</v>
      </c>
      <c r="K18" s="116" t="n">
        <f aca="false">MAX(0,K21-J21)</f>
        <v>0</v>
      </c>
      <c r="L18" s="116" t="n">
        <f aca="false">MAX(0,L21-K21)</f>
        <v>5116</v>
      </c>
      <c r="M18" s="116" t="n">
        <f aca="false">MAX(0,M21-L21)</f>
        <v>37255</v>
      </c>
      <c r="N18" s="116" t="n">
        <f aca="false">MAX(0,N21-M21)</f>
        <v>14526</v>
      </c>
      <c r="O18" s="116" t="n">
        <f aca="false">MAX(0,O21-N21)</f>
        <v>4830</v>
      </c>
      <c r="P18" s="35" t="n">
        <f aca="false">MAX(0,P21-O21)</f>
        <v>0</v>
      </c>
      <c r="Q18" s="35" t="n">
        <f aca="false">MAX(0,Q21-P21)</f>
        <v>16156</v>
      </c>
      <c r="R18" s="35" t="n">
        <f aca="false">MAX(0,R21-Q21)</f>
        <v>38722</v>
      </c>
      <c r="S18" s="35" t="n">
        <f aca="false">MAX(0,S21-R21)</f>
        <v>65310.0000000001</v>
      </c>
      <c r="T18" s="35" t="n">
        <f aca="false">MAX(0,T21-S21)</f>
        <v>70400.9999999999</v>
      </c>
      <c r="U18" s="35" t="n">
        <f aca="false">MAX(0,U21-T21)</f>
        <v>43223.0000000001</v>
      </c>
      <c r="V18" s="35" t="n">
        <f aca="false">MAX(0,V21-U21)</f>
        <v>50982.0000000001</v>
      </c>
      <c r="W18" s="35" t="n">
        <f aca="false">MAX(0,W21-V21)</f>
        <v>0</v>
      </c>
      <c r="X18" s="35" t="n">
        <f aca="false">MAX(0,X21-W21)</f>
        <v>0</v>
      </c>
      <c r="Y18" s="35" t="n">
        <f aca="false">MAX(0,Y21-X21)</f>
        <v>0</v>
      </c>
      <c r="Z18" s="35" t="n">
        <f aca="false">MAX(0,Z21-Y21)</f>
        <v>24557.9999999999</v>
      </c>
      <c r="AA18" s="35" t="n">
        <f aca="false">MAX(0,AA21-Z21)</f>
        <v>0</v>
      </c>
      <c r="AB18" s="35" t="n">
        <f aca="false">MAX(0,AB21-AA21)</f>
        <v>0</v>
      </c>
      <c r="AC18" s="35" t="n">
        <f aca="false">MAX(0,AC21-AB21)</f>
        <v>0</v>
      </c>
      <c r="AD18" s="35" t="n">
        <f aca="false">MAX(0,AD21-AC21)</f>
        <v>0</v>
      </c>
      <c r="AE18" s="35" t="n">
        <f aca="false">MAX(0,AE21-AD21)</f>
        <v>0</v>
      </c>
      <c r="AF18" s="35" t="n">
        <f aca="false">MAX(0,AF21-AE21)</f>
        <v>0</v>
      </c>
      <c r="AG18" s="35" t="n">
        <f aca="false">MAX(0,AG21-AF21)</f>
        <v>0</v>
      </c>
      <c r="AI18" s="35" t="n">
        <f aca="false">SUMIF($F$7:$AG$7,AI$7,$F18:$AG18)</f>
        <v>0</v>
      </c>
      <c r="AJ18" s="35" t="n">
        <f aca="false">SUMIF($F$7:$AG$7,AJ$7,$F18:$AG18)</f>
        <v>42371</v>
      </c>
      <c r="AK18" s="35" t="n">
        <f aca="false">SUMIF($F$7:$AG$7,AK$7,$F18:$AG18)</f>
        <v>35512</v>
      </c>
      <c r="AL18" s="35" t="n">
        <f aca="false">SUMIF($F$7:$AG$7,AL$7,$F18:$AG18)</f>
        <v>217656</v>
      </c>
      <c r="AM18" s="35" t="n">
        <f aca="false">SUMIF($F$7:$AG$7,AM$7,$F18:$AG18)</f>
        <v>50982.0000000001</v>
      </c>
      <c r="AN18" s="35" t="n">
        <f aca="false">SUMIF($F$7:$AG$7,AN$7,$F18:$AG18)</f>
        <v>24557.9999999999</v>
      </c>
      <c r="AO18" s="35" t="n">
        <f aca="false">SUMIF($F$7:$AG$7,AO$7,$F18:$AG18)</f>
        <v>0</v>
      </c>
    </row>
    <row r="19" customFormat="false" ht="15" hidden="false" customHeight="false" outlineLevel="0" collapsed="false">
      <c r="A19" s="112" t="s">
        <v>2239</v>
      </c>
      <c r="B19" s="24" t="s">
        <v>956</v>
      </c>
      <c r="C19" s="24" t="s">
        <v>672</v>
      </c>
      <c r="D19" s="24" t="s">
        <v>2237</v>
      </c>
      <c r="F19" s="116" t="n">
        <f aca="false">MAX(0,F22-E22)</f>
        <v>0</v>
      </c>
      <c r="G19" s="116" t="n">
        <f aca="false">MAX(0,G22-F22)</f>
        <v>0</v>
      </c>
      <c r="H19" s="116" t="n">
        <f aca="false">MAX(0,H22-G22)</f>
        <v>0</v>
      </c>
      <c r="I19" s="116" t="n">
        <f aca="false">MAX(0,I22-H22)</f>
        <v>0</v>
      </c>
      <c r="J19" s="116" t="n">
        <f aca="false">MAX(0,J22-I22)</f>
        <v>0</v>
      </c>
      <c r="K19" s="116" t="n">
        <f aca="false">MAX(0,K22-J22)</f>
        <v>0</v>
      </c>
      <c r="L19" s="116" t="n">
        <f aca="false">MAX(0,L22-K22)</f>
        <v>0</v>
      </c>
      <c r="M19" s="116" t="n">
        <f aca="false">MAX(0,M22-L22)</f>
        <v>0</v>
      </c>
      <c r="N19" s="116" t="n">
        <f aca="false">MAX(0,N22-M22)</f>
        <v>0</v>
      </c>
      <c r="O19" s="116" t="n">
        <f aca="false">MAX(0,O22-N22)</f>
        <v>0</v>
      </c>
      <c r="P19" s="35" t="n">
        <f aca="false">MAX(0,P22-O22)</f>
        <v>0</v>
      </c>
      <c r="Q19" s="35" t="n">
        <f aca="false">MAX(0,Q22-P22)</f>
        <v>0</v>
      </c>
      <c r="R19" s="35" t="n">
        <f aca="false">MAX(0,R22-Q22)</f>
        <v>0</v>
      </c>
      <c r="S19" s="35" t="n">
        <f aca="false">MAX(0,S22-R22)</f>
        <v>3338</v>
      </c>
      <c r="T19" s="35" t="n">
        <f aca="false">MAX(0,T22-S22)</f>
        <v>8010</v>
      </c>
      <c r="U19" s="35" t="n">
        <f aca="false">MAX(0,U22-T22)</f>
        <v>28697</v>
      </c>
      <c r="V19" s="35" t="n">
        <f aca="false">MAX(0,V22-U22)</f>
        <v>57401</v>
      </c>
      <c r="W19" s="35" t="n">
        <f aca="false">MAX(0,W22-V22)</f>
        <v>30700</v>
      </c>
      <c r="X19" s="35" t="n">
        <f aca="false">MAX(0,X22-W22)</f>
        <v>52064</v>
      </c>
      <c r="Y19" s="35" t="n">
        <f aca="false">MAX(0,Y22-X22)</f>
        <v>4000</v>
      </c>
      <c r="Z19" s="35" t="n">
        <f aca="false">MAX(0,Z22-Y22)</f>
        <v>93450</v>
      </c>
      <c r="AA19" s="35" t="n">
        <f aca="false">MAX(0,AA22-Z22)</f>
        <v>0</v>
      </c>
      <c r="AB19" s="35" t="n">
        <f aca="false">MAX(0,AB22-AA22)</f>
        <v>112140</v>
      </c>
      <c r="AC19" s="35" t="n">
        <f aca="false">MAX(0,AC22-AB22)</f>
        <v>0</v>
      </c>
      <c r="AD19" s="35" t="n">
        <f aca="false">MAX(0,AD22-AC22)</f>
        <v>156195</v>
      </c>
      <c r="AE19" s="35" t="n">
        <f aca="false">MAX(0,AE22-AD22)</f>
        <v>0</v>
      </c>
      <c r="AF19" s="35" t="n">
        <f aca="false">MAX(0,AF22-AE22)</f>
        <v>0</v>
      </c>
      <c r="AG19" s="35" t="n">
        <f aca="false">MAX(0,AG22-AF22)</f>
        <v>0</v>
      </c>
      <c r="AI19" s="35" t="n">
        <f aca="false">SUMIF($F$7:$AG$7,AI$7,$F19:$AG19)</f>
        <v>0</v>
      </c>
      <c r="AJ19" s="35" t="n">
        <f aca="false">SUMIF($F$7:$AG$7,AJ$7,$F19:$AG19)</f>
        <v>0</v>
      </c>
      <c r="AK19" s="35" t="n">
        <f aca="false">SUMIF($F$7:$AG$7,AK$7,$F19:$AG19)</f>
        <v>0</v>
      </c>
      <c r="AL19" s="35" t="n">
        <f aca="false">SUMIF($F$7:$AG$7,AL$7,$F19:$AG19)</f>
        <v>40045</v>
      </c>
      <c r="AM19" s="35" t="n">
        <f aca="false">SUMIF($F$7:$AG$7,AM$7,$F19:$AG19)</f>
        <v>144165</v>
      </c>
      <c r="AN19" s="35" t="n">
        <f aca="false">SUMIF($F$7:$AG$7,AN$7,$F19:$AG19)</f>
        <v>205590</v>
      </c>
      <c r="AO19" s="35" t="n">
        <f aca="false">SUMIF($F$7:$AG$7,AO$7,$F19:$AG19)</f>
        <v>156195</v>
      </c>
    </row>
    <row r="20" customFormat="false" ht="15" hidden="false" customHeight="false" outlineLevel="0" collapsed="false">
      <c r="A20" s="112" t="s">
        <v>2240</v>
      </c>
      <c r="B20" s="24" t="s">
        <v>956</v>
      </c>
      <c r="C20" s="24" t="s">
        <v>1050</v>
      </c>
      <c r="D20" s="24" t="s">
        <v>2241</v>
      </c>
      <c r="E20" s="35" t="n">
        <f aca="false">INDEX(FileGPU_H,1,1)</f>
        <v>13713</v>
      </c>
      <c r="F20" s="116" t="n">
        <f aca="false">IF(AND(StopBuild=1,1&gt;StopIdx),INDEX(A_GPU_H,1,1)+MAX(0,INDEX(GPU_End0_H,1,StopIdx)-INDEX(A_GPU_H,1,StopIdx)),F14)</f>
        <v>13713</v>
      </c>
      <c r="G20" s="116" t="n">
        <f aca="false">IF(AND(StopBuild=1,2&gt;StopIdx),INDEX(A_GPU_H,1,2)+MAX(0,INDEX(GPU_End0_H,1,StopIdx)-INDEX(A_GPU_H,1,StopIdx)),G14)</f>
        <v>13713</v>
      </c>
      <c r="H20" s="116" t="n">
        <f aca="false">IF(AND(StopBuild=1,3&gt;StopIdx),INDEX(A_GPU_H,1,3)+MAX(0,INDEX(GPU_End0_H,1,StopIdx)-INDEX(A_GPU_H,1,StopIdx)),H14)</f>
        <v>13713</v>
      </c>
      <c r="I20" s="116" t="n">
        <f aca="false">IF(AND(StopBuild=1,4&gt;StopIdx),INDEX(A_GPU_H,1,4)+MAX(0,INDEX(GPU_End0_H,1,StopIdx)-INDEX(A_GPU_H,1,StopIdx)),I14)</f>
        <v>16456</v>
      </c>
      <c r="J20" s="116" t="n">
        <f aca="false">IF(AND(StopBuild=1,5&gt;StopIdx),INDEX(A_GPU_H,1,5)+MAX(0,INDEX(GPU_End0_H,1,StopIdx)-INDEX(A_GPU_H,1,StopIdx)),J14)</f>
        <v>30000</v>
      </c>
      <c r="K20" s="116" t="n">
        <f aca="false">IF(AND(StopBuild=1,6&gt;StopIdx),INDEX(A_GPU_H,1,6)+MAX(0,INDEX(GPU_End0_H,1,StopIdx)-INDEX(A_GPU_H,1,StopIdx)),K14)</f>
        <v>30000</v>
      </c>
      <c r="L20" s="116" t="n">
        <f aca="false">IF(AND(StopBuild=1,7&gt;StopIdx),INDEX(A_GPU_H,1,7)+MAX(0,INDEX(GPU_End0_H,1,StopIdx)-INDEX(A_GPU_H,1,StopIdx)),L14)</f>
        <v>30000</v>
      </c>
      <c r="M20" s="116" t="n">
        <f aca="false">IF(AND(StopBuild=1,8&gt;StopIdx),INDEX(A_GPU_H,1,8)+MAX(0,INDEX(GPU_End0_H,1,StopIdx)-INDEX(A_GPU_H,1,StopIdx)),M14)</f>
        <v>30000</v>
      </c>
      <c r="N20" s="116" t="n">
        <f aca="false">IF(AND(StopBuild=1,9&gt;StopIdx),INDEX(A_GPU_H,1,9)+MAX(0,INDEX(GPU_End0_H,1,StopIdx)-INDEX(A_GPU_H,1,StopIdx)),N14)</f>
        <v>30000</v>
      </c>
      <c r="O20" s="116" t="n">
        <f aca="false">IF(AND(StopBuild=1,10&gt;StopIdx),INDEX(A_GPU_H,1,10)+MAX(0,INDEX(GPU_End0_H,1,StopIdx)-INDEX(A_GPU_H,1,StopIdx)),O14)</f>
        <v>30000</v>
      </c>
      <c r="P20" s="35" t="n">
        <f aca="false">IF(AND(StopBuild=1,11&gt;StopIdx),INDEX(A_GPU_H,1,11)+MAX(0,INDEX(GPU_End0_H,1,StopIdx)-INDEX(A_GPU_H,1,StopIdx)),P14)</f>
        <v>30000</v>
      </c>
      <c r="Q20" s="35" t="n">
        <f aca="false">IF(AND(StopBuild=1,12&gt;StopIdx),INDEX(A_GPU_H,1,12)+MAX(0,INDEX(GPU_End0_H,1,StopIdx)-INDEX(A_GPU_H,1,StopIdx)),Q14)</f>
        <v>30000</v>
      </c>
      <c r="R20" s="35" t="n">
        <f aca="false">IF(AND(StopBuild=1,13&gt;StopIdx),INDEX(A_GPU_H,1,13)+MAX(0,INDEX(GPU_End0_H,1,StopIdx)-INDEX(A_GPU_H,1,StopIdx)),R14)</f>
        <v>30000</v>
      </c>
      <c r="S20" s="35" t="n">
        <f aca="false">IF(AND(StopBuild=1,14&gt;StopIdx),INDEX(A_GPU_H,1,14)+MAX(0,INDEX(GPU_End0_H,1,StopIdx)-INDEX(A_GPU_H,1,StopIdx)),S14)</f>
        <v>30000</v>
      </c>
      <c r="T20" s="35" t="n">
        <f aca="false">IF(AND(StopBuild=1,15&gt;StopIdx),INDEX(A_GPU_H,1,15)+MAX(0,INDEX(GPU_End0_H,1,StopIdx)-INDEX(A_GPU_H,1,StopIdx)),T14)</f>
        <v>30000</v>
      </c>
      <c r="U20" s="35" t="n">
        <f aca="false">IF(AND(StopBuild=1,16&gt;StopIdx),INDEX(A_GPU_H,1,16)+MAX(0,INDEX(GPU_End0_H,1,StopIdx)-INDEX(A_GPU_H,1,StopIdx)),U14)</f>
        <v>30000</v>
      </c>
      <c r="V20" s="35" t="n">
        <f aca="false">IF(AND(StopBuild=1,17&gt;StopIdx),INDEX(A_GPU_H,1,17)+MAX(0,INDEX(GPU_End0_H,1,StopIdx)-INDEX(A_GPU_H,1,StopIdx)),V14)</f>
        <v>30000</v>
      </c>
      <c r="W20" s="35" t="n">
        <f aca="false">IF(AND(StopBuild=1,18&gt;StopIdx),INDEX(A_GPU_H,1,18)+MAX(0,INDEX(GPU_End0_H,1,StopIdx)-INDEX(A_GPU_H,1,StopIdx)),W14)</f>
        <v>30000</v>
      </c>
      <c r="X20" s="35" t="n">
        <f aca="false">IF(AND(StopBuild=1,19&gt;StopIdx),INDEX(A_GPU_H,1,19)+MAX(0,INDEX(GPU_End0_H,1,StopIdx)-INDEX(A_GPU_H,1,StopIdx)),X14)</f>
        <v>30000</v>
      </c>
      <c r="Y20" s="35" t="n">
        <f aca="false">IF(AND(StopBuild=1,20&gt;StopIdx),INDEX(A_GPU_H,1,20)+MAX(0,INDEX(GPU_End0_H,1,StopIdx)-INDEX(A_GPU_H,1,StopIdx)),Y14)</f>
        <v>30000</v>
      </c>
      <c r="Z20" s="35" t="n">
        <f aca="false">IF(AND(StopBuild=1,21&gt;StopIdx),INDEX(A_GPU_H,1,21)+MAX(0,INDEX(GPU_End0_H,1,StopIdx)-INDEX(A_GPU_H,1,StopIdx)),Z14)</f>
        <v>30000</v>
      </c>
      <c r="AA20" s="35" t="n">
        <f aca="false">IF(AND(StopBuild=1,22&gt;StopIdx),INDEX(A_GPU_H,1,22)+MAX(0,INDEX(GPU_End0_H,1,StopIdx)-INDEX(A_GPU_H,1,StopIdx)),AA14)</f>
        <v>30000</v>
      </c>
      <c r="AB20" s="35" t="n">
        <f aca="false">IF(AND(StopBuild=1,23&gt;StopIdx),INDEX(A_GPU_H,1,23)+MAX(0,INDEX(GPU_End0_H,1,StopIdx)-INDEX(A_GPU_H,1,StopIdx)),AB14)</f>
        <v>30000</v>
      </c>
      <c r="AC20" s="35" t="n">
        <f aca="false">IF(AND(StopBuild=1,24&gt;StopIdx),INDEX(A_GPU_H,1,24)+MAX(0,INDEX(GPU_End0_H,1,StopIdx)-INDEX(A_GPU_H,1,StopIdx)),AC14)</f>
        <v>30000</v>
      </c>
      <c r="AD20" s="35" t="n">
        <f aca="false">IF(AND(StopBuild=1,25&gt;StopIdx),INDEX(A_GPU_H,1,25)+MAX(0,INDEX(GPU_End0_H,1,StopIdx)-INDEX(A_GPU_H,1,StopIdx)),AD14)</f>
        <v>30000</v>
      </c>
      <c r="AE20" s="35" t="n">
        <f aca="false">IF(AND(StopBuild=1,26&gt;StopIdx),INDEX(A_GPU_H,1,26)+MAX(0,INDEX(GPU_End0_H,1,StopIdx)-INDEX(A_GPU_H,1,StopIdx)),AE14)</f>
        <v>30000</v>
      </c>
      <c r="AF20" s="35" t="n">
        <f aca="false">IF(AND(StopBuild=1,27&gt;StopIdx),INDEX(A_GPU_H,1,27)+MAX(0,INDEX(GPU_End0_H,1,StopIdx)-INDEX(A_GPU_H,1,StopIdx)),AF14)</f>
        <v>30000</v>
      </c>
      <c r="AG20" s="35" t="n">
        <f aca="false">IF(AND(StopBuild=1,28&gt;StopIdx),INDEX(A_GPU_H,1,28)+MAX(0,INDEX(GPU_End0_H,1,StopIdx)-INDEX(A_GPU_H,1,StopIdx)),AG14)</f>
        <v>30000</v>
      </c>
      <c r="AI20" s="35" t="n">
        <f aca="false">INDEX($F20:$AG20,1,MATCH(AI$7,$F$7:$AG$7,1))</f>
        <v>16456</v>
      </c>
      <c r="AJ20" s="35" t="n">
        <f aca="false">INDEX($F20:$AG20,1,MATCH(AJ$7,$F$7:$AG$7,1))</f>
        <v>30000</v>
      </c>
      <c r="AK20" s="35" t="n">
        <f aca="false">INDEX($F20:$AG20,1,MATCH(AK$7,$F$7:$AG$7,1))</f>
        <v>30000</v>
      </c>
      <c r="AL20" s="35" t="n">
        <f aca="false">INDEX($F20:$AG20,1,MATCH(AL$7,$F$7:$AG$7,1))</f>
        <v>30000</v>
      </c>
      <c r="AM20" s="35" t="n">
        <f aca="false">INDEX($F20:$AG20,1,MATCH(AM$7,$F$7:$AG$7,1))</f>
        <v>30000</v>
      </c>
      <c r="AN20" s="35" t="n">
        <f aca="false">INDEX($F20:$AG20,1,MATCH(AN$7,$F$7:$AG$7,1))</f>
        <v>30000</v>
      </c>
      <c r="AO20" s="35" t="n">
        <f aca="false">INDEX($F20:$AG20,1,MATCH(AO$7,$F$7:$AG$7,1))</f>
        <v>30000</v>
      </c>
    </row>
    <row r="21" customFormat="false" ht="15" hidden="false" customHeight="false" outlineLevel="0" collapsed="false">
      <c r="A21" s="112" t="s">
        <v>2242</v>
      </c>
      <c r="B21" s="24" t="s">
        <v>956</v>
      </c>
      <c r="C21" s="24" t="s">
        <v>1050</v>
      </c>
      <c r="D21" s="24" t="s">
        <v>2241</v>
      </c>
      <c r="E21" s="35" t="n">
        <f aca="false">0</f>
        <v>0</v>
      </c>
      <c r="F21" s="116" t="n">
        <f aca="false">IF(AND(StopBuild=1,1&gt;StopIdx),INDEX(A_GPU_B,1,1)+MAX(0,INDEX(GPU_End0_B,1,StopIdx)-INDEX(A_GPU_B,1,StopIdx)),F15)</f>
        <v>0</v>
      </c>
      <c r="G21" s="116" t="n">
        <f aca="false">IF(AND(StopBuild=1,2&gt;StopIdx),INDEX(A_GPU_B,1,2)+MAX(0,INDEX(GPU_End0_B,1,StopIdx)-INDEX(A_GPU_B,1,StopIdx)),G15)</f>
        <v>0</v>
      </c>
      <c r="H21" s="116" t="n">
        <f aca="false">IF(AND(StopBuild=1,3&gt;StopIdx),INDEX(A_GPU_B,1,3)+MAX(0,INDEX(GPU_End0_B,1,StopIdx)-INDEX(A_GPU_B,1,StopIdx)),H15)</f>
        <v>0</v>
      </c>
      <c r="I21" s="116" t="n">
        <f aca="false">IF(AND(StopBuild=1,4&gt;StopIdx),INDEX(A_GPU_B,1,4)+MAX(0,INDEX(GPU_End0_B,1,StopIdx)-INDEX(A_GPU_B,1,StopIdx)),I15)</f>
        <v>0</v>
      </c>
      <c r="J21" s="116" t="n">
        <f aca="false">IF(AND(StopBuild=1,5&gt;StopIdx),INDEX(A_GPU_B,1,5)+MAX(0,INDEX(GPU_End0_B,1,StopIdx)-INDEX(A_GPU_B,1,StopIdx)),J15)</f>
        <v>0</v>
      </c>
      <c r="K21" s="116" t="n">
        <f aca="false">IF(AND(StopBuild=1,6&gt;StopIdx),INDEX(A_GPU_B,1,6)+MAX(0,INDEX(GPU_End0_B,1,StopIdx)-INDEX(A_GPU_B,1,StopIdx)),K15)</f>
        <v>0</v>
      </c>
      <c r="L21" s="116" t="n">
        <f aca="false">IF(AND(StopBuild=1,7&gt;StopIdx),INDEX(A_GPU_B,1,7)+MAX(0,INDEX(GPU_End0_B,1,StopIdx)-INDEX(A_GPU_B,1,StopIdx)),L15)</f>
        <v>5116</v>
      </c>
      <c r="M21" s="116" t="n">
        <f aca="false">IF(AND(StopBuild=1,8&gt;StopIdx),INDEX(A_GPU_B,1,8)+MAX(0,INDEX(GPU_End0_B,1,StopIdx)-INDEX(A_GPU_B,1,StopIdx)),M15)</f>
        <v>42371</v>
      </c>
      <c r="N21" s="116" t="n">
        <f aca="false">IF(AND(StopBuild=1,9&gt;StopIdx),INDEX(A_GPU_B,1,9)+MAX(0,INDEX(GPU_End0_B,1,StopIdx)-INDEX(A_GPU_B,1,StopIdx)),N15)</f>
        <v>56897</v>
      </c>
      <c r="O21" s="116" t="n">
        <f aca="false">IF(AND(StopBuild=1,10&gt;StopIdx),INDEX(A_GPU_B,1,10)+MAX(0,INDEX(GPU_End0_B,1,StopIdx)-INDEX(A_GPU_B,1,StopIdx)),O15)</f>
        <v>61727</v>
      </c>
      <c r="P21" s="35" t="n">
        <f aca="false">IF(AND(StopBuild=1,11&gt;StopIdx),INDEX(A_GPU_B,1,11)+MAX(0,INDEX(GPU_End0_B,1,StopIdx)-INDEX(A_GPU_B,1,StopIdx)),P15)</f>
        <v>61727</v>
      </c>
      <c r="Q21" s="35" t="n">
        <f aca="false">IF(AND(StopBuild=1,12&gt;StopIdx),INDEX(A_GPU_B,1,12)+MAX(0,INDEX(GPU_End0_B,1,StopIdx)-INDEX(A_GPU_B,1,StopIdx)),Q15)</f>
        <v>77883</v>
      </c>
      <c r="R21" s="35" t="n">
        <f aca="false">IF(AND(StopBuild=1,13&gt;StopIdx),INDEX(A_GPU_B,1,13)+MAX(0,INDEX(GPU_End0_B,1,StopIdx)-INDEX(A_GPU_B,1,StopIdx)),R15)</f>
        <v>116605</v>
      </c>
      <c r="S21" s="35" t="n">
        <f aca="false">IF(AND(StopBuild=1,14&gt;StopIdx),INDEX(A_GPU_B,1,14)+MAX(0,INDEX(GPU_End0_B,1,StopIdx)-INDEX(A_GPU_B,1,StopIdx)),S15)</f>
        <v>181915</v>
      </c>
      <c r="T21" s="35" t="n">
        <f aca="false">IF(AND(StopBuild=1,15&gt;StopIdx),INDEX(A_GPU_B,1,15)+MAX(0,INDEX(GPU_End0_B,1,StopIdx)-INDEX(A_GPU_B,1,StopIdx)),T15)</f>
        <v>252316</v>
      </c>
      <c r="U21" s="35" t="n">
        <f aca="false">IF(AND(StopBuild=1,16&gt;StopIdx),INDEX(A_GPU_B,1,16)+MAX(0,INDEX(GPU_End0_B,1,StopIdx)-INDEX(A_GPU_B,1,StopIdx)),U15)</f>
        <v>295539</v>
      </c>
      <c r="V21" s="35" t="n">
        <f aca="false">IF(AND(StopBuild=1,17&gt;StopIdx),INDEX(A_GPU_B,1,17)+MAX(0,INDEX(GPU_End0_B,1,StopIdx)-INDEX(A_GPU_B,1,StopIdx)),V15)</f>
        <v>346521</v>
      </c>
      <c r="W21" s="35" t="n">
        <f aca="false">IF(AND(StopBuild=1,18&gt;StopIdx),INDEX(A_GPU_B,1,18)+MAX(0,INDEX(GPU_End0_B,1,StopIdx)-INDEX(A_GPU_B,1,StopIdx)),W15)</f>
        <v>346521</v>
      </c>
      <c r="X21" s="35" t="n">
        <f aca="false">IF(AND(StopBuild=1,19&gt;StopIdx),INDEX(A_GPU_B,1,19)+MAX(0,INDEX(GPU_End0_B,1,StopIdx)-INDEX(A_GPU_B,1,StopIdx)),X15)</f>
        <v>346521</v>
      </c>
      <c r="Y21" s="35" t="n">
        <f aca="false">IF(AND(StopBuild=1,20&gt;StopIdx),INDEX(A_GPU_B,1,20)+MAX(0,INDEX(GPU_End0_B,1,StopIdx)-INDEX(A_GPU_B,1,StopIdx)),Y15)</f>
        <v>346521</v>
      </c>
      <c r="Z21" s="35" t="n">
        <f aca="false">IF(AND(StopBuild=1,21&gt;StopIdx),INDEX(A_GPU_B,1,21)+MAX(0,INDEX(GPU_End0_B,1,StopIdx)-INDEX(A_GPU_B,1,StopIdx)),Z15)</f>
        <v>371079</v>
      </c>
      <c r="AA21" s="35" t="n">
        <f aca="false">IF(AND(StopBuild=1,22&gt;StopIdx),INDEX(A_GPU_B,1,22)+MAX(0,INDEX(GPU_End0_B,1,StopIdx)-INDEX(A_GPU_B,1,StopIdx)),AA15)</f>
        <v>371079</v>
      </c>
      <c r="AB21" s="35" t="n">
        <f aca="false">IF(AND(StopBuild=1,23&gt;StopIdx),INDEX(A_GPU_B,1,23)+MAX(0,INDEX(GPU_End0_B,1,StopIdx)-INDEX(A_GPU_B,1,StopIdx)),AB15)</f>
        <v>371079</v>
      </c>
      <c r="AC21" s="35" t="n">
        <f aca="false">IF(AND(StopBuild=1,24&gt;StopIdx),INDEX(A_GPU_B,1,24)+MAX(0,INDEX(GPU_End0_B,1,StopIdx)-INDEX(A_GPU_B,1,StopIdx)),AC15)</f>
        <v>371079</v>
      </c>
      <c r="AD21" s="35" t="n">
        <f aca="false">IF(AND(StopBuild=1,25&gt;StopIdx),INDEX(A_GPU_B,1,25)+MAX(0,INDEX(GPU_End0_B,1,StopIdx)-INDEX(A_GPU_B,1,StopIdx)),AD15)</f>
        <v>371079</v>
      </c>
      <c r="AE21" s="35" t="n">
        <f aca="false">IF(AND(StopBuild=1,26&gt;StopIdx),INDEX(A_GPU_B,1,26)+MAX(0,INDEX(GPU_End0_B,1,StopIdx)-INDEX(A_GPU_B,1,StopIdx)),AE15)</f>
        <v>371079</v>
      </c>
      <c r="AF21" s="35" t="n">
        <f aca="false">IF(AND(StopBuild=1,27&gt;StopIdx),INDEX(A_GPU_B,1,27)+MAX(0,INDEX(GPU_End0_B,1,StopIdx)-INDEX(A_GPU_B,1,StopIdx)),AF15)</f>
        <v>371079</v>
      </c>
      <c r="AG21" s="35" t="n">
        <f aca="false">IF(AND(StopBuild=1,28&gt;StopIdx),INDEX(A_GPU_B,1,28)+MAX(0,INDEX(GPU_End0_B,1,StopIdx)-INDEX(A_GPU_B,1,StopIdx)),AG15)</f>
        <v>371079</v>
      </c>
      <c r="AI21" s="35" t="n">
        <f aca="false">INDEX($F21:$AG21,1,MATCH(AI$7,$F$7:$AG$7,1))</f>
        <v>0</v>
      </c>
      <c r="AJ21" s="35" t="n">
        <f aca="false">INDEX($F21:$AG21,1,MATCH(AJ$7,$F$7:$AG$7,1))</f>
        <v>42371</v>
      </c>
      <c r="AK21" s="35" t="n">
        <f aca="false">INDEX($F21:$AG21,1,MATCH(AK$7,$F$7:$AG$7,1))</f>
        <v>77883</v>
      </c>
      <c r="AL21" s="35" t="n">
        <f aca="false">INDEX($F21:$AG21,1,MATCH(AL$7,$F$7:$AG$7,1))</f>
        <v>295539</v>
      </c>
      <c r="AM21" s="35" t="n">
        <f aca="false">INDEX($F21:$AG21,1,MATCH(AM$7,$F$7:$AG$7,1))</f>
        <v>346521</v>
      </c>
      <c r="AN21" s="35" t="n">
        <f aca="false">INDEX($F21:$AG21,1,MATCH(AN$7,$F$7:$AG$7,1))</f>
        <v>371079</v>
      </c>
      <c r="AO21" s="35" t="n">
        <f aca="false">INDEX($F21:$AG21,1,MATCH(AO$7,$F$7:$AG$7,1))</f>
        <v>371079</v>
      </c>
    </row>
    <row r="22" customFormat="false" ht="15" hidden="false" customHeight="false" outlineLevel="0" collapsed="false">
      <c r="A22" s="112" t="s">
        <v>2243</v>
      </c>
      <c r="B22" s="24" t="s">
        <v>956</v>
      </c>
      <c r="C22" s="24" t="s">
        <v>1050</v>
      </c>
      <c r="D22" s="24" t="s">
        <v>2241</v>
      </c>
      <c r="E22" s="35" t="n">
        <f aca="false">0</f>
        <v>0</v>
      </c>
      <c r="F22" s="116" t="n">
        <f aca="false">IF(AND(StopBuild=1,1&gt;StopIdx),INDEX(A_GPU_N,1,1)+MAX(0,INDEX(GPU_End0_N,1,StopIdx)-INDEX(A_GPU_N,1,StopIdx)),F16)</f>
        <v>0</v>
      </c>
      <c r="G22" s="116" t="n">
        <f aca="false">IF(AND(StopBuild=1,2&gt;StopIdx),INDEX(A_GPU_N,1,2)+MAX(0,INDEX(GPU_End0_N,1,StopIdx)-INDEX(A_GPU_N,1,StopIdx)),G16)</f>
        <v>0</v>
      </c>
      <c r="H22" s="116" t="n">
        <f aca="false">IF(AND(StopBuild=1,3&gt;StopIdx),INDEX(A_GPU_N,1,3)+MAX(0,INDEX(GPU_End0_N,1,StopIdx)-INDEX(A_GPU_N,1,StopIdx)),H16)</f>
        <v>0</v>
      </c>
      <c r="I22" s="116" t="n">
        <f aca="false">IF(AND(StopBuild=1,4&gt;StopIdx),INDEX(A_GPU_N,1,4)+MAX(0,INDEX(GPU_End0_N,1,StopIdx)-INDEX(A_GPU_N,1,StopIdx)),I16)</f>
        <v>0</v>
      </c>
      <c r="J22" s="116" t="n">
        <f aca="false">IF(AND(StopBuild=1,5&gt;StopIdx),INDEX(A_GPU_N,1,5)+MAX(0,INDEX(GPU_End0_N,1,StopIdx)-INDEX(A_GPU_N,1,StopIdx)),J16)</f>
        <v>0</v>
      </c>
      <c r="K22" s="116" t="n">
        <f aca="false">IF(AND(StopBuild=1,6&gt;StopIdx),INDEX(A_GPU_N,1,6)+MAX(0,INDEX(GPU_End0_N,1,StopIdx)-INDEX(A_GPU_N,1,StopIdx)),K16)</f>
        <v>0</v>
      </c>
      <c r="L22" s="116" t="n">
        <f aca="false">IF(AND(StopBuild=1,7&gt;StopIdx),INDEX(A_GPU_N,1,7)+MAX(0,INDEX(GPU_End0_N,1,StopIdx)-INDEX(A_GPU_N,1,StopIdx)),L16)</f>
        <v>0</v>
      </c>
      <c r="M22" s="116" t="n">
        <f aca="false">IF(AND(StopBuild=1,8&gt;StopIdx),INDEX(A_GPU_N,1,8)+MAX(0,INDEX(GPU_End0_N,1,StopIdx)-INDEX(A_GPU_N,1,StopIdx)),M16)</f>
        <v>0</v>
      </c>
      <c r="N22" s="116" t="n">
        <f aca="false">IF(AND(StopBuild=1,9&gt;StopIdx),INDEX(A_GPU_N,1,9)+MAX(0,INDEX(GPU_End0_N,1,StopIdx)-INDEX(A_GPU_N,1,StopIdx)),N16)</f>
        <v>0</v>
      </c>
      <c r="O22" s="116" t="n">
        <f aca="false">IF(AND(StopBuild=1,10&gt;StopIdx),INDEX(A_GPU_N,1,10)+MAX(0,INDEX(GPU_End0_N,1,StopIdx)-INDEX(A_GPU_N,1,StopIdx)),O16)</f>
        <v>0</v>
      </c>
      <c r="P22" s="35" t="n">
        <f aca="false">IF(AND(StopBuild=1,11&gt;StopIdx),INDEX(A_GPU_N,1,11)+MAX(0,INDEX(GPU_End0_N,1,StopIdx)-INDEX(A_GPU_N,1,StopIdx)),P16)</f>
        <v>0</v>
      </c>
      <c r="Q22" s="35" t="n">
        <f aca="false">IF(AND(StopBuild=1,12&gt;StopIdx),INDEX(A_GPU_N,1,12)+MAX(0,INDEX(GPU_End0_N,1,StopIdx)-INDEX(A_GPU_N,1,StopIdx)),Q16)</f>
        <v>0</v>
      </c>
      <c r="R22" s="35" t="n">
        <f aca="false">IF(AND(StopBuild=1,13&gt;StopIdx),INDEX(A_GPU_N,1,13)+MAX(0,INDEX(GPU_End0_N,1,StopIdx)-INDEX(A_GPU_N,1,StopIdx)),R16)</f>
        <v>0</v>
      </c>
      <c r="S22" s="35" t="n">
        <f aca="false">IF(AND(StopBuild=1,14&gt;StopIdx),INDEX(A_GPU_N,1,14)+MAX(0,INDEX(GPU_End0_N,1,StopIdx)-INDEX(A_GPU_N,1,StopIdx)),S16)</f>
        <v>3338</v>
      </c>
      <c r="T22" s="35" t="n">
        <f aca="false">IF(AND(StopBuild=1,15&gt;StopIdx),INDEX(A_GPU_N,1,15)+MAX(0,INDEX(GPU_End0_N,1,StopIdx)-INDEX(A_GPU_N,1,StopIdx)),T16)</f>
        <v>11348</v>
      </c>
      <c r="U22" s="35" t="n">
        <f aca="false">IF(AND(StopBuild=1,16&gt;StopIdx),INDEX(A_GPU_N,1,16)+MAX(0,INDEX(GPU_End0_N,1,StopIdx)-INDEX(A_GPU_N,1,StopIdx)),U16)</f>
        <v>40045</v>
      </c>
      <c r="V22" s="35" t="n">
        <f aca="false">IF(AND(StopBuild=1,17&gt;StopIdx),INDEX(A_GPU_N,1,17)+MAX(0,INDEX(GPU_End0_N,1,StopIdx)-INDEX(A_GPU_N,1,StopIdx)),V16)</f>
        <v>97446</v>
      </c>
      <c r="W22" s="35" t="n">
        <f aca="false">IF(AND(StopBuild=1,18&gt;StopIdx),INDEX(A_GPU_N,1,18)+MAX(0,INDEX(GPU_End0_N,1,StopIdx)-INDEX(A_GPU_N,1,StopIdx)),W16)</f>
        <v>128146</v>
      </c>
      <c r="X22" s="35" t="n">
        <f aca="false">IF(AND(StopBuild=1,19&gt;StopIdx),INDEX(A_GPU_N,1,19)+MAX(0,INDEX(GPU_End0_N,1,StopIdx)-INDEX(A_GPU_N,1,StopIdx)),X16)</f>
        <v>180210</v>
      </c>
      <c r="Y22" s="35" t="n">
        <f aca="false">IF(AND(StopBuild=1,20&gt;StopIdx),INDEX(A_GPU_N,1,20)+MAX(0,INDEX(GPU_End0_N,1,StopIdx)-INDEX(A_GPU_N,1,StopIdx)),Y16)</f>
        <v>184210</v>
      </c>
      <c r="Z22" s="35" t="n">
        <f aca="false">IF(AND(StopBuild=1,21&gt;StopIdx),INDEX(A_GPU_N,1,21)+MAX(0,INDEX(GPU_End0_N,1,StopIdx)-INDEX(A_GPU_N,1,StopIdx)),Z16)</f>
        <v>277660</v>
      </c>
      <c r="AA22" s="35" t="n">
        <f aca="false">IF(AND(StopBuild=1,22&gt;StopIdx),INDEX(A_GPU_N,1,22)+MAX(0,INDEX(GPU_End0_N,1,StopIdx)-INDEX(A_GPU_N,1,StopIdx)),AA16)</f>
        <v>277660</v>
      </c>
      <c r="AB22" s="35" t="n">
        <f aca="false">IF(AND(StopBuild=1,23&gt;StopIdx),INDEX(A_GPU_N,1,23)+MAX(0,INDEX(GPU_End0_N,1,StopIdx)-INDEX(A_GPU_N,1,StopIdx)),AB16)</f>
        <v>389800</v>
      </c>
      <c r="AC22" s="35" t="n">
        <f aca="false">IF(AND(StopBuild=1,24&gt;StopIdx),INDEX(A_GPU_N,1,24)+MAX(0,INDEX(GPU_End0_N,1,StopIdx)-INDEX(A_GPU_N,1,StopIdx)),AC16)</f>
        <v>389800</v>
      </c>
      <c r="AD22" s="35" t="n">
        <f aca="false">IF(AND(StopBuild=1,25&gt;StopIdx),INDEX(A_GPU_N,1,25)+MAX(0,INDEX(GPU_End0_N,1,StopIdx)-INDEX(A_GPU_N,1,StopIdx)),AD16)</f>
        <v>545995</v>
      </c>
      <c r="AE22" s="35" t="n">
        <f aca="false">IF(AND(StopBuild=1,26&gt;StopIdx),INDEX(A_GPU_N,1,26)+MAX(0,INDEX(GPU_End0_N,1,StopIdx)-INDEX(A_GPU_N,1,StopIdx)),AE16)</f>
        <v>545995</v>
      </c>
      <c r="AF22" s="35" t="n">
        <f aca="false">IF(AND(StopBuild=1,27&gt;StopIdx),INDEX(A_GPU_N,1,27)+MAX(0,INDEX(GPU_End0_N,1,StopIdx)-INDEX(A_GPU_N,1,StopIdx)),AF16)</f>
        <v>545995</v>
      </c>
      <c r="AG22" s="35" t="n">
        <f aca="false">IF(AND(StopBuild=1,28&gt;StopIdx),INDEX(A_GPU_N,1,28)+MAX(0,INDEX(GPU_End0_N,1,StopIdx)-INDEX(A_GPU_N,1,StopIdx)),AG16)</f>
        <v>545995</v>
      </c>
      <c r="AI22" s="35" t="n">
        <f aca="false">INDEX($F22:$AG22,1,MATCH(AI$7,$F$7:$AG$7,1))</f>
        <v>0</v>
      </c>
      <c r="AJ22" s="35" t="n">
        <f aca="false">INDEX($F22:$AG22,1,MATCH(AJ$7,$F$7:$AG$7,1))</f>
        <v>0</v>
      </c>
      <c r="AK22" s="35" t="n">
        <f aca="false">INDEX($F22:$AG22,1,MATCH(AK$7,$F$7:$AG$7,1))</f>
        <v>0</v>
      </c>
      <c r="AL22" s="35" t="n">
        <f aca="false">INDEX($F22:$AG22,1,MATCH(AL$7,$F$7:$AG$7,1))</f>
        <v>40045</v>
      </c>
      <c r="AM22" s="35" t="n">
        <f aca="false">INDEX($F22:$AG22,1,MATCH(AM$7,$F$7:$AG$7,1))</f>
        <v>184210</v>
      </c>
      <c r="AN22" s="35" t="n">
        <f aca="false">INDEX($F22:$AG22,1,MATCH(AN$7,$F$7:$AG$7,1))</f>
        <v>389800</v>
      </c>
      <c r="AO22" s="35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2244</v>
      </c>
      <c r="B23" s="24" t="s">
        <v>956</v>
      </c>
      <c r="C23" s="24" t="s">
        <v>672</v>
      </c>
      <c r="D23" s="24"/>
      <c r="E23" s="35" t="n">
        <f aca="false">E20+E21+E22</f>
        <v>13713</v>
      </c>
      <c r="F23" s="123" t="n">
        <f aca="false">F20+F21+F22</f>
        <v>13713</v>
      </c>
      <c r="G23" s="123" t="n">
        <f aca="false">G20+G21+G22</f>
        <v>13713</v>
      </c>
      <c r="H23" s="123" t="n">
        <f aca="false">H20+H21+H22</f>
        <v>13713</v>
      </c>
      <c r="I23" s="123" t="n">
        <f aca="false">I20+I21+I22</f>
        <v>16456</v>
      </c>
      <c r="J23" s="123" t="n">
        <f aca="false">J20+J21+J22</f>
        <v>30000</v>
      </c>
      <c r="K23" s="123" t="n">
        <f aca="false">K20+K21+K22</f>
        <v>30000</v>
      </c>
      <c r="L23" s="123" t="n">
        <f aca="false">L20+L21+L22</f>
        <v>35116</v>
      </c>
      <c r="M23" s="123" t="n">
        <f aca="false">M20+M21+M22</f>
        <v>72371</v>
      </c>
      <c r="N23" s="123" t="n">
        <f aca="false">N20+N21+N22</f>
        <v>86897</v>
      </c>
      <c r="O23" s="123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12" t="s">
        <v>2245</v>
      </c>
      <c r="B24" s="24" t="s">
        <v>956</v>
      </c>
      <c r="C24" s="24" t="s">
        <v>672</v>
      </c>
      <c r="D24" s="24"/>
      <c r="F24" s="116" t="n">
        <f aca="false">AVERAGE(E23,F23)</f>
        <v>13713</v>
      </c>
      <c r="G24" s="116" t="n">
        <f aca="false">AVERAGE(F23,G23)</f>
        <v>13713</v>
      </c>
      <c r="H24" s="116" t="n">
        <f aca="false">AVERAGE(G23,H23)</f>
        <v>13713</v>
      </c>
      <c r="I24" s="116" t="n">
        <f aca="false">AVERAGE(H23,I23)</f>
        <v>15084.5</v>
      </c>
      <c r="J24" s="116" t="n">
        <f aca="false">AVERAGE(I23,J23)</f>
        <v>23228</v>
      </c>
      <c r="K24" s="116" t="n">
        <f aca="false">AVERAGE(J23,K23)</f>
        <v>30000</v>
      </c>
      <c r="L24" s="116" t="n">
        <f aca="false">AVERAGE(K23,L23)</f>
        <v>32558</v>
      </c>
      <c r="M24" s="116" t="n">
        <f aca="false">AVERAGE(L23,M23)</f>
        <v>53743.5</v>
      </c>
      <c r="N24" s="116" t="n">
        <f aca="false">AVERAGE(M23,N23)</f>
        <v>79634</v>
      </c>
      <c r="O24" s="116" t="n">
        <f aca="false">AVERAGE(N23,O23)</f>
        <v>89312</v>
      </c>
      <c r="P24" s="35" t="n">
        <f aca="false">AVERAGE(O23,P23)</f>
        <v>91727</v>
      </c>
      <c r="Q24" s="35" t="n">
        <f aca="false">AVERAGE(P23,Q23)</f>
        <v>99805</v>
      </c>
      <c r="R24" s="35" t="n">
        <f aca="false">AVERAGE(Q23,R23)</f>
        <v>127244</v>
      </c>
      <c r="S24" s="35" t="n">
        <f aca="false">AVERAGE(R23,S23)</f>
        <v>180929</v>
      </c>
      <c r="T24" s="35" t="n">
        <f aca="false">AVERAGE(S23,T23)</f>
        <v>254458.5</v>
      </c>
      <c r="U24" s="35" t="n">
        <f aca="false">AVERAGE(T23,U23)</f>
        <v>329624</v>
      </c>
      <c r="V24" s="35" t="n">
        <f aca="false">AVERAGE(U23,V23)</f>
        <v>419775.5</v>
      </c>
      <c r="W24" s="35" t="n">
        <f aca="false">AVERAGE(V23,W23)</f>
        <v>489317</v>
      </c>
      <c r="X24" s="35" t="n">
        <f aca="false">AVERAGE(W23,X23)</f>
        <v>530699</v>
      </c>
      <c r="Y24" s="35" t="n">
        <f aca="false">AVERAGE(X23,Y23)</f>
        <v>558731</v>
      </c>
      <c r="Z24" s="35" t="n">
        <f aca="false">AVERAGE(Y23,Z23)</f>
        <v>619735</v>
      </c>
      <c r="AA24" s="35" t="n">
        <f aca="false">AVERAGE(Z23,AA23)</f>
        <v>678739</v>
      </c>
      <c r="AB24" s="35" t="n">
        <f aca="false">AVERAGE(AA23,AB23)</f>
        <v>734809</v>
      </c>
      <c r="AC24" s="35" t="n">
        <f aca="false">AVERAGE(AB23,AC23)</f>
        <v>790879</v>
      </c>
      <c r="AD24" s="35" t="n">
        <f aca="false">AVERAGE(AC23,AD23)</f>
        <v>868976.5</v>
      </c>
      <c r="AE24" s="35" t="n">
        <f aca="false">AVERAGE(AD23,AE23)</f>
        <v>947074</v>
      </c>
      <c r="AF24" s="35" t="n">
        <f aca="false">AVERAGE(AE23,AF23)</f>
        <v>947074</v>
      </c>
      <c r="AG24" s="35" t="n">
        <f aca="false">AVERAGE(AF23,AG23)</f>
        <v>947074</v>
      </c>
      <c r="AI24" s="35" t="n">
        <f aca="false">AVERAGEIF($F$7:$AG$7,AI$7,$F24:$AG24)</f>
        <v>14055.875</v>
      </c>
      <c r="AJ24" s="35" t="n">
        <f aca="false">AVERAGEIF($F$7:$AG$7,AJ$7,$F24:$AG24)</f>
        <v>34882.375</v>
      </c>
      <c r="AK24" s="35" t="n">
        <f aca="false">AVERAGEIF($F$7:$AG$7,AK$7,$F24:$AG24)</f>
        <v>90119.5</v>
      </c>
      <c r="AL24" s="35" t="n">
        <f aca="false">AVERAGEIF($F$7:$AG$7,AL$7,$F24:$AG24)</f>
        <v>223063.875</v>
      </c>
      <c r="AM24" s="35" t="n">
        <f aca="false">AVERAGEIF($F$7:$AG$7,AM$7,$F24:$AG24)</f>
        <v>499630.625</v>
      </c>
      <c r="AN24" s="35" t="n">
        <f aca="false">AVERAGEIF($F$7:$AG$7,AN$7,$F24:$AG24)</f>
        <v>706040.5</v>
      </c>
      <c r="AO24" s="35" t="n">
        <f aca="false">AVERAGEIF($F$7:$AG$7,AO$7,$F24:$AG24)</f>
        <v>927549.625</v>
      </c>
    </row>
    <row r="26" customFormat="false" ht="15" hidden="false" customHeight="false" outlineLevel="0" collapsed="false">
      <c r="A26" s="64" t="s">
        <v>2246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customFormat="false" ht="15" hidden="false" customHeight="false" outlineLevel="0" collapsed="false">
      <c r="A27" s="112" t="s">
        <v>2247</v>
      </c>
      <c r="B27" s="24" t="s">
        <v>857</v>
      </c>
      <c r="C27" s="24" t="s">
        <v>766</v>
      </c>
      <c r="D27" s="24"/>
      <c r="F27" s="116" t="n">
        <f aca="false">INDEX(A_MW,1,1)</f>
        <v>0</v>
      </c>
      <c r="G27" s="116" t="n">
        <f aca="false">INDEX(A_MW,1,2)</f>
        <v>0</v>
      </c>
      <c r="H27" s="116" t="n">
        <f aca="false">INDEX(A_MW,1,3)</f>
        <v>0</v>
      </c>
      <c r="I27" s="116" t="n">
        <f aca="false">INDEX(A_MW,1,4)</f>
        <v>0</v>
      </c>
      <c r="J27" s="116" t="n">
        <f aca="false">INDEX(A_MW,1,5)</f>
        <v>0</v>
      </c>
      <c r="K27" s="116" t="n">
        <f aca="false">INDEX(A_MW,1,6)</f>
        <v>0</v>
      </c>
      <c r="L27" s="116" t="n">
        <f aca="false">INDEX(A_MW,1,7)</f>
        <v>0</v>
      </c>
      <c r="M27" s="116" t="n">
        <f aca="false">INDEX(A_MW,1,8)</f>
        <v>50.6725</v>
      </c>
      <c r="N27" s="116" t="n">
        <f aca="false">INDEX(A_MW,1,9)</f>
        <v>101.345</v>
      </c>
      <c r="O27" s="116" t="n">
        <f aca="false">INDEX(A_MW,1,10)</f>
        <v>101.345</v>
      </c>
      <c r="P27" s="35" t="n">
        <f aca="false">INDEX(A_MW,1,11)</f>
        <v>154.678333333333</v>
      </c>
      <c r="Q27" s="35" t="n">
        <f aca="false">INDEX(A_MW,1,12)</f>
        <v>154.678333333333</v>
      </c>
      <c r="R27" s="35" t="n">
        <f aca="false">INDEX(A_MW,1,13)</f>
        <v>154.678333333333</v>
      </c>
      <c r="S27" s="35" t="n">
        <f aca="false">INDEX(A_MW,1,14)</f>
        <v>208.011666666667</v>
      </c>
      <c r="T27" s="35" t="n">
        <f aca="false">INDEX(A_MW,1,15)</f>
        <v>341.345</v>
      </c>
      <c r="U27" s="35" t="n">
        <f aca="false">INDEX(A_MW,1,16)</f>
        <v>394.678333333333</v>
      </c>
      <c r="V27" s="35" t="n">
        <f aca="false">INDEX(A_MW,1,17)</f>
        <v>394.678333333333</v>
      </c>
      <c r="W27" s="35" t="n">
        <f aca="false">INDEX(A_MW,1,18)</f>
        <v>394.678333333333</v>
      </c>
      <c r="X27" s="35" t="n">
        <f aca="false">INDEX(A_MW,1,19)</f>
        <v>394.678333333333</v>
      </c>
      <c r="Y27" s="35" t="n">
        <f aca="false">INDEX(A_MW,1,20)</f>
        <v>394.678333333333</v>
      </c>
      <c r="Z27" s="35" t="n">
        <f aca="false">INDEX(A_MW,1,21)</f>
        <v>394.678333333333</v>
      </c>
      <c r="AA27" s="35" t="n">
        <f aca="false">INDEX(A_MW,1,22)</f>
        <v>394.678333333333</v>
      </c>
      <c r="AB27" s="35" t="n">
        <f aca="false">INDEX(A_MW,1,23)</f>
        <v>394.678333333333</v>
      </c>
      <c r="AC27" s="35" t="n">
        <f aca="false">INDEX(A_MW,1,24)</f>
        <v>394.678333333333</v>
      </c>
      <c r="AD27" s="35" t="n">
        <f aca="false">INDEX(A_MW,1,25)</f>
        <v>394.678333333333</v>
      </c>
      <c r="AE27" s="35" t="n">
        <f aca="false">INDEX(A_MW,1,26)</f>
        <v>394.678333333333</v>
      </c>
      <c r="AF27" s="35" t="n">
        <f aca="false">INDEX(A_MW,1,27)</f>
        <v>394.678333333333</v>
      </c>
      <c r="AG27" s="35" t="n">
        <f aca="false">INDEX(A_MW,1,28)</f>
        <v>344.005833333333</v>
      </c>
      <c r="AI27" s="35" t="n">
        <f aca="false">INDEX($F27:$AG27,1,MATCH(AI$7,$F$7:$AG$7,1))</f>
        <v>0</v>
      </c>
      <c r="AJ27" s="35" t="n">
        <f aca="false">INDEX($F27:$AG27,1,MATCH(AJ$7,$F$7:$AG$7,1))</f>
        <v>50.6725</v>
      </c>
      <c r="AK27" s="35" t="n">
        <f aca="false">INDEX($F27:$AG27,1,MATCH(AK$7,$F$7:$AG$7,1))</f>
        <v>154.678333333333</v>
      </c>
      <c r="AL27" s="35" t="n">
        <f aca="false">INDEX($F27:$AG27,1,MATCH(AL$7,$F$7:$AG$7,1))</f>
        <v>394.678333333333</v>
      </c>
      <c r="AM27" s="35" t="n">
        <f aca="false">INDEX($F27:$AG27,1,MATCH(AM$7,$F$7:$AG$7,1))</f>
        <v>394.678333333333</v>
      </c>
      <c r="AN27" s="35" t="n">
        <f aca="false">INDEX($F27:$AG27,1,MATCH(AN$7,$F$7:$AG$7,1))</f>
        <v>394.678333333333</v>
      </c>
      <c r="AO27" s="35" t="n">
        <f aca="false">INDEX($F27:$AG27,1,MATCH(AO$7,$F$7:$AG$7,1))</f>
        <v>344.005833333333</v>
      </c>
    </row>
    <row r="28" customFormat="false" ht="15" hidden="false" customHeight="false" outlineLevel="0" collapsed="false">
      <c r="A28" s="112" t="s">
        <v>2201</v>
      </c>
      <c r="B28" s="24" t="s">
        <v>857</v>
      </c>
      <c r="C28" s="24" t="s">
        <v>766</v>
      </c>
      <c r="D28" s="24"/>
      <c r="F28" s="116" t="n">
        <f aca="false">INDEX(A_PostMW,1,1)</f>
        <v>0</v>
      </c>
      <c r="G28" s="116" t="n">
        <f aca="false">INDEX(A_PostMW,1,2)</f>
        <v>0</v>
      </c>
      <c r="H28" s="116" t="n">
        <f aca="false">INDEX(A_PostMW,1,3)</f>
        <v>0</v>
      </c>
      <c r="I28" s="116" t="n">
        <f aca="false">INDEX(A_PostMW,1,4)</f>
        <v>0</v>
      </c>
      <c r="J28" s="116" t="n">
        <f aca="false">INDEX(A_PostMW,1,5)</f>
        <v>0</v>
      </c>
      <c r="K28" s="116" t="n">
        <f aca="false">INDEX(A_PostMW,1,6)</f>
        <v>0</v>
      </c>
      <c r="L28" s="116" t="n">
        <f aca="false">INDEX(A_PostMW,1,7)</f>
        <v>0</v>
      </c>
      <c r="M28" s="116" t="n">
        <f aca="false">INDEX(A_PostMW,1,8)</f>
        <v>0</v>
      </c>
      <c r="N28" s="116" t="n">
        <f aca="false">INDEX(A_PostMW,1,9)</f>
        <v>0</v>
      </c>
      <c r="O28" s="116" t="n">
        <f aca="false">INDEX(A_PostMW,1,10)</f>
        <v>0</v>
      </c>
      <c r="P28" s="35" t="n">
        <f aca="false">INDEX(A_PostMW,1,11)</f>
        <v>0</v>
      </c>
      <c r="Q28" s="35" t="n">
        <f aca="false">INDEX(A_PostMW,1,12)</f>
        <v>0</v>
      </c>
      <c r="R28" s="35" t="n">
        <f aca="false">INDEX(A_PostMW,1,13)</f>
        <v>0</v>
      </c>
      <c r="S28" s="35" t="n">
        <f aca="false">INDEX(A_PostMW,1,14)</f>
        <v>0</v>
      </c>
      <c r="T28" s="35" t="n">
        <f aca="false">INDEX(A_PostMW,1,15)</f>
        <v>0</v>
      </c>
      <c r="U28" s="35" t="n">
        <f aca="false">INDEX(A_PostMW,1,16)</f>
        <v>0</v>
      </c>
      <c r="V28" s="35" t="n">
        <f aca="false">INDEX(A_PostMW,1,17)</f>
        <v>0</v>
      </c>
      <c r="W28" s="35" t="n">
        <f aca="false">INDEX(A_PostMW,1,18)</f>
        <v>0</v>
      </c>
      <c r="X28" s="35" t="n">
        <f aca="false">INDEX(A_PostMW,1,19)</f>
        <v>0</v>
      </c>
      <c r="Y28" s="35" t="n">
        <f aca="false">INDEX(A_PostMW,1,20)</f>
        <v>0</v>
      </c>
      <c r="Z28" s="35" t="n">
        <f aca="false">INDEX(A_PostMW,1,21)</f>
        <v>0</v>
      </c>
      <c r="AA28" s="35" t="n">
        <f aca="false">INDEX(A_PostMW,1,22)</f>
        <v>0</v>
      </c>
      <c r="AB28" s="35" t="n">
        <f aca="false">INDEX(A_PostMW,1,23)</f>
        <v>0</v>
      </c>
      <c r="AC28" s="35" t="n">
        <f aca="false">INDEX(A_PostMW,1,24)</f>
        <v>0</v>
      </c>
      <c r="AD28" s="35" t="n">
        <f aca="false">INDEX(A_PostMW,1,25)</f>
        <v>0</v>
      </c>
      <c r="AE28" s="35" t="n">
        <f aca="false">INDEX(A_PostMW,1,26)</f>
        <v>0</v>
      </c>
      <c r="AF28" s="35" t="n">
        <f aca="false">INDEX(A_PostMW,1,27)</f>
        <v>0</v>
      </c>
      <c r="AG28" s="35" t="n">
        <f aca="false">INDEX(A_PostMW,1,28)</f>
        <v>50.6725</v>
      </c>
      <c r="AI28" s="35" t="n">
        <f aca="false">INDEX($F28:$AG28,1,MATCH(AI$7,$F$7:$AG$7,1))</f>
        <v>0</v>
      </c>
      <c r="AJ28" s="35" t="n">
        <f aca="false">INDEX($F28:$AG28,1,MATCH(AJ$7,$F$7:$AG$7,1))</f>
        <v>0</v>
      </c>
      <c r="AK28" s="35" t="n">
        <f aca="false">INDEX($F28:$AG28,1,MATCH(AK$7,$F$7:$AG$7,1))</f>
        <v>0</v>
      </c>
      <c r="AL28" s="35" t="n">
        <f aca="false">INDEX($F28:$AG28,1,MATCH(AL$7,$F$7:$AG$7,1))</f>
        <v>0</v>
      </c>
      <c r="AM28" s="35" t="n">
        <f aca="false">INDEX($F28:$AG28,1,MATCH(AM$7,$F$7:$AG$7,1))</f>
        <v>0</v>
      </c>
      <c r="AN28" s="35" t="n">
        <f aca="false">INDEX($F28:$AG28,1,MATCH(AN$7,$F$7:$AG$7,1))</f>
        <v>0</v>
      </c>
      <c r="AO28" s="35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2248</v>
      </c>
      <c r="B29" s="24" t="s">
        <v>745</v>
      </c>
      <c r="C29" s="24" t="s">
        <v>766</v>
      </c>
      <c r="D29" s="24" t="s">
        <v>2249</v>
      </c>
      <c r="F29" s="132" t="n">
        <f aca="false">INDEX(A_Rev,1,1)+INDEX(A_LD,1,1)</f>
        <v>0</v>
      </c>
      <c r="G29" s="132" t="n">
        <f aca="false">INDEX(A_Rev,1,2)+INDEX(A_LD,1,2)</f>
        <v>0</v>
      </c>
      <c r="H29" s="132" t="n">
        <f aca="false">INDEX(A_Rev,1,3)+INDEX(A_LD,1,3)</f>
        <v>0</v>
      </c>
      <c r="I29" s="132" t="n">
        <f aca="false">INDEX(A_Rev,1,4)+INDEX(A_LD,1,4)</f>
        <v>0</v>
      </c>
      <c r="J29" s="132" t="n">
        <f aca="false">INDEX(A_Rev,1,5)+INDEX(A_LD,1,5)</f>
        <v>0</v>
      </c>
      <c r="K29" s="132" t="n">
        <f aca="false">INDEX(A_Rev,1,6)+INDEX(A_LD,1,6)</f>
        <v>0</v>
      </c>
      <c r="L29" s="132" t="n">
        <f aca="false">INDEX(A_Rev,1,7)+INDEX(A_LD,1,7)</f>
        <v>0</v>
      </c>
      <c r="M29" s="132" t="n">
        <f aca="false">INDEX(A_Rev,1,8)+INDEX(A_LD,1,8)</f>
        <v>48.0871527777778</v>
      </c>
      <c r="N29" s="132" t="n">
        <f aca="false">INDEX(A_Rev,1,9)+INDEX(A_LD,1,9)</f>
        <v>168.418263888889</v>
      </c>
      <c r="O29" s="132" t="n">
        <f aca="false">INDEX(A_Rev,1,10)+INDEX(A_LD,1,10)</f>
        <v>264.819027777778</v>
      </c>
      <c r="P29" s="104" t="n">
        <f aca="false">INDEX(A_Rev,1,11)+INDEX(A_LD,1,11)</f>
        <v>329.589462673611</v>
      </c>
      <c r="Q29" s="104" t="n">
        <f aca="false">INDEX(A_Rev,1,12)+INDEX(A_LD,1,12)</f>
        <v>422.366694010417</v>
      </c>
      <c r="R29" s="104" t="n">
        <f aca="false">INDEX(A_Rev,1,13)+INDEX(A_LD,1,13)</f>
        <v>468.755309678819</v>
      </c>
      <c r="S29" s="104" t="n">
        <f aca="false">INDEX(A_Rev,1,14)+INDEX(A_LD,1,14)</f>
        <v>723.798333333333</v>
      </c>
      <c r="T29" s="104" t="n">
        <f aca="false">INDEX(A_Rev,1,15)+INDEX(A_LD,1,15)</f>
        <v>1163.68</v>
      </c>
      <c r="U29" s="104" t="n">
        <f aca="false">INDEX(A_Rev,1,16)+INDEX(A_LD,1,16)</f>
        <v>1463.68</v>
      </c>
      <c r="V29" s="104" t="n">
        <f aca="false">INDEX(A_Rev,1,17)+INDEX(A_LD,1,17)</f>
        <v>1613.68</v>
      </c>
      <c r="W29" s="104" t="n">
        <f aca="false">INDEX(A_Rev,1,18)+INDEX(A_LD,1,18)</f>
        <v>1613.68</v>
      </c>
      <c r="X29" s="104" t="n">
        <f aca="false">INDEX(A_Rev,1,19)+INDEX(A_LD,1,19)</f>
        <v>1613.68</v>
      </c>
      <c r="Y29" s="104" t="n">
        <f aca="false">INDEX(A_Rev,1,20)+INDEX(A_LD,1,20)</f>
        <v>1613.68</v>
      </c>
      <c r="Z29" s="104" t="n">
        <f aca="false">INDEX(A_Rev,1,21)+INDEX(A_LD,1,21)</f>
        <v>1613.68</v>
      </c>
      <c r="AA29" s="104" t="n">
        <f aca="false">INDEX(A_Rev,1,22)+INDEX(A_LD,1,22)</f>
        <v>1613.68</v>
      </c>
      <c r="AB29" s="104" t="n">
        <f aca="false">INDEX(A_Rev,1,23)+INDEX(A_LD,1,23)</f>
        <v>1613.68</v>
      </c>
      <c r="AC29" s="104" t="n">
        <f aca="false">INDEX(A_Rev,1,24)+INDEX(A_LD,1,24)</f>
        <v>1613.68</v>
      </c>
      <c r="AD29" s="104" t="n">
        <f aca="false">INDEX(A_Rev,1,25)+INDEX(A_LD,1,25)</f>
        <v>1613.68</v>
      </c>
      <c r="AE29" s="104" t="n">
        <f aca="false">INDEX(A_Rev,1,26)+INDEX(A_LD,1,26)</f>
        <v>1613.68</v>
      </c>
      <c r="AF29" s="104" t="n">
        <f aca="false">INDEX(A_Rev,1,27)+INDEX(A_LD,1,27)</f>
        <v>1613.68</v>
      </c>
      <c r="AG29" s="104" t="n">
        <f aca="false">INDEX(A_Rev,1,28)+INDEX(A_LD,1,28)</f>
        <v>1529.35763888889</v>
      </c>
      <c r="AI29" s="104" t="n">
        <f aca="false">SUMIF($F$7:$AG$7,AI$7,$F29:$AG29)</f>
        <v>0</v>
      </c>
      <c r="AJ29" s="104" t="n">
        <f aca="false">SUMIF($F$7:$AG$7,AJ$7,$F29:$AG29)</f>
        <v>48.0871527777778</v>
      </c>
      <c r="AK29" s="104" t="n">
        <f aca="false">SUMIF($F$7:$AG$7,AK$7,$F29:$AG29)</f>
        <v>1185.19344835069</v>
      </c>
      <c r="AL29" s="104" t="n">
        <f aca="false">SUMIF($F$7:$AG$7,AL$7,$F29:$AG29)</f>
        <v>3819.91364301215</v>
      </c>
      <c r="AM29" s="104" t="n">
        <f aca="false">SUMIF($F$7:$AG$7,AM$7,$F29:$AG29)</f>
        <v>6454.72</v>
      </c>
      <c r="AN29" s="104" t="n">
        <f aca="false">SUMIF($F$7:$AG$7,AN$7,$F29:$AG29)</f>
        <v>6454.72</v>
      </c>
      <c r="AO29" s="104" t="n">
        <f aca="false">SUMIF($F$7:$AG$7,AO$7,$F29:$AG29)</f>
        <v>6370.39763888889</v>
      </c>
    </row>
    <row r="30" customFormat="false" ht="15" hidden="false" customHeight="false" outlineLevel="0" collapsed="false">
      <c r="A30" s="112" t="s">
        <v>2250</v>
      </c>
      <c r="B30" s="24" t="s">
        <v>745</v>
      </c>
      <c r="C30" s="24" t="s">
        <v>766</v>
      </c>
      <c r="D30" s="24" t="s">
        <v>2251</v>
      </c>
      <c r="F30" s="130" t="n">
        <f aca="false">INDEX(A_Post,1,1)</f>
        <v>0</v>
      </c>
      <c r="G30" s="130" t="n">
        <f aca="false">INDEX(A_Post,1,2)</f>
        <v>0</v>
      </c>
      <c r="H30" s="130" t="n">
        <f aca="false">INDEX(A_Post,1,3)</f>
        <v>0</v>
      </c>
      <c r="I30" s="130" t="n">
        <f aca="false">INDEX(A_Post,1,4)</f>
        <v>0</v>
      </c>
      <c r="J30" s="130" t="n">
        <f aca="false">INDEX(A_Post,1,5)</f>
        <v>0</v>
      </c>
      <c r="K30" s="130" t="n">
        <f aca="false">INDEX(A_Post,1,6)</f>
        <v>0</v>
      </c>
      <c r="L30" s="130" t="n">
        <f aca="false">INDEX(A_Post,1,7)</f>
        <v>0</v>
      </c>
      <c r="M30" s="130" t="n">
        <f aca="false">INDEX(A_Post,1,8)</f>
        <v>0</v>
      </c>
      <c r="N30" s="130" t="n">
        <f aca="false">INDEX(A_Post,1,9)</f>
        <v>0</v>
      </c>
      <c r="O30" s="130" t="n">
        <f aca="false">INDEX(A_Post,1,10)</f>
        <v>0</v>
      </c>
      <c r="P30" s="131" t="n">
        <f aca="false">INDEX(A_Post,1,11)</f>
        <v>0</v>
      </c>
      <c r="Q30" s="131" t="n">
        <f aca="false">INDEX(A_Post,1,12)</f>
        <v>0</v>
      </c>
      <c r="R30" s="131" t="n">
        <f aca="false">INDEX(A_Post,1,13)</f>
        <v>0</v>
      </c>
      <c r="S30" s="131" t="n">
        <f aca="false">INDEX(A_Post,1,14)</f>
        <v>0</v>
      </c>
      <c r="T30" s="131" t="n">
        <f aca="false">INDEX(A_Post,1,15)</f>
        <v>0</v>
      </c>
      <c r="U30" s="131" t="n">
        <f aca="false">INDEX(A_Post,1,16)</f>
        <v>0</v>
      </c>
      <c r="V30" s="131" t="n">
        <f aca="false">INDEX(A_Post,1,17)</f>
        <v>0</v>
      </c>
      <c r="W30" s="131" t="n">
        <f aca="false">INDEX(A_Post,1,18)</f>
        <v>0</v>
      </c>
      <c r="X30" s="131" t="n">
        <f aca="false">INDEX(A_Post,1,19)</f>
        <v>0</v>
      </c>
      <c r="Y30" s="131" t="n">
        <f aca="false">INDEX(A_Post,1,20)</f>
        <v>0</v>
      </c>
      <c r="Z30" s="131" t="n">
        <f aca="false">INDEX(A_Post,1,21)</f>
        <v>0</v>
      </c>
      <c r="AA30" s="131" t="n">
        <f aca="false">INDEX(A_Post,1,22)</f>
        <v>0</v>
      </c>
      <c r="AB30" s="131" t="n">
        <f aca="false">INDEX(A_Post,1,23)</f>
        <v>0</v>
      </c>
      <c r="AC30" s="131" t="n">
        <f aca="false">INDEX(A_Post,1,24)</f>
        <v>0</v>
      </c>
      <c r="AD30" s="131" t="n">
        <f aca="false">INDEX(A_Post,1,25)</f>
        <v>0</v>
      </c>
      <c r="AE30" s="131" t="n">
        <f aca="false">INDEX(A_Post,1,26)</f>
        <v>0</v>
      </c>
      <c r="AF30" s="131" t="n">
        <f aca="false">INDEX(A_Post,1,27)</f>
        <v>0</v>
      </c>
      <c r="AG30" s="131" t="n">
        <f aca="false">INDEX(A_Post,1,28)</f>
        <v>205.8940525785</v>
      </c>
      <c r="AI30" s="131" t="n">
        <f aca="false">SUMIF($F$7:$AG$7,AI$7,$F30:$AG30)</f>
        <v>0</v>
      </c>
      <c r="AJ30" s="131" t="n">
        <f aca="false">SUMIF($F$7:$AG$7,AJ$7,$F30:$AG30)</f>
        <v>0</v>
      </c>
      <c r="AK30" s="131" t="n">
        <f aca="false">SUMIF($F$7:$AG$7,AK$7,$F30:$AG30)</f>
        <v>0</v>
      </c>
      <c r="AL30" s="131" t="n">
        <f aca="false">SUMIF($F$7:$AG$7,AL$7,$F30:$AG30)</f>
        <v>0</v>
      </c>
      <c r="AM30" s="131" t="n">
        <f aca="false">SUMIF($F$7:$AG$7,AM$7,$F30:$AG30)</f>
        <v>0</v>
      </c>
      <c r="AN30" s="131" t="n">
        <f aca="false">SUMIF($F$7:$AG$7,AN$7,$F30:$AG30)</f>
        <v>0</v>
      </c>
      <c r="AO30" s="131" t="n">
        <f aca="false">SUMIF($F$7:$AG$7,AO$7,$F30:$AG30)</f>
        <v>205.8940525785</v>
      </c>
    </row>
    <row r="32" customFormat="false" ht="15" hidden="false" customHeight="false" outlineLevel="0" collapsed="false">
      <c r="A32" s="64" t="s">
        <v>2252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customFormat="false" ht="15" hidden="false" customHeight="false" outlineLevel="0" collapsed="false">
      <c r="A33" s="112" t="s">
        <v>2253</v>
      </c>
      <c r="B33" s="24" t="s">
        <v>956</v>
      </c>
      <c r="C33" s="24" t="s">
        <v>672</v>
      </c>
      <c r="D33" s="24" t="s">
        <v>2254</v>
      </c>
      <c r="E33" s="35" t="n">
        <f aca="false">E20</f>
        <v>13713</v>
      </c>
      <c r="F33" s="116" t="n">
        <f aca="false">MAX(0,F20-INDEX(A_GPU_H,1,1))</f>
        <v>13713</v>
      </c>
      <c r="G33" s="116" t="n">
        <f aca="false">MAX(0,G20-INDEX(A_GPU_H,1,2))</f>
        <v>13713</v>
      </c>
      <c r="H33" s="116" t="n">
        <f aca="false">MAX(0,H20-INDEX(A_GPU_H,1,3))</f>
        <v>13713</v>
      </c>
      <c r="I33" s="116" t="n">
        <f aca="false">MAX(0,I20-INDEX(A_GPU_H,1,4))</f>
        <v>16456</v>
      </c>
      <c r="J33" s="116" t="n">
        <f aca="false">MAX(0,J20-INDEX(A_GPU_H,1,5))</f>
        <v>30000</v>
      </c>
      <c r="K33" s="116" t="n">
        <f aca="false">MAX(0,K20-INDEX(A_GPU_H,1,6))</f>
        <v>30000</v>
      </c>
      <c r="L33" s="116" t="n">
        <f aca="false">MAX(0,L20-INDEX(A_GPU_H,1,7))</f>
        <v>30000</v>
      </c>
      <c r="M33" s="116" t="n">
        <f aca="false">MAX(0,M20-INDEX(A_GPU_H,1,8))</f>
        <v>30000</v>
      </c>
      <c r="N33" s="116" t="n">
        <f aca="false">MAX(0,N20-INDEX(A_GPU_H,1,9))</f>
        <v>30000</v>
      </c>
      <c r="O33" s="116" t="n">
        <f aca="false">MAX(0,O20-INDEX(A_GPU_H,1,10))</f>
        <v>30000</v>
      </c>
      <c r="P33" s="35" t="n">
        <f aca="false">MAX(0,P20-INDEX(A_GPU_H,1,11))</f>
        <v>30000</v>
      </c>
      <c r="Q33" s="35" t="n">
        <f aca="false">MAX(0,Q20-INDEX(A_GPU_H,1,12))</f>
        <v>30000</v>
      </c>
      <c r="R33" s="35" t="n">
        <f aca="false">MAX(0,R20-INDEX(A_GPU_H,1,13))</f>
        <v>30000</v>
      </c>
      <c r="S33" s="35" t="n">
        <f aca="false">MAX(0,S20-INDEX(A_GPU_H,1,14))</f>
        <v>30000</v>
      </c>
      <c r="T33" s="35" t="n">
        <f aca="false">MAX(0,T20-INDEX(A_GPU_H,1,15))</f>
        <v>30000</v>
      </c>
      <c r="U33" s="35" t="n">
        <f aca="false">MAX(0,U20-INDEX(A_GPU_H,1,16))</f>
        <v>30000</v>
      </c>
      <c r="V33" s="35" t="n">
        <f aca="false">MAX(0,V20-INDEX(A_GPU_H,1,17))</f>
        <v>30000</v>
      </c>
      <c r="W33" s="35" t="n">
        <f aca="false">MAX(0,W20-INDEX(A_GPU_H,1,18))</f>
        <v>30000</v>
      </c>
      <c r="X33" s="35" t="n">
        <f aca="false">MAX(0,X20-INDEX(A_GPU_H,1,19))</f>
        <v>30000</v>
      </c>
      <c r="Y33" s="35" t="n">
        <f aca="false">MAX(0,Y20-INDEX(A_GPU_H,1,20))</f>
        <v>30000</v>
      </c>
      <c r="Z33" s="35" t="n">
        <f aca="false">MAX(0,Z20-INDEX(A_GPU_H,1,21))</f>
        <v>30000</v>
      </c>
      <c r="AA33" s="35" t="n">
        <f aca="false">MAX(0,AA20-INDEX(A_GPU_H,1,22))</f>
        <v>30000</v>
      </c>
      <c r="AB33" s="35" t="n">
        <f aca="false">MAX(0,AB20-INDEX(A_GPU_H,1,23))</f>
        <v>30000</v>
      </c>
      <c r="AC33" s="35" t="n">
        <f aca="false">MAX(0,AC20-INDEX(A_GPU_H,1,24))</f>
        <v>30000</v>
      </c>
      <c r="AD33" s="35" t="n">
        <f aca="false">MAX(0,AD20-INDEX(A_GPU_H,1,25))</f>
        <v>30000</v>
      </c>
      <c r="AE33" s="35" t="n">
        <f aca="false">MAX(0,AE20-INDEX(A_GPU_H,1,26))</f>
        <v>30000</v>
      </c>
      <c r="AF33" s="35" t="n">
        <f aca="false">MAX(0,AF20-INDEX(A_GPU_H,1,27))</f>
        <v>30000</v>
      </c>
      <c r="AG33" s="35" t="n">
        <f aca="false">MAX(0,AG20-INDEX(A_GPU_H,1,28))</f>
        <v>30000</v>
      </c>
      <c r="AI33" s="35" t="n">
        <f aca="false">INDEX($F33:$AG33,1,MATCH(AI$7,$F$7:$AG$7,1))</f>
        <v>16456</v>
      </c>
      <c r="AJ33" s="35" t="n">
        <f aca="false">INDEX($F33:$AG33,1,MATCH(AJ$7,$F$7:$AG$7,1))</f>
        <v>30000</v>
      </c>
      <c r="AK33" s="35" t="n">
        <f aca="false">INDEX($F33:$AG33,1,MATCH(AK$7,$F$7:$AG$7,1))</f>
        <v>30000</v>
      </c>
      <c r="AL33" s="35" t="n">
        <f aca="false">INDEX($F33:$AG33,1,MATCH(AL$7,$F$7:$AG$7,1))</f>
        <v>30000</v>
      </c>
      <c r="AM33" s="35" t="n">
        <f aca="false">INDEX($F33:$AG33,1,MATCH(AM$7,$F$7:$AG$7,1))</f>
        <v>30000</v>
      </c>
      <c r="AN33" s="35" t="n">
        <f aca="false">INDEX($F33:$AG33,1,MATCH(AN$7,$F$7:$AG$7,1))</f>
        <v>30000</v>
      </c>
      <c r="AO33" s="35" t="n">
        <f aca="false">INDEX($F33:$AG33,1,MATCH(AO$7,$F$7:$AG$7,1))</f>
        <v>30000</v>
      </c>
    </row>
    <row r="34" customFormat="false" ht="15" hidden="false" customHeight="false" outlineLevel="0" collapsed="false">
      <c r="A34" s="112" t="s">
        <v>2255</v>
      </c>
      <c r="B34" s="24" t="s">
        <v>956</v>
      </c>
      <c r="C34" s="24" t="s">
        <v>672</v>
      </c>
      <c r="D34" s="24" t="s">
        <v>2254</v>
      </c>
      <c r="E34" s="35" t="n">
        <f aca="false">E21</f>
        <v>0</v>
      </c>
      <c r="F34" s="116" t="n">
        <f aca="false">MAX(0,F21-INDEX(A_GPU_B,1,1))</f>
        <v>0</v>
      </c>
      <c r="G34" s="116" t="n">
        <f aca="false">MAX(0,G21-INDEX(A_GPU_B,1,2))</f>
        <v>0</v>
      </c>
      <c r="H34" s="116" t="n">
        <f aca="false">MAX(0,H21-INDEX(A_GPU_B,1,3))</f>
        <v>0</v>
      </c>
      <c r="I34" s="116" t="n">
        <f aca="false">MAX(0,I21-INDEX(A_GPU_B,1,4))</f>
        <v>0</v>
      </c>
      <c r="J34" s="116" t="n">
        <f aca="false">MAX(0,J21-INDEX(A_GPU_B,1,5))</f>
        <v>0</v>
      </c>
      <c r="K34" s="116" t="n">
        <f aca="false">MAX(0,K21-INDEX(A_GPU_B,1,6))</f>
        <v>0</v>
      </c>
      <c r="L34" s="116" t="n">
        <f aca="false">MAX(0,L21-INDEX(A_GPU_B,1,7))</f>
        <v>5116</v>
      </c>
      <c r="M34" s="116" t="n">
        <f aca="false">MAX(0,M21-INDEX(A_GPU_B,1,8))</f>
        <v>17268.0833333333</v>
      </c>
      <c r="N34" s="116" t="n">
        <f aca="false">MAX(0,N21-INDEX(A_GPU_B,1,9))</f>
        <v>14141.1666666667</v>
      </c>
      <c r="O34" s="116" t="n">
        <f aca="false">MAX(0,O21-INDEX(A_GPU_B,1,10))</f>
        <v>18221.1666666667</v>
      </c>
      <c r="P34" s="35" t="n">
        <f aca="false">MAX(0,P21-INDEX(A_GPU_B,1,11))</f>
        <v>18221.1666666667</v>
      </c>
      <c r="Q34" s="35" t="n">
        <f aca="false">MAX(0,Q21-INDEX(A_GPU_B,1,12))</f>
        <v>20877.1666666667</v>
      </c>
      <c r="R34" s="35" t="n">
        <f aca="false">MAX(0,R21-INDEX(A_GPU_B,1,13))</f>
        <v>51699.1666666666</v>
      </c>
      <c r="S34" s="35" t="n">
        <f aca="false">MAX(0,S21-INDEX(A_GPU_B,1,14))</f>
        <v>98659.1666666667</v>
      </c>
      <c r="T34" s="35" t="n">
        <f aca="false">MAX(0,T21-INDEX(A_GPU_B,1,15))</f>
        <v>144060.166666667</v>
      </c>
      <c r="U34" s="35" t="n">
        <f aca="false">MAX(0,U21-INDEX(A_GPU_B,1,16))</f>
        <v>171533.166666667</v>
      </c>
      <c r="V34" s="35" t="n">
        <f aca="false">MAX(0,V21-INDEX(A_GPU_B,1,17))</f>
        <v>205015.166666667</v>
      </c>
      <c r="W34" s="35" t="n">
        <f aca="false">MAX(0,W21-INDEX(A_GPU_B,1,18))</f>
        <v>205015.166666667</v>
      </c>
      <c r="X34" s="35" t="n">
        <f aca="false">MAX(0,X21-INDEX(A_GPU_B,1,19))</f>
        <v>205015.166666667</v>
      </c>
      <c r="Y34" s="35" t="n">
        <f aca="false">MAX(0,Y21-INDEX(A_GPU_B,1,20))</f>
        <v>205015.166666667</v>
      </c>
      <c r="Z34" s="35" t="n">
        <f aca="false">MAX(0,Z21-INDEX(A_GPU_B,1,21))</f>
        <v>229573.166666667</v>
      </c>
      <c r="AA34" s="35" t="n">
        <f aca="false">MAX(0,AA21-INDEX(A_GPU_B,1,22))</f>
        <v>229573.166666667</v>
      </c>
      <c r="AB34" s="35" t="n">
        <f aca="false">MAX(0,AB21-INDEX(A_GPU_B,1,23))</f>
        <v>229573.166666667</v>
      </c>
      <c r="AC34" s="35" t="n">
        <f aca="false">MAX(0,AC21-INDEX(A_GPU_B,1,24))</f>
        <v>229573.166666667</v>
      </c>
      <c r="AD34" s="35" t="n">
        <f aca="false">MAX(0,AD21-INDEX(A_GPU_B,1,25))</f>
        <v>229573.166666667</v>
      </c>
      <c r="AE34" s="35" t="n">
        <f aca="false">MAX(0,AE21-INDEX(A_GPU_B,1,26))</f>
        <v>229573.166666667</v>
      </c>
      <c r="AF34" s="35" t="n">
        <f aca="false">MAX(0,AF21-INDEX(A_GPU_B,1,27))</f>
        <v>229573.166666667</v>
      </c>
      <c r="AG34" s="35" t="n">
        <f aca="false">MAX(0,AG21-INDEX(A_GPU_B,1,28))</f>
        <v>227073.166666667</v>
      </c>
      <c r="AI34" s="35" t="n">
        <f aca="false">INDEX($F34:$AG34,1,MATCH(AI$7,$F$7:$AG$7,1))</f>
        <v>0</v>
      </c>
      <c r="AJ34" s="35" t="n">
        <f aca="false">INDEX($F34:$AG34,1,MATCH(AJ$7,$F$7:$AG$7,1))</f>
        <v>17268.0833333333</v>
      </c>
      <c r="AK34" s="35" t="n">
        <f aca="false">INDEX($F34:$AG34,1,MATCH(AK$7,$F$7:$AG$7,1))</f>
        <v>20877.1666666667</v>
      </c>
      <c r="AL34" s="35" t="n">
        <f aca="false">INDEX($F34:$AG34,1,MATCH(AL$7,$F$7:$AG$7,1))</f>
        <v>171533.166666667</v>
      </c>
      <c r="AM34" s="35" t="n">
        <f aca="false">INDEX($F34:$AG34,1,MATCH(AM$7,$F$7:$AG$7,1))</f>
        <v>205015.166666667</v>
      </c>
      <c r="AN34" s="35" t="n">
        <f aca="false">INDEX($F34:$AG34,1,MATCH(AN$7,$F$7:$AG$7,1))</f>
        <v>229573.166666667</v>
      </c>
      <c r="AO34" s="35" t="n">
        <f aca="false">INDEX($F34:$AG34,1,MATCH(AO$7,$F$7:$AG$7,1))</f>
        <v>227073.166666667</v>
      </c>
    </row>
    <row r="35" customFormat="false" ht="15" hidden="false" customHeight="false" outlineLevel="0" collapsed="false">
      <c r="A35" s="112" t="s">
        <v>2256</v>
      </c>
      <c r="B35" s="24" t="s">
        <v>956</v>
      </c>
      <c r="C35" s="24" t="s">
        <v>672</v>
      </c>
      <c r="D35" s="24" t="s">
        <v>2254</v>
      </c>
      <c r="E35" s="35" t="n">
        <f aca="false">E22</f>
        <v>0</v>
      </c>
      <c r="F35" s="116" t="n">
        <f aca="false">MAX(0,F22-INDEX(A_GPU_N,1,1))</f>
        <v>0</v>
      </c>
      <c r="G35" s="116" t="n">
        <f aca="false">MAX(0,G22-INDEX(A_GPU_N,1,2))</f>
        <v>0</v>
      </c>
      <c r="H35" s="116" t="n">
        <f aca="false">MAX(0,H22-INDEX(A_GPU_N,1,3))</f>
        <v>0</v>
      </c>
      <c r="I35" s="116" t="n">
        <f aca="false">MAX(0,I22-INDEX(A_GPU_N,1,4))</f>
        <v>0</v>
      </c>
      <c r="J35" s="116" t="n">
        <f aca="false">MAX(0,J22-INDEX(A_GPU_N,1,5))</f>
        <v>0</v>
      </c>
      <c r="K35" s="116" t="n">
        <f aca="false">MAX(0,K22-INDEX(A_GPU_N,1,6))</f>
        <v>0</v>
      </c>
      <c r="L35" s="116" t="n">
        <f aca="false">MAX(0,L22-INDEX(A_GPU_N,1,7))</f>
        <v>0</v>
      </c>
      <c r="M35" s="116" t="n">
        <f aca="false">MAX(0,M22-INDEX(A_GPU_N,1,8))</f>
        <v>0</v>
      </c>
      <c r="N35" s="116" t="n">
        <f aca="false">MAX(0,N22-INDEX(A_GPU_N,1,9))</f>
        <v>0</v>
      </c>
      <c r="O35" s="116" t="n">
        <f aca="false">MAX(0,O22-INDEX(A_GPU_N,1,10))</f>
        <v>0</v>
      </c>
      <c r="P35" s="35" t="n">
        <f aca="false">MAX(0,P22-INDEX(A_GPU_N,1,11))</f>
        <v>0</v>
      </c>
      <c r="Q35" s="35" t="n">
        <f aca="false">MAX(0,Q22-INDEX(A_GPU_N,1,12))</f>
        <v>0</v>
      </c>
      <c r="R35" s="35" t="n">
        <f aca="false">MAX(0,R22-INDEX(A_GPU_N,1,13))</f>
        <v>0</v>
      </c>
      <c r="S35" s="35" t="n">
        <f aca="false">MAX(0,S22-INDEX(A_GPU_N,1,14))</f>
        <v>3338</v>
      </c>
      <c r="T35" s="35" t="n">
        <f aca="false">MAX(0,T22-INDEX(A_GPU_N,1,15))</f>
        <v>0</v>
      </c>
      <c r="U35" s="35" t="n">
        <f aca="false">MAX(0,U22-INDEX(A_GPU_N,1,16))</f>
        <v>5911.66666666666</v>
      </c>
      <c r="V35" s="35" t="n">
        <f aca="false">MAX(0,V22-INDEX(A_GPU_N,1,17))</f>
        <v>63312.6666666667</v>
      </c>
      <c r="W35" s="35" t="n">
        <f aca="false">MAX(0,W22-INDEX(A_GPU_N,1,18))</f>
        <v>94012.6666666667</v>
      </c>
      <c r="X35" s="35" t="n">
        <f aca="false">MAX(0,X22-INDEX(A_GPU_N,1,19))</f>
        <v>146076.666666667</v>
      </c>
      <c r="Y35" s="35" t="n">
        <f aca="false">MAX(0,Y22-INDEX(A_GPU_N,1,20))</f>
        <v>150076.666666667</v>
      </c>
      <c r="Z35" s="35" t="n">
        <f aca="false">MAX(0,Z22-INDEX(A_GPU_N,1,21))</f>
        <v>243526.666666667</v>
      </c>
      <c r="AA35" s="35" t="n">
        <f aca="false">MAX(0,AA22-INDEX(A_GPU_N,1,22))</f>
        <v>243526.666666667</v>
      </c>
      <c r="AB35" s="35" t="n">
        <f aca="false">MAX(0,AB22-INDEX(A_GPU_N,1,23))</f>
        <v>355666.666666667</v>
      </c>
      <c r="AC35" s="35" t="n">
        <f aca="false">MAX(0,AC22-INDEX(A_GPU_N,1,24))</f>
        <v>355666.666666667</v>
      </c>
      <c r="AD35" s="35" t="n">
        <f aca="false">MAX(0,AD22-INDEX(A_GPU_N,1,25))</f>
        <v>511861.666666667</v>
      </c>
      <c r="AE35" s="35" t="n">
        <f aca="false">MAX(0,AE22-INDEX(A_GPU_N,1,26))</f>
        <v>511861.666666667</v>
      </c>
      <c r="AF35" s="35" t="n">
        <f aca="false">MAX(0,AF22-INDEX(A_GPU_N,1,27))</f>
        <v>511861.666666667</v>
      </c>
      <c r="AG35" s="35" t="n">
        <f aca="false">MAX(0,AG22-INDEX(A_GPU_N,1,28))</f>
        <v>511861.666666667</v>
      </c>
      <c r="AI35" s="35" t="n">
        <f aca="false">INDEX($F35:$AG35,1,MATCH(AI$7,$F$7:$AG$7,1))</f>
        <v>0</v>
      </c>
      <c r="AJ35" s="35" t="n">
        <f aca="false">INDEX($F35:$AG35,1,MATCH(AJ$7,$F$7:$AG$7,1))</f>
        <v>0</v>
      </c>
      <c r="AK35" s="35" t="n">
        <f aca="false">INDEX($F35:$AG35,1,MATCH(AK$7,$F$7:$AG$7,1))</f>
        <v>0</v>
      </c>
      <c r="AL35" s="35" t="n">
        <f aca="false">INDEX($F35:$AG35,1,MATCH(AL$7,$F$7:$AG$7,1))</f>
        <v>5911.66666666666</v>
      </c>
      <c r="AM35" s="35" t="n">
        <f aca="false">INDEX($F35:$AG35,1,MATCH(AM$7,$F$7:$AG$7,1))</f>
        <v>150076.666666667</v>
      </c>
      <c r="AN35" s="35" t="n">
        <f aca="false">INDEX($F35:$AG35,1,MATCH(AN$7,$F$7:$AG$7,1))</f>
        <v>355666.666666667</v>
      </c>
      <c r="AO35" s="35" t="n">
        <f aca="false">INDEX($F35:$AG35,1,MATCH(AO$7,$F$7:$AG$7,1))</f>
        <v>511861.666666667</v>
      </c>
    </row>
    <row r="36" customFormat="false" ht="15" hidden="false" customHeight="false" outlineLevel="0" collapsed="false">
      <c r="A36" s="112" t="s">
        <v>2257</v>
      </c>
      <c r="B36" s="24" t="s">
        <v>956</v>
      </c>
      <c r="C36" s="24" t="s">
        <v>672</v>
      </c>
      <c r="D36" s="24"/>
      <c r="F36" s="116" t="n">
        <f aca="false">AVERAGE(E33,F33)</f>
        <v>13713</v>
      </c>
      <c r="G36" s="116" t="n">
        <f aca="false">AVERAGE(F33,G33)</f>
        <v>13713</v>
      </c>
      <c r="H36" s="116" t="n">
        <f aca="false">AVERAGE(G33,H33)</f>
        <v>13713</v>
      </c>
      <c r="I36" s="116" t="n">
        <f aca="false">AVERAGE(H33,I33)</f>
        <v>15084.5</v>
      </c>
      <c r="J36" s="116" t="n">
        <f aca="false">AVERAGE(I33,J33)</f>
        <v>23228</v>
      </c>
      <c r="K36" s="116" t="n">
        <f aca="false">AVERAGE(J33,K33)</f>
        <v>30000</v>
      </c>
      <c r="L36" s="116" t="n">
        <f aca="false">AVERAGE(K33,L33)</f>
        <v>30000</v>
      </c>
      <c r="M36" s="116" t="n">
        <f aca="false">AVERAGE(L33,M33)</f>
        <v>30000</v>
      </c>
      <c r="N36" s="116" t="n">
        <f aca="false">AVERAGE(M33,N33)</f>
        <v>30000</v>
      </c>
      <c r="O36" s="116" t="n">
        <f aca="false">AVERAGE(N33,O33)</f>
        <v>30000</v>
      </c>
      <c r="P36" s="35" t="n">
        <f aca="false">AVERAGE(O33,P33)</f>
        <v>30000</v>
      </c>
      <c r="Q36" s="35" t="n">
        <f aca="false">AVERAGE(P33,Q33)</f>
        <v>30000</v>
      </c>
      <c r="R36" s="35" t="n">
        <f aca="false">AVERAGE(Q33,R33)</f>
        <v>30000</v>
      </c>
      <c r="S36" s="35" t="n">
        <f aca="false">AVERAGE(R33,S33)</f>
        <v>30000</v>
      </c>
      <c r="T36" s="35" t="n">
        <f aca="false">AVERAGE(S33,T33)</f>
        <v>30000</v>
      </c>
      <c r="U36" s="35" t="n">
        <f aca="false">AVERAGE(T33,U33)</f>
        <v>30000</v>
      </c>
      <c r="V36" s="35" t="n">
        <f aca="false">AVERAGE(U33,V33)</f>
        <v>30000</v>
      </c>
      <c r="W36" s="35" t="n">
        <f aca="false">AVERAGE(V33,W33)</f>
        <v>30000</v>
      </c>
      <c r="X36" s="35" t="n">
        <f aca="false">AVERAGE(W33,X33)</f>
        <v>30000</v>
      </c>
      <c r="Y36" s="35" t="n">
        <f aca="false">AVERAGE(X33,Y33)</f>
        <v>30000</v>
      </c>
      <c r="Z36" s="35" t="n">
        <f aca="false">AVERAGE(Y33,Z33)</f>
        <v>30000</v>
      </c>
      <c r="AA36" s="35" t="n">
        <f aca="false">AVERAGE(Z33,AA33)</f>
        <v>30000</v>
      </c>
      <c r="AB36" s="35" t="n">
        <f aca="false">AVERAGE(AA33,AB33)</f>
        <v>30000</v>
      </c>
      <c r="AC36" s="35" t="n">
        <f aca="false">AVERAGE(AB33,AC33)</f>
        <v>30000</v>
      </c>
      <c r="AD36" s="35" t="n">
        <f aca="false">AVERAGE(AC33,AD33)</f>
        <v>30000</v>
      </c>
      <c r="AE36" s="35" t="n">
        <f aca="false">AVERAGE(AD33,AE33)</f>
        <v>30000</v>
      </c>
      <c r="AF36" s="35" t="n">
        <f aca="false">AVERAGE(AE33,AF33)</f>
        <v>30000</v>
      </c>
      <c r="AG36" s="35" t="n">
        <f aca="false">AVERAGE(AF33,AG33)</f>
        <v>30000</v>
      </c>
      <c r="AI36" s="35" t="n">
        <f aca="false">AVERAGEIF($F$7:$AG$7,AI$7,$F36:$AG36)</f>
        <v>14055.875</v>
      </c>
      <c r="AJ36" s="35" t="n">
        <f aca="false">AVERAGEIF($F$7:$AG$7,AJ$7,$F36:$AG36)</f>
        <v>28307</v>
      </c>
      <c r="AK36" s="35" t="n">
        <f aca="false">AVERAGEIF($F$7:$AG$7,AK$7,$F36:$AG36)</f>
        <v>30000</v>
      </c>
      <c r="AL36" s="35" t="n">
        <f aca="false">AVERAGEIF($F$7:$AG$7,AL$7,$F36:$AG36)</f>
        <v>30000</v>
      </c>
      <c r="AM36" s="35" t="n">
        <f aca="false">AVERAGEIF($F$7:$AG$7,AM$7,$F36:$AG36)</f>
        <v>30000</v>
      </c>
      <c r="AN36" s="35" t="n">
        <f aca="false">AVERAGEIF($F$7:$AG$7,AN$7,$F36:$AG36)</f>
        <v>30000</v>
      </c>
      <c r="AO36" s="35" t="n">
        <f aca="false">AVERAGEIF($F$7:$AG$7,AO$7,$F36:$AG36)</f>
        <v>30000</v>
      </c>
    </row>
    <row r="37" customFormat="false" ht="15" hidden="false" customHeight="false" outlineLevel="0" collapsed="false">
      <c r="A37" s="112" t="s">
        <v>2258</v>
      </c>
      <c r="B37" s="24" t="s">
        <v>956</v>
      </c>
      <c r="C37" s="24" t="s">
        <v>672</v>
      </c>
      <c r="D37" s="24"/>
      <c r="F37" s="116" t="n">
        <f aca="false">AVERAGE(E34,F34)</f>
        <v>0</v>
      </c>
      <c r="G37" s="116" t="n">
        <f aca="false">AVERAGE(F34,G34)</f>
        <v>0</v>
      </c>
      <c r="H37" s="116" t="n">
        <f aca="false">AVERAGE(G34,H34)</f>
        <v>0</v>
      </c>
      <c r="I37" s="116" t="n">
        <f aca="false">AVERAGE(H34,I34)</f>
        <v>0</v>
      </c>
      <c r="J37" s="116" t="n">
        <f aca="false">AVERAGE(I34,J34)</f>
        <v>0</v>
      </c>
      <c r="K37" s="116" t="n">
        <f aca="false">AVERAGE(J34,K34)</f>
        <v>0</v>
      </c>
      <c r="L37" s="116" t="n">
        <f aca="false">AVERAGE(K34,L34)</f>
        <v>2558</v>
      </c>
      <c r="M37" s="116" t="n">
        <f aca="false">AVERAGE(L34,M34)</f>
        <v>11192.0416666667</v>
      </c>
      <c r="N37" s="116" t="n">
        <f aca="false">AVERAGE(M34,N34)</f>
        <v>15704.625</v>
      </c>
      <c r="O37" s="116" t="n">
        <f aca="false">AVERAGE(N34,O34)</f>
        <v>16181.1666666667</v>
      </c>
      <c r="P37" s="35" t="n">
        <f aca="false">AVERAGE(O34,P34)</f>
        <v>18221.1666666667</v>
      </c>
      <c r="Q37" s="35" t="n">
        <f aca="false">AVERAGE(P34,Q34)</f>
        <v>19549.1666666667</v>
      </c>
      <c r="R37" s="35" t="n">
        <f aca="false">AVERAGE(Q34,R34)</f>
        <v>36288.1666666667</v>
      </c>
      <c r="S37" s="35" t="n">
        <f aca="false">AVERAGE(R34,S34)</f>
        <v>75179.1666666667</v>
      </c>
      <c r="T37" s="35" t="n">
        <f aca="false">AVERAGE(S34,T34)</f>
        <v>121359.666666667</v>
      </c>
      <c r="U37" s="35" t="n">
        <f aca="false">AVERAGE(T34,U34)</f>
        <v>157796.666666667</v>
      </c>
      <c r="V37" s="35" t="n">
        <f aca="false">AVERAGE(U34,V34)</f>
        <v>188274.166666667</v>
      </c>
      <c r="W37" s="35" t="n">
        <f aca="false">AVERAGE(V34,W34)</f>
        <v>205015.166666667</v>
      </c>
      <c r="X37" s="35" t="n">
        <f aca="false">AVERAGE(W34,X34)</f>
        <v>205015.166666667</v>
      </c>
      <c r="Y37" s="35" t="n">
        <f aca="false">AVERAGE(X34,Y34)</f>
        <v>205015.166666667</v>
      </c>
      <c r="Z37" s="35" t="n">
        <f aca="false">AVERAGE(Y34,Z34)</f>
        <v>217294.166666667</v>
      </c>
      <c r="AA37" s="35" t="n">
        <f aca="false">AVERAGE(Z34,AA34)</f>
        <v>229573.166666667</v>
      </c>
      <c r="AB37" s="35" t="n">
        <f aca="false">AVERAGE(AA34,AB34)</f>
        <v>229573.166666667</v>
      </c>
      <c r="AC37" s="35" t="n">
        <f aca="false">AVERAGE(AB34,AC34)</f>
        <v>229573.166666667</v>
      </c>
      <c r="AD37" s="35" t="n">
        <f aca="false">AVERAGE(AC34,AD34)</f>
        <v>229573.166666667</v>
      </c>
      <c r="AE37" s="35" t="n">
        <f aca="false">AVERAGE(AD34,AE34)</f>
        <v>229573.166666667</v>
      </c>
      <c r="AF37" s="35" t="n">
        <f aca="false">AVERAGE(AE34,AF34)</f>
        <v>229573.166666667</v>
      </c>
      <c r="AG37" s="35" t="n">
        <f aca="false">AVERAGE(AF34,AG34)</f>
        <v>228323.166666667</v>
      </c>
      <c r="AI37" s="35" t="n">
        <f aca="false">AVERAGEIF($F$7:$AG$7,AI$7,$F37:$AG37)</f>
        <v>0</v>
      </c>
      <c r="AJ37" s="35" t="n">
        <f aca="false">AVERAGEIF($F$7:$AG$7,AJ$7,$F37:$AG37)</f>
        <v>3437.51041666667</v>
      </c>
      <c r="AK37" s="35" t="n">
        <f aca="false">AVERAGEIF($F$7:$AG$7,AK$7,$F37:$AG37)</f>
        <v>17414.03125</v>
      </c>
      <c r="AL37" s="35" t="n">
        <f aca="false">AVERAGEIF($F$7:$AG$7,AL$7,$F37:$AG37)</f>
        <v>97655.9166666667</v>
      </c>
      <c r="AM37" s="35" t="n">
        <f aca="false">AVERAGEIF($F$7:$AG$7,AM$7,$F37:$AG37)</f>
        <v>200829.916666667</v>
      </c>
      <c r="AN37" s="35" t="n">
        <f aca="false">AVERAGEIF($F$7:$AG$7,AN$7,$F37:$AG37)</f>
        <v>226503.416666667</v>
      </c>
      <c r="AO37" s="35" t="n">
        <f aca="false">AVERAGEIF($F$7:$AG$7,AO$7,$F37:$AG37)</f>
        <v>229260.666666667</v>
      </c>
    </row>
    <row r="38" customFormat="false" ht="15" hidden="false" customHeight="false" outlineLevel="0" collapsed="false">
      <c r="A38" s="112" t="s">
        <v>2259</v>
      </c>
      <c r="B38" s="24" t="s">
        <v>956</v>
      </c>
      <c r="C38" s="24" t="s">
        <v>672</v>
      </c>
      <c r="D38" s="24"/>
      <c r="F38" s="116" t="n">
        <f aca="false">AVERAGE(E35,F35)</f>
        <v>0</v>
      </c>
      <c r="G38" s="116" t="n">
        <f aca="false">AVERAGE(F35,G35)</f>
        <v>0</v>
      </c>
      <c r="H38" s="116" t="n">
        <f aca="false">AVERAGE(G35,H35)</f>
        <v>0</v>
      </c>
      <c r="I38" s="116" t="n">
        <f aca="false">AVERAGE(H35,I35)</f>
        <v>0</v>
      </c>
      <c r="J38" s="116" t="n">
        <f aca="false">AVERAGE(I35,J35)</f>
        <v>0</v>
      </c>
      <c r="K38" s="116" t="n">
        <f aca="false">AVERAGE(J35,K35)</f>
        <v>0</v>
      </c>
      <c r="L38" s="116" t="n">
        <f aca="false">AVERAGE(K35,L35)</f>
        <v>0</v>
      </c>
      <c r="M38" s="116" t="n">
        <f aca="false">AVERAGE(L35,M35)</f>
        <v>0</v>
      </c>
      <c r="N38" s="116" t="n">
        <f aca="false">AVERAGE(M35,N35)</f>
        <v>0</v>
      </c>
      <c r="O38" s="116" t="n">
        <f aca="false">AVERAGE(N35,O35)</f>
        <v>0</v>
      </c>
      <c r="P38" s="35" t="n">
        <f aca="false">AVERAGE(O35,P35)</f>
        <v>0</v>
      </c>
      <c r="Q38" s="35" t="n">
        <f aca="false">AVERAGE(P35,Q35)</f>
        <v>0</v>
      </c>
      <c r="R38" s="35" t="n">
        <f aca="false">AVERAGE(Q35,R35)</f>
        <v>0</v>
      </c>
      <c r="S38" s="35" t="n">
        <f aca="false">AVERAGE(R35,S35)</f>
        <v>1669</v>
      </c>
      <c r="T38" s="35" t="n">
        <f aca="false">AVERAGE(S35,T35)</f>
        <v>1669</v>
      </c>
      <c r="U38" s="35" t="n">
        <f aca="false">AVERAGE(T35,U35)</f>
        <v>2955.83333333333</v>
      </c>
      <c r="V38" s="35" t="n">
        <f aca="false">AVERAGE(U35,V35)</f>
        <v>34612.1666666667</v>
      </c>
      <c r="W38" s="35" t="n">
        <f aca="false">AVERAGE(V35,W35)</f>
        <v>78662.6666666667</v>
      </c>
      <c r="X38" s="35" t="n">
        <f aca="false">AVERAGE(W35,X35)</f>
        <v>120044.666666667</v>
      </c>
      <c r="Y38" s="35" t="n">
        <f aca="false">AVERAGE(X35,Y35)</f>
        <v>148076.666666667</v>
      </c>
      <c r="Z38" s="35" t="n">
        <f aca="false">AVERAGE(Y35,Z35)</f>
        <v>196801.666666667</v>
      </c>
      <c r="AA38" s="35" t="n">
        <f aca="false">AVERAGE(Z35,AA35)</f>
        <v>243526.666666667</v>
      </c>
      <c r="AB38" s="35" t="n">
        <f aca="false">AVERAGE(AA35,AB35)</f>
        <v>299596.666666667</v>
      </c>
      <c r="AC38" s="35" t="n">
        <f aca="false">AVERAGE(AB35,AC35)</f>
        <v>355666.666666667</v>
      </c>
      <c r="AD38" s="35" t="n">
        <f aca="false">AVERAGE(AC35,AD35)</f>
        <v>433764.166666667</v>
      </c>
      <c r="AE38" s="35" t="n">
        <f aca="false">AVERAGE(AD35,AE35)</f>
        <v>511861.666666667</v>
      </c>
      <c r="AF38" s="35" t="n">
        <f aca="false">AVERAGE(AE35,AF35)</f>
        <v>511861.666666667</v>
      </c>
      <c r="AG38" s="35" t="n">
        <f aca="false">AVERAGE(AF35,AG35)</f>
        <v>511861.666666667</v>
      </c>
      <c r="AI38" s="35" t="n">
        <f aca="false">AVERAGEIF($F$7:$AG$7,AI$7,$F38:$AG38)</f>
        <v>0</v>
      </c>
      <c r="AJ38" s="35" t="n">
        <f aca="false">AVERAGEIF($F$7:$AG$7,AJ$7,$F38:$AG38)</f>
        <v>0</v>
      </c>
      <c r="AK38" s="35" t="n">
        <f aca="false">AVERAGEIF($F$7:$AG$7,AK$7,$F38:$AG38)</f>
        <v>0</v>
      </c>
      <c r="AL38" s="35" t="n">
        <f aca="false">AVERAGEIF($F$7:$AG$7,AL$7,$F38:$AG38)</f>
        <v>1573.45833333333</v>
      </c>
      <c r="AM38" s="35" t="n">
        <f aca="false">AVERAGEIF($F$7:$AG$7,AM$7,$F38:$AG38)</f>
        <v>95349.0416666667</v>
      </c>
      <c r="AN38" s="35" t="n">
        <f aca="false">AVERAGEIF($F$7:$AG$7,AN$7,$F38:$AG38)</f>
        <v>273897.916666667</v>
      </c>
      <c r="AO38" s="35" t="n">
        <f aca="false">AVERAGEIF($F$7:$AG$7,AO$7,$F38:$AG38)</f>
        <v>492337.291666667</v>
      </c>
    </row>
    <row r="39" customFormat="false" ht="15" hidden="false" customHeight="false" outlineLevel="0" collapsed="false">
      <c r="A39" s="112" t="s">
        <v>2260</v>
      </c>
      <c r="B39" s="24" t="s">
        <v>857</v>
      </c>
      <c r="C39" s="24" t="s">
        <v>672</v>
      </c>
      <c r="D39" s="24"/>
      <c r="F39" s="116" t="n">
        <f aca="false">MAX(0,F27+F28-F11)</f>
        <v>0</v>
      </c>
      <c r="G39" s="116" t="n">
        <f aca="false">MAX(0,G27+G28-G11)</f>
        <v>0</v>
      </c>
      <c r="H39" s="116" t="n">
        <f aca="false">MAX(0,H27+H28-H11)</f>
        <v>0</v>
      </c>
      <c r="I39" s="116" t="n">
        <f aca="false">MAX(0,I27+I28-I11)</f>
        <v>0</v>
      </c>
      <c r="J39" s="116" t="n">
        <f aca="false">MAX(0,J27+J28-J11)</f>
        <v>0</v>
      </c>
      <c r="K39" s="116" t="n">
        <f aca="false">MAX(0,K27+K28-K11)</f>
        <v>0</v>
      </c>
      <c r="L39" s="116" t="n">
        <f aca="false">MAX(0,L27+L28-L11)</f>
        <v>0</v>
      </c>
      <c r="M39" s="116" t="n">
        <f aca="false">MAX(0,M27+M28-M11)</f>
        <v>0</v>
      </c>
      <c r="N39" s="116" t="n">
        <f aca="false">MAX(0,N27+N28-N11)</f>
        <v>0</v>
      </c>
      <c r="O39" s="116" t="n">
        <f aca="false">MAX(0,O27+O28-O11)</f>
        <v>0</v>
      </c>
      <c r="P39" s="35" t="n">
        <f aca="false">MAX(0,P27+P28-P11)</f>
        <v>0</v>
      </c>
      <c r="Q39" s="35" t="n">
        <f aca="false">MAX(0,Q27+Q28-Q11)</f>
        <v>0</v>
      </c>
      <c r="R39" s="35" t="n">
        <f aca="false">MAX(0,R27+R28-R11)</f>
        <v>0</v>
      </c>
      <c r="S39" s="35" t="n">
        <f aca="false">MAX(0,S27+S28-S11)</f>
        <v>0</v>
      </c>
      <c r="T39" s="35" t="n">
        <f aca="false">MAX(0,T27+T28-T11)</f>
        <v>0</v>
      </c>
      <c r="U39" s="35" t="n">
        <f aca="false">MAX(0,U27+U28-U11)</f>
        <v>0</v>
      </c>
      <c r="V39" s="35" t="n">
        <f aca="false">MAX(0,V27+V28-V11)</f>
        <v>0</v>
      </c>
      <c r="W39" s="35" t="n">
        <f aca="false">MAX(0,W27+W28-W11)</f>
        <v>0</v>
      </c>
      <c r="X39" s="35" t="n">
        <f aca="false">MAX(0,X27+X28-X11)</f>
        <v>0</v>
      </c>
      <c r="Y39" s="35" t="n">
        <f aca="false">MAX(0,Y27+Y28-Y11)</f>
        <v>0</v>
      </c>
      <c r="Z39" s="35" t="n">
        <f aca="false">MAX(0,Z27+Z28-Z11)</f>
        <v>0</v>
      </c>
      <c r="AA39" s="35" t="n">
        <f aca="false">MAX(0,AA27+AA28-AA11)</f>
        <v>0</v>
      </c>
      <c r="AB39" s="35" t="n">
        <f aca="false">MAX(0,AB27+AB28-AB11)</f>
        <v>0</v>
      </c>
      <c r="AC39" s="35" t="n">
        <f aca="false">MAX(0,AC27+AC28-AC11)</f>
        <v>0</v>
      </c>
      <c r="AD39" s="35" t="n">
        <f aca="false">MAX(0,AD27+AD28-AD11)</f>
        <v>0</v>
      </c>
      <c r="AE39" s="35" t="n">
        <f aca="false">MAX(0,AE27+AE28-AE11)</f>
        <v>0</v>
      </c>
      <c r="AF39" s="35" t="n">
        <f aca="false">MAX(0,AF27+AF28-AF11)</f>
        <v>0</v>
      </c>
      <c r="AG39" s="35" t="n">
        <f aca="false">MAX(0,AG27+AG28-AG11)</f>
        <v>0</v>
      </c>
      <c r="AI39" s="35" t="n">
        <f aca="false">INDEX($F39:$AG39,1,MATCH(AI$7,$F$7:$AG$7,1))</f>
        <v>0</v>
      </c>
      <c r="AJ39" s="35" t="n">
        <f aca="false">INDEX($F39:$AG39,1,MATCH(AJ$7,$F$7:$AG$7,1))</f>
        <v>0</v>
      </c>
      <c r="AK39" s="35" t="n">
        <f aca="false">INDEX($F39:$AG39,1,MATCH(AK$7,$F$7:$AG$7,1))</f>
        <v>0</v>
      </c>
      <c r="AL39" s="35" t="n">
        <f aca="false">INDEX($F39:$AG39,1,MATCH(AL$7,$F$7:$AG$7,1))</f>
        <v>0</v>
      </c>
      <c r="AM39" s="35" t="n">
        <f aca="false">INDEX($F39:$AG39,1,MATCH(AM$7,$F$7:$AG$7,1))</f>
        <v>0</v>
      </c>
      <c r="AN39" s="35" t="n">
        <f aca="false">INDEX($F39:$AG39,1,MATCH(AN$7,$F$7:$AG$7,1))</f>
        <v>0</v>
      </c>
      <c r="AO39" s="35" t="n">
        <f aca="false">INDEX($F39:$AG39,1,MATCH(AO$7,$F$7:$AG$7,1))</f>
        <v>0</v>
      </c>
    </row>
    <row r="41" customFormat="false" ht="15" hidden="false" customHeight="false" outlineLevel="0" collapsed="false">
      <c r="A41" s="64" t="s">
        <v>2261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</row>
    <row r="42" customFormat="false" ht="15" hidden="false" customHeight="false" outlineLevel="0" collapsed="false">
      <c r="A42" s="112" t="s">
        <v>2262</v>
      </c>
      <c r="B42" s="24" t="s">
        <v>745</v>
      </c>
      <c r="C42" s="24" t="s">
        <v>672</v>
      </c>
      <c r="D42" s="24" t="s">
        <v>2263</v>
      </c>
      <c r="F42" s="130" t="n">
        <f aca="false">F36*Timeline!F$9*INDEX(ResSh,1,F$7-FYBase)*INDEX(P_RES_H,1,1)/1000000</f>
        <v>71.024508828</v>
      </c>
      <c r="G42" s="130" t="n">
        <f aca="false">G36*Timeline!G$9*INDEX(ResSh,1,G$7-FYBase)*INDEX(P_RES_H,1,2)/1000000</f>
        <v>71.024508828</v>
      </c>
      <c r="H42" s="130" t="n">
        <f aca="false">H36*Timeline!H$9*INDEX(ResSh,1,H$7-FYBase)*INDEX(P_RES_H,1,3)/1000000</f>
        <v>71.804997936</v>
      </c>
      <c r="I42" s="130" t="n">
        <f aca="false">I36*Timeline!I$9*INDEX(ResSh,1,I$7-FYBase)*INDEX(P_RES_H,1,4)/1000000</f>
        <v>78.986544984</v>
      </c>
      <c r="J42" s="130" t="n">
        <f aca="false">J36*Timeline!J$9*INDEX(ResSh,1,J$7-FYBase)*INDEX(P_RES_H,1,5)/1000000</f>
        <v>123.183472896</v>
      </c>
      <c r="K42" s="130" t="n">
        <f aca="false">K36*Timeline!K$9*INDEX(ResSh,1,K$7-FYBase)*INDEX(P_RES_H,1,6)/1000000</f>
        <v>160.864704</v>
      </c>
      <c r="L42" s="130" t="n">
        <f aca="false">L36*Timeline!L$9*INDEX(ResSh,1,L$7-FYBase)*INDEX(P_RES_H,1,7)/1000000</f>
        <v>162.632448</v>
      </c>
      <c r="M42" s="130" t="n">
        <f aca="false">M36*Timeline!M$9*INDEX(ResSh,1,M$7-FYBase)*INDEX(P_RES_H,1,8)/1000000</f>
        <v>162.632448</v>
      </c>
      <c r="N42" s="130" t="n">
        <f aca="false">N36*Timeline!N$9*INDEX(ResSh,1,N$7-FYBase)*INDEX(P_RES_H,1,9)/1000000</f>
        <v>162.7128</v>
      </c>
      <c r="O42" s="130" t="n">
        <f aca="false">O36*Timeline!O$9*INDEX(ResSh,1,O$7-FYBase)*INDEX(P_RES_H,1,10)/1000000</f>
        <v>164.52072</v>
      </c>
      <c r="P42" s="131" t="n">
        <f aca="false">P36*Timeline!P$9*INDEX(ResSh,1,P$7-FYBase)*INDEX(P_RES_H,1,11)/1000000</f>
        <v>167.938272</v>
      </c>
      <c r="Q42" s="131" t="n">
        <f aca="false">Q36*Timeline!Q$9*INDEX(ResSh,1,Q$7-FYBase)*INDEX(P_RES_H,1,12)/1000000</f>
        <v>177.864336</v>
      </c>
      <c r="R42" s="131" t="n">
        <f aca="false">R36*Timeline!R$9*INDEX(ResSh,1,R$7-FYBase)*INDEX(P_RES_H,1,13)/1000000</f>
        <v>176.536780562041</v>
      </c>
      <c r="S42" s="131" t="n">
        <f aca="false">S36*Timeline!S$9*INDEX(ResSh,1,S$7-FYBase)*INDEX(P_RES_H,1,14)/1000000</f>
        <v>179.140232984773</v>
      </c>
      <c r="T42" s="131" t="n">
        <f aca="false">T36*Timeline!T$9*INDEX(ResSh,1,T$7-FYBase)*INDEX(P_RES_H,1,15)/1000000</f>
        <v>179.929223761457</v>
      </c>
      <c r="U42" s="131" t="n">
        <f aca="false">U36*Timeline!U$9*INDEX(ResSh,1,U$7-FYBase)*INDEX(P_RES_H,1,16)/1000000</f>
        <v>177.0326928</v>
      </c>
      <c r="V42" s="131" t="n">
        <f aca="false">V36*Timeline!V$9*INDEX(ResSh,1,V$7-FYBase)*INDEX(P_RES_H,1,17)/1000000</f>
        <v>170.649576519693</v>
      </c>
      <c r="W42" s="131" t="n">
        <f aca="false">W36*Timeline!W$9*INDEX(ResSh,1,W$7-FYBase)*INDEX(P_RES_H,1,18)/1000000</f>
        <v>164.695784074114</v>
      </c>
      <c r="X42" s="131" t="n">
        <f aca="false">X36*Timeline!X$9*INDEX(ResSh,1,X$7-FYBase)*INDEX(P_RES_H,1,19)/1000000</f>
        <v>159.876137915582</v>
      </c>
      <c r="Y42" s="131" t="n">
        <f aca="false">Y36*Timeline!Y$9*INDEX(ResSh,1,Y$7-FYBase)*INDEX(P_RES_H,1,20)/1000000</f>
        <v>153.51060384</v>
      </c>
      <c r="Z42" s="131" t="n">
        <f aca="false">Z36*Timeline!Z$9*INDEX(ResSh,1,Z$7-FYBase)*INDEX(P_RES_H,1,21)/1000000</f>
        <v>144.194200549532</v>
      </c>
      <c r="AA42" s="131" t="n">
        <f aca="false">AA36*Timeline!AA$9*INDEX(ResSh,1,AA$7-FYBase)*INDEX(P_RES_H,1,22)/1000000</f>
        <v>139.991416462997</v>
      </c>
      <c r="AB42" s="131" t="n">
        <f aca="false">AB36*Timeline!AB$9*INDEX(ResSh,1,AB$7-FYBase)*INDEX(P_RES_H,1,23)/1000000</f>
        <v>135.894717228244</v>
      </c>
      <c r="AC42" s="131" t="n">
        <f aca="false">AC36*Timeline!AC$9*INDEX(ResSh,1,AC$7-FYBase)*INDEX(P_RES_H,1,24)/1000000</f>
        <v>130.484013264</v>
      </c>
      <c r="AD42" s="131" t="n">
        <f aca="false">AD36*Timeline!AD$9*INDEX(ResSh,1,AD$7-FYBase)*INDEX(P_RES_H,1,25)/1000000</f>
        <v>122.565070467102</v>
      </c>
      <c r="AE42" s="131" t="n">
        <f aca="false">AE36*Timeline!AE$9*INDEX(ResSh,1,AE$7-FYBase)*INDEX(P_RES_H,1,26)/1000000</f>
        <v>118.992703993547</v>
      </c>
      <c r="AF42" s="131" t="n">
        <f aca="false">AF36*Timeline!AF$9*INDEX(ResSh,1,AF$7-FYBase)*INDEX(P_RES_H,1,27)/1000000</f>
        <v>115.510509644008</v>
      </c>
      <c r="AG42" s="131" t="n">
        <f aca="false">AG36*Timeline!AG$9*INDEX(ResSh,1,AG$7-FYBase)*INDEX(P_RES_H,1,28)/1000000</f>
        <v>110.9114112744</v>
      </c>
      <c r="AI42" s="131" t="n">
        <f aca="false">SUMIF($F$7:$AG$7,AI$7,$F42:$AG42)</f>
        <v>292.840560576</v>
      </c>
      <c r="AJ42" s="131" t="n">
        <f aca="false">SUMIF($F$7:$AG$7,AJ$7,$F42:$AG42)</f>
        <v>609.313072896</v>
      </c>
      <c r="AK42" s="131" t="n">
        <f aca="false">SUMIF($F$7:$AG$7,AK$7,$F42:$AG42)</f>
        <v>673.036128</v>
      </c>
      <c r="AL42" s="131" t="n">
        <f aca="false">SUMIF($F$7:$AG$7,AL$7,$F42:$AG42)</f>
        <v>712.638930108271</v>
      </c>
      <c r="AM42" s="131" t="n">
        <f aca="false">SUMIF($F$7:$AG$7,AM$7,$F42:$AG42)</f>
        <v>648.732102349388</v>
      </c>
      <c r="AN42" s="131" t="n">
        <f aca="false">SUMIF($F$7:$AG$7,AN$7,$F42:$AG42)</f>
        <v>550.564347504773</v>
      </c>
      <c r="AO42" s="131" t="n">
        <f aca="false">SUMIF($F$7:$AG$7,AO$7,$F42:$AG42)</f>
        <v>467.979695379057</v>
      </c>
    </row>
    <row r="43" customFormat="false" ht="15" hidden="false" customHeight="false" outlineLevel="0" collapsed="false">
      <c r="A43" s="112" t="s">
        <v>2264</v>
      </c>
      <c r="B43" s="24" t="s">
        <v>745</v>
      </c>
      <c r="C43" s="24" t="s">
        <v>672</v>
      </c>
      <c r="D43" s="24" t="s">
        <v>2263</v>
      </c>
      <c r="F43" s="130" t="n">
        <f aca="false">F37*Timeline!F$9*INDEX(ResSh,1,F$7-FYBase)*INDEX(P_RES_B,1,1)/1000000</f>
        <v>0</v>
      </c>
      <c r="G43" s="130" t="n">
        <f aca="false">G37*Timeline!G$9*INDEX(ResSh,1,G$7-FYBase)*INDEX(P_RES_B,1,2)/1000000</f>
        <v>0</v>
      </c>
      <c r="H43" s="130" t="n">
        <f aca="false">H37*Timeline!H$9*INDEX(ResSh,1,H$7-FYBase)*INDEX(P_RES_B,1,3)/1000000</f>
        <v>0</v>
      </c>
      <c r="I43" s="130" t="n">
        <f aca="false">I37*Timeline!I$9*INDEX(ResSh,1,I$7-FYBase)*INDEX(P_RES_B,1,4)/1000000</f>
        <v>0</v>
      </c>
      <c r="J43" s="130" t="n">
        <f aca="false">J37*Timeline!J$9*INDEX(ResSh,1,J$7-FYBase)*INDEX(P_RES_B,1,5)/1000000</f>
        <v>0</v>
      </c>
      <c r="K43" s="130" t="n">
        <f aca="false">K37*Timeline!K$9*INDEX(ResSh,1,K$7-FYBase)*INDEX(P_RES_B,1,6)/1000000</f>
        <v>0</v>
      </c>
      <c r="L43" s="130" t="n">
        <f aca="false">L37*Timeline!L$9*INDEX(ResSh,1,L$7-FYBase)*INDEX(P_RES_B,1,7)/1000000</f>
        <v>30.5559900923904</v>
      </c>
      <c r="M43" s="130" t="n">
        <f aca="false">M37*Timeline!M$9*INDEX(ResSh,1,M$7-FYBase)*INDEX(P_RES_B,1,8)/1000000</f>
        <v>133.691913323021</v>
      </c>
      <c r="N43" s="130" t="n">
        <f aca="false">N37*Timeline!N$9*INDEX(ResSh,1,N$7-FYBase)*INDEX(P_RES_B,1,9)/1000000</f>
        <v>187.68860672652</v>
      </c>
      <c r="O43" s="130" t="n">
        <f aca="false">O37*Timeline!O$9*INDEX(ResSh,1,O$7-FYBase)*INDEX(P_RES_B,1,10)/1000000</f>
        <v>195.532545381264</v>
      </c>
      <c r="P43" s="131" t="n">
        <f aca="false">P37*Timeline!P$9*INDEX(ResSh,1,P$7-FYBase)*INDEX(P_RES_B,1,11)/1000000</f>
        <v>222.603423006528</v>
      </c>
      <c r="Q43" s="131" t="n">
        <f aca="false">Q37*Timeline!Q$9*INDEX(ResSh,1,Q$7-FYBase)*INDEX(P_RES_B,1,12)/1000000</f>
        <v>253.612990372176</v>
      </c>
      <c r="R43" s="131" t="n">
        <f aca="false">R37*Timeline!R$9*INDEX(ResSh,1,R$7-FYBase)*INDEX(P_RES_B,1,13)/1000000</f>
        <v>475.169362896663</v>
      </c>
      <c r="S43" s="131" t="n">
        <f aca="false">S37*Timeline!S$9*INDEX(ResSh,1,S$7-FYBase)*INDEX(P_RES_B,1,14)/1000000</f>
        <v>966.812081027739</v>
      </c>
      <c r="T43" s="131" t="n">
        <f aca="false">T37*Timeline!T$9*INDEX(ResSh,1,T$7-FYBase)*INDEX(P_RES_B,1,15)/1000000</f>
        <v>1492.09598736998</v>
      </c>
      <c r="U43" s="131" t="n">
        <f aca="false">U37*Timeline!U$9*INDEX(ResSh,1,U$7-FYBase)*INDEX(P_RES_B,1,16)/1000000</f>
        <v>1816.29290041102</v>
      </c>
      <c r="V43" s="131" t="n">
        <f aca="false">V37*Timeline!V$9*INDEX(ResSh,1,V$7-FYBase)*INDEX(P_RES_B,1,17)/1000000</f>
        <v>2141.2719726168</v>
      </c>
      <c r="W43" s="131" t="n">
        <f aca="false">W37*Timeline!W$9*INDEX(ResSh,1,W$7-FYBase)*INDEX(P_RES_B,1,18)/1000000</f>
        <v>2294.12219994753</v>
      </c>
      <c r="X43" s="131" t="n">
        <f aca="false">X37*Timeline!X$9*INDEX(ResSh,1,X$7-FYBase)*INDEX(P_RES_B,1,19)/1000000</f>
        <v>2283.73099369889</v>
      </c>
      <c r="Y43" s="131" t="n">
        <f aca="false">Y37*Timeline!Y$9*INDEX(ResSh,1,Y$7-FYBase)*INDEX(P_RES_B,1,20)/1000000</f>
        <v>2248.67612764974</v>
      </c>
      <c r="Z43" s="131" t="n">
        <f aca="false">Z37*Timeline!Z$9*INDEX(ResSh,1,Z$7-FYBase)*INDEX(P_RES_B,1,21)/1000000</f>
        <v>2295.75549219757</v>
      </c>
      <c r="AA43" s="131" t="n">
        <f aca="false">AA37*Timeline!AA$9*INDEX(ResSh,1,AA$7-FYBase)*INDEX(P_RES_B,1,22)/1000000</f>
        <v>2414.79092655349</v>
      </c>
      <c r="AB43" s="131" t="n">
        <f aca="false">AB37*Timeline!AB$9*INDEX(ResSh,1,AB$7-FYBase)*INDEX(P_RES_B,1,23)/1000000</f>
        <v>2403.85315237314</v>
      </c>
      <c r="AC43" s="131" t="n">
        <f aca="false">AC37*Timeline!AC$9*INDEX(ResSh,1,AC$7-FYBase)*INDEX(P_RES_B,1,24)/1000000</f>
        <v>2366.9544324754</v>
      </c>
      <c r="AD43" s="131" t="n">
        <f aca="false">AD37*Timeline!AD$9*INDEX(ResSh,1,AD$7-FYBase)*INDEX(P_RES_B,1,25)/1000000</f>
        <v>2279.95640353292</v>
      </c>
      <c r="AE43" s="131" t="n">
        <f aca="false">AE37*Timeline!AE$9*INDEX(ResSh,1,AE$7-FYBase)*INDEX(P_RES_B,1,26)/1000000</f>
        <v>2269.90347096028</v>
      </c>
      <c r="AF43" s="131" t="n">
        <f aca="false">AF37*Timeline!AF$9*INDEX(ResSh,1,AF$7-FYBase)*INDEX(P_RES_B,1,27)/1000000</f>
        <v>2259.62196323075</v>
      </c>
      <c r="AG43" s="131" t="n">
        <f aca="false">AG37*Timeline!AG$9*INDEX(ResSh,1,AG$7-FYBase)*INDEX(P_RES_B,1,28)/1000000</f>
        <v>2212.82263459555</v>
      </c>
      <c r="AI43" s="131" t="n">
        <f aca="false">SUMIF($F$7:$AG$7,AI$7,$F43:$AG43)</f>
        <v>0</v>
      </c>
      <c r="AJ43" s="131" t="n">
        <f aca="false">SUMIF($F$7:$AG$7,AJ$7,$F43:$AG43)</f>
        <v>164.247903415411</v>
      </c>
      <c r="AK43" s="131" t="n">
        <f aca="false">SUMIF($F$7:$AG$7,AK$7,$F43:$AG43)</f>
        <v>859.437565486488</v>
      </c>
      <c r="AL43" s="131" t="n">
        <f aca="false">SUMIF($F$7:$AG$7,AL$7,$F43:$AG43)</f>
        <v>4750.37033170541</v>
      </c>
      <c r="AM43" s="131" t="n">
        <f aca="false">SUMIF($F$7:$AG$7,AM$7,$F43:$AG43)</f>
        <v>8967.80129391296</v>
      </c>
      <c r="AN43" s="131" t="n">
        <f aca="false">SUMIF($F$7:$AG$7,AN$7,$F43:$AG43)</f>
        <v>9481.3540035996</v>
      </c>
      <c r="AO43" s="131" t="n">
        <f aca="false">SUMIF($F$7:$AG$7,AO$7,$F43:$AG43)</f>
        <v>9022.30447231951</v>
      </c>
    </row>
    <row r="44" customFormat="false" ht="15" hidden="false" customHeight="false" outlineLevel="0" collapsed="false">
      <c r="A44" s="112" t="s">
        <v>2265</v>
      </c>
      <c r="B44" s="24" t="s">
        <v>745</v>
      </c>
      <c r="C44" s="24" t="s">
        <v>672</v>
      </c>
      <c r="D44" s="24" t="s">
        <v>2263</v>
      </c>
      <c r="F44" s="130" t="n">
        <f aca="false">F38*Timeline!F$9*INDEX(ResSh,1,F$7-FYBase)*INDEX(P_RES_N,1,1)/1000000</f>
        <v>0</v>
      </c>
      <c r="G44" s="130" t="n">
        <f aca="false">G38*Timeline!G$9*INDEX(ResSh,1,G$7-FYBase)*INDEX(P_RES_N,1,2)/1000000</f>
        <v>0</v>
      </c>
      <c r="H44" s="130" t="n">
        <f aca="false">H38*Timeline!H$9*INDEX(ResSh,1,H$7-FYBase)*INDEX(P_RES_N,1,3)/1000000</f>
        <v>0</v>
      </c>
      <c r="I44" s="130" t="n">
        <f aca="false">I38*Timeline!I$9*INDEX(ResSh,1,I$7-FYBase)*INDEX(P_RES_N,1,4)/1000000</f>
        <v>0</v>
      </c>
      <c r="J44" s="130" t="n">
        <f aca="false">J38*Timeline!J$9*INDEX(ResSh,1,J$7-FYBase)*INDEX(P_RES_N,1,5)/1000000</f>
        <v>0</v>
      </c>
      <c r="K44" s="130" t="n">
        <f aca="false">K38*Timeline!K$9*INDEX(ResSh,1,K$7-FYBase)*INDEX(P_RES_N,1,6)/1000000</f>
        <v>0</v>
      </c>
      <c r="L44" s="130" t="n">
        <f aca="false">L38*Timeline!L$9*INDEX(ResSh,1,L$7-FYBase)*INDEX(P_RES_N,1,7)/1000000</f>
        <v>0</v>
      </c>
      <c r="M44" s="130" t="n">
        <f aca="false">M38*Timeline!M$9*INDEX(ResSh,1,M$7-FYBase)*INDEX(P_RES_N,1,8)/1000000</f>
        <v>0</v>
      </c>
      <c r="N44" s="130" t="n">
        <f aca="false">N38*Timeline!N$9*INDEX(ResSh,1,N$7-FYBase)*INDEX(P_RES_N,1,9)/1000000</f>
        <v>0</v>
      </c>
      <c r="O44" s="130" t="n">
        <f aca="false">O38*Timeline!O$9*INDEX(ResSh,1,O$7-FYBase)*INDEX(P_RES_N,1,10)/1000000</f>
        <v>0</v>
      </c>
      <c r="P44" s="131" t="n">
        <f aca="false">P38*Timeline!P$9*INDEX(ResSh,1,P$7-FYBase)*INDEX(P_RES_N,1,11)/1000000</f>
        <v>0</v>
      </c>
      <c r="Q44" s="131" t="n">
        <f aca="false">Q38*Timeline!Q$9*INDEX(ResSh,1,Q$7-FYBase)*INDEX(P_RES_N,1,12)/1000000</f>
        <v>0</v>
      </c>
      <c r="R44" s="131" t="n">
        <f aca="false">R38*Timeline!R$9*INDEX(ResSh,1,R$7-FYBase)*INDEX(P_RES_N,1,13)/1000000</f>
        <v>0</v>
      </c>
      <c r="S44" s="131" t="n">
        <f aca="false">S38*Timeline!S$9*INDEX(ResSh,1,S$7-FYBase)*INDEX(P_RES_N,1,14)/1000000</f>
        <v>42.5298605025908</v>
      </c>
      <c r="T44" s="131" t="n">
        <f aca="false">T38*Timeline!T$9*INDEX(ResSh,1,T$7-FYBase)*INDEX(P_RES_N,1,15)/1000000</f>
        <v>42.9972216070149</v>
      </c>
      <c r="U44" s="131" t="n">
        <f aca="false">U38*Timeline!U$9*INDEX(ResSh,1,U$7-FYBase)*INDEX(P_RES_N,1,16)/1000000</f>
        <v>76.1489639704822</v>
      </c>
      <c r="V44" s="131" t="n">
        <f aca="false">V38*Timeline!V$9*INDEX(ResSh,1,V$7-FYBase)*INDEX(P_RES_N,1,17)/1000000</f>
        <v>881.995578205966</v>
      </c>
      <c r="W44" s="131" t="n">
        <f aca="false">W38*Timeline!W$9*INDEX(ResSh,1,W$7-FYBase)*INDEX(P_RES_N,1,18)/1000000</f>
        <v>1973.73230681485</v>
      </c>
      <c r="X44" s="131" t="n">
        <f aca="false">X38*Timeline!X$9*INDEX(ResSh,1,X$7-FYBase)*INDEX(P_RES_N,1,19)/1000000</f>
        <v>2998.40886622065</v>
      </c>
      <c r="Y44" s="131" t="n">
        <f aca="false">Y38*Timeline!Y$9*INDEX(ResSh,1,Y$7-FYBase)*INDEX(P_RES_N,1,20)/1000000</f>
        <v>3641.80406463987</v>
      </c>
      <c r="Z44" s="131" t="n">
        <f aca="false">Z38*Timeline!Z$9*INDEX(ResSh,1,Z$7-FYBase)*INDEX(P_RES_N,1,21)/1000000</f>
        <v>4662.24792485404</v>
      </c>
      <c r="AA44" s="131" t="n">
        <f aca="false">AA38*Timeline!AA$9*INDEX(ResSh,1,AA$7-FYBase)*INDEX(P_RES_N,1,22)/1000000</f>
        <v>5743.72929043013</v>
      </c>
      <c r="AB44" s="131" t="n">
        <f aca="false">AB38*Timeline!AB$9*INDEX(ResSh,1,AB$7-FYBase)*INDEX(P_RES_N,1,23)/1000000</f>
        <v>7034.16925527228</v>
      </c>
      <c r="AC44" s="131" t="n">
        <f aca="false">AC38*Timeline!AC$9*INDEX(ResSh,1,AC$7-FYBase)*INDEX(P_RES_N,1,24)/1000000</f>
        <v>8222.44477129527</v>
      </c>
      <c r="AD44" s="131" t="n">
        <f aca="false">AD38*Timeline!AD$9*INDEX(ResSh,1,AD$7-FYBase)*INDEX(P_RES_N,1,25)/1000000</f>
        <v>9659.3547857622</v>
      </c>
      <c r="AE44" s="131" t="n">
        <f aca="false">AE38*Timeline!AE$9*INDEX(ResSh,1,AE$7-FYBase)*INDEX(P_RES_N,1,26)/1000000</f>
        <v>11348.223972595</v>
      </c>
      <c r="AF44" s="131" t="n">
        <f aca="false">AF38*Timeline!AF$9*INDEX(ResSh,1,AF$7-FYBase)*INDEX(P_RES_N,1,27)/1000000</f>
        <v>11296.8222923106</v>
      </c>
      <c r="AG44" s="131" t="n">
        <f aca="false">AG38*Timeline!AG$9*INDEX(ResSh,1,AG$7-FYBase)*INDEX(P_RES_N,1,28)/1000000</f>
        <v>11123.4180720541</v>
      </c>
      <c r="AI44" s="131" t="n">
        <f aca="false">SUMIF($F$7:$AG$7,AI$7,$F44:$AG44)</f>
        <v>0</v>
      </c>
      <c r="AJ44" s="131" t="n">
        <f aca="false">SUMIF($F$7:$AG$7,AJ$7,$F44:$AG44)</f>
        <v>0</v>
      </c>
      <c r="AK44" s="131" t="n">
        <f aca="false">SUMIF($F$7:$AG$7,AK$7,$F44:$AG44)</f>
        <v>0</v>
      </c>
      <c r="AL44" s="131" t="n">
        <f aca="false">SUMIF($F$7:$AG$7,AL$7,$F44:$AG44)</f>
        <v>161.676046080088</v>
      </c>
      <c r="AM44" s="131" t="n">
        <f aca="false">SUMIF($F$7:$AG$7,AM$7,$F44:$AG44)</f>
        <v>9495.94081588133</v>
      </c>
      <c r="AN44" s="131" t="n">
        <f aca="false">SUMIF($F$7:$AG$7,AN$7,$F44:$AG44)</f>
        <v>25662.5912418517</v>
      </c>
      <c r="AO44" s="131" t="n">
        <f aca="false">SUMIF($F$7:$AG$7,AO$7,$F44:$AG44)</f>
        <v>43427.8191227218</v>
      </c>
    </row>
    <row r="45" customFormat="false" ht="15" hidden="false" customHeight="false" outlineLevel="0" collapsed="false">
      <c r="A45" s="112" t="s">
        <v>2266</v>
      </c>
      <c r="B45" s="24" t="s">
        <v>745</v>
      </c>
      <c r="C45" s="24" t="s">
        <v>672</v>
      </c>
      <c r="D45" s="24"/>
      <c r="F45" s="130" t="n">
        <f aca="false">F42+F43+F44</f>
        <v>71.024508828</v>
      </c>
      <c r="G45" s="130" t="n">
        <f aca="false">G42+G43+G44</f>
        <v>71.024508828</v>
      </c>
      <c r="H45" s="130" t="n">
        <f aca="false">H42+H43+H44</f>
        <v>71.804997936</v>
      </c>
      <c r="I45" s="130" t="n">
        <f aca="false">I42+I43+I44</f>
        <v>78.986544984</v>
      </c>
      <c r="J45" s="130" t="n">
        <f aca="false">J42+J43+J44</f>
        <v>123.183472896</v>
      </c>
      <c r="K45" s="130" t="n">
        <f aca="false">K42+K43+K44</f>
        <v>160.864704</v>
      </c>
      <c r="L45" s="130" t="n">
        <f aca="false">L42+L43+L44</f>
        <v>193.18843809239</v>
      </c>
      <c r="M45" s="130" t="n">
        <f aca="false">M42+M43+M44</f>
        <v>296.324361323021</v>
      </c>
      <c r="N45" s="130" t="n">
        <f aca="false">N42+N43+N44</f>
        <v>350.40140672652</v>
      </c>
      <c r="O45" s="130" t="n">
        <f aca="false">O42+O43+O44</f>
        <v>360.053265381264</v>
      </c>
      <c r="P45" s="131" t="n">
        <f aca="false">P42+P43+P44</f>
        <v>390.541695006528</v>
      </c>
      <c r="Q45" s="131" t="n">
        <f aca="false">Q42+Q43+Q44</f>
        <v>431.477326372176</v>
      </c>
      <c r="R45" s="131" t="n">
        <f aca="false">R42+R43+R44</f>
        <v>651.706143458704</v>
      </c>
      <c r="S45" s="131" t="n">
        <f aca="false">S42+S43+S44</f>
        <v>1188.4821745151</v>
      </c>
      <c r="T45" s="131" t="n">
        <f aca="false">T42+T43+T44</f>
        <v>1715.02243273845</v>
      </c>
      <c r="U45" s="131" t="n">
        <f aca="false">U42+U43+U44</f>
        <v>2069.4745571815</v>
      </c>
      <c r="V45" s="131" t="n">
        <f aca="false">V42+V43+V44</f>
        <v>3193.91712734246</v>
      </c>
      <c r="W45" s="131" t="n">
        <f aca="false">W42+W43+W44</f>
        <v>4432.55029083649</v>
      </c>
      <c r="X45" s="131" t="n">
        <f aca="false">X42+X43+X44</f>
        <v>5442.01599783512</v>
      </c>
      <c r="Y45" s="131" t="n">
        <f aca="false">Y42+Y43+Y44</f>
        <v>6043.99079612961</v>
      </c>
      <c r="Z45" s="131" t="n">
        <f aca="false">Z42+Z43+Z44</f>
        <v>7102.19761760114</v>
      </c>
      <c r="AA45" s="131" t="n">
        <f aca="false">AA42+AA43+AA44</f>
        <v>8298.51163344662</v>
      </c>
      <c r="AB45" s="131" t="n">
        <f aca="false">AB42+AB43+AB44</f>
        <v>9573.91712487366</v>
      </c>
      <c r="AC45" s="131" t="n">
        <f aca="false">AC42+AC43+AC44</f>
        <v>10719.8832170347</v>
      </c>
      <c r="AD45" s="131" t="n">
        <f aca="false">AD42+AD43+AD44</f>
        <v>12061.8762597622</v>
      </c>
      <c r="AE45" s="131" t="n">
        <f aca="false">AE42+AE43+AE44</f>
        <v>13737.1201475488</v>
      </c>
      <c r="AF45" s="131" t="n">
        <f aca="false">AF42+AF43+AF44</f>
        <v>13671.9547651854</v>
      </c>
      <c r="AG45" s="131" t="n">
        <f aca="false">AG42+AG43+AG44</f>
        <v>13447.152117924</v>
      </c>
      <c r="AI45" s="131" t="n">
        <f aca="false">SUMIF($F$7:$AG$7,AI$7,$F45:$AG45)</f>
        <v>292.840560576</v>
      </c>
      <c r="AJ45" s="131" t="n">
        <f aca="false">SUMIF($F$7:$AG$7,AJ$7,$F45:$AG45)</f>
        <v>773.560976311411</v>
      </c>
      <c r="AK45" s="131" t="n">
        <f aca="false">SUMIF($F$7:$AG$7,AK$7,$F45:$AG45)</f>
        <v>1532.47369348649</v>
      </c>
      <c r="AL45" s="131" t="n">
        <f aca="false">SUMIF($F$7:$AG$7,AL$7,$F45:$AG45)</f>
        <v>5624.68530789376</v>
      </c>
      <c r="AM45" s="131" t="n">
        <f aca="false">SUMIF($F$7:$AG$7,AM$7,$F45:$AG45)</f>
        <v>19112.4742121437</v>
      </c>
      <c r="AN45" s="131" t="n">
        <f aca="false">SUMIF($F$7:$AG$7,AN$7,$F45:$AG45)</f>
        <v>35694.5095929561</v>
      </c>
      <c r="AO45" s="131" t="n">
        <f aca="false">SUMIF($F$7:$AG$7,AO$7,$F45:$AG45)</f>
        <v>52918.1032904204</v>
      </c>
    </row>
    <row r="46" customFormat="false" ht="15" hidden="false" customHeight="false" outlineLevel="0" collapsed="false">
      <c r="A46" s="112" t="s">
        <v>2267</v>
      </c>
      <c r="B46" s="24" t="s">
        <v>745</v>
      </c>
      <c r="C46" s="24" t="s">
        <v>672</v>
      </c>
      <c r="D46" s="24" t="s">
        <v>2268</v>
      </c>
      <c r="F46" s="130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30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30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30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30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30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30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30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30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30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31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31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31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31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31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31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31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31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31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31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31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31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31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31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31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31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31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31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31" t="n">
        <f aca="false">SUMIF($F$7:$AG$7,AI$7,$F46:$AG46)</f>
        <v>65.97213003612</v>
      </c>
      <c r="AJ46" s="131" t="n">
        <f aca="false">SUMIF($F$7:$AG$7,AJ$7,$F46:$AG46)</f>
        <v>106.07084128872</v>
      </c>
      <c r="AK46" s="131" t="n">
        <f aca="false">SUMIF($F$7:$AG$7,AK$7,$F46:$AG46)</f>
        <v>106.6256235</v>
      </c>
      <c r="AL46" s="131" t="n">
        <f aca="false">SUMIF($F$7:$AG$7,AL$7,$F46:$AG46)</f>
        <v>117.785295591523</v>
      </c>
      <c r="AM46" s="131" t="n">
        <f aca="false">SUMIF($F$7:$AG$7,AM$7,$F46:$AG46)</f>
        <v>104.774448006238</v>
      </c>
      <c r="AN46" s="131" t="n">
        <f aca="false">SUMIF($F$7:$AG$7,AN$7,$F46:$AG46)</f>
        <v>88.7998706763917</v>
      </c>
      <c r="AO46" s="131" t="n">
        <f aca="false">SUMIF($F$7:$AG$7,AO$7,$F46:$AG46)</f>
        <v>75.479890074933</v>
      </c>
    </row>
    <row r="47" customFormat="false" ht="15" hidden="false" customHeight="false" outlineLevel="0" collapsed="false">
      <c r="A47" s="112" t="s">
        <v>2269</v>
      </c>
      <c r="B47" s="24" t="s">
        <v>745</v>
      </c>
      <c r="C47" s="24" t="s">
        <v>672</v>
      </c>
      <c r="D47" s="24" t="s">
        <v>2268</v>
      </c>
      <c r="F47" s="130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30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30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30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30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30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30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30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30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30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31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31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31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31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31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31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31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31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31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31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31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31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31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31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31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31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31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31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31" t="n">
        <f aca="false">SUMIF($F$7:$AG$7,AI$7,$F47:$AG47)</f>
        <v>0</v>
      </c>
      <c r="AJ47" s="131" t="n">
        <f aca="false">SUMIF($F$7:$AG$7,AJ$7,$F47:$AG47)</f>
        <v>28.3055215018477</v>
      </c>
      <c r="AK47" s="131" t="n">
        <f aca="false">SUMIF($F$7:$AG$7,AK$7,$F47:$AG47)</f>
        <v>131.385015952794</v>
      </c>
      <c r="AL47" s="131" t="n">
        <f aca="false">SUMIF($F$7:$AG$7,AL$7,$F47:$AG47)</f>
        <v>734.264639185162</v>
      </c>
      <c r="AM47" s="131" t="n">
        <f aca="false">SUMIF($F$7:$AG$7,AM$7,$F47:$AG47)</f>
        <v>1440.11283455838</v>
      </c>
      <c r="AN47" s="131" t="n">
        <f aca="false">SUMIF($F$7:$AG$7,AN$7,$F47:$AG47)</f>
        <v>1522.86104127981</v>
      </c>
      <c r="AO47" s="131" t="n">
        <f aca="false">SUMIF($F$7:$AG$7,AO$7,$F47:$AG47)</f>
        <v>1449.13015358815</v>
      </c>
    </row>
    <row r="48" customFormat="false" ht="15" hidden="false" customHeight="false" outlineLevel="0" collapsed="false">
      <c r="A48" s="112" t="s">
        <v>2270</v>
      </c>
      <c r="B48" s="24" t="s">
        <v>745</v>
      </c>
      <c r="C48" s="24" t="s">
        <v>672</v>
      </c>
      <c r="D48" s="24" t="s">
        <v>2268</v>
      </c>
      <c r="F48" s="130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30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30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30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30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30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30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30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30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30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31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31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31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31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31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31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31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31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31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31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31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31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31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31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31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31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31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31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31" t="n">
        <f aca="false">SUMIF($F$7:$AG$7,AI$7,$F48:$AG48)</f>
        <v>0</v>
      </c>
      <c r="AJ48" s="131" t="n">
        <f aca="false">SUMIF($F$7:$AG$7,AJ$7,$F48:$AG48)</f>
        <v>0</v>
      </c>
      <c r="AK48" s="131" t="n">
        <f aca="false">SUMIF($F$7:$AG$7,AK$7,$F48:$AG48)</f>
        <v>0</v>
      </c>
      <c r="AL48" s="131" t="n">
        <f aca="false">SUMIF($F$7:$AG$7,AL$7,$F48:$AG48)</f>
        <v>24.6898533402933</v>
      </c>
      <c r="AM48" s="131" t="n">
        <f aca="false">SUMIF($F$7:$AG$7,AM$7,$F48:$AG48)</f>
        <v>1513.19269295111</v>
      </c>
      <c r="AN48" s="131" t="n">
        <f aca="false">SUMIF($F$7:$AG$7,AN$7,$F48:$AG48)</f>
        <v>4089.37316504927</v>
      </c>
      <c r="AO48" s="131" t="n">
        <f aca="false">SUMIF($F$7:$AG$7,AO$7,$F48:$AG48)</f>
        <v>6920.28939959291</v>
      </c>
    </row>
    <row r="49" customFormat="false" ht="15" hidden="false" customHeight="false" outlineLevel="0" collapsed="false">
      <c r="A49" s="112" t="s">
        <v>2271</v>
      </c>
      <c r="B49" s="24" t="s">
        <v>745</v>
      </c>
      <c r="C49" s="24" t="s">
        <v>672</v>
      </c>
      <c r="D49" s="24"/>
      <c r="F49" s="130" t="n">
        <f aca="false">F46+F47+F48</f>
        <v>16.0006459587975</v>
      </c>
      <c r="G49" s="130" t="n">
        <f aca="false">G46+G47+G48</f>
        <v>16.0006459587975</v>
      </c>
      <c r="H49" s="130" t="n">
        <f aca="false">H46+H47+H48</f>
        <v>16.17647723307</v>
      </c>
      <c r="I49" s="130" t="n">
        <f aca="false">I46+I47+I48</f>
        <v>17.794360885455</v>
      </c>
      <c r="J49" s="130" t="n">
        <f aca="false">J46+J47+J48</f>
        <v>21.44410678872</v>
      </c>
      <c r="K49" s="130" t="n">
        <f aca="false">K46+K47+K48</f>
        <v>28.00375578</v>
      </c>
      <c r="L49" s="130" t="n">
        <f aca="false">L46+L47+L48</f>
        <v>33.5773296939427</v>
      </c>
      <c r="M49" s="130" t="n">
        <f aca="false">M46+M47+M48</f>
        <v>51.3511705279049</v>
      </c>
      <c r="N49" s="130" t="n">
        <f aca="false">N46+N47+N48</f>
        <v>51.7893933084907</v>
      </c>
      <c r="O49" s="130" t="n">
        <f aca="false">O46+O47+O48</f>
        <v>53.2119486627729</v>
      </c>
      <c r="P49" s="131" t="n">
        <f aca="false">P46+P47+P48</f>
        <v>59.3318848170708</v>
      </c>
      <c r="Q49" s="131" t="n">
        <f aca="false">Q46+Q47+Q48</f>
        <v>73.67741266446</v>
      </c>
      <c r="R49" s="131" t="n">
        <f aca="false">R46+R47+R48</f>
        <v>106.719867754044</v>
      </c>
      <c r="S49" s="131" t="n">
        <f aca="false">S46+S47+S48</f>
        <v>186.234487160283</v>
      </c>
      <c r="T49" s="131" t="n">
        <f aca="false">T46+T47+T48</f>
        <v>265.18027152031</v>
      </c>
      <c r="U49" s="131" t="n">
        <f aca="false">U46+U47+U48</f>
        <v>318.605161682342</v>
      </c>
      <c r="V49" s="131" t="n">
        <f aca="false">V46+V47+V48</f>
        <v>511.872631507819</v>
      </c>
      <c r="W49" s="131" t="n">
        <f aca="false">W46+W47+W48</f>
        <v>709.554521271856</v>
      </c>
      <c r="X49" s="131" t="n">
        <f aca="false">X46+X47+X48</f>
        <v>870.391944989493</v>
      </c>
      <c r="Y49" s="131" t="n">
        <f aca="false">Y46+Y47+Y48</f>
        <v>966.260877746561</v>
      </c>
      <c r="Z49" s="131" t="n">
        <f aca="false">Z46+Z47+Z48</f>
        <v>1134.92925450682</v>
      </c>
      <c r="AA49" s="131" t="n">
        <f aca="false">AA46+AA47+AA48</f>
        <v>1325.70614628454</v>
      </c>
      <c r="AB49" s="131" t="n">
        <f aca="false">AB46+AB47+AB48</f>
        <v>1528.92219061376</v>
      </c>
      <c r="AC49" s="131" t="n">
        <f aca="false">AC46+AC47+AC48</f>
        <v>1711.47648560035</v>
      </c>
      <c r="AD49" s="131" t="n">
        <f aca="false">AD46+AD47+AD48</f>
        <v>1925.19974617262</v>
      </c>
      <c r="AE49" s="131" t="n">
        <f aca="false">AE46+AE47+AE48</f>
        <v>2192.13278551091</v>
      </c>
      <c r="AF49" s="131" t="n">
        <f aca="false">AF46+AF47+AF48</f>
        <v>2181.72883128216</v>
      </c>
      <c r="AG49" s="131" t="n">
        <f aca="false">AG46+AG47+AG48</f>
        <v>2145.83808029031</v>
      </c>
      <c r="AI49" s="131" t="n">
        <f aca="false">SUMIF($F$7:$AG$7,AI$7,$F49:$AG49)</f>
        <v>65.97213003612</v>
      </c>
      <c r="AJ49" s="131" t="n">
        <f aca="false">SUMIF($F$7:$AG$7,AJ$7,$F49:$AG49)</f>
        <v>134.376362790568</v>
      </c>
      <c r="AK49" s="131" t="n">
        <f aca="false">SUMIF($F$7:$AG$7,AK$7,$F49:$AG49)</f>
        <v>238.010639452794</v>
      </c>
      <c r="AL49" s="131" t="n">
        <f aca="false">SUMIF($F$7:$AG$7,AL$7,$F49:$AG49)</f>
        <v>876.739788116979</v>
      </c>
      <c r="AM49" s="131" t="n">
        <f aca="false">SUMIF($F$7:$AG$7,AM$7,$F49:$AG49)</f>
        <v>3058.07997551573</v>
      </c>
      <c r="AN49" s="131" t="n">
        <f aca="false">SUMIF($F$7:$AG$7,AN$7,$F49:$AG49)</f>
        <v>5701.03407700547</v>
      </c>
      <c r="AO49" s="131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2272</v>
      </c>
      <c r="E50" s="85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12" t="s">
        <v>2273</v>
      </c>
      <c r="B51" s="24" t="s">
        <v>751</v>
      </c>
      <c r="C51" s="24" t="s">
        <v>820</v>
      </c>
      <c r="D51" s="24" t="s">
        <v>2274</v>
      </c>
      <c r="F51" s="124" t="n">
        <f aca="false">IF(F$5&lt;=LastHist,UtilQ2,Util_Res)</f>
        <v>0.750319556751226</v>
      </c>
      <c r="G51" s="124" t="n">
        <f aca="false">IF(G$5&lt;=LastHist,UtilQ2,Util_Res)</f>
        <v>0.750319556751226</v>
      </c>
      <c r="H51" s="124" t="n">
        <f aca="false">IF(H$5&lt;=LastHist,UtilQ2,Util_Res)</f>
        <v>0.750319556751226</v>
      </c>
      <c r="I51" s="124" t="n">
        <f aca="false">IF(I$5&lt;=LastHist,UtilQ2,Util_Res)</f>
        <v>0.750319556751226</v>
      </c>
      <c r="J51" s="124" t="n">
        <f aca="false">IF(J$5&lt;=LastHist,UtilQ2,Util_Res)</f>
        <v>0.750319556751226</v>
      </c>
      <c r="K51" s="124" t="n">
        <f aca="false">IF(K$5&lt;=LastHist,UtilQ2,Util_Res)</f>
        <v>0.750319556751226</v>
      </c>
      <c r="L51" s="124" t="n">
        <f aca="false">IF(L$5&lt;=LastHist,UtilQ2,Util_Res)</f>
        <v>0.750319556751226</v>
      </c>
      <c r="M51" s="124" t="n">
        <f aca="false">IF(M$5&lt;=LastHist,UtilQ2,Util_Res)</f>
        <v>0.750319556751226</v>
      </c>
      <c r="N51" s="124" t="n">
        <f aca="false">IF(N$5&lt;=LastHist,UtilQ2,Util_Res)</f>
        <v>0.750319556751226</v>
      </c>
      <c r="O51" s="124" t="n">
        <f aca="false">IF(O$5&lt;=LastHist,UtilQ2,Util_Res)</f>
        <v>0.750319556751226</v>
      </c>
      <c r="P51" s="27" t="n">
        <f aca="false">IF(P$5&lt;=LastHist,UtilQ2,Util_Res)</f>
        <v>0.750319556751226</v>
      </c>
      <c r="Q51" s="27" t="n">
        <f aca="false">IF(Q$5&lt;=LastHist,UtilQ2,Util_Res)</f>
        <v>0.750319556751226</v>
      </c>
      <c r="R51" s="27" t="n">
        <f aca="false">IF(R$5&lt;=LastHist,UtilQ2,Util_Res)</f>
        <v>0.750319556751226</v>
      </c>
      <c r="S51" s="27" t="n">
        <f aca="false">IF(S$5&lt;=LastHist,UtilQ2,Util_Res)</f>
        <v>0.750319556751226</v>
      </c>
      <c r="T51" s="27" t="n">
        <f aca="false">IF(T$5&lt;=LastHist,UtilQ2,Util_Res)</f>
        <v>0.750319556751226</v>
      </c>
      <c r="U51" s="27" t="n">
        <f aca="false">IF(U$5&lt;=LastHist,UtilQ2,Util_Res)</f>
        <v>0.750319556751226</v>
      </c>
      <c r="V51" s="27" t="n">
        <f aca="false">IF(V$5&lt;=LastHist,UtilQ2,Util_Res)</f>
        <v>0.750319556751226</v>
      </c>
      <c r="W51" s="27" t="n">
        <f aca="false">IF(W$5&lt;=LastHist,UtilQ2,Util_Res)</f>
        <v>0.750319556751226</v>
      </c>
      <c r="X51" s="27" t="n">
        <f aca="false">IF(X$5&lt;=LastHist,UtilQ2,Util_Res)</f>
        <v>0.750319556751226</v>
      </c>
      <c r="Y51" s="27" t="n">
        <f aca="false">IF(Y$5&lt;=LastHist,UtilQ2,Util_Res)</f>
        <v>0.750319556751226</v>
      </c>
      <c r="Z51" s="27" t="n">
        <f aca="false">IF(Z$5&lt;=LastHist,UtilQ2,Util_Res)</f>
        <v>0.750319556751226</v>
      </c>
      <c r="AA51" s="27" t="n">
        <f aca="false">IF(AA$5&lt;=LastHist,UtilQ2,Util_Res)</f>
        <v>0.750319556751226</v>
      </c>
      <c r="AB51" s="27" t="n">
        <f aca="false">IF(AB$5&lt;=LastHist,UtilQ2,Util_Res)</f>
        <v>0.750319556751226</v>
      </c>
      <c r="AC51" s="27" t="n">
        <f aca="false">IF(AC$5&lt;=LastHist,UtilQ2,Util_Res)</f>
        <v>0.750319556751226</v>
      </c>
      <c r="AD51" s="27" t="n">
        <f aca="false">IF(AD$5&lt;=LastHist,UtilQ2,Util_Res)</f>
        <v>0.750319556751226</v>
      </c>
      <c r="AE51" s="27" t="n">
        <f aca="false">IF(AE$5&lt;=LastHist,UtilQ2,Util_Res)</f>
        <v>0.750319556751226</v>
      </c>
      <c r="AF51" s="27" t="n">
        <f aca="false">IF(AF$5&lt;=LastHist,UtilQ2,Util_Res)</f>
        <v>0.750319556751226</v>
      </c>
      <c r="AG51" s="27" t="n">
        <f aca="false">IF(AG$5&lt;=LastHist,UtilQ2,Util_Res)</f>
        <v>0.750319556751226</v>
      </c>
      <c r="AI51" s="27" t="n">
        <f aca="false">AVERAGEIF($F$7:$AG$7,AI$7,$F51:$AG51)</f>
        <v>0.750319556751226</v>
      </c>
      <c r="AJ51" s="27" t="n">
        <f aca="false">AVERAGEIF($F$7:$AG$7,AJ$7,$F51:$AG51)</f>
        <v>0.750319556751226</v>
      </c>
      <c r="AK51" s="27" t="n">
        <f aca="false">AVERAGEIF($F$7:$AG$7,AK$7,$F51:$AG51)</f>
        <v>0.750319556751226</v>
      </c>
      <c r="AL51" s="27" t="n">
        <f aca="false">AVERAGEIF($F$7:$AG$7,AL$7,$F51:$AG51)</f>
        <v>0.750319556751226</v>
      </c>
      <c r="AM51" s="27" t="n">
        <f aca="false">AVERAGEIF($F$7:$AG$7,AM$7,$F51:$AG51)</f>
        <v>0.750319556751226</v>
      </c>
      <c r="AN51" s="27" t="n">
        <f aca="false">AVERAGEIF($F$7:$AG$7,AN$7,$F51:$AG51)</f>
        <v>0.750319556751226</v>
      </c>
      <c r="AO51" s="27" t="n">
        <f aca="false">AVERAGEIF($F$7:$AG$7,AO$7,$F51:$AG51)</f>
        <v>0.750319556751226</v>
      </c>
    </row>
    <row r="52" customFormat="false" ht="15" hidden="false" customHeight="false" outlineLevel="0" collapsed="false">
      <c r="A52" s="112" t="s">
        <v>2275</v>
      </c>
      <c r="B52" s="24" t="s">
        <v>751</v>
      </c>
      <c r="C52" s="24" t="s">
        <v>820</v>
      </c>
      <c r="D52" s="24" t="s">
        <v>2276</v>
      </c>
      <c r="F52" s="124" t="n">
        <f aca="false">IF(F$5&lt;=LastHist,UtilQ2,Util_OD)</f>
        <v>0.750319556751226</v>
      </c>
      <c r="G52" s="124" t="n">
        <f aca="false">IF(G$5&lt;=LastHist,UtilQ2,Util_OD)</f>
        <v>0.750319556751226</v>
      </c>
      <c r="H52" s="124" t="n">
        <f aca="false">IF(H$5&lt;=LastHist,UtilQ2,Util_OD)</f>
        <v>0.750319556751226</v>
      </c>
      <c r="I52" s="124" t="n">
        <f aca="false">IF(I$5&lt;=LastHist,UtilQ2,Util_OD)</f>
        <v>0.750319556751226</v>
      </c>
      <c r="J52" s="124" t="n">
        <f aca="false">IF(J$5&lt;=LastHist,UtilQ2,Util_OD)</f>
        <v>0.750319556751226</v>
      </c>
      <c r="K52" s="124" t="n">
        <f aca="false">IF(K$5&lt;=LastHist,UtilQ2,Util_OD)</f>
        <v>0.750319556751226</v>
      </c>
      <c r="L52" s="124" t="n">
        <f aca="false">IF(L$5&lt;=LastHist,UtilQ2,Util_OD)</f>
        <v>0.750319556751226</v>
      </c>
      <c r="M52" s="124" t="n">
        <f aca="false">IF(M$5&lt;=LastHist,UtilQ2,Util_OD)</f>
        <v>0.750319556751226</v>
      </c>
      <c r="N52" s="124" t="n">
        <f aca="false">IF(N$5&lt;=LastHist,UtilQ2,Util_OD)</f>
        <v>0.750319556751226</v>
      </c>
      <c r="O52" s="124" t="n">
        <f aca="false">IF(O$5&lt;=LastHist,UtilQ2,Util_OD)</f>
        <v>0.750319556751226</v>
      </c>
      <c r="P52" s="27" t="n">
        <f aca="false">IF(P$5&lt;=LastHist,UtilQ2,Util_OD)</f>
        <v>0.750319556751226</v>
      </c>
      <c r="Q52" s="27" t="n">
        <f aca="false">IF(Q$5&lt;=LastHist,UtilQ2,Util_OD)</f>
        <v>0.750319556751226</v>
      </c>
      <c r="R52" s="27" t="n">
        <f aca="false">IF(R$5&lt;=LastHist,UtilQ2,Util_OD)</f>
        <v>0.750319556751226</v>
      </c>
      <c r="S52" s="27" t="n">
        <f aca="false">IF(S$5&lt;=LastHist,UtilQ2,Util_OD)</f>
        <v>0.750319556751226</v>
      </c>
      <c r="T52" s="27" t="n">
        <f aca="false">IF(T$5&lt;=LastHist,UtilQ2,Util_OD)</f>
        <v>0.750319556751226</v>
      </c>
      <c r="U52" s="27" t="n">
        <f aca="false">IF(U$5&lt;=LastHist,UtilQ2,Util_OD)</f>
        <v>0.750319556751226</v>
      </c>
      <c r="V52" s="27" t="n">
        <f aca="false">IF(V$5&lt;=LastHist,UtilQ2,Util_OD)</f>
        <v>0.750319556751226</v>
      </c>
      <c r="W52" s="27" t="n">
        <f aca="false">IF(W$5&lt;=LastHist,UtilQ2,Util_OD)</f>
        <v>0.750319556751226</v>
      </c>
      <c r="X52" s="27" t="n">
        <f aca="false">IF(X$5&lt;=LastHist,UtilQ2,Util_OD)</f>
        <v>0.750319556751226</v>
      </c>
      <c r="Y52" s="27" t="n">
        <f aca="false">IF(Y$5&lt;=LastHist,UtilQ2,Util_OD)</f>
        <v>0.750319556751226</v>
      </c>
      <c r="Z52" s="27" t="n">
        <f aca="false">IF(Z$5&lt;=LastHist,UtilQ2,Util_OD)</f>
        <v>0.750319556751226</v>
      </c>
      <c r="AA52" s="27" t="n">
        <f aca="false">IF(AA$5&lt;=LastHist,UtilQ2,Util_OD)</f>
        <v>0.750319556751226</v>
      </c>
      <c r="AB52" s="27" t="n">
        <f aca="false">IF(AB$5&lt;=LastHist,UtilQ2,Util_OD)</f>
        <v>0.750319556751226</v>
      </c>
      <c r="AC52" s="27" t="n">
        <f aca="false">IF(AC$5&lt;=LastHist,UtilQ2,Util_OD)</f>
        <v>0.750319556751226</v>
      </c>
      <c r="AD52" s="27" t="n">
        <f aca="false">IF(AD$5&lt;=LastHist,UtilQ2,Util_OD)</f>
        <v>0.750319556751226</v>
      </c>
      <c r="AE52" s="27" t="n">
        <f aca="false">IF(AE$5&lt;=LastHist,UtilQ2,Util_OD)</f>
        <v>0.750319556751226</v>
      </c>
      <c r="AF52" s="27" t="n">
        <f aca="false">IF(AF$5&lt;=LastHist,UtilQ2,Util_OD)</f>
        <v>0.750319556751226</v>
      </c>
      <c r="AG52" s="27" t="n">
        <f aca="false">IF(AG$5&lt;=LastHist,UtilQ2,Util_OD)</f>
        <v>0.750319556751226</v>
      </c>
      <c r="AI52" s="27" t="n">
        <f aca="false">AVERAGEIF($F$7:$AG$7,AI$7,$F52:$AG52)</f>
        <v>0.750319556751226</v>
      </c>
      <c r="AJ52" s="27" t="n">
        <f aca="false">AVERAGEIF($F$7:$AG$7,AJ$7,$F52:$AG52)</f>
        <v>0.750319556751226</v>
      </c>
      <c r="AK52" s="27" t="n">
        <f aca="false">AVERAGEIF($F$7:$AG$7,AK$7,$F52:$AG52)</f>
        <v>0.750319556751226</v>
      </c>
      <c r="AL52" s="27" t="n">
        <f aca="false">AVERAGEIF($F$7:$AG$7,AL$7,$F52:$AG52)</f>
        <v>0.750319556751226</v>
      </c>
      <c r="AM52" s="27" t="n">
        <f aca="false">AVERAGEIF($F$7:$AG$7,AM$7,$F52:$AG52)</f>
        <v>0.750319556751226</v>
      </c>
      <c r="AN52" s="27" t="n">
        <f aca="false">AVERAGEIF($F$7:$AG$7,AN$7,$F52:$AG52)</f>
        <v>0.750319556751226</v>
      </c>
      <c r="AO52" s="27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2277</v>
      </c>
      <c r="B53" s="24" t="s">
        <v>745</v>
      </c>
      <c r="C53" s="24" t="s">
        <v>672</v>
      </c>
      <c r="D53" s="24"/>
      <c r="F53" s="132" t="n">
        <f aca="false">F45*F51</f>
        <v>53.2910779822985</v>
      </c>
      <c r="G53" s="132" t="n">
        <f aca="false">G45*G51</f>
        <v>53.2910779822985</v>
      </c>
      <c r="H53" s="132" t="n">
        <f aca="false">H45*H51</f>
        <v>53.8766942238622</v>
      </c>
      <c r="I53" s="132" t="n">
        <f aca="false">I45*I51</f>
        <v>59.2651494217056</v>
      </c>
      <c r="J53" s="132" t="n">
        <f aca="false">J45*J51</f>
        <v>92.4269687824033</v>
      </c>
      <c r="K53" s="132" t="n">
        <f aca="false">K45*K51</f>
        <v>120.699933402197</v>
      </c>
      <c r="L53" s="132" t="n">
        <f aca="false">L45*L51</f>
        <v>144.953063238944</v>
      </c>
      <c r="M53" s="132" t="n">
        <f aca="false">M45*M51</f>
        <v>222.337963442479</v>
      </c>
      <c r="N53" s="132" t="n">
        <f aca="false">N45*N51</f>
        <v>262.913028180048</v>
      </c>
      <c r="O53" s="132" t="n">
        <f aca="false">O45*O51</f>
        <v>270.155006487702</v>
      </c>
      <c r="P53" s="104" t="n">
        <f aca="false">P45*P51</f>
        <v>293.03107149017</v>
      </c>
      <c r="Q53" s="104" t="n">
        <f aca="false">Q45*Q51</f>
        <v>323.745876271775</v>
      </c>
      <c r="R53" s="104" t="n">
        <f aca="false">R45*R51</f>
        <v>488.987864691985</v>
      </c>
      <c r="S53" s="104" t="n">
        <f aca="false">S45*S51</f>
        <v>891.741418388904</v>
      </c>
      <c r="T53" s="104" t="n">
        <f aca="false">T45*T51</f>
        <v>1286.81487155073</v>
      </c>
      <c r="U53" s="104" t="n">
        <f aca="false">U45*U51</f>
        <v>1552.76723245236</v>
      </c>
      <c r="V53" s="104" t="n">
        <f aca="false">V45*V51</f>
        <v>2396.45848328774</v>
      </c>
      <c r="W53" s="104" t="n">
        <f aca="false">W45*W51</f>
        <v>3325.82916949795</v>
      </c>
      <c r="X53" s="104" t="n">
        <f aca="false">X45*X51</f>
        <v>4083.25103132873</v>
      </c>
      <c r="Y53" s="104" t="n">
        <f aca="false">Y45*Y51</f>
        <v>4534.92449516045</v>
      </c>
      <c r="Z53" s="104" t="n">
        <f aca="false">Z45*Z51</f>
        <v>5328.91776839809</v>
      </c>
      <c r="AA53" s="104" t="n">
        <f aca="false">AA45*AA51</f>
        <v>6226.53557050256</v>
      </c>
      <c r="AB53" s="104" t="n">
        <f aca="false">AB45*AB51</f>
        <v>7183.49725350818</v>
      </c>
      <c r="AC53" s="104" t="n">
        <f aca="false">AC45*AC51</f>
        <v>8043.33802383036</v>
      </c>
      <c r="AD53" s="104" t="n">
        <f aca="false">AD45*AD51</f>
        <v>9050.26164881292</v>
      </c>
      <c r="AE53" s="104" t="n">
        <f aca="false">AE45*AE51</f>
        <v>10307.2299001471</v>
      </c>
      <c r="AF53" s="104" t="n">
        <f aca="false">AF45*AF51</f>
        <v>10258.3350393367</v>
      </c>
      <c r="AG53" s="104" t="n">
        <f aca="false">AG45*AG51</f>
        <v>10089.661216687</v>
      </c>
      <c r="AI53" s="104" t="n">
        <f aca="false">SUMIF($F$7:$AG$7,AI$7,$F53:$AG53)</f>
        <v>219.723999610165</v>
      </c>
      <c r="AJ53" s="104" t="n">
        <f aca="false">SUMIF($F$7:$AG$7,AJ$7,$F53:$AG53)</f>
        <v>580.417928866023</v>
      </c>
      <c r="AK53" s="104" t="n">
        <f aca="false">SUMIF($F$7:$AG$7,AK$7,$F53:$AG53)</f>
        <v>1149.8449824297</v>
      </c>
      <c r="AL53" s="104" t="n">
        <f aca="false">SUMIF($F$7:$AG$7,AL$7,$F53:$AG53)</f>
        <v>4220.31138708398</v>
      </c>
      <c r="AM53" s="104" t="n">
        <f aca="false">SUMIF($F$7:$AG$7,AM$7,$F53:$AG53)</f>
        <v>14340.4631792749</v>
      </c>
      <c r="AN53" s="104" t="n">
        <f aca="false">SUMIF($F$7:$AG$7,AN$7,$F53:$AG53)</f>
        <v>26782.2886162392</v>
      </c>
      <c r="AO53" s="104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2278</v>
      </c>
      <c r="B54" s="24" t="s">
        <v>745</v>
      </c>
      <c r="C54" s="24" t="s">
        <v>672</v>
      </c>
      <c r="D54" s="24"/>
      <c r="F54" s="132" t="n">
        <f aca="false">F49*F52</f>
        <v>12.0055975835382</v>
      </c>
      <c r="G54" s="132" t="n">
        <f aca="false">G49*G52</f>
        <v>12.0055975835382</v>
      </c>
      <c r="H54" s="132" t="n">
        <f aca="false">H49*H52</f>
        <v>12.1375272273134</v>
      </c>
      <c r="I54" s="132" t="n">
        <f aca="false">I49*I52</f>
        <v>13.3514569722459</v>
      </c>
      <c r="J54" s="132" t="n">
        <f aca="false">J49*J52</f>
        <v>16.0899327006383</v>
      </c>
      <c r="K54" s="132" t="n">
        <f aca="false">K49*K52</f>
        <v>21.0117656242192</v>
      </c>
      <c r="L54" s="132" t="n">
        <f aca="false">L49*L52</f>
        <v>25.1937271328489</v>
      </c>
      <c r="M54" s="132" t="n">
        <f aca="false">M49*M52</f>
        <v>38.5297875091542</v>
      </c>
      <c r="N54" s="132" t="n">
        <f aca="false">N49*N52</f>
        <v>38.8585946316417</v>
      </c>
      <c r="O54" s="132" t="n">
        <f aca="false">O49*O52</f>
        <v>39.9259657345207</v>
      </c>
      <c r="P54" s="104" t="n">
        <f aca="false">P49*P52</f>
        <v>44.5178735171593</v>
      </c>
      <c r="Q54" s="104" t="n">
        <f aca="false">Q49*Q52</f>
        <v>55.2816036129748</v>
      </c>
      <c r="R54" s="104" t="n">
        <f aca="false">R49*R52</f>
        <v>80.0740038697635</v>
      </c>
      <c r="S54" s="104" t="n">
        <f aca="false">S49*S52</f>
        <v>139.735377857896</v>
      </c>
      <c r="T54" s="104" t="n">
        <f aca="false">T49*T52</f>
        <v>198.969943786288</v>
      </c>
      <c r="U54" s="104" t="n">
        <f aca="false">U49*U52</f>
        <v>239.055683692147</v>
      </c>
      <c r="V54" s="104" t="n">
        <f aca="false">V49*V52</f>
        <v>384.068045986031</v>
      </c>
      <c r="W54" s="104" t="n">
        <f aca="false">W49*W52</f>
        <v>532.392633891527</v>
      </c>
      <c r="X54" s="104" t="n">
        <f aca="false">X49*X52</f>
        <v>653.072098364353</v>
      </c>
      <c r="Y54" s="104" t="n">
        <f aca="false">Y49*Y52</f>
        <v>725.00443349685</v>
      </c>
      <c r="Z54" s="104" t="n">
        <f aca="false">Z49*Z52</f>
        <v>851.559615185554</v>
      </c>
      <c r="AA54" s="104" t="n">
        <f aca="false">AA49*AA52</f>
        <v>994.703248062594</v>
      </c>
      <c r="AB54" s="104" t="n">
        <f aca="false">AB49*AB52</f>
        <v>1147.18022036843</v>
      </c>
      <c r="AC54" s="104" t="n">
        <f aca="false">AC49*AC52</f>
        <v>1284.1542780658</v>
      </c>
      <c r="AD54" s="104" t="n">
        <f aca="false">AD49*AD52</f>
        <v>1444.51502020581</v>
      </c>
      <c r="AE54" s="104" t="n">
        <f aca="false">AE49*AE52</f>
        <v>1644.80009996438</v>
      </c>
      <c r="AF54" s="104" t="n">
        <f aca="false">AF49*AF52</f>
        <v>1636.993809639</v>
      </c>
      <c r="AG54" s="104" t="n">
        <f aca="false">AG49*AG52</f>
        <v>1610.06427726332</v>
      </c>
      <c r="AI54" s="104" t="n">
        <f aca="false">SUMIF($F$7:$AG$7,AI$7,$F54:$AG54)</f>
        <v>49.5001793666358</v>
      </c>
      <c r="AJ54" s="104" t="n">
        <f aca="false">SUMIF($F$7:$AG$7,AJ$7,$F54:$AG54)</f>
        <v>100.825212966861</v>
      </c>
      <c r="AK54" s="104" t="n">
        <f aca="false">SUMIF($F$7:$AG$7,AK$7,$F54:$AG54)</f>
        <v>178.584037496296</v>
      </c>
      <c r="AL54" s="104" t="n">
        <f aca="false">SUMIF($F$7:$AG$7,AL$7,$F54:$AG54)</f>
        <v>657.835009206095</v>
      </c>
      <c r="AM54" s="104" t="n">
        <f aca="false">SUMIF($F$7:$AG$7,AM$7,$F54:$AG54)</f>
        <v>2294.53721173876</v>
      </c>
      <c r="AN54" s="104" t="n">
        <f aca="false">SUMIF($F$7:$AG$7,AN$7,$F54:$AG54)</f>
        <v>4277.59736168238</v>
      </c>
      <c r="AO54" s="104" t="n">
        <f aca="false">SUMIF($F$7:$AG$7,AO$7,$F54:$AG54)</f>
        <v>6336.37320707251</v>
      </c>
    </row>
    <row r="56" customFormat="false" ht="15" hidden="false" customHeight="false" outlineLevel="0" collapsed="false">
      <c r="A56" s="64" t="s">
        <v>2279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customFormat="false" ht="15" hidden="false" customHeight="false" outlineLevel="0" collapsed="false">
      <c r="A57" s="112" t="s">
        <v>2280</v>
      </c>
      <c r="B57" s="24" t="s">
        <v>956</v>
      </c>
      <c r="C57" s="24" t="s">
        <v>672</v>
      </c>
      <c r="D57" s="24"/>
      <c r="F57" s="116" t="n">
        <f aca="false">IF(F$5&lt;NewDealIdx,F36,MIN(F36,INDEX($F$36:$AG$36,1,NewDealIdx-1)))</f>
        <v>13713</v>
      </c>
      <c r="G57" s="116" t="n">
        <f aca="false">IF(G$5&lt;NewDealIdx,G36,MIN(G36,INDEX($F$36:$AG$36,1,NewDealIdx-1)))</f>
        <v>13713</v>
      </c>
      <c r="H57" s="116" t="n">
        <f aca="false">IF(H$5&lt;NewDealIdx,H36,MIN(H36,INDEX($F$36:$AG$36,1,NewDealIdx-1)))</f>
        <v>13713</v>
      </c>
      <c r="I57" s="116" t="n">
        <f aca="false">IF(I$5&lt;NewDealIdx,I36,MIN(I36,INDEX($F$36:$AG$36,1,NewDealIdx-1)))</f>
        <v>15084.5</v>
      </c>
      <c r="J57" s="116" t="n">
        <f aca="false">IF(J$5&lt;NewDealIdx,J36,MIN(J36,INDEX($F$36:$AG$36,1,NewDealIdx-1)))</f>
        <v>23228</v>
      </c>
      <c r="K57" s="116" t="n">
        <f aca="false">IF(K$5&lt;NewDealIdx,K36,MIN(K36,INDEX($F$36:$AG$36,1,NewDealIdx-1)))</f>
        <v>30000</v>
      </c>
      <c r="L57" s="116" t="n">
        <f aca="false">IF(L$5&lt;NewDealIdx,L36,MIN(L36,INDEX($F$36:$AG$36,1,NewDealIdx-1)))</f>
        <v>30000</v>
      </c>
      <c r="M57" s="116" t="n">
        <f aca="false">IF(M$5&lt;NewDealIdx,M36,MIN(M36,INDEX($F$36:$AG$36,1,NewDealIdx-1)))</f>
        <v>30000</v>
      </c>
      <c r="N57" s="116" t="n">
        <f aca="false">IF(N$5&lt;NewDealIdx,N36,MIN(N36,INDEX($F$36:$AG$36,1,NewDealIdx-1)))</f>
        <v>30000</v>
      </c>
      <c r="O57" s="116" t="n">
        <f aca="false">IF(O$5&lt;NewDealIdx,O36,MIN(O36,INDEX($F$36:$AG$36,1,NewDealIdx-1)))</f>
        <v>30000</v>
      </c>
      <c r="P57" s="35" t="n">
        <f aca="false">IF(P$5&lt;NewDealIdx,P36,MIN(P36,INDEX($F$36:$AG$36,1,NewDealIdx-1)))</f>
        <v>30000</v>
      </c>
      <c r="Q57" s="35" t="n">
        <f aca="false">IF(Q$5&lt;NewDealIdx,Q36,MIN(Q36,INDEX($F$36:$AG$36,1,NewDealIdx-1)))</f>
        <v>30000</v>
      </c>
      <c r="R57" s="35" t="n">
        <f aca="false">IF(R$5&lt;NewDealIdx,R36,MIN(R36,INDEX($F$36:$AG$36,1,NewDealIdx-1)))</f>
        <v>30000</v>
      </c>
      <c r="S57" s="35" t="n">
        <f aca="false">IF(S$5&lt;NewDealIdx,S36,MIN(S36,INDEX($F$36:$AG$36,1,NewDealIdx-1)))</f>
        <v>30000</v>
      </c>
      <c r="T57" s="35" t="n">
        <f aca="false">IF(T$5&lt;NewDealIdx,T36,MIN(T36,INDEX($F$36:$AG$36,1,NewDealIdx-1)))</f>
        <v>30000</v>
      </c>
      <c r="U57" s="35" t="n">
        <f aca="false">IF(U$5&lt;NewDealIdx,U36,MIN(U36,INDEX($F$36:$AG$36,1,NewDealIdx-1)))</f>
        <v>30000</v>
      </c>
      <c r="V57" s="35" t="n">
        <f aca="false">IF(V$5&lt;NewDealIdx,V36,MIN(V36,INDEX($F$36:$AG$36,1,NewDealIdx-1)))</f>
        <v>30000</v>
      </c>
      <c r="W57" s="35" t="n">
        <f aca="false">IF(W$5&lt;NewDealIdx,W36,MIN(W36,INDEX($F$36:$AG$36,1,NewDealIdx-1)))</f>
        <v>30000</v>
      </c>
      <c r="X57" s="35" t="n">
        <f aca="false">IF(X$5&lt;NewDealIdx,X36,MIN(X36,INDEX($F$36:$AG$36,1,NewDealIdx-1)))</f>
        <v>30000</v>
      </c>
      <c r="Y57" s="35" t="n">
        <f aca="false">IF(Y$5&lt;NewDealIdx,Y36,MIN(Y36,INDEX($F$36:$AG$36,1,NewDealIdx-1)))</f>
        <v>30000</v>
      </c>
      <c r="Z57" s="35" t="n">
        <f aca="false">IF(Z$5&lt;NewDealIdx,Z36,MIN(Z36,INDEX($F$36:$AG$36,1,NewDealIdx-1)))</f>
        <v>30000</v>
      </c>
      <c r="AA57" s="35" t="n">
        <f aca="false">IF(AA$5&lt;NewDealIdx,AA36,MIN(AA36,INDEX($F$36:$AG$36,1,NewDealIdx-1)))</f>
        <v>30000</v>
      </c>
      <c r="AB57" s="35" t="n">
        <f aca="false">IF(AB$5&lt;NewDealIdx,AB36,MIN(AB36,INDEX($F$36:$AG$36,1,NewDealIdx-1)))</f>
        <v>30000</v>
      </c>
      <c r="AC57" s="35" t="n">
        <f aca="false">IF(AC$5&lt;NewDealIdx,AC36,MIN(AC36,INDEX($F$36:$AG$36,1,NewDealIdx-1)))</f>
        <v>30000</v>
      </c>
      <c r="AD57" s="35" t="n">
        <f aca="false">IF(AD$5&lt;NewDealIdx,AD36,MIN(AD36,INDEX($F$36:$AG$36,1,NewDealIdx-1)))</f>
        <v>30000</v>
      </c>
      <c r="AE57" s="35" t="n">
        <f aca="false">IF(AE$5&lt;NewDealIdx,AE36,MIN(AE36,INDEX($F$36:$AG$36,1,NewDealIdx-1)))</f>
        <v>30000</v>
      </c>
      <c r="AF57" s="35" t="n">
        <f aca="false">IF(AF$5&lt;NewDealIdx,AF36,MIN(AF36,INDEX($F$36:$AG$36,1,NewDealIdx-1)))</f>
        <v>30000</v>
      </c>
      <c r="AG57" s="35" t="n">
        <f aca="false">IF(AG$5&lt;NewDealIdx,AG36,MIN(AG36,INDEX($F$36:$AG$36,1,NewDealIdx-1)))</f>
        <v>30000</v>
      </c>
      <c r="AI57" s="35" t="n">
        <f aca="false">AVERAGEIF($F$7:$AG$7,AI$7,$F57:$AG57)</f>
        <v>14055.875</v>
      </c>
      <c r="AJ57" s="35" t="n">
        <f aca="false">AVERAGEIF($F$7:$AG$7,AJ$7,$F57:$AG57)</f>
        <v>28307</v>
      </c>
      <c r="AK57" s="35" t="n">
        <f aca="false">AVERAGEIF($F$7:$AG$7,AK$7,$F57:$AG57)</f>
        <v>30000</v>
      </c>
      <c r="AL57" s="35" t="n">
        <f aca="false">AVERAGEIF($F$7:$AG$7,AL$7,$F57:$AG57)</f>
        <v>30000</v>
      </c>
      <c r="AM57" s="35" t="n">
        <f aca="false">AVERAGEIF($F$7:$AG$7,AM$7,$F57:$AG57)</f>
        <v>30000</v>
      </c>
      <c r="AN57" s="35" t="n">
        <f aca="false">AVERAGEIF($F$7:$AG$7,AN$7,$F57:$AG57)</f>
        <v>30000</v>
      </c>
      <c r="AO57" s="35" t="n">
        <f aca="false">AVERAGEIF($F$7:$AG$7,AO$7,$F57:$AG57)</f>
        <v>30000</v>
      </c>
    </row>
    <row r="58" customFormat="false" ht="15" hidden="false" customHeight="false" outlineLevel="0" collapsed="false">
      <c r="A58" s="112" t="s">
        <v>2281</v>
      </c>
      <c r="B58" s="24" t="s">
        <v>956</v>
      </c>
      <c r="C58" s="24" t="s">
        <v>672</v>
      </c>
      <c r="D58" s="24"/>
      <c r="F58" s="116" t="n">
        <f aca="false">IF(F$5&lt;NewDealIdx,F37,MIN(F37,INDEX($F$37:$AG$37,1,NewDealIdx-1)))</f>
        <v>0</v>
      </c>
      <c r="G58" s="116" t="n">
        <f aca="false">IF(G$5&lt;NewDealIdx,G37,MIN(G37,INDEX($F$37:$AG$37,1,NewDealIdx-1)))</f>
        <v>0</v>
      </c>
      <c r="H58" s="116" t="n">
        <f aca="false">IF(H$5&lt;NewDealIdx,H37,MIN(H37,INDEX($F$37:$AG$37,1,NewDealIdx-1)))</f>
        <v>0</v>
      </c>
      <c r="I58" s="116" t="n">
        <f aca="false">IF(I$5&lt;NewDealIdx,I37,MIN(I37,INDEX($F$37:$AG$37,1,NewDealIdx-1)))</f>
        <v>0</v>
      </c>
      <c r="J58" s="116" t="n">
        <f aca="false">IF(J$5&lt;NewDealIdx,J37,MIN(J37,INDEX($F$37:$AG$37,1,NewDealIdx-1)))</f>
        <v>0</v>
      </c>
      <c r="K58" s="116" t="n">
        <f aca="false">IF(K$5&lt;NewDealIdx,K37,MIN(K37,INDEX($F$37:$AG$37,1,NewDealIdx-1)))</f>
        <v>0</v>
      </c>
      <c r="L58" s="116" t="n">
        <f aca="false">IF(L$5&lt;NewDealIdx,L37,MIN(L37,INDEX($F$37:$AG$37,1,NewDealIdx-1)))</f>
        <v>2558</v>
      </c>
      <c r="M58" s="116" t="n">
        <f aca="false">IF(M$5&lt;NewDealIdx,M37,MIN(M37,INDEX($F$37:$AG$37,1,NewDealIdx-1)))</f>
        <v>11192.0416666667</v>
      </c>
      <c r="N58" s="116" t="n">
        <f aca="false">IF(N$5&lt;NewDealIdx,N37,MIN(N37,INDEX($F$37:$AG$37,1,NewDealIdx-1)))</f>
        <v>15704.625</v>
      </c>
      <c r="O58" s="116" t="n">
        <f aca="false">IF(O$5&lt;NewDealIdx,O37,MIN(O37,INDEX($F$37:$AG$37,1,NewDealIdx-1)))</f>
        <v>16181.1666666667</v>
      </c>
      <c r="P58" s="35" t="n">
        <f aca="false">IF(P$5&lt;NewDealIdx,P37,MIN(P37,INDEX($F$37:$AG$37,1,NewDealIdx-1)))</f>
        <v>18221.1666666667</v>
      </c>
      <c r="Q58" s="35" t="n">
        <f aca="false">IF(Q$5&lt;NewDealIdx,Q37,MIN(Q37,INDEX($F$37:$AG$37,1,NewDealIdx-1)))</f>
        <v>19549.1666666667</v>
      </c>
      <c r="R58" s="35" t="n">
        <f aca="false">IF(R$5&lt;NewDealIdx,R37,MIN(R37,INDEX($F$37:$AG$37,1,NewDealIdx-1)))</f>
        <v>19549.1666666667</v>
      </c>
      <c r="S58" s="35" t="n">
        <f aca="false">IF(S$5&lt;NewDealIdx,S37,MIN(S37,INDEX($F$37:$AG$37,1,NewDealIdx-1)))</f>
        <v>19549.1666666667</v>
      </c>
      <c r="T58" s="35" t="n">
        <f aca="false">IF(T$5&lt;NewDealIdx,T37,MIN(T37,INDEX($F$37:$AG$37,1,NewDealIdx-1)))</f>
        <v>19549.1666666667</v>
      </c>
      <c r="U58" s="35" t="n">
        <f aca="false">IF(U$5&lt;NewDealIdx,U37,MIN(U37,INDEX($F$37:$AG$37,1,NewDealIdx-1)))</f>
        <v>19549.1666666667</v>
      </c>
      <c r="V58" s="35" t="n">
        <f aca="false">IF(V$5&lt;NewDealIdx,V37,MIN(V37,INDEX($F$37:$AG$37,1,NewDealIdx-1)))</f>
        <v>19549.1666666667</v>
      </c>
      <c r="W58" s="35" t="n">
        <f aca="false">IF(W$5&lt;NewDealIdx,W37,MIN(W37,INDEX($F$37:$AG$37,1,NewDealIdx-1)))</f>
        <v>19549.1666666667</v>
      </c>
      <c r="X58" s="35" t="n">
        <f aca="false">IF(X$5&lt;NewDealIdx,X37,MIN(X37,INDEX($F$37:$AG$37,1,NewDealIdx-1)))</f>
        <v>19549.1666666667</v>
      </c>
      <c r="Y58" s="35" t="n">
        <f aca="false">IF(Y$5&lt;NewDealIdx,Y37,MIN(Y37,INDEX($F$37:$AG$37,1,NewDealIdx-1)))</f>
        <v>19549.1666666667</v>
      </c>
      <c r="Z58" s="35" t="n">
        <f aca="false">IF(Z$5&lt;NewDealIdx,Z37,MIN(Z37,INDEX($F$37:$AG$37,1,NewDealIdx-1)))</f>
        <v>19549.1666666667</v>
      </c>
      <c r="AA58" s="35" t="n">
        <f aca="false">IF(AA$5&lt;NewDealIdx,AA37,MIN(AA37,INDEX($F$37:$AG$37,1,NewDealIdx-1)))</f>
        <v>19549.1666666667</v>
      </c>
      <c r="AB58" s="35" t="n">
        <f aca="false">IF(AB$5&lt;NewDealIdx,AB37,MIN(AB37,INDEX($F$37:$AG$37,1,NewDealIdx-1)))</f>
        <v>19549.1666666667</v>
      </c>
      <c r="AC58" s="35" t="n">
        <f aca="false">IF(AC$5&lt;NewDealIdx,AC37,MIN(AC37,INDEX($F$37:$AG$37,1,NewDealIdx-1)))</f>
        <v>19549.1666666667</v>
      </c>
      <c r="AD58" s="35" t="n">
        <f aca="false">IF(AD$5&lt;NewDealIdx,AD37,MIN(AD37,INDEX($F$37:$AG$37,1,NewDealIdx-1)))</f>
        <v>19549.1666666667</v>
      </c>
      <c r="AE58" s="35" t="n">
        <f aca="false">IF(AE$5&lt;NewDealIdx,AE37,MIN(AE37,INDEX($F$37:$AG$37,1,NewDealIdx-1)))</f>
        <v>19549.1666666667</v>
      </c>
      <c r="AF58" s="35" t="n">
        <f aca="false">IF(AF$5&lt;NewDealIdx,AF37,MIN(AF37,INDEX($F$37:$AG$37,1,NewDealIdx-1)))</f>
        <v>19549.1666666667</v>
      </c>
      <c r="AG58" s="35" t="n">
        <f aca="false">IF(AG$5&lt;NewDealIdx,AG37,MIN(AG37,INDEX($F$37:$AG$37,1,NewDealIdx-1)))</f>
        <v>19549.1666666667</v>
      </c>
      <c r="AI58" s="35" t="n">
        <f aca="false">AVERAGEIF($F$7:$AG$7,AI$7,$F58:$AG58)</f>
        <v>0</v>
      </c>
      <c r="AJ58" s="35" t="n">
        <f aca="false">AVERAGEIF($F$7:$AG$7,AJ$7,$F58:$AG58)</f>
        <v>3437.51041666667</v>
      </c>
      <c r="AK58" s="35" t="n">
        <f aca="false">AVERAGEIF($F$7:$AG$7,AK$7,$F58:$AG58)</f>
        <v>17414.03125</v>
      </c>
      <c r="AL58" s="35" t="n">
        <f aca="false">AVERAGEIF($F$7:$AG$7,AL$7,$F58:$AG58)</f>
        <v>19549.1666666667</v>
      </c>
      <c r="AM58" s="35" t="n">
        <f aca="false">AVERAGEIF($F$7:$AG$7,AM$7,$F58:$AG58)</f>
        <v>19549.1666666667</v>
      </c>
      <c r="AN58" s="35" t="n">
        <f aca="false">AVERAGEIF($F$7:$AG$7,AN$7,$F58:$AG58)</f>
        <v>19549.1666666667</v>
      </c>
      <c r="AO58" s="35" t="n">
        <f aca="false">AVERAGEIF($F$7:$AG$7,AO$7,$F58:$AG58)</f>
        <v>19549.1666666667</v>
      </c>
    </row>
    <row r="59" customFormat="false" ht="15" hidden="false" customHeight="false" outlineLevel="0" collapsed="false">
      <c r="A59" s="112" t="s">
        <v>2282</v>
      </c>
      <c r="B59" s="24" t="s">
        <v>956</v>
      </c>
      <c r="C59" s="24" t="s">
        <v>672</v>
      </c>
      <c r="D59" s="24"/>
      <c r="F59" s="116" t="n">
        <f aca="false">IF(F$5&lt;NewDealIdx,F38,MIN(F38,INDEX($F$38:$AG$38,1,NewDealIdx-1)))</f>
        <v>0</v>
      </c>
      <c r="G59" s="116" t="n">
        <f aca="false">IF(G$5&lt;NewDealIdx,G38,MIN(G38,INDEX($F$38:$AG$38,1,NewDealIdx-1)))</f>
        <v>0</v>
      </c>
      <c r="H59" s="116" t="n">
        <f aca="false">IF(H$5&lt;NewDealIdx,H38,MIN(H38,INDEX($F$38:$AG$38,1,NewDealIdx-1)))</f>
        <v>0</v>
      </c>
      <c r="I59" s="116" t="n">
        <f aca="false">IF(I$5&lt;NewDealIdx,I38,MIN(I38,INDEX($F$38:$AG$38,1,NewDealIdx-1)))</f>
        <v>0</v>
      </c>
      <c r="J59" s="116" t="n">
        <f aca="false">IF(J$5&lt;NewDealIdx,J38,MIN(J38,INDEX($F$38:$AG$38,1,NewDealIdx-1)))</f>
        <v>0</v>
      </c>
      <c r="K59" s="116" t="n">
        <f aca="false">IF(K$5&lt;NewDealIdx,K38,MIN(K38,INDEX($F$38:$AG$38,1,NewDealIdx-1)))</f>
        <v>0</v>
      </c>
      <c r="L59" s="116" t="n">
        <f aca="false">IF(L$5&lt;NewDealIdx,L38,MIN(L38,INDEX($F$38:$AG$38,1,NewDealIdx-1)))</f>
        <v>0</v>
      </c>
      <c r="M59" s="116" t="n">
        <f aca="false">IF(M$5&lt;NewDealIdx,M38,MIN(M38,INDEX($F$38:$AG$38,1,NewDealIdx-1)))</f>
        <v>0</v>
      </c>
      <c r="N59" s="116" t="n">
        <f aca="false">IF(N$5&lt;NewDealIdx,N38,MIN(N38,INDEX($F$38:$AG$38,1,NewDealIdx-1)))</f>
        <v>0</v>
      </c>
      <c r="O59" s="116" t="n">
        <f aca="false">IF(O$5&lt;NewDealIdx,O38,MIN(O38,INDEX($F$38:$AG$38,1,NewDealIdx-1)))</f>
        <v>0</v>
      </c>
      <c r="P59" s="35" t="n">
        <f aca="false">IF(P$5&lt;NewDealIdx,P38,MIN(P38,INDEX($F$38:$AG$38,1,NewDealIdx-1)))</f>
        <v>0</v>
      </c>
      <c r="Q59" s="35" t="n">
        <f aca="false">IF(Q$5&lt;NewDealIdx,Q38,MIN(Q38,INDEX($F$38:$AG$38,1,NewDealIdx-1)))</f>
        <v>0</v>
      </c>
      <c r="R59" s="35" t="n">
        <f aca="false">IF(R$5&lt;NewDealIdx,R38,MIN(R38,INDEX($F$38:$AG$38,1,NewDealIdx-1)))</f>
        <v>0</v>
      </c>
      <c r="S59" s="35" t="n">
        <f aca="false">IF(S$5&lt;NewDealIdx,S38,MIN(S38,INDEX($F$38:$AG$38,1,NewDealIdx-1)))</f>
        <v>0</v>
      </c>
      <c r="T59" s="35" t="n">
        <f aca="false">IF(T$5&lt;NewDealIdx,T38,MIN(T38,INDEX($F$38:$AG$38,1,NewDealIdx-1)))</f>
        <v>0</v>
      </c>
      <c r="U59" s="35" t="n">
        <f aca="false">IF(U$5&lt;NewDealIdx,U38,MIN(U38,INDEX($F$38:$AG$38,1,NewDealIdx-1)))</f>
        <v>0</v>
      </c>
      <c r="V59" s="35" t="n">
        <f aca="false">IF(V$5&lt;NewDealIdx,V38,MIN(V38,INDEX($F$38:$AG$38,1,NewDealIdx-1)))</f>
        <v>0</v>
      </c>
      <c r="W59" s="35" t="n">
        <f aca="false">IF(W$5&lt;NewDealIdx,W38,MIN(W38,INDEX($F$38:$AG$38,1,NewDealIdx-1)))</f>
        <v>0</v>
      </c>
      <c r="X59" s="35" t="n">
        <f aca="false">IF(X$5&lt;NewDealIdx,X38,MIN(X38,INDEX($F$38:$AG$38,1,NewDealIdx-1)))</f>
        <v>0</v>
      </c>
      <c r="Y59" s="35" t="n">
        <f aca="false">IF(Y$5&lt;NewDealIdx,Y38,MIN(Y38,INDEX($F$38:$AG$38,1,NewDealIdx-1)))</f>
        <v>0</v>
      </c>
      <c r="Z59" s="35" t="n">
        <f aca="false">IF(Z$5&lt;NewDealIdx,Z38,MIN(Z38,INDEX($F$38:$AG$38,1,NewDealIdx-1)))</f>
        <v>0</v>
      </c>
      <c r="AA59" s="35" t="n">
        <f aca="false">IF(AA$5&lt;NewDealIdx,AA38,MIN(AA38,INDEX($F$38:$AG$38,1,NewDealIdx-1)))</f>
        <v>0</v>
      </c>
      <c r="AB59" s="35" t="n">
        <f aca="false">IF(AB$5&lt;NewDealIdx,AB38,MIN(AB38,INDEX($F$38:$AG$38,1,NewDealIdx-1)))</f>
        <v>0</v>
      </c>
      <c r="AC59" s="35" t="n">
        <f aca="false">IF(AC$5&lt;NewDealIdx,AC38,MIN(AC38,INDEX($F$38:$AG$38,1,NewDealIdx-1)))</f>
        <v>0</v>
      </c>
      <c r="AD59" s="35" t="n">
        <f aca="false">IF(AD$5&lt;NewDealIdx,AD38,MIN(AD38,INDEX($F$38:$AG$38,1,NewDealIdx-1)))</f>
        <v>0</v>
      </c>
      <c r="AE59" s="35" t="n">
        <f aca="false">IF(AE$5&lt;NewDealIdx,AE38,MIN(AE38,INDEX($F$38:$AG$38,1,NewDealIdx-1)))</f>
        <v>0</v>
      </c>
      <c r="AF59" s="35" t="n">
        <f aca="false">IF(AF$5&lt;NewDealIdx,AF38,MIN(AF38,INDEX($F$38:$AG$38,1,NewDealIdx-1)))</f>
        <v>0</v>
      </c>
      <c r="AG59" s="35" t="n">
        <f aca="false">IF(AG$5&lt;NewDealIdx,AG38,MIN(AG38,INDEX($F$38:$AG$38,1,NewDealIdx-1)))</f>
        <v>0</v>
      </c>
      <c r="AI59" s="35" t="n">
        <f aca="false">AVERAGEIF($F$7:$AG$7,AI$7,$F59:$AG59)</f>
        <v>0</v>
      </c>
      <c r="AJ59" s="35" t="n">
        <f aca="false">AVERAGEIF($F$7:$AG$7,AJ$7,$F59:$AG59)</f>
        <v>0</v>
      </c>
      <c r="AK59" s="35" t="n">
        <f aca="false">AVERAGEIF($F$7:$AG$7,AK$7,$F59:$AG59)</f>
        <v>0</v>
      </c>
      <c r="AL59" s="35" t="n">
        <f aca="false">AVERAGEIF($F$7:$AG$7,AL$7,$F59:$AG59)</f>
        <v>0</v>
      </c>
      <c r="AM59" s="35" t="n">
        <f aca="false">AVERAGEIF($F$7:$AG$7,AM$7,$F59:$AG59)</f>
        <v>0</v>
      </c>
      <c r="AN59" s="35" t="n">
        <f aca="false">AVERAGEIF($F$7:$AG$7,AN$7,$F59:$AG59)</f>
        <v>0</v>
      </c>
      <c r="AO59" s="35" t="n">
        <f aca="false">AVERAGEIF($F$7:$AG$7,AO$7,$F59:$AG59)</f>
        <v>0</v>
      </c>
    </row>
    <row r="60" customFormat="false" ht="15" hidden="false" customHeight="false" outlineLevel="0" collapsed="false">
      <c r="A60" s="112" t="s">
        <v>2283</v>
      </c>
      <c r="B60" s="24" t="s">
        <v>745</v>
      </c>
      <c r="C60" s="24" t="s">
        <v>672</v>
      </c>
      <c r="D60" s="24"/>
      <c r="F60" s="130" t="n">
        <f aca="false">IF(F36&gt;0,F57/F36,0)*(F42*F51+F46*F52)+IF(F37&gt;0,F58/F37,0)*(F43*F51+F47*F52)+IF(F38&gt;0,F59/F38,0)*(F44*F51+F48*F52)</f>
        <v>65.2966755658367</v>
      </c>
      <c r="G60" s="130" t="n">
        <f aca="false">IF(G36&gt;0,G57/G36,0)*(G42*G51+G46*G52)+IF(G37&gt;0,G58/G37,0)*(G43*G51+G47*G52)+IF(G38&gt;0,G59/G38,0)*(G44*G51+G48*G52)</f>
        <v>65.2966755658367</v>
      </c>
      <c r="H60" s="130" t="n">
        <f aca="false">IF(H36&gt;0,H57/H36,0)*(H42*H51+H46*H52)+IF(H37&gt;0,H58/H37,0)*(H43*H51+H47*H52)+IF(H38&gt;0,H59/H38,0)*(H44*H51+H48*H52)</f>
        <v>66.0142214511756</v>
      </c>
      <c r="I60" s="130" t="n">
        <f aca="false">IF(I36&gt;0,I57/I36,0)*(I42*I51+I46*I52)+IF(I37&gt;0,I58/I37,0)*(I43*I51+I47*I52)+IF(I38&gt;0,I59/I38,0)*(I44*I51+I48*I52)</f>
        <v>72.6166063939516</v>
      </c>
      <c r="J60" s="130" t="n">
        <f aca="false">IF(J36&gt;0,J57/J36,0)*(J42*J51+J46*J52)+IF(J37&gt;0,J58/J37,0)*(J43*J51+J47*J52)+IF(J38&gt;0,J59/J38,0)*(J44*J51+J48*J52)</f>
        <v>108.516901483042</v>
      </c>
      <c r="K60" s="130" t="n">
        <f aca="false">IF(K36&gt;0,K57/K36,0)*(K42*K51+K46*K52)+IF(K37&gt;0,K58/K37,0)*(K43*K51+K47*K52)+IF(K38&gt;0,K59/K38,0)*(K44*K51+K48*K52)</f>
        <v>141.711699026416</v>
      </c>
      <c r="L60" s="130" t="n">
        <f aca="false">IF(L36&gt;0,L57/L36,0)*(L42*L51+L46*L52)+IF(L37&gt;0,L58/L37,0)*(L43*L51+L47*L52)+IF(L38&gt;0,L59/L38,0)*(L44*L51+L48*L52)</f>
        <v>170.146790371793</v>
      </c>
      <c r="M60" s="130" t="n">
        <f aca="false">IF(M36&gt;0,M57/M36,0)*(M42*M51+M46*M52)+IF(M37&gt;0,M58/M37,0)*(M43*M51+M47*M52)+IF(M38&gt;0,M59/M38,0)*(M44*M51+M48*M52)</f>
        <v>260.867750951633</v>
      </c>
      <c r="N60" s="130" t="n">
        <f aca="false">IF(N36&gt;0,N57/N36,0)*(N42*N51+N46*N52)+IF(N37&gt;0,N58/N37,0)*(N43*N51+N47*N52)+IF(N38&gt;0,N59/N38,0)*(N44*N51+N48*N52)</f>
        <v>301.77162281169</v>
      </c>
      <c r="O60" s="130" t="n">
        <f aca="false">IF(O36&gt;0,O57/O36,0)*(O42*O51+O46*O52)+IF(O37&gt;0,O58/O37,0)*(O43*O51+O47*O52)+IF(O38&gt;0,O59/O38,0)*(O44*O51+O48*O52)</f>
        <v>310.080972222222</v>
      </c>
      <c r="P60" s="131" t="n">
        <f aca="false">IF(P36&gt;0,P57/P36,0)*(P42*P51+P46*P52)+IF(P37&gt;0,P58/P37,0)*(P43*P51+P47*P52)+IF(P38&gt;0,P59/P38,0)*(P44*P51+P48*P52)</f>
        <v>337.54894500733</v>
      </c>
      <c r="Q60" s="131" t="n">
        <f aca="false">IF(Q36&gt;0,Q57/Q36,0)*(Q42*Q51+Q46*Q52)+IF(Q37&gt;0,Q58/Q37,0)*(Q43*Q51+Q47*Q52)+IF(Q38&gt;0,Q59/Q38,0)*(Q44*Q51+Q48*Q52)</f>
        <v>379.02747988475</v>
      </c>
      <c r="R60" s="131" t="n">
        <f aca="false">IF(R36&gt;0,R57/R36,0)*(R42*R51+R46*R52)+IF(R37&gt;0,R58/R37,0)*(R43*R51+R47*R52)+IF(R38&gt;0,R59/R38,0)*(R44*R51+R48*R52)</f>
        <v>378.342573741619</v>
      </c>
      <c r="S60" s="131" t="n">
        <f aca="false">IF(S36&gt;0,S57/S36,0)*(S42*S51+S46*S52)+IF(S37&gt;0,S58/S37,0)*(S43*S51+S47*S52)+IF(S38&gt;0,S59/S38,0)*(S44*S51+S48*S52)</f>
        <v>374.742918618639</v>
      </c>
      <c r="T60" s="131" t="n">
        <f aca="false">IF(T36&gt;0,T57/T36,0)*(T42*T51+T46*T52)+IF(T37&gt;0,T58/T37,0)*(T43*T51+T47*T52)+IF(T38&gt;0,T59/T38,0)*(T44*T51+T48*T52)</f>
        <v>364.903740951444</v>
      </c>
      <c r="U60" s="131" t="n">
        <f aca="false">IF(U36&gt;0,U57/U36,0)*(U42*U51+U46*U52)+IF(U37&gt;0,U58/U37,0)*(U43*U51+U47*U52)+IF(U38&gt;0,U59/U38,0)*(U44*U51+U48*U52)</f>
        <v>348.551790255926</v>
      </c>
      <c r="V60" s="131" t="n">
        <f aca="false">IF(V36&gt;0,V57/V36,0)*(V42*V51+V46*V52)+IF(V37&gt;0,V58/V37,0)*(V43*V51+V47*V52)+IF(V38&gt;0,V59/V38,0)*(V44*V51+V48*V52)</f>
        <v>342.39623374654</v>
      </c>
      <c r="W60" s="131" t="n">
        <f aca="false">IF(W36&gt;0,W57/W36,0)*(W42*W51+W46*W52)+IF(W37&gt;0,W58/W37,0)*(W43*W51+W47*W52)+IF(W38&gt;0,W59/W38,0)*(W44*W51+W48*W52)</f>
        <v>334.00512032514</v>
      </c>
      <c r="X60" s="131" t="n">
        <f aca="false">IF(X36&gt;0,X57/X36,0)*(X42*X51+X46*X52)+IF(X37&gt;0,X58/X37,0)*(X43*X51+X47*X52)+IF(X38&gt;0,X59/X38,0)*(X44*X51+X48*X52)</f>
        <v>328.942715204705</v>
      </c>
      <c r="Y60" s="131" t="n">
        <f aca="false">IF(Y36&gt;0,Y57/Y36,0)*(Y42*Y51+Y46*Y52)+IF(Y37&gt;0,Y58/Y37,0)*(Y43*Y51+Y47*Y52)+IF(Y38&gt;0,Y59/Y38,0)*(Y44*Y51+Y48*Y52)</f>
        <v>320.485297010926</v>
      </c>
      <c r="Z60" s="131" t="n">
        <f aca="false">IF(Z36&gt;0,Z57/Z36,0)*(Z42*Z51+Z46*Z52)+IF(Z37&gt;0,Z58/Z37,0)*(Z43*Z51+Z47*Z52)+IF(Z38&gt;0,Z59/Z38,0)*(Z44*Z51+Z48*Z52)</f>
        <v>305.504410892581</v>
      </c>
      <c r="AA60" s="131" t="n">
        <f aca="false">IF(AA36&gt;0,AA57/AA36,0)*(AA42*AA51+AA46*AA52)+IF(AA37&gt;0,AA58/AA37,0)*(AA43*AA51+AA47*AA52)+IF(AA38&gt;0,AA59/AA38,0)*(AA44*AA51+AA48*AA52)</f>
        <v>301.049304871097</v>
      </c>
      <c r="AB60" s="131" t="n">
        <f aca="false">IF(AB36&gt;0,AB57/AB36,0)*(AB42*AB51+AB46*AB52)+IF(AB37&gt;0,AB58/AB37,0)*(AB43*AB51+AB47*AB52)+IF(AB38&gt;0,AB59/AB38,0)*(AB44*AB51+AB48*AB52)</f>
        <v>296.668602607332</v>
      </c>
      <c r="AC60" s="131" t="n">
        <f aca="false">IF(AC36&gt;0,AC57/AC36,0)*(AC42*AC51+AC46*AC52)+IF(AC37&gt;0,AC58/AC37,0)*(AC43*AC51+AC47*AC52)+IF(AC38&gt;0,AC59/AC38,0)*(AC44*AC51+AC48*AC52)</f>
        <v>289.217817193757</v>
      </c>
      <c r="AD60" s="131" t="n">
        <f aca="false">IF(AD36&gt;0,AD57/AD36,0)*(AD42*AD51+AD46*AD52)+IF(AD37&gt;0,AD58/AD37,0)*(AD43*AD51+AD47*AD52)+IF(AD38&gt;0,AD59/AD38,0)*(AD44*AD51+AD48*AD52)</f>
        <v>275.866380256798</v>
      </c>
      <c r="AE60" s="131" t="n">
        <f aca="false">IF(AE36&gt;0,AE57/AE36,0)*(AE42*AE51+AE46*AE52)+IF(AE37&gt;0,AE58/AE37,0)*(AE43*AE51+AE47*AE52)+IF(AE38&gt;0,AE59/AE38,0)*(AE44*AE51+AE48*AE52)</f>
        <v>272.008164579477</v>
      </c>
      <c r="AF60" s="131" t="n">
        <f aca="false">IF(AF36&gt;0,AF57/AF36,0)*(AF42*AF51+AF46*AF52)+IF(AF37&gt;0,AF58/AF37,0)*(AF43*AF51+AF47*AF52)+IF(AF38&gt;0,AF59/AF38,0)*(AF44*AF51+AF48*AF52)</f>
        <v>268.211569218565</v>
      </c>
      <c r="AG60" s="131" t="n">
        <f aca="false">IF(AG36&gt;0,AG57/AG36,0)*(AG42*AG51+AG46*AG52)+IF(AG37&gt;0,AG58/AG37,0)*(AG43*AG51+AG47*AG52)+IF(AG38&gt;0,AG59/AG38,0)*(AG44*AG51+AG48*AG52)</f>
        <v>261.632140465095</v>
      </c>
      <c r="AI60" s="131" t="n">
        <f aca="false">SUMIF($F$7:$AG$7,AI$7,$F60:$AG60)</f>
        <v>269.224178976801</v>
      </c>
      <c r="AJ60" s="131" t="n">
        <f aca="false">SUMIF($F$7:$AG$7,AJ$7,$F60:$AG60)</f>
        <v>681.243141832884</v>
      </c>
      <c r="AK60" s="131" t="n">
        <f aca="false">SUMIF($F$7:$AG$7,AK$7,$F60:$AG60)</f>
        <v>1328.42901992599</v>
      </c>
      <c r="AL60" s="131" t="n">
        <f aca="false">SUMIF($F$7:$AG$7,AL$7,$F60:$AG60)</f>
        <v>1466.54102356763</v>
      </c>
      <c r="AM60" s="131" t="n">
        <f aca="false">SUMIF($F$7:$AG$7,AM$7,$F60:$AG60)</f>
        <v>1325.82936628731</v>
      </c>
      <c r="AN60" s="131" t="n">
        <f aca="false">SUMIF($F$7:$AG$7,AN$7,$F60:$AG60)</f>
        <v>1192.44013556477</v>
      </c>
      <c r="AO60" s="131" t="n">
        <f aca="false">SUMIF($F$7:$AG$7,AO$7,$F60:$AG60)</f>
        <v>1077.71825451994</v>
      </c>
    </row>
    <row r="61" customFormat="false" ht="15" hidden="false" customHeight="false" outlineLevel="0" collapsed="false">
      <c r="A61" s="112" t="s">
        <v>2284</v>
      </c>
      <c r="B61" s="24" t="s">
        <v>857</v>
      </c>
      <c r="C61" s="24" t="s">
        <v>672</v>
      </c>
      <c r="D61" s="24"/>
      <c r="F61" s="116" t="n">
        <f aca="false">(F36-F57)/GPUMW_H+(F37-F58)/GPUMW_B+(F38-F59)/GPUMW_N</f>
        <v>0</v>
      </c>
      <c r="G61" s="116" t="n">
        <f aca="false">(G36-G57)/GPUMW_H+(G37-G58)/GPUMW_B+(G38-G59)/GPUMW_N</f>
        <v>0</v>
      </c>
      <c r="H61" s="116" t="n">
        <f aca="false">(H36-H57)/GPUMW_H+(H37-H58)/GPUMW_B+(H38-H59)/GPUMW_N</f>
        <v>0</v>
      </c>
      <c r="I61" s="116" t="n">
        <f aca="false">(I36-I57)/GPUMW_H+(I37-I58)/GPUMW_B+(I38-I59)/GPUMW_N</f>
        <v>0</v>
      </c>
      <c r="J61" s="116" t="n">
        <f aca="false">(J36-J57)/GPUMW_H+(J37-J58)/GPUMW_B+(J38-J59)/GPUMW_N</f>
        <v>0</v>
      </c>
      <c r="K61" s="116" t="n">
        <f aca="false">(K36-K57)/GPUMW_H+(K37-K58)/GPUMW_B+(K38-K59)/GPUMW_N</f>
        <v>0</v>
      </c>
      <c r="L61" s="116" t="n">
        <f aca="false">(L36-L57)/GPUMW_H+(L37-L58)/GPUMW_B+(L38-L59)/GPUMW_N</f>
        <v>0</v>
      </c>
      <c r="M61" s="116" t="n">
        <f aca="false">(M36-M57)/GPUMW_H+(M37-M58)/GPUMW_B+(M38-M59)/GPUMW_N</f>
        <v>0</v>
      </c>
      <c r="N61" s="116" t="n">
        <f aca="false">(N36-N57)/GPUMW_H+(N37-N58)/GPUMW_B+(N38-N59)/GPUMW_N</f>
        <v>0</v>
      </c>
      <c r="O61" s="116" t="n">
        <f aca="false">(O36-O57)/GPUMW_H+(O37-O58)/GPUMW_B+(O38-O59)/GPUMW_N</f>
        <v>0</v>
      </c>
      <c r="P61" s="35" t="n">
        <f aca="false">(P36-P57)/GPUMW_H+(P37-P58)/GPUMW_B+(P38-P59)/GPUMW_N</f>
        <v>0</v>
      </c>
      <c r="Q61" s="35" t="n">
        <f aca="false">(Q36-Q57)/GPUMW_H+(Q37-Q58)/GPUMW_B+(Q38-Q59)/GPUMW_N</f>
        <v>0</v>
      </c>
      <c r="R61" s="35" t="n">
        <f aca="false">(R36-R57)/GPUMW_H+(R37-R58)/GPUMW_B+(R38-R59)/GPUMW_N</f>
        <v>33.478</v>
      </c>
      <c r="S61" s="35" t="n">
        <f aca="false">(S36-S57)/GPUMW_H+(S37-S58)/GPUMW_B+(S38-S59)/GPUMW_N</f>
        <v>116.475625</v>
      </c>
      <c r="T61" s="35" t="n">
        <f aca="false">(T36-T57)/GPUMW_H+(T37-T58)/GPUMW_B+(T38-T59)/GPUMW_N</f>
        <v>208.836625</v>
      </c>
      <c r="U61" s="35" t="n">
        <f aca="false">(U36-U57)/GPUMW_H+(U37-U58)/GPUMW_B+(U38-U59)/GPUMW_N</f>
        <v>285.731979166667</v>
      </c>
      <c r="V61" s="35" t="n">
        <f aca="false">(V36-V57)/GPUMW_H+(V37-V58)/GPUMW_B+(V38-V59)/GPUMW_N</f>
        <v>445.613020833333</v>
      </c>
      <c r="W61" s="35" t="n">
        <f aca="false">(W36-W57)/GPUMW_H+(W37-W58)/GPUMW_B+(W38-W59)/GPUMW_N</f>
        <v>616.752833333334</v>
      </c>
      <c r="X61" s="35" t="n">
        <f aca="false">(X36-X57)/GPUMW_H+(X37-X58)/GPUMW_B+(X38-X59)/GPUMW_N</f>
        <v>746.071583333334</v>
      </c>
      <c r="Y61" s="35" t="n">
        <f aca="false">(Y36-Y57)/GPUMW_H+(Y37-Y58)/GPUMW_B+(Y38-Y59)/GPUMW_N</f>
        <v>833.671583333334</v>
      </c>
      <c r="Z61" s="35" t="n">
        <f aca="false">(Z36-Z57)/GPUMW_H+(Z37-Z58)/GPUMW_B+(Z38-Z59)/GPUMW_N</f>
        <v>1010.49520833333</v>
      </c>
      <c r="AA61" s="35" t="n">
        <f aca="false">(AA36-AA57)/GPUMW_H+(AA37-AA58)/GPUMW_B+(AA38-AA59)/GPUMW_N</f>
        <v>1181.06883333333</v>
      </c>
      <c r="AB61" s="35" t="n">
        <f aca="false">(AB36-AB57)/GPUMW_H+(AB37-AB58)/GPUMW_B+(AB38-AB59)/GPUMW_N</f>
        <v>1356.28758333333</v>
      </c>
      <c r="AC61" s="35" t="n">
        <f aca="false">(AC36-AC57)/GPUMW_H+(AC37-AC58)/GPUMW_B+(AC38-AC59)/GPUMW_N</f>
        <v>1531.50633333333</v>
      </c>
      <c r="AD61" s="35" t="n">
        <f aca="false">(AD36-AD57)/GPUMW_H+(AD37-AD58)/GPUMW_B+(AD38-AD59)/GPUMW_N</f>
        <v>1775.56102083333</v>
      </c>
      <c r="AE61" s="35" t="n">
        <f aca="false">(AE36-AE57)/GPUMW_H+(AE37-AE58)/GPUMW_B+(AE38-AE59)/GPUMW_N</f>
        <v>2019.61570833333</v>
      </c>
      <c r="AF61" s="35" t="n">
        <f aca="false">(AF36-AF57)/GPUMW_H+(AF37-AF58)/GPUMW_B+(AF38-AF59)/GPUMW_N</f>
        <v>2019.61570833333</v>
      </c>
      <c r="AG61" s="35" t="n">
        <f aca="false">(AG36-AG57)/GPUMW_H+(AG37-AG58)/GPUMW_B+(AG38-AG59)/GPUMW_N</f>
        <v>2017.11570833333</v>
      </c>
      <c r="AI61" s="35" t="n">
        <f aca="false">AVERAGEIF($F$7:$AG$7,AI$7,$F61:$AG61)</f>
        <v>0</v>
      </c>
      <c r="AJ61" s="35" t="n">
        <f aca="false">AVERAGEIF($F$7:$AG$7,AJ$7,$F61:$AG61)</f>
        <v>0</v>
      </c>
      <c r="AK61" s="35" t="n">
        <f aca="false">AVERAGEIF($F$7:$AG$7,AK$7,$F61:$AG61)</f>
        <v>0</v>
      </c>
      <c r="AL61" s="35" t="n">
        <f aca="false">AVERAGEIF($F$7:$AG$7,AL$7,$F61:$AG61)</f>
        <v>161.130557291667</v>
      </c>
      <c r="AM61" s="35" t="n">
        <f aca="false">AVERAGEIF($F$7:$AG$7,AM$7,$F61:$AG61)</f>
        <v>660.527255208334</v>
      </c>
      <c r="AN61" s="35" t="n">
        <f aca="false">AVERAGEIF($F$7:$AG$7,AN$7,$F61:$AG61)</f>
        <v>1269.83948958333</v>
      </c>
      <c r="AO61" s="35" t="n">
        <f aca="false">AVERAGEIF($F$7:$AG$7,AO$7,$F61:$AG61)</f>
        <v>1957.97703645833</v>
      </c>
    </row>
    <row r="62" customFormat="false" ht="15" hidden="false" customHeight="false" outlineLevel="0" collapsed="false">
      <c r="A62" s="112" t="s">
        <v>2285</v>
      </c>
      <c r="B62" s="24" t="s">
        <v>857</v>
      </c>
      <c r="C62" s="24" t="s">
        <v>672</v>
      </c>
      <c r="D62" s="24"/>
      <c r="F62" s="116" t="n">
        <f aca="false">(F37-F58)/GPUMW_B+(F36-F57)/GPUMW_H</f>
        <v>0</v>
      </c>
      <c r="G62" s="116" t="n">
        <f aca="false">(G37-G58)/GPUMW_B+(G36-G57)/GPUMW_H</f>
        <v>0</v>
      </c>
      <c r="H62" s="116" t="n">
        <f aca="false">(H37-H58)/GPUMW_B+(H36-H57)/GPUMW_H</f>
        <v>0</v>
      </c>
      <c r="I62" s="116" t="n">
        <f aca="false">(I37-I58)/GPUMW_B+(I36-I57)/GPUMW_H</f>
        <v>0</v>
      </c>
      <c r="J62" s="116" t="n">
        <f aca="false">(J37-J58)/GPUMW_B+(J36-J57)/GPUMW_H</f>
        <v>0</v>
      </c>
      <c r="K62" s="116" t="n">
        <f aca="false">(K37-K58)/GPUMW_B+(K36-K57)/GPUMW_H</f>
        <v>0</v>
      </c>
      <c r="L62" s="116" t="n">
        <f aca="false">(L37-L58)/GPUMW_B+(L36-L57)/GPUMW_H</f>
        <v>0</v>
      </c>
      <c r="M62" s="116" t="n">
        <f aca="false">(M37-M58)/GPUMW_B+(M36-M57)/GPUMW_H</f>
        <v>0</v>
      </c>
      <c r="N62" s="116" t="n">
        <f aca="false">(N37-N58)/GPUMW_B+(N36-N57)/GPUMW_H</f>
        <v>0</v>
      </c>
      <c r="O62" s="116" t="n">
        <f aca="false">(O37-O58)/GPUMW_B+(O36-O57)/GPUMW_H</f>
        <v>0</v>
      </c>
      <c r="P62" s="35" t="n">
        <f aca="false">(P37-P58)/GPUMW_B+(P36-P57)/GPUMW_H</f>
        <v>0</v>
      </c>
      <c r="Q62" s="35" t="n">
        <f aca="false">(Q37-Q58)/GPUMW_B+(Q36-Q57)/GPUMW_H</f>
        <v>0</v>
      </c>
      <c r="R62" s="35" t="n">
        <f aca="false">(R37-R58)/GPUMW_B+(R36-R57)/GPUMW_H</f>
        <v>33.478</v>
      </c>
      <c r="S62" s="35" t="n">
        <f aca="false">(S37-S58)/GPUMW_B+(S36-S57)/GPUMW_H</f>
        <v>111.26</v>
      </c>
      <c r="T62" s="35" t="n">
        <f aca="false">(T37-T58)/GPUMW_B+(T36-T57)/GPUMW_H</f>
        <v>203.621</v>
      </c>
      <c r="U62" s="35" t="n">
        <f aca="false">(U37-U58)/GPUMW_B+(U36-U57)/GPUMW_H</f>
        <v>276.495</v>
      </c>
      <c r="V62" s="35" t="n">
        <f aca="false">(V37-V58)/GPUMW_B+(V36-V57)/GPUMW_H</f>
        <v>337.45</v>
      </c>
      <c r="W62" s="35" t="n">
        <f aca="false">(W37-W58)/GPUMW_B+(W36-W57)/GPUMW_H</f>
        <v>370.932</v>
      </c>
      <c r="X62" s="35" t="n">
        <f aca="false">(X37-X58)/GPUMW_B+(X36-X57)/GPUMW_H</f>
        <v>370.932</v>
      </c>
      <c r="Y62" s="35" t="n">
        <f aca="false">(Y37-Y58)/GPUMW_B+(Y36-Y57)/GPUMW_H</f>
        <v>370.932</v>
      </c>
      <c r="Z62" s="35" t="n">
        <f aca="false">(Z37-Z58)/GPUMW_B+(Z36-Z57)/GPUMW_H</f>
        <v>395.49</v>
      </c>
      <c r="AA62" s="35" t="n">
        <f aca="false">(AA37-AA58)/GPUMW_B+(AA36-AA57)/GPUMW_H</f>
        <v>420.048</v>
      </c>
      <c r="AB62" s="35" t="n">
        <f aca="false">(AB37-AB58)/GPUMW_B+(AB36-AB57)/GPUMW_H</f>
        <v>420.048</v>
      </c>
      <c r="AC62" s="35" t="n">
        <f aca="false">(AC37-AC58)/GPUMW_B+(AC36-AC57)/GPUMW_H</f>
        <v>420.048</v>
      </c>
      <c r="AD62" s="35" t="n">
        <f aca="false">(AD37-AD58)/GPUMW_B+(AD36-AD57)/GPUMW_H</f>
        <v>420.048</v>
      </c>
      <c r="AE62" s="35" t="n">
        <f aca="false">(AE37-AE58)/GPUMW_B+(AE36-AE57)/GPUMW_H</f>
        <v>420.048</v>
      </c>
      <c r="AF62" s="35" t="n">
        <f aca="false">(AF37-AF58)/GPUMW_B+(AF36-AF57)/GPUMW_H</f>
        <v>420.048</v>
      </c>
      <c r="AG62" s="35" t="n">
        <f aca="false">(AG37-AG58)/GPUMW_B+(AG36-AG57)/GPUMW_H</f>
        <v>417.548</v>
      </c>
      <c r="AI62" s="35" t="n">
        <f aca="false">AVERAGEIF($F$7:$AG$7,AI$7,$F62:$AG62)</f>
        <v>0</v>
      </c>
      <c r="AJ62" s="35" t="n">
        <f aca="false">AVERAGEIF($F$7:$AG$7,AJ$7,$F62:$AG62)</f>
        <v>0</v>
      </c>
      <c r="AK62" s="35" t="n">
        <f aca="false">AVERAGEIF($F$7:$AG$7,AK$7,$F62:$AG62)</f>
        <v>0</v>
      </c>
      <c r="AL62" s="35" t="n">
        <f aca="false">AVERAGEIF($F$7:$AG$7,AL$7,$F62:$AG62)</f>
        <v>156.2135</v>
      </c>
      <c r="AM62" s="35" t="n">
        <f aca="false">AVERAGEIF($F$7:$AG$7,AM$7,$F62:$AG62)</f>
        <v>362.5615</v>
      </c>
      <c r="AN62" s="35" t="n">
        <f aca="false">AVERAGEIF($F$7:$AG$7,AN$7,$F62:$AG62)</f>
        <v>413.9085</v>
      </c>
      <c r="AO62" s="35" t="n">
        <f aca="false">AVERAGEIF($F$7:$AG$7,AO$7,$F62:$AG62)</f>
        <v>419.423</v>
      </c>
    </row>
    <row r="63" customFormat="false" ht="15" hidden="false" customHeight="false" outlineLevel="0" collapsed="false">
      <c r="A63" s="112" t="s">
        <v>2286</v>
      </c>
      <c r="B63" s="24" t="s">
        <v>857</v>
      </c>
      <c r="C63" s="24" t="s">
        <v>672</v>
      </c>
      <c r="D63" s="24"/>
      <c r="F63" s="116" t="n">
        <f aca="false">(F38-F59)/GPUMW_N</f>
        <v>0</v>
      </c>
      <c r="G63" s="116" t="n">
        <f aca="false">(G38-G59)/GPUMW_N</f>
        <v>0</v>
      </c>
      <c r="H63" s="116" t="n">
        <f aca="false">(H38-H59)/GPUMW_N</f>
        <v>0</v>
      </c>
      <c r="I63" s="116" t="n">
        <f aca="false">(I38-I59)/GPUMW_N</f>
        <v>0</v>
      </c>
      <c r="J63" s="116" t="n">
        <f aca="false">(J38-J59)/GPUMW_N</f>
        <v>0</v>
      </c>
      <c r="K63" s="116" t="n">
        <f aca="false">(K38-K59)/GPUMW_N</f>
        <v>0</v>
      </c>
      <c r="L63" s="116" t="n">
        <f aca="false">(L38-L59)/GPUMW_N</f>
        <v>0</v>
      </c>
      <c r="M63" s="116" t="n">
        <f aca="false">(M38-M59)/GPUMW_N</f>
        <v>0</v>
      </c>
      <c r="N63" s="116" t="n">
        <f aca="false">(N38-N59)/GPUMW_N</f>
        <v>0</v>
      </c>
      <c r="O63" s="116" t="n">
        <f aca="false">(O38-O59)/GPUMW_N</f>
        <v>0</v>
      </c>
      <c r="P63" s="35" t="n">
        <f aca="false">(P38-P59)/GPUMW_N</f>
        <v>0</v>
      </c>
      <c r="Q63" s="35" t="n">
        <f aca="false">(Q38-Q59)/GPUMW_N</f>
        <v>0</v>
      </c>
      <c r="R63" s="35" t="n">
        <f aca="false">(R38-R59)/GPUMW_N</f>
        <v>0</v>
      </c>
      <c r="S63" s="35" t="n">
        <f aca="false">(S38-S59)/GPUMW_N</f>
        <v>5.215625</v>
      </c>
      <c r="T63" s="35" t="n">
        <f aca="false">(T38-T59)/GPUMW_N</f>
        <v>5.215625</v>
      </c>
      <c r="U63" s="35" t="n">
        <f aca="false">(U38-U59)/GPUMW_N</f>
        <v>9.23697916666666</v>
      </c>
      <c r="V63" s="35" t="n">
        <f aca="false">(V38-V59)/GPUMW_N</f>
        <v>108.163020833333</v>
      </c>
      <c r="W63" s="35" t="n">
        <f aca="false">(W38-W59)/GPUMW_N</f>
        <v>245.820833333333</v>
      </c>
      <c r="X63" s="35" t="n">
        <f aca="false">(X38-X59)/GPUMW_N</f>
        <v>375.139583333333</v>
      </c>
      <c r="Y63" s="35" t="n">
        <f aca="false">(Y38-Y59)/GPUMW_N</f>
        <v>462.739583333333</v>
      </c>
      <c r="Z63" s="35" t="n">
        <f aca="false">(Z38-Z59)/GPUMW_N</f>
        <v>615.005208333333</v>
      </c>
      <c r="AA63" s="35" t="n">
        <f aca="false">(AA38-AA59)/GPUMW_N</f>
        <v>761.020833333333</v>
      </c>
      <c r="AB63" s="35" t="n">
        <f aca="false">(AB38-AB59)/GPUMW_N</f>
        <v>936.239583333333</v>
      </c>
      <c r="AC63" s="35" t="n">
        <f aca="false">(AC38-AC59)/GPUMW_N</f>
        <v>1111.45833333333</v>
      </c>
      <c r="AD63" s="35" t="n">
        <f aca="false">(AD38-AD59)/GPUMW_N</f>
        <v>1355.51302083333</v>
      </c>
      <c r="AE63" s="35" t="n">
        <f aca="false">(AE38-AE59)/GPUMW_N</f>
        <v>1599.56770833333</v>
      </c>
      <c r="AF63" s="35" t="n">
        <f aca="false">(AF38-AF59)/GPUMW_N</f>
        <v>1599.56770833333</v>
      </c>
      <c r="AG63" s="35" t="n">
        <f aca="false">(AG38-AG59)/GPUMW_N</f>
        <v>1599.56770833333</v>
      </c>
      <c r="AI63" s="35" t="n">
        <f aca="false">AVERAGEIF($F$7:$AG$7,AI$7,$F63:$AG63)</f>
        <v>0</v>
      </c>
      <c r="AJ63" s="35" t="n">
        <f aca="false">AVERAGEIF($F$7:$AG$7,AJ$7,$F63:$AG63)</f>
        <v>0</v>
      </c>
      <c r="AK63" s="35" t="n">
        <f aca="false">AVERAGEIF($F$7:$AG$7,AK$7,$F63:$AG63)</f>
        <v>0</v>
      </c>
      <c r="AL63" s="35" t="n">
        <f aca="false">AVERAGEIF($F$7:$AG$7,AL$7,$F63:$AG63)</f>
        <v>4.91705729166667</v>
      </c>
      <c r="AM63" s="35" t="n">
        <f aca="false">AVERAGEIF($F$7:$AG$7,AM$7,$F63:$AG63)</f>
        <v>297.965755208333</v>
      </c>
      <c r="AN63" s="35" t="n">
        <f aca="false">AVERAGEIF($F$7:$AG$7,AN$7,$F63:$AG63)</f>
        <v>855.930989583333</v>
      </c>
      <c r="AO63" s="35" t="n">
        <f aca="false">AVERAGEIF($F$7:$AG$7,AO$7,$F63:$AG63)</f>
        <v>1538.55403645833</v>
      </c>
    </row>
    <row r="64" customFormat="false" ht="15" hidden="false" customHeight="false" outlineLevel="0" collapsed="false">
      <c r="A64" s="112" t="s">
        <v>2287</v>
      </c>
      <c r="B64" s="24" t="s">
        <v>857</v>
      </c>
      <c r="C64" s="24" t="s">
        <v>672</v>
      </c>
      <c r="D64" s="24"/>
      <c r="F64" s="116" t="n">
        <f aca="false">MAX(0,F62-E62)</f>
        <v>0</v>
      </c>
      <c r="G64" s="116" t="n">
        <f aca="false">MAX(0,G62-F62)</f>
        <v>0</v>
      </c>
      <c r="H64" s="116" t="n">
        <f aca="false">MAX(0,H62-G62)</f>
        <v>0</v>
      </c>
      <c r="I64" s="116" t="n">
        <f aca="false">MAX(0,I62-H62)</f>
        <v>0</v>
      </c>
      <c r="J64" s="116" t="n">
        <f aca="false">MAX(0,J62-I62)</f>
        <v>0</v>
      </c>
      <c r="K64" s="116" t="n">
        <f aca="false">MAX(0,K62-J62)</f>
        <v>0</v>
      </c>
      <c r="L64" s="116" t="n">
        <f aca="false">MAX(0,L62-K62)</f>
        <v>0</v>
      </c>
      <c r="M64" s="116" t="n">
        <f aca="false">MAX(0,M62-L62)</f>
        <v>0</v>
      </c>
      <c r="N64" s="116" t="n">
        <f aca="false">MAX(0,N62-M62)</f>
        <v>0</v>
      </c>
      <c r="O64" s="116" t="n">
        <f aca="false">MAX(0,O62-N62)</f>
        <v>0</v>
      </c>
      <c r="P64" s="35" t="n">
        <f aca="false">MAX(0,P62-O62)</f>
        <v>0</v>
      </c>
      <c r="Q64" s="35" t="n">
        <f aca="false">MAX(0,Q62-P62)</f>
        <v>0</v>
      </c>
      <c r="R64" s="35" t="n">
        <f aca="false">MAX(0,R62-Q62)</f>
        <v>33.478</v>
      </c>
      <c r="S64" s="35" t="n">
        <f aca="false">MAX(0,S62-R62)</f>
        <v>77.782</v>
      </c>
      <c r="T64" s="35" t="n">
        <f aca="false">MAX(0,T62-S62)</f>
        <v>92.361</v>
      </c>
      <c r="U64" s="35" t="n">
        <f aca="false">MAX(0,U62-T62)</f>
        <v>72.874</v>
      </c>
      <c r="V64" s="35" t="n">
        <f aca="false">MAX(0,V62-U62)</f>
        <v>60.9550000000001</v>
      </c>
      <c r="W64" s="35" t="n">
        <f aca="false">MAX(0,W62-V62)</f>
        <v>33.482</v>
      </c>
      <c r="X64" s="35" t="n">
        <f aca="false">MAX(0,X62-W62)</f>
        <v>0</v>
      </c>
      <c r="Y64" s="35" t="n">
        <f aca="false">MAX(0,Y62-X62)</f>
        <v>0</v>
      </c>
      <c r="Z64" s="35" t="n">
        <f aca="false">MAX(0,Z62-Y62)</f>
        <v>24.558</v>
      </c>
      <c r="AA64" s="35" t="n">
        <f aca="false">MAX(0,AA62-Z62)</f>
        <v>24.5579999999999</v>
      </c>
      <c r="AB64" s="35" t="n">
        <f aca="false">MAX(0,AB62-AA62)</f>
        <v>0</v>
      </c>
      <c r="AC64" s="35" t="n">
        <f aca="false">MAX(0,AC62-AB62)</f>
        <v>0</v>
      </c>
      <c r="AD64" s="35" t="n">
        <f aca="false">MAX(0,AD62-AC62)</f>
        <v>0</v>
      </c>
      <c r="AE64" s="35" t="n">
        <f aca="false">MAX(0,AE62-AD62)</f>
        <v>0</v>
      </c>
      <c r="AF64" s="35" t="n">
        <f aca="false">MAX(0,AF62-AE62)</f>
        <v>0</v>
      </c>
      <c r="AG64" s="35" t="n">
        <f aca="false">MAX(0,AG62-AF62)</f>
        <v>0</v>
      </c>
      <c r="AI64" s="35" t="n">
        <f aca="false">SUMIF($F$7:$AG$7,AI$7,$F64:$AG64)</f>
        <v>0</v>
      </c>
      <c r="AJ64" s="35" t="n">
        <f aca="false">SUMIF($F$7:$AG$7,AJ$7,$F64:$AG64)</f>
        <v>0</v>
      </c>
      <c r="AK64" s="35" t="n">
        <f aca="false">SUMIF($F$7:$AG$7,AK$7,$F64:$AG64)</f>
        <v>0</v>
      </c>
      <c r="AL64" s="35" t="n">
        <f aca="false">SUMIF($F$7:$AG$7,AL$7,$F64:$AG64)</f>
        <v>276.495</v>
      </c>
      <c r="AM64" s="35" t="n">
        <f aca="false">SUMIF($F$7:$AG$7,AM$7,$F64:$AG64)</f>
        <v>94.4370000000001</v>
      </c>
      <c r="AN64" s="35" t="n">
        <f aca="false">SUMIF($F$7:$AG$7,AN$7,$F64:$AG64)</f>
        <v>49.1159999999999</v>
      </c>
      <c r="AO64" s="35" t="n">
        <f aca="false">SUMIF($F$7:$AG$7,AO$7,$F64:$AG64)</f>
        <v>0</v>
      </c>
    </row>
    <row r="65" customFormat="false" ht="15" hidden="false" customHeight="false" outlineLevel="0" collapsed="false">
      <c r="A65" s="112" t="s">
        <v>2288</v>
      </c>
      <c r="B65" s="24" t="s">
        <v>857</v>
      </c>
      <c r="C65" s="24" t="s">
        <v>672</v>
      </c>
      <c r="D65" s="24"/>
      <c r="F65" s="116" t="n">
        <f aca="false">MAX(0,F63-E63)</f>
        <v>0</v>
      </c>
      <c r="G65" s="116" t="n">
        <f aca="false">MAX(0,G63-F63)</f>
        <v>0</v>
      </c>
      <c r="H65" s="116" t="n">
        <f aca="false">MAX(0,H63-G63)</f>
        <v>0</v>
      </c>
      <c r="I65" s="116" t="n">
        <f aca="false">MAX(0,I63-H63)</f>
        <v>0</v>
      </c>
      <c r="J65" s="116" t="n">
        <f aca="false">MAX(0,J63-I63)</f>
        <v>0</v>
      </c>
      <c r="K65" s="116" t="n">
        <f aca="false">MAX(0,K63-J63)</f>
        <v>0</v>
      </c>
      <c r="L65" s="116" t="n">
        <f aca="false">MAX(0,L63-K63)</f>
        <v>0</v>
      </c>
      <c r="M65" s="116" t="n">
        <f aca="false">MAX(0,M63-L63)</f>
        <v>0</v>
      </c>
      <c r="N65" s="116" t="n">
        <f aca="false">MAX(0,N63-M63)</f>
        <v>0</v>
      </c>
      <c r="O65" s="116" t="n">
        <f aca="false">MAX(0,O63-N63)</f>
        <v>0</v>
      </c>
      <c r="P65" s="35" t="n">
        <f aca="false">MAX(0,P63-O63)</f>
        <v>0</v>
      </c>
      <c r="Q65" s="35" t="n">
        <f aca="false">MAX(0,Q63-P63)</f>
        <v>0</v>
      </c>
      <c r="R65" s="35" t="n">
        <f aca="false">MAX(0,R63-Q63)</f>
        <v>0</v>
      </c>
      <c r="S65" s="35" t="n">
        <f aca="false">MAX(0,S63-R63)</f>
        <v>5.215625</v>
      </c>
      <c r="T65" s="35" t="n">
        <f aca="false">MAX(0,T63-S63)</f>
        <v>0</v>
      </c>
      <c r="U65" s="35" t="n">
        <f aca="false">MAX(0,U63-T63)</f>
        <v>4.02135416666666</v>
      </c>
      <c r="V65" s="35" t="n">
        <f aca="false">MAX(0,V63-U63)</f>
        <v>98.9260416666667</v>
      </c>
      <c r="W65" s="35" t="n">
        <f aca="false">MAX(0,W63-V63)</f>
        <v>137.6578125</v>
      </c>
      <c r="X65" s="35" t="n">
        <f aca="false">MAX(0,X63-W63)</f>
        <v>129.31875</v>
      </c>
      <c r="Y65" s="35" t="n">
        <f aca="false">MAX(0,Y63-X63)</f>
        <v>87.6</v>
      </c>
      <c r="Z65" s="35" t="n">
        <f aca="false">MAX(0,Z63-Y63)</f>
        <v>152.265625</v>
      </c>
      <c r="AA65" s="35" t="n">
        <f aca="false">MAX(0,AA63-Z63)</f>
        <v>146.015625</v>
      </c>
      <c r="AB65" s="35" t="n">
        <f aca="false">MAX(0,AB63-AA63)</f>
        <v>175.21875</v>
      </c>
      <c r="AC65" s="35" t="n">
        <f aca="false">MAX(0,AC63-AB63)</f>
        <v>175.21875</v>
      </c>
      <c r="AD65" s="35" t="n">
        <f aca="false">MAX(0,AD63-AC63)</f>
        <v>244.0546875</v>
      </c>
      <c r="AE65" s="35" t="n">
        <f aca="false">MAX(0,AE63-AD63)</f>
        <v>244.0546875</v>
      </c>
      <c r="AF65" s="35" t="n">
        <f aca="false">MAX(0,AF63-AE63)</f>
        <v>0</v>
      </c>
      <c r="AG65" s="35" t="n">
        <f aca="false">MAX(0,AG63-AF63)</f>
        <v>0</v>
      </c>
      <c r="AI65" s="35" t="n">
        <f aca="false">SUMIF($F$7:$AG$7,AI$7,$F65:$AG65)</f>
        <v>0</v>
      </c>
      <c r="AJ65" s="35" t="n">
        <f aca="false">SUMIF($F$7:$AG$7,AJ$7,$F65:$AG65)</f>
        <v>0</v>
      </c>
      <c r="AK65" s="35" t="n">
        <f aca="false">SUMIF($F$7:$AG$7,AK$7,$F65:$AG65)</f>
        <v>0</v>
      </c>
      <c r="AL65" s="35" t="n">
        <f aca="false">SUMIF($F$7:$AG$7,AL$7,$F65:$AG65)</f>
        <v>9.23697916666666</v>
      </c>
      <c r="AM65" s="35" t="n">
        <f aca="false">SUMIF($F$7:$AG$7,AM$7,$F65:$AG65)</f>
        <v>453.502604166667</v>
      </c>
      <c r="AN65" s="35" t="n">
        <f aca="false">SUMIF($F$7:$AG$7,AN$7,$F65:$AG65)</f>
        <v>648.71875</v>
      </c>
      <c r="AO65" s="35" t="n">
        <f aca="false">SUMIF($F$7:$AG$7,AO$7,$F65:$AG65)</f>
        <v>488.109375</v>
      </c>
    </row>
    <row r="66" customFormat="false" ht="15" hidden="false" customHeight="false" outlineLevel="0" collapsed="false">
      <c r="A66" s="112" t="s">
        <v>2289</v>
      </c>
      <c r="B66" s="24" t="s">
        <v>857</v>
      </c>
      <c r="C66" s="24" t="s">
        <v>672</v>
      </c>
      <c r="D66" s="24"/>
      <c r="F66" s="116" t="n">
        <f aca="false">F64+F65</f>
        <v>0</v>
      </c>
      <c r="G66" s="116" t="n">
        <f aca="false">G64+G65</f>
        <v>0</v>
      </c>
      <c r="H66" s="116" t="n">
        <f aca="false">H64+H65</f>
        <v>0</v>
      </c>
      <c r="I66" s="116" t="n">
        <f aca="false">I64+I65</f>
        <v>0</v>
      </c>
      <c r="J66" s="116" t="n">
        <f aca="false">J64+J65</f>
        <v>0</v>
      </c>
      <c r="K66" s="116" t="n">
        <f aca="false">K64+K65</f>
        <v>0</v>
      </c>
      <c r="L66" s="116" t="n">
        <f aca="false">L64+L65</f>
        <v>0</v>
      </c>
      <c r="M66" s="116" t="n">
        <f aca="false">M64+M65</f>
        <v>0</v>
      </c>
      <c r="N66" s="116" t="n">
        <f aca="false">N64+N65</f>
        <v>0</v>
      </c>
      <c r="O66" s="116" t="n">
        <f aca="false">O64+O65</f>
        <v>0</v>
      </c>
      <c r="P66" s="35" t="n">
        <f aca="false">P64+P65</f>
        <v>0</v>
      </c>
      <c r="Q66" s="35" t="n">
        <f aca="false">Q64+Q65</f>
        <v>0</v>
      </c>
      <c r="R66" s="35" t="n">
        <f aca="false">R64+R65</f>
        <v>33.478</v>
      </c>
      <c r="S66" s="35" t="n">
        <f aca="false">S64+S65</f>
        <v>82.997625</v>
      </c>
      <c r="T66" s="35" t="n">
        <f aca="false">T64+T65</f>
        <v>92.361</v>
      </c>
      <c r="U66" s="35" t="n">
        <f aca="false">U64+U65</f>
        <v>76.8953541666667</v>
      </c>
      <c r="V66" s="35" t="n">
        <f aca="false">V64+V65</f>
        <v>159.881041666667</v>
      </c>
      <c r="W66" s="35" t="n">
        <f aca="false">W64+W65</f>
        <v>171.1398125</v>
      </c>
      <c r="X66" s="35" t="n">
        <f aca="false">X64+X65</f>
        <v>129.31875</v>
      </c>
      <c r="Y66" s="35" t="n">
        <f aca="false">Y64+Y65</f>
        <v>87.6</v>
      </c>
      <c r="Z66" s="35" t="n">
        <f aca="false">Z64+Z65</f>
        <v>176.823625</v>
      </c>
      <c r="AA66" s="35" t="n">
        <f aca="false">AA64+AA65</f>
        <v>170.573625</v>
      </c>
      <c r="AB66" s="35" t="n">
        <f aca="false">AB64+AB65</f>
        <v>175.21875</v>
      </c>
      <c r="AC66" s="35" t="n">
        <f aca="false">AC64+AC65</f>
        <v>175.21875</v>
      </c>
      <c r="AD66" s="35" t="n">
        <f aca="false">AD64+AD65</f>
        <v>244.0546875</v>
      </c>
      <c r="AE66" s="35" t="n">
        <f aca="false">AE64+AE65</f>
        <v>244.0546875</v>
      </c>
      <c r="AF66" s="35" t="n">
        <f aca="false">AF64+AF65</f>
        <v>0</v>
      </c>
      <c r="AG66" s="35" t="n">
        <f aca="false">AG64+AG65</f>
        <v>0</v>
      </c>
      <c r="AI66" s="35" t="n">
        <f aca="false">SUMIF($F$7:$AG$7,AI$7,$F66:$AG66)</f>
        <v>0</v>
      </c>
      <c r="AJ66" s="35" t="n">
        <f aca="false">SUMIF($F$7:$AG$7,AJ$7,$F66:$AG66)</f>
        <v>0</v>
      </c>
      <c r="AK66" s="35" t="n">
        <f aca="false">SUMIF($F$7:$AG$7,AK$7,$F66:$AG66)</f>
        <v>0</v>
      </c>
      <c r="AL66" s="35" t="n">
        <f aca="false">SUMIF($F$7:$AG$7,AL$7,$F66:$AG66)</f>
        <v>285.731979166667</v>
      </c>
      <c r="AM66" s="35" t="n">
        <f aca="false">SUMIF($F$7:$AG$7,AM$7,$F66:$AG66)</f>
        <v>547.939604166667</v>
      </c>
      <c r="AN66" s="35" t="n">
        <f aca="false">SUMIF($F$7:$AG$7,AN$7,$F66:$AG66)</f>
        <v>697.83475</v>
      </c>
      <c r="AO66" s="35" t="n">
        <f aca="false">SUMIF($F$7:$AG$7,AO$7,$F66:$AG66)</f>
        <v>488.109375</v>
      </c>
    </row>
    <row r="67" customFormat="false" ht="15" hidden="false" customHeight="false" outlineLevel="0" collapsed="false">
      <c r="A67" s="112" t="s">
        <v>2290</v>
      </c>
      <c r="B67" s="24" t="s">
        <v>732</v>
      </c>
      <c r="C67" s="24" t="s">
        <v>2291</v>
      </c>
      <c r="D67" s="24" t="s">
        <v>2292</v>
      </c>
      <c r="F67" s="122" t="n">
        <f aca="false">MYRate*IF(NDBasis=2,ND_GrossX,1)*IF(MYPathMode=1,(1+MYDecl)^(MAX(0,F$5-(MYDeclIdx-1))/4)*IF(AND(MYStressOn=1,F$5&gt;=PxCycIdx),1-MYStressCut,1),INDEX(P_OD_B,1,1)/INDEX(P_OD_B,1,NewDealIdx-1))</f>
        <v>16</v>
      </c>
      <c r="G67" s="122" t="n">
        <f aca="false">MYRate*IF(NDBasis=2,ND_GrossX,1)*IF(MYPathMode=1,(1+MYDecl)^(MAX(0,G$5-(MYDeclIdx-1))/4)*IF(AND(MYStressOn=1,G$5&gt;=PxCycIdx),1-MYStressCut,1),INDEX(P_OD_B,1,2)/INDEX(P_OD_B,1,NewDealIdx-1))</f>
        <v>16</v>
      </c>
      <c r="H67" s="122" t="n">
        <f aca="false">MYRate*IF(NDBasis=2,ND_GrossX,1)*IF(MYPathMode=1,(1+MYDecl)^(MAX(0,H$5-(MYDeclIdx-1))/4)*IF(AND(MYStressOn=1,H$5&gt;=PxCycIdx),1-MYStressCut,1),INDEX(P_OD_B,1,3)/INDEX(P_OD_B,1,NewDealIdx-1))</f>
        <v>16</v>
      </c>
      <c r="I67" s="122" t="n">
        <f aca="false">MYRate*IF(NDBasis=2,ND_GrossX,1)*IF(MYPathMode=1,(1+MYDecl)^(MAX(0,I$5-(MYDeclIdx-1))/4)*IF(AND(MYStressOn=1,I$5&gt;=PxCycIdx),1-MYStressCut,1),INDEX(P_OD_B,1,4)/INDEX(P_OD_B,1,NewDealIdx-1))</f>
        <v>16</v>
      </c>
      <c r="J67" s="122" t="n">
        <f aca="false">MYRate*IF(NDBasis=2,ND_GrossX,1)*IF(MYPathMode=1,(1+MYDecl)^(MAX(0,J$5-(MYDeclIdx-1))/4)*IF(AND(MYStressOn=1,J$5&gt;=PxCycIdx),1-MYStressCut,1),INDEX(P_OD_B,1,5)/INDEX(P_OD_B,1,NewDealIdx-1))</f>
        <v>16</v>
      </c>
      <c r="K67" s="122" t="n">
        <f aca="false">MYRate*IF(NDBasis=2,ND_GrossX,1)*IF(MYPathMode=1,(1+MYDecl)^(MAX(0,K$5-(MYDeclIdx-1))/4)*IF(AND(MYStressOn=1,K$5&gt;=PxCycIdx),1-MYStressCut,1),INDEX(P_OD_B,1,6)/INDEX(P_OD_B,1,NewDealIdx-1))</f>
        <v>16</v>
      </c>
      <c r="L67" s="122" t="n">
        <f aca="false">MYRate*IF(NDBasis=2,ND_GrossX,1)*IF(MYPathMode=1,(1+MYDecl)^(MAX(0,L$5-(MYDeclIdx-1))/4)*IF(AND(MYStressOn=1,L$5&gt;=PxCycIdx),1-MYStressCut,1),INDEX(P_OD_B,1,7)/INDEX(P_OD_B,1,NewDealIdx-1))</f>
        <v>16</v>
      </c>
      <c r="M67" s="122" t="n">
        <f aca="false">MYRate*IF(NDBasis=2,ND_GrossX,1)*IF(MYPathMode=1,(1+MYDecl)^(MAX(0,M$5-(MYDeclIdx-1))/4)*IF(AND(MYStressOn=1,M$5&gt;=PxCycIdx),1-MYStressCut,1),INDEX(P_OD_B,1,8)/INDEX(P_OD_B,1,NewDealIdx-1))</f>
        <v>16</v>
      </c>
      <c r="N67" s="122" t="n">
        <f aca="false">MYRate*IF(NDBasis=2,ND_GrossX,1)*IF(MYPathMode=1,(1+MYDecl)^(MAX(0,N$5-(MYDeclIdx-1))/4)*IF(AND(MYStressOn=1,N$5&gt;=PxCycIdx),1-MYStressCut,1),INDEX(P_OD_B,1,9)/INDEX(P_OD_B,1,NewDealIdx-1))</f>
        <v>16</v>
      </c>
      <c r="O67" s="122" t="n">
        <f aca="false">MYRate*IF(NDBasis=2,ND_GrossX,1)*IF(MYPathMode=1,(1+MYDecl)^(MAX(0,O$5-(MYDeclIdx-1))/4)*IF(AND(MYStressOn=1,O$5&gt;=PxCycIdx),1-MYStressCut,1),INDEX(P_OD_B,1,10)/INDEX(P_OD_B,1,NewDealIdx-1))</f>
        <v>16</v>
      </c>
      <c r="P67" s="32" t="n">
        <f aca="false">MYRate*IF(NDBasis=2,ND_GrossX,1)*IF(MYPathMode=1,(1+MYDecl)^(MAX(0,P$5-(MYDeclIdx-1))/4)*IF(AND(MYStressOn=1,P$5&gt;=PxCycIdx),1-MYStressCut,1),INDEX(P_OD_B,1,11)/INDEX(P_OD_B,1,NewDealIdx-1))</f>
        <v>16</v>
      </c>
      <c r="Q67" s="32" t="n">
        <f aca="false">MYRate*IF(NDBasis=2,ND_GrossX,1)*IF(MYPathMode=1,(1+MYDecl)^(MAX(0,Q$5-(MYDeclIdx-1))/4)*IF(AND(MYStressOn=1,Q$5&gt;=PxCycIdx),1-MYStressCut,1),INDEX(P_OD_B,1,12)/INDEX(P_OD_B,1,NewDealIdx-1))</f>
        <v>16</v>
      </c>
      <c r="R67" s="32" t="n">
        <f aca="false">MYRate*IF(NDBasis=2,ND_GrossX,1)*IF(MYPathMode=1,(1+MYDecl)^(MAX(0,R$5-(MYDeclIdx-1))/4)*IF(AND(MYStressOn=1,R$5&gt;=PxCycIdx),1-MYStressCut,1),INDEX(P_OD_B,1,13)/INDEX(P_OD_B,1,NewDealIdx-1))</f>
        <v>16</v>
      </c>
      <c r="S67" s="32" t="n">
        <f aca="false">MYRate*IF(NDBasis=2,ND_GrossX,1)*IF(MYPathMode=1,(1+MYDecl)^(MAX(0,S$5-(MYDeclIdx-1))/4)*IF(AND(MYStressOn=1,S$5&gt;=PxCycIdx),1-MYStressCut,1),INDEX(P_OD_B,1,14)/INDEX(P_OD_B,1,NewDealIdx-1))</f>
        <v>16</v>
      </c>
      <c r="T67" s="32" t="n">
        <f aca="false">MYRate*IF(NDBasis=2,ND_GrossX,1)*IF(MYPathMode=1,(1+MYDecl)^(MAX(0,T$5-(MYDeclIdx-1))/4)*IF(AND(MYStressOn=1,T$5&gt;=PxCycIdx),1-MYStressCut,1),INDEX(P_OD_B,1,15)/INDEX(P_OD_B,1,NewDealIdx-1))</f>
        <v>16</v>
      </c>
      <c r="U67" s="32" t="n">
        <f aca="false">MYRate*IF(NDBasis=2,ND_GrossX,1)*IF(MYPathMode=1,(1+MYDecl)^(MAX(0,U$5-(MYDeclIdx-1))/4)*IF(AND(MYStressOn=1,U$5&gt;=PxCycIdx),1-MYStressCut,1),INDEX(P_OD_B,1,16)/INDEX(P_OD_B,1,NewDealIdx-1))</f>
        <v>16</v>
      </c>
      <c r="V67" s="32" t="n">
        <f aca="false">MYRate*IF(NDBasis=2,ND_GrossX,1)*IF(MYPathMode=1,(1+MYDecl)^(MAX(0,V$5-(MYDeclIdx-1))/4)*IF(AND(MYStressOn=1,V$5&gt;=PxCycIdx),1-MYStressCut,1),INDEX(P_OD_B,1,17)/INDEX(P_OD_B,1,NewDealIdx-1))</f>
        <v>16</v>
      </c>
      <c r="W67" s="32" t="n">
        <f aca="false">MYRate*IF(NDBasis=2,ND_GrossX,1)*IF(MYPathMode=1,(1+MYDecl)^(MAX(0,W$5-(MYDeclIdx-1))/4)*IF(AND(MYStressOn=1,W$5&gt;=PxCycIdx),1-MYStressCut,1),INDEX(P_OD_B,1,18)/INDEX(P_OD_B,1,NewDealIdx-1))</f>
        <v>16</v>
      </c>
      <c r="X67" s="32" t="n">
        <f aca="false">MYRate*IF(NDBasis=2,ND_GrossX,1)*IF(MYPathMode=1,(1+MYDecl)^(MAX(0,X$5-(MYDeclIdx-1))/4)*IF(AND(MYStressOn=1,X$5&gt;=PxCycIdx),1-MYStressCut,1),INDEX(P_OD_B,1,19)/INDEX(P_OD_B,1,NewDealIdx-1))</f>
        <v>16</v>
      </c>
      <c r="Y67" s="32" t="n">
        <f aca="false">MYRate*IF(NDBasis=2,ND_GrossX,1)*IF(MYPathMode=1,(1+MYDecl)^(MAX(0,Y$5-(MYDeclIdx-1))/4)*IF(AND(MYStressOn=1,Y$5&gt;=PxCycIdx),1-MYStressCut,1),INDEX(P_OD_B,1,20)/INDEX(P_OD_B,1,NewDealIdx-1))</f>
        <v>16</v>
      </c>
      <c r="Z67" s="32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32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32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32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32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32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32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32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32" t="n">
        <f aca="false">AVERAGEIF($F$7:$AG$7,AI$7,$F67:$AG67)</f>
        <v>16</v>
      </c>
      <c r="AJ67" s="32" t="n">
        <f aca="false">AVERAGEIF($F$7:$AG$7,AJ$7,$F67:$AG67)</f>
        <v>16</v>
      </c>
      <c r="AK67" s="32" t="n">
        <f aca="false">AVERAGEIF($F$7:$AG$7,AK$7,$F67:$AG67)</f>
        <v>16</v>
      </c>
      <c r="AL67" s="32" t="n">
        <f aca="false">AVERAGEIF($F$7:$AG$7,AL$7,$F67:$AG67)</f>
        <v>16</v>
      </c>
      <c r="AM67" s="32" t="n">
        <f aca="false">AVERAGEIF($F$7:$AG$7,AM$7,$F67:$AG67)</f>
        <v>16</v>
      </c>
      <c r="AN67" s="32" t="n">
        <f aca="false">AVERAGEIF($F$7:$AG$7,AN$7,$F67:$AG67)</f>
        <v>15.6988577984846</v>
      </c>
      <c r="AO67" s="32" t="n">
        <f aca="false">AVERAGEIF($F$7:$AG$7,AO$7,$F67:$AG67)</f>
        <v>15.2278920645301</v>
      </c>
    </row>
    <row r="68" customFormat="false" ht="15" hidden="false" customHeight="false" outlineLevel="0" collapsed="false">
      <c r="A68" s="112" t="s">
        <v>2293</v>
      </c>
      <c r="B68" s="24" t="s">
        <v>732</v>
      </c>
      <c r="C68" s="24" t="s">
        <v>820</v>
      </c>
      <c r="D68" s="24" t="s">
        <v>2294</v>
      </c>
      <c r="F68" s="122" t="n">
        <f aca="false">IF(RubinMode=1,RubinMW*IF(MYPathMode=1,(1+MYDecl)^(MAX(0,F$5-(MYDeclIdx-1))/4)*IF(AND(MYStressOn=1,F$5&gt;=PxCycIdx),1-MYStressCut,1),1),F67*IF(ND_GenOn=1,Rubin_Prem*GPUMW_N/ND_GPUMW_GB,1))</f>
        <v>16.2</v>
      </c>
      <c r="G68" s="122" t="n">
        <f aca="false">IF(RubinMode=1,RubinMW*IF(MYPathMode=1,(1+MYDecl)^(MAX(0,G$5-(MYDeclIdx-1))/4)*IF(AND(MYStressOn=1,G$5&gt;=PxCycIdx),1-MYStressCut,1),1),G67*IF(ND_GenOn=1,Rubin_Prem*GPUMW_N/ND_GPUMW_GB,1))</f>
        <v>16.2</v>
      </c>
      <c r="H68" s="122" t="n">
        <f aca="false">IF(RubinMode=1,RubinMW*IF(MYPathMode=1,(1+MYDecl)^(MAX(0,H$5-(MYDeclIdx-1))/4)*IF(AND(MYStressOn=1,H$5&gt;=PxCycIdx),1-MYStressCut,1),1),H67*IF(ND_GenOn=1,Rubin_Prem*GPUMW_N/ND_GPUMW_GB,1))</f>
        <v>16.2</v>
      </c>
      <c r="I68" s="122" t="n">
        <f aca="false">IF(RubinMode=1,RubinMW*IF(MYPathMode=1,(1+MYDecl)^(MAX(0,I$5-(MYDeclIdx-1))/4)*IF(AND(MYStressOn=1,I$5&gt;=PxCycIdx),1-MYStressCut,1),1),I67*IF(ND_GenOn=1,Rubin_Prem*GPUMW_N/ND_GPUMW_GB,1))</f>
        <v>16.2</v>
      </c>
      <c r="J68" s="122" t="n">
        <f aca="false">IF(RubinMode=1,RubinMW*IF(MYPathMode=1,(1+MYDecl)^(MAX(0,J$5-(MYDeclIdx-1))/4)*IF(AND(MYStressOn=1,J$5&gt;=PxCycIdx),1-MYStressCut,1),1),J67*IF(ND_GenOn=1,Rubin_Prem*GPUMW_N/ND_GPUMW_GB,1))</f>
        <v>16.2</v>
      </c>
      <c r="K68" s="122" t="n">
        <f aca="false">IF(RubinMode=1,RubinMW*IF(MYPathMode=1,(1+MYDecl)^(MAX(0,K$5-(MYDeclIdx-1))/4)*IF(AND(MYStressOn=1,K$5&gt;=PxCycIdx),1-MYStressCut,1),1),K67*IF(ND_GenOn=1,Rubin_Prem*GPUMW_N/ND_GPUMW_GB,1))</f>
        <v>16.2</v>
      </c>
      <c r="L68" s="122" t="n">
        <f aca="false">IF(RubinMode=1,RubinMW*IF(MYPathMode=1,(1+MYDecl)^(MAX(0,L$5-(MYDeclIdx-1))/4)*IF(AND(MYStressOn=1,L$5&gt;=PxCycIdx),1-MYStressCut,1),1),L67*IF(ND_GenOn=1,Rubin_Prem*GPUMW_N/ND_GPUMW_GB,1))</f>
        <v>16.2</v>
      </c>
      <c r="M68" s="122" t="n">
        <f aca="false">IF(RubinMode=1,RubinMW*IF(MYPathMode=1,(1+MYDecl)^(MAX(0,M$5-(MYDeclIdx-1))/4)*IF(AND(MYStressOn=1,M$5&gt;=PxCycIdx),1-MYStressCut,1),1),M67*IF(ND_GenOn=1,Rubin_Prem*GPUMW_N/ND_GPUMW_GB,1))</f>
        <v>16.2</v>
      </c>
      <c r="N68" s="122" t="n">
        <f aca="false">IF(RubinMode=1,RubinMW*IF(MYPathMode=1,(1+MYDecl)^(MAX(0,N$5-(MYDeclIdx-1))/4)*IF(AND(MYStressOn=1,N$5&gt;=PxCycIdx),1-MYStressCut,1),1),N67*IF(ND_GenOn=1,Rubin_Prem*GPUMW_N/ND_GPUMW_GB,1))</f>
        <v>16.2</v>
      </c>
      <c r="O68" s="122" t="n">
        <f aca="false">IF(RubinMode=1,RubinMW*IF(MYPathMode=1,(1+MYDecl)^(MAX(0,O$5-(MYDeclIdx-1))/4)*IF(AND(MYStressOn=1,O$5&gt;=PxCycIdx),1-MYStressCut,1),1),O67*IF(ND_GenOn=1,Rubin_Prem*GPUMW_N/ND_GPUMW_GB,1))</f>
        <v>16.2</v>
      </c>
      <c r="P68" s="32" t="n">
        <f aca="false">IF(RubinMode=1,RubinMW*IF(MYPathMode=1,(1+MYDecl)^(MAX(0,P$5-(MYDeclIdx-1))/4)*IF(AND(MYStressOn=1,P$5&gt;=PxCycIdx),1-MYStressCut,1),1),P67*IF(ND_GenOn=1,Rubin_Prem*GPUMW_N/ND_GPUMW_GB,1))</f>
        <v>16.2</v>
      </c>
      <c r="Q68" s="32" t="n">
        <f aca="false">IF(RubinMode=1,RubinMW*IF(MYPathMode=1,(1+MYDecl)^(MAX(0,Q$5-(MYDeclIdx-1))/4)*IF(AND(MYStressOn=1,Q$5&gt;=PxCycIdx),1-MYStressCut,1),1),Q67*IF(ND_GenOn=1,Rubin_Prem*GPUMW_N/ND_GPUMW_GB,1))</f>
        <v>16.2</v>
      </c>
      <c r="R68" s="32" t="n">
        <f aca="false">IF(RubinMode=1,RubinMW*IF(MYPathMode=1,(1+MYDecl)^(MAX(0,R$5-(MYDeclIdx-1))/4)*IF(AND(MYStressOn=1,R$5&gt;=PxCycIdx),1-MYStressCut,1),1),R67*IF(ND_GenOn=1,Rubin_Prem*GPUMW_N/ND_GPUMW_GB,1))</f>
        <v>16.2</v>
      </c>
      <c r="S68" s="32" t="n">
        <f aca="false">IF(RubinMode=1,RubinMW*IF(MYPathMode=1,(1+MYDecl)^(MAX(0,S$5-(MYDeclIdx-1))/4)*IF(AND(MYStressOn=1,S$5&gt;=PxCycIdx),1-MYStressCut,1),1),S67*IF(ND_GenOn=1,Rubin_Prem*GPUMW_N/ND_GPUMW_GB,1))</f>
        <v>16.2</v>
      </c>
      <c r="T68" s="32" t="n">
        <f aca="false">IF(RubinMode=1,RubinMW*IF(MYPathMode=1,(1+MYDecl)^(MAX(0,T$5-(MYDeclIdx-1))/4)*IF(AND(MYStressOn=1,T$5&gt;=PxCycIdx),1-MYStressCut,1),1),T67*IF(ND_GenOn=1,Rubin_Prem*GPUMW_N/ND_GPUMW_GB,1))</f>
        <v>16.2</v>
      </c>
      <c r="U68" s="32" t="n">
        <f aca="false">IF(RubinMode=1,RubinMW*IF(MYPathMode=1,(1+MYDecl)^(MAX(0,U$5-(MYDeclIdx-1))/4)*IF(AND(MYStressOn=1,U$5&gt;=PxCycIdx),1-MYStressCut,1),1),U67*IF(ND_GenOn=1,Rubin_Prem*GPUMW_N/ND_GPUMW_GB,1))</f>
        <v>16.2</v>
      </c>
      <c r="V68" s="32" t="n">
        <f aca="false">IF(RubinMode=1,RubinMW*IF(MYPathMode=1,(1+MYDecl)^(MAX(0,V$5-(MYDeclIdx-1))/4)*IF(AND(MYStressOn=1,V$5&gt;=PxCycIdx),1-MYStressCut,1),1),V67*IF(ND_GenOn=1,Rubin_Prem*GPUMW_N/ND_GPUMW_GB,1))</f>
        <v>16.2</v>
      </c>
      <c r="W68" s="32" t="n">
        <f aca="false">IF(RubinMode=1,RubinMW*IF(MYPathMode=1,(1+MYDecl)^(MAX(0,W$5-(MYDeclIdx-1))/4)*IF(AND(MYStressOn=1,W$5&gt;=PxCycIdx),1-MYStressCut,1),1),W67*IF(ND_GenOn=1,Rubin_Prem*GPUMW_N/ND_GPUMW_GB,1))</f>
        <v>16.2</v>
      </c>
      <c r="X68" s="32" t="n">
        <f aca="false">IF(RubinMode=1,RubinMW*IF(MYPathMode=1,(1+MYDecl)^(MAX(0,X$5-(MYDeclIdx-1))/4)*IF(AND(MYStressOn=1,X$5&gt;=PxCycIdx),1-MYStressCut,1),1),X67*IF(ND_GenOn=1,Rubin_Prem*GPUMW_N/ND_GPUMW_GB,1))</f>
        <v>16.2</v>
      </c>
      <c r="Y68" s="32" t="n">
        <f aca="false">IF(RubinMode=1,RubinMW*IF(MYPathMode=1,(1+MYDecl)^(MAX(0,Y$5-(MYDeclIdx-1))/4)*IF(AND(MYStressOn=1,Y$5&gt;=PxCycIdx),1-MYStressCut,1),1),Y67*IF(ND_GenOn=1,Rubin_Prem*GPUMW_N/ND_GPUMW_GB,1))</f>
        <v>16.2</v>
      </c>
      <c r="Z68" s="32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32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32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32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32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32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32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32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32" t="n">
        <f aca="false">AVERAGEIF($F$7:$AG$7,AI$7,$F68:$AG68)</f>
        <v>16.2</v>
      </c>
      <c r="AJ68" s="32" t="n">
        <f aca="false">AVERAGEIF($F$7:$AG$7,AJ$7,$F68:$AG68)</f>
        <v>16.2</v>
      </c>
      <c r="AK68" s="32" t="n">
        <f aca="false">AVERAGEIF($F$7:$AG$7,AK$7,$F68:$AG68)</f>
        <v>16.2</v>
      </c>
      <c r="AL68" s="32" t="n">
        <f aca="false">AVERAGEIF($F$7:$AG$7,AL$7,$F68:$AG68)</f>
        <v>16.2</v>
      </c>
      <c r="AM68" s="32" t="n">
        <f aca="false">AVERAGEIF($F$7:$AG$7,AM$7,$F68:$AG68)</f>
        <v>16.2</v>
      </c>
      <c r="AN68" s="32" t="n">
        <f aca="false">AVERAGEIF($F$7:$AG$7,AN$7,$F68:$AG68)</f>
        <v>15.8950935209657</v>
      </c>
      <c r="AO68" s="32" t="n">
        <f aca="false">AVERAGEIF($F$7:$AG$7,AO$7,$F68:$AG68)</f>
        <v>15.4182407153367</v>
      </c>
    </row>
    <row r="69" customFormat="false" ht="15" hidden="false" customHeight="false" outlineLevel="0" collapsed="false">
      <c r="A69" s="112" t="s">
        <v>2295</v>
      </c>
      <c r="B69" s="24" t="s">
        <v>732</v>
      </c>
      <c r="C69" s="24" t="s">
        <v>672</v>
      </c>
      <c r="D69" s="24"/>
      <c r="F69" s="122" t="n">
        <f aca="false">IF(F66&gt;0,(F64*F67+F65*F68)/F66,F67)</f>
        <v>16</v>
      </c>
      <c r="G69" s="122" t="n">
        <f aca="false">IF(G66&gt;0,(G64*G67+G65*G68)/G66,G67)</f>
        <v>16</v>
      </c>
      <c r="H69" s="122" t="n">
        <f aca="false">IF(H66&gt;0,(H64*H67+H65*H68)/H66,H67)</f>
        <v>16</v>
      </c>
      <c r="I69" s="122" t="n">
        <f aca="false">IF(I66&gt;0,(I64*I67+I65*I68)/I66,I67)</f>
        <v>16</v>
      </c>
      <c r="J69" s="122" t="n">
        <f aca="false">IF(J66&gt;0,(J64*J67+J65*J68)/J66,J67)</f>
        <v>16</v>
      </c>
      <c r="K69" s="122" t="n">
        <f aca="false">IF(K66&gt;0,(K64*K67+K65*K68)/K66,K67)</f>
        <v>16</v>
      </c>
      <c r="L69" s="122" t="n">
        <f aca="false">IF(L66&gt;0,(L64*L67+L65*L68)/L66,L67)</f>
        <v>16</v>
      </c>
      <c r="M69" s="122" t="n">
        <f aca="false">IF(M66&gt;0,(M64*M67+M65*M68)/M66,M67)</f>
        <v>16</v>
      </c>
      <c r="N69" s="122" t="n">
        <f aca="false">IF(N66&gt;0,(N64*N67+N65*N68)/N66,N67)</f>
        <v>16</v>
      </c>
      <c r="O69" s="122" t="n">
        <f aca="false">IF(O66&gt;0,(O64*O67+O65*O68)/O66,O67)</f>
        <v>16</v>
      </c>
      <c r="P69" s="32" t="n">
        <f aca="false">IF(P66&gt;0,(P64*P67+P65*P68)/P66,P67)</f>
        <v>16</v>
      </c>
      <c r="Q69" s="32" t="n">
        <f aca="false">IF(Q66&gt;0,(Q64*Q67+Q65*Q68)/Q66,Q67)</f>
        <v>16</v>
      </c>
      <c r="R69" s="32" t="n">
        <f aca="false">IF(R66&gt;0,(R64*R67+R65*R68)/R66,R67)</f>
        <v>16</v>
      </c>
      <c r="S69" s="32" t="n">
        <f aca="false">IF(S66&gt;0,(S64*S67+S65*S68)/S66,S67)</f>
        <v>16.0125681307146</v>
      </c>
      <c r="T69" s="32" t="n">
        <f aca="false">IF(T66&gt;0,(T64*T67+T65*T68)/T66,T67)</f>
        <v>16</v>
      </c>
      <c r="U69" s="32" t="n">
        <f aca="false">IF(U66&gt;0,(U64*U67+U65*U68)/U66,U67)</f>
        <v>16.010459290318</v>
      </c>
      <c r="V69" s="32" t="n">
        <f aca="false">IF(V66&gt;0,(V64*V67+V65*V68)/V66,V67)</f>
        <v>16.1237495585911</v>
      </c>
      <c r="W69" s="32" t="n">
        <f aca="false">IF(W66&gt;0,(W64*W67+W65*W68)/W66,W67)</f>
        <v>16.1608717579961</v>
      </c>
      <c r="X69" s="32" t="n">
        <f aca="false">IF(X66&gt;0,(X64*X67+X65*X68)/X66,X67)</f>
        <v>16.2</v>
      </c>
      <c r="Y69" s="32" t="n">
        <f aca="false">IF(Y66&gt;0,(Y64*Y67+Y65*Y68)/Y66,Y67)</f>
        <v>16.2</v>
      </c>
      <c r="Z69" s="32" t="n">
        <f aca="false">IF(Z66&gt;0,(Z64*Z67+Z65*Z68)/Z66,Z67)</f>
        <v>16.0495425804531</v>
      </c>
      <c r="AA69" s="32" t="n">
        <f aca="false">IF(AA66&gt;0,(AA64*AA67+AA65*AA68)/AA66,AA67)</f>
        <v>15.926790242796</v>
      </c>
      <c r="AB69" s="32" t="n">
        <f aca="false">IF(AB66&gt;0,(AB64*AB67+AB65*AB68)/AB66,AB67)</f>
        <v>15.8341157449927</v>
      </c>
      <c r="AC69" s="32" t="n">
        <f aca="false">IF(AC66&gt;0,(AC64*AC67+AC65*AC68)/AC66,AC67)</f>
        <v>15.714</v>
      </c>
      <c r="AD69" s="32" t="n">
        <f aca="false">IF(AD66&gt;0,(AD64*AD67+AD65*AD68)/AD66,AD67)</f>
        <v>15.5947954389614</v>
      </c>
      <c r="AE69" s="32" t="n">
        <f aca="false">IF(AE66&gt;0,(AE64*AE67+AE65*AE68)/AE66,AE67)</f>
        <v>15.4764951497424</v>
      </c>
      <c r="AF69" s="32" t="n">
        <f aca="false">IF(AF66&gt;0,(AF64*AF67+AF65*AF68)/AF66,AF67)</f>
        <v>15.1694738495239</v>
      </c>
      <c r="AG69" s="32" t="n">
        <f aca="false">IF(AG66&gt;0,(AG64*AG67+AG65*AG68)/AG66,AG67)</f>
        <v>15.0544</v>
      </c>
      <c r="AI69" s="32" t="n">
        <f aca="false">AVERAGEIF($F$7:$AG$7,AI$7,$F69:$AG69)</f>
        <v>16</v>
      </c>
      <c r="AJ69" s="32" t="n">
        <f aca="false">AVERAGEIF($F$7:$AG$7,AJ$7,$F69:$AG69)</f>
        <v>16</v>
      </c>
      <c r="AK69" s="32" t="n">
        <f aca="false">AVERAGEIF($F$7:$AG$7,AK$7,$F69:$AG69)</f>
        <v>16</v>
      </c>
      <c r="AL69" s="32" t="n">
        <f aca="false">AVERAGEIF($F$7:$AG$7,AL$7,$F69:$AG69)</f>
        <v>16.0057568552581</v>
      </c>
      <c r="AM69" s="32" t="n">
        <f aca="false">AVERAGEIF($F$7:$AG$7,AM$7,$F69:$AG69)</f>
        <v>16.1711553291468</v>
      </c>
      <c r="AN69" s="32" t="n">
        <f aca="false">AVERAGEIF($F$7:$AG$7,AN$7,$F69:$AG69)</f>
        <v>15.8811121420604</v>
      </c>
      <c r="AO69" s="32" t="n">
        <f aca="false">AVERAGEIF($F$7:$AG$7,AO$7,$F69:$AG69)</f>
        <v>15.3237911095569</v>
      </c>
    </row>
    <row r="70" customFormat="false" ht="15" hidden="false" customHeight="false" outlineLevel="0" collapsed="false">
      <c r="A70" s="112" t="s">
        <v>2296</v>
      </c>
      <c r="B70" s="24" t="s">
        <v>930</v>
      </c>
      <c r="C70" s="24" t="s">
        <v>820</v>
      </c>
      <c r="D70" s="24"/>
      <c r="F70" s="133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33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33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33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33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33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33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33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33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33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37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37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37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37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37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37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37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37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37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37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37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37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37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37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37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37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37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37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37" t="n">
        <f aca="false">AVERAGEIF($F$7:$AG$7,AI$7,$F70:$AG70)</f>
        <v>1</v>
      </c>
      <c r="AJ70" s="37" t="n">
        <f aca="false">AVERAGEIF($F$7:$AG$7,AJ$7,$F70:$AG70)</f>
        <v>1</v>
      </c>
      <c r="AK70" s="37" t="n">
        <f aca="false">AVERAGEIF($F$7:$AG$7,AK$7,$F70:$AG70)</f>
        <v>1</v>
      </c>
      <c r="AL70" s="37" t="n">
        <f aca="false">AVERAGEIF($F$7:$AG$7,AL$7,$F70:$AG70)</f>
        <v>0.78</v>
      </c>
      <c r="AM70" s="37" t="n">
        <f aca="false">AVERAGEIF($F$7:$AG$7,AM$7,$F70:$AG70)</f>
        <v>0.992325088605909</v>
      </c>
      <c r="AN70" s="37" t="n">
        <f aca="false">AVERAGEIF($F$7:$AG$7,AN$7,$F70:$AG70)</f>
        <v>0.94011246635667</v>
      </c>
      <c r="AO70" s="37" t="n">
        <f aca="false">AVERAGEIF($F$7:$AG$7,AO$7,$F70:$AG70)</f>
        <v>0.88370571837527</v>
      </c>
    </row>
    <row r="71" customFormat="false" ht="15" hidden="false" customHeight="false" outlineLevel="0" collapsed="false">
      <c r="A71" s="112" t="s">
        <v>2297</v>
      </c>
      <c r="B71" s="24" t="s">
        <v>732</v>
      </c>
      <c r="C71" s="24" t="s">
        <v>736</v>
      </c>
      <c r="D71" s="24"/>
      <c r="F71" s="122" t="n">
        <f aca="false">STRate*F70</f>
        <v>45</v>
      </c>
      <c r="G71" s="122" t="n">
        <f aca="false">STRate*G70</f>
        <v>45</v>
      </c>
      <c r="H71" s="122" t="n">
        <f aca="false">STRate*H70</f>
        <v>45</v>
      </c>
      <c r="I71" s="122" t="n">
        <f aca="false">STRate*I70</f>
        <v>45</v>
      </c>
      <c r="J71" s="122" t="n">
        <f aca="false">STRate*J70</f>
        <v>45</v>
      </c>
      <c r="K71" s="122" t="n">
        <f aca="false">STRate*K70</f>
        <v>45</v>
      </c>
      <c r="L71" s="122" t="n">
        <f aca="false">STRate*L70</f>
        <v>45</v>
      </c>
      <c r="M71" s="122" t="n">
        <f aca="false">STRate*M70</f>
        <v>45</v>
      </c>
      <c r="N71" s="122" t="n">
        <f aca="false">STRate*N70</f>
        <v>45</v>
      </c>
      <c r="O71" s="122" t="n">
        <f aca="false">STRate*O70</f>
        <v>45</v>
      </c>
      <c r="P71" s="32" t="n">
        <f aca="false">STRate*P70</f>
        <v>45</v>
      </c>
      <c r="Q71" s="32" t="n">
        <f aca="false">STRate*Q70</f>
        <v>45</v>
      </c>
      <c r="R71" s="32" t="n">
        <f aca="false">STRate*R70</f>
        <v>35.1</v>
      </c>
      <c r="S71" s="32" t="n">
        <f aca="false">STRate*S70</f>
        <v>35.1</v>
      </c>
      <c r="T71" s="32" t="n">
        <f aca="false">STRate*T70</f>
        <v>35.1</v>
      </c>
      <c r="U71" s="32" t="n">
        <f aca="false">STRate*U70</f>
        <v>35.1</v>
      </c>
      <c r="V71" s="32" t="n">
        <f aca="false">STRate*V70</f>
        <v>45</v>
      </c>
      <c r="W71" s="32" t="n">
        <f aca="false">STRate*W70</f>
        <v>45</v>
      </c>
      <c r="X71" s="32" t="n">
        <f aca="false">STRate*X70</f>
        <v>44.3092579745318</v>
      </c>
      <c r="Y71" s="32" t="n">
        <f aca="false">STRate*Y70</f>
        <v>44.3092579745318</v>
      </c>
      <c r="Z71" s="32" t="n">
        <f aca="false">STRate*Z70</f>
        <v>42.9594194760404</v>
      </c>
      <c r="AA71" s="32" t="n">
        <f aca="false">STRate*AA70</f>
        <v>42.9594194760404</v>
      </c>
      <c r="AB71" s="32" t="n">
        <f aca="false">STRate*AB70</f>
        <v>41.6507024960599</v>
      </c>
      <c r="AC71" s="32" t="n">
        <f aca="false">STRate*AC70</f>
        <v>41.6507024960599</v>
      </c>
      <c r="AD71" s="32" t="n">
        <f aca="false">STRate*AD70</f>
        <v>40.3818543074779</v>
      </c>
      <c r="AE71" s="32" t="n">
        <f aca="false">STRate*AE70</f>
        <v>40.3818543074779</v>
      </c>
      <c r="AF71" s="32" t="n">
        <f aca="false">STRate*AF70</f>
        <v>39.1516603462963</v>
      </c>
      <c r="AG71" s="32" t="n">
        <f aca="false">STRate*AG70</f>
        <v>39.1516603462963</v>
      </c>
      <c r="AI71" s="32" t="n">
        <f aca="false">AVERAGEIF($F$7:$AG$7,AI$7,$F71:$AG71)</f>
        <v>45</v>
      </c>
      <c r="AJ71" s="32" t="n">
        <f aca="false">AVERAGEIF($F$7:$AG$7,AJ$7,$F71:$AG71)</f>
        <v>45</v>
      </c>
      <c r="AK71" s="32" t="n">
        <f aca="false">AVERAGEIF($F$7:$AG$7,AK$7,$F71:$AG71)</f>
        <v>45</v>
      </c>
      <c r="AL71" s="32" t="n">
        <f aca="false">AVERAGEIF($F$7:$AG$7,AL$7,$F71:$AG71)</f>
        <v>35.1</v>
      </c>
      <c r="AM71" s="32" t="n">
        <f aca="false">AVERAGEIF($F$7:$AG$7,AM$7,$F71:$AG71)</f>
        <v>44.6546289872659</v>
      </c>
      <c r="AN71" s="32" t="n">
        <f aca="false">AVERAGEIF($F$7:$AG$7,AN$7,$F71:$AG71)</f>
        <v>42.3050609860501</v>
      </c>
      <c r="AO71" s="32" t="n">
        <f aca="false">AVERAGEIF($F$7:$AG$7,AO$7,$F71:$AG71)</f>
        <v>39.7667573268871</v>
      </c>
    </row>
    <row r="72" customFormat="false" ht="15" hidden="false" customHeight="false" outlineLevel="0" collapsed="false">
      <c r="A72" s="112" t="s">
        <v>2298</v>
      </c>
      <c r="B72" s="24" t="s">
        <v>857</v>
      </c>
      <c r="C72" s="24" t="s">
        <v>672</v>
      </c>
      <c r="D72" s="24"/>
      <c r="F72" s="116" t="n">
        <f aca="false">F57/GPUMW_H+F58/GPUMW_B+F59/GPUMW_N</f>
        <v>19.2328190743338</v>
      </c>
      <c r="G72" s="116" t="n">
        <f aca="false">G57/GPUMW_H+G58/GPUMW_B+G59/GPUMW_N</f>
        <v>19.2328190743338</v>
      </c>
      <c r="H72" s="116" t="n">
        <f aca="false">H57/GPUMW_H+H58/GPUMW_B+H59/GPUMW_N</f>
        <v>19.2328190743338</v>
      </c>
      <c r="I72" s="116" t="n">
        <f aca="false">I57/GPUMW_H+I58/GPUMW_B+I59/GPUMW_N</f>
        <v>21.156381486676</v>
      </c>
      <c r="J72" s="116" t="n">
        <f aca="false">J57/GPUMW_H+J58/GPUMW_B+J59/GPUMW_N</f>
        <v>32.577840112202</v>
      </c>
      <c r="K72" s="116" t="n">
        <f aca="false">K57/GPUMW_H+K58/GPUMW_B+K59/GPUMW_N</f>
        <v>42.0757363253857</v>
      </c>
      <c r="L72" s="116" t="n">
        <f aca="false">L57/GPUMW_H+L58/GPUMW_B+L59/GPUMW_N</f>
        <v>47.1917363253857</v>
      </c>
      <c r="M72" s="116" t="n">
        <f aca="false">M57/GPUMW_H+M58/GPUMW_B+M59/GPUMW_N</f>
        <v>64.459819658719</v>
      </c>
      <c r="N72" s="116" t="n">
        <f aca="false">N57/GPUMW_H+N58/GPUMW_B+N59/GPUMW_N</f>
        <v>73.4849863253857</v>
      </c>
      <c r="O72" s="116" t="n">
        <f aca="false">O57/GPUMW_H+O58/GPUMW_B+O59/GPUMW_N</f>
        <v>74.438069658719</v>
      </c>
      <c r="P72" s="35" t="n">
        <f aca="false">P57/GPUMW_H+P58/GPUMW_B+P59/GPUMW_N</f>
        <v>78.518069658719</v>
      </c>
      <c r="Q72" s="35" t="n">
        <f aca="false">Q57/GPUMW_H+Q58/GPUMW_B+Q59/GPUMW_N</f>
        <v>81.174069658719</v>
      </c>
      <c r="R72" s="35" t="n">
        <f aca="false">R57/GPUMW_H+R58/GPUMW_B+R59/GPUMW_N</f>
        <v>81.174069658719</v>
      </c>
      <c r="S72" s="35" t="n">
        <f aca="false">S57/GPUMW_H+S58/GPUMW_B+S59/GPUMW_N</f>
        <v>81.174069658719</v>
      </c>
      <c r="T72" s="35" t="n">
        <f aca="false">T57/GPUMW_H+T58/GPUMW_B+T59/GPUMW_N</f>
        <v>81.174069658719</v>
      </c>
      <c r="U72" s="35" t="n">
        <f aca="false">U57/GPUMW_H+U58/GPUMW_B+U59/GPUMW_N</f>
        <v>81.174069658719</v>
      </c>
      <c r="V72" s="35" t="n">
        <f aca="false">V57/GPUMW_H+V58/GPUMW_B+V59/GPUMW_N</f>
        <v>81.174069658719</v>
      </c>
      <c r="W72" s="35" t="n">
        <f aca="false">W57/GPUMW_H+W58/GPUMW_B+W59/GPUMW_N</f>
        <v>81.174069658719</v>
      </c>
      <c r="X72" s="35" t="n">
        <f aca="false">X57/GPUMW_H+X58/GPUMW_B+X59/GPUMW_N</f>
        <v>81.174069658719</v>
      </c>
      <c r="Y72" s="35" t="n">
        <f aca="false">Y57/GPUMW_H+Y58/GPUMW_B+Y59/GPUMW_N</f>
        <v>81.174069658719</v>
      </c>
      <c r="Z72" s="35" t="n">
        <f aca="false">Z57/GPUMW_H+Z58/GPUMW_B+Z59/GPUMW_N</f>
        <v>81.174069658719</v>
      </c>
      <c r="AA72" s="35" t="n">
        <f aca="false">AA57/GPUMW_H+AA58/GPUMW_B+AA59/GPUMW_N</f>
        <v>81.174069658719</v>
      </c>
      <c r="AB72" s="35" t="n">
        <f aca="false">AB57/GPUMW_H+AB58/GPUMW_B+AB59/GPUMW_N</f>
        <v>81.174069658719</v>
      </c>
      <c r="AC72" s="35" t="n">
        <f aca="false">AC57/GPUMW_H+AC58/GPUMW_B+AC59/GPUMW_N</f>
        <v>81.174069658719</v>
      </c>
      <c r="AD72" s="35" t="n">
        <f aca="false">AD57/GPUMW_H+AD58/GPUMW_B+AD59/GPUMW_N</f>
        <v>81.174069658719</v>
      </c>
      <c r="AE72" s="35" t="n">
        <f aca="false">AE57/GPUMW_H+AE58/GPUMW_B+AE59/GPUMW_N</f>
        <v>81.174069658719</v>
      </c>
      <c r="AF72" s="35" t="n">
        <f aca="false">AF57/GPUMW_H+AF58/GPUMW_B+AF59/GPUMW_N</f>
        <v>81.174069658719</v>
      </c>
      <c r="AG72" s="35" t="n">
        <f aca="false">AG57/GPUMW_H+AG58/GPUMW_B+AG59/GPUMW_N</f>
        <v>81.174069658719</v>
      </c>
      <c r="AI72" s="35" t="n">
        <f aca="false">AVERAGEIF($F$7:$AG$7,AI$7,$F72:$AG72)</f>
        <v>19.7137096774194</v>
      </c>
      <c r="AJ72" s="35" t="n">
        <f aca="false">AVERAGEIF($F$7:$AG$7,AJ$7,$F72:$AG72)</f>
        <v>46.5762831054231</v>
      </c>
      <c r="AK72" s="35" t="n">
        <f aca="false">AVERAGEIF($F$7:$AG$7,AK$7,$F72:$AG72)</f>
        <v>76.9037988253857</v>
      </c>
      <c r="AL72" s="35" t="n">
        <f aca="false">AVERAGEIF($F$7:$AG$7,AL$7,$F72:$AG72)</f>
        <v>81.174069658719</v>
      </c>
      <c r="AM72" s="35" t="n">
        <f aca="false">AVERAGEIF($F$7:$AG$7,AM$7,$F72:$AG72)</f>
        <v>81.174069658719</v>
      </c>
      <c r="AN72" s="35" t="n">
        <f aca="false">AVERAGEIF($F$7:$AG$7,AN$7,$F72:$AG72)</f>
        <v>81.174069658719</v>
      </c>
      <c r="AO72" s="35" t="n">
        <f aca="false">AVERAGEIF($F$7:$AG$7,AO$7,$F72:$AG72)</f>
        <v>81.174069658719</v>
      </c>
    </row>
    <row r="73" customFormat="false" ht="15" hidden="false" customHeight="false" outlineLevel="0" collapsed="false">
      <c r="A73" s="112" t="s">
        <v>2299</v>
      </c>
      <c r="B73" s="24" t="s">
        <v>857</v>
      </c>
      <c r="C73" s="24" t="s">
        <v>820</v>
      </c>
      <c r="D73" s="24" t="s">
        <v>2300</v>
      </c>
      <c r="F73" s="116" t="n">
        <f aca="false">IF(F$5&lt;NewDealIdx,0,IF(STMode=1,MIN(STShare*F12,F72+IF(STGBOnly=1,F62,F61)),STShare*F61))</f>
        <v>0</v>
      </c>
      <c r="G73" s="116" t="n">
        <f aca="false">IF(G$5&lt;NewDealIdx,0,IF(STMode=1,MIN(STShare*G12,G72+IF(STGBOnly=1,G62,G61)),STShare*G61))</f>
        <v>0</v>
      </c>
      <c r="H73" s="116" t="n">
        <f aca="false">IF(H$5&lt;NewDealIdx,0,IF(STMode=1,MIN(STShare*H12,H72+IF(STGBOnly=1,H62,H61)),STShare*H61))</f>
        <v>0</v>
      </c>
      <c r="I73" s="116" t="n">
        <f aca="false">IF(I$5&lt;NewDealIdx,0,IF(STMode=1,MIN(STShare*I12,I72+IF(STGBOnly=1,I62,I61)),STShare*I61))</f>
        <v>0</v>
      </c>
      <c r="J73" s="116" t="n">
        <f aca="false">IF(J$5&lt;NewDealIdx,0,IF(STMode=1,MIN(STShare*J12,J72+IF(STGBOnly=1,J62,J61)),STShare*J61))</f>
        <v>0</v>
      </c>
      <c r="K73" s="116" t="n">
        <f aca="false">IF(K$5&lt;NewDealIdx,0,IF(STMode=1,MIN(STShare*K12,K72+IF(STGBOnly=1,K62,K61)),STShare*K61))</f>
        <v>0</v>
      </c>
      <c r="L73" s="116" t="n">
        <f aca="false">IF(L$5&lt;NewDealIdx,0,IF(STMode=1,MIN(STShare*L12,L72+IF(STGBOnly=1,L62,L61)),STShare*L61))</f>
        <v>0</v>
      </c>
      <c r="M73" s="116" t="n">
        <f aca="false">IF(M$5&lt;NewDealIdx,0,IF(STMode=1,MIN(STShare*M12,M72+IF(STGBOnly=1,M62,M61)),STShare*M61))</f>
        <v>0</v>
      </c>
      <c r="N73" s="116" t="n">
        <f aca="false">IF(N$5&lt;NewDealIdx,0,IF(STMode=1,MIN(STShare*N12,N72+IF(STGBOnly=1,N62,N61)),STShare*N61))</f>
        <v>0</v>
      </c>
      <c r="O73" s="116" t="n">
        <f aca="false">IF(O$5&lt;NewDealIdx,0,IF(STMode=1,MIN(STShare*O12,O72+IF(STGBOnly=1,O62,O61)),STShare*O61))</f>
        <v>0</v>
      </c>
      <c r="P73" s="35" t="n">
        <f aca="false">IF(P$5&lt;NewDealIdx,0,IF(STMode=1,MIN(STShare*P12,P72+IF(STGBOnly=1,P62,P61)),STShare*P61))</f>
        <v>0</v>
      </c>
      <c r="Q73" s="35" t="n">
        <f aca="false">IF(Q$5&lt;NewDealIdx,0,IF(STMode=1,MIN(STShare*Q12,Q72+IF(STGBOnly=1,Q62,Q61)),STShare*Q61))</f>
        <v>0</v>
      </c>
      <c r="R73" s="35" t="n">
        <f aca="false">IF(R$5&lt;NewDealIdx,0,IF(STMode=1,MIN(STShare*R12,R72+IF(STGBOnly=1,R62,R61)),STShare*R61))</f>
        <v>12.96773</v>
      </c>
      <c r="S73" s="35" t="n">
        <f aca="false">IF(S$5&lt;NewDealIdx,0,IF(STMode=1,MIN(STShare*S12,S72+IF(STGBOnly=1,S62,S61)),STShare*S61))</f>
        <v>18.88779375</v>
      </c>
      <c r="T73" s="35" t="n">
        <f aca="false">IF(T$5&lt;NewDealIdx,0,IF(STMode=1,MIN(STShare*T12,T72+IF(STGBOnly=1,T62,T61)),STShare*T61))</f>
        <v>27.08322625</v>
      </c>
      <c r="U73" s="35" t="n">
        <f aca="false">IF(U$5&lt;NewDealIdx,0,IF(STMode=1,MIN(STShare*U12,U72+IF(STGBOnly=1,U62,U61)),STShare*U61))</f>
        <v>36.0536025</v>
      </c>
      <c r="V73" s="35" t="n">
        <f aca="false">IF(V$5&lt;NewDealIdx,0,IF(STMode=1,MIN(STShare*V12,V72+IF(STGBOnly=1,V62,V61)),STShare*V61))</f>
        <v>47.3629525</v>
      </c>
      <c r="W73" s="35" t="n">
        <f aca="false">IF(W$5&lt;NewDealIdx,0,IF(STMode=1,MIN(STShare*W12,W72+IF(STGBOnly=1,W62,W61)),STShare*W61))</f>
        <v>56.3725775</v>
      </c>
      <c r="X73" s="35" t="n">
        <f aca="false">IF(X$5&lt;NewDealIdx,0,IF(STMode=1,MIN(STShare*X12,X72+IF(STGBOnly=1,X62,X61)),STShare*X61))</f>
        <v>62.4861025</v>
      </c>
      <c r="Y73" s="35" t="n">
        <f aca="false">IF(Y$5&lt;NewDealIdx,0,IF(STMode=1,MIN(STShare*Y12,Y72+IF(STGBOnly=1,Y62,Y61)),STShare*Y61))</f>
        <v>66.63509</v>
      </c>
      <c r="Z73" s="35" t="n">
        <f aca="false">IF(Z$5&lt;NewDealIdx,0,IF(STMode=1,MIN(STShare*Z12,Z72+IF(STGBOnly=1,Z62,Z61)),STShare*Z61))</f>
        <v>74.7919775</v>
      </c>
      <c r="AA73" s="35" t="n">
        <f aca="false">IF(AA$5&lt;NewDealIdx,0,IF(STMode=1,MIN(STShare*AA12,AA72+IF(STGBOnly=1,AA62,AA61)),STShare*AA61))</f>
        <v>82.636365</v>
      </c>
      <c r="AB73" s="35" t="n">
        <f aca="false">IF(AB$5&lt;NewDealIdx,0,IF(STMode=1,MIN(STShare*AB12,AB72+IF(STGBOnly=1,AB62,AB61)),STShare*AB61))</f>
        <v>90.413715</v>
      </c>
      <c r="AC73" s="35" t="n">
        <f aca="false">IF(AC$5&lt;NewDealIdx,0,IF(STMode=1,MIN(STShare*AC12,AC72+IF(STGBOnly=1,AC62,AC61)),STShare*AC61))</f>
        <v>98.191065</v>
      </c>
      <c r="AD73" s="35" t="n">
        <f aca="false">IF(AD$5&lt;NewDealIdx,0,IF(STMode=1,MIN(STShare*AD12,AD72+IF(STGBOnly=1,AD62,AD61)),STShare*AD61))</f>
        <v>109.32994</v>
      </c>
      <c r="AE73" s="35" t="n">
        <f aca="false">IF(AE$5&lt;NewDealIdx,0,IF(STMode=1,MIN(STShare*AE12,AE72+IF(STGBOnly=1,AE62,AE61)),STShare*AE61))</f>
        <v>120.468815</v>
      </c>
      <c r="AF73" s="35" t="n">
        <f aca="false">IF(AF$5&lt;NewDealIdx,0,IF(STMode=1,MIN(STShare*AF12,AF72+IF(STGBOnly=1,AF62,AF61)),STShare*AF61))</f>
        <v>120.468815</v>
      </c>
      <c r="AG73" s="35" t="n">
        <f aca="false">IF(AG$5&lt;NewDealIdx,0,IF(STMode=1,MIN(STShare*AG12,AG72+IF(STGBOnly=1,AG62,AG61)),STShare*AG61))</f>
        <v>120.468815</v>
      </c>
      <c r="AI73" s="35" t="n">
        <f aca="false">AVERAGEIF($F$7:$AG$7,AI$7,$F73:$AG73)</f>
        <v>0</v>
      </c>
      <c r="AJ73" s="35" t="n">
        <f aca="false">AVERAGEIF($F$7:$AG$7,AJ$7,$F73:$AG73)</f>
        <v>0</v>
      </c>
      <c r="AK73" s="35" t="n">
        <f aca="false">AVERAGEIF($F$7:$AG$7,AK$7,$F73:$AG73)</f>
        <v>0</v>
      </c>
      <c r="AL73" s="35" t="n">
        <f aca="false">AVERAGEIF($F$7:$AG$7,AL$7,$F73:$AG73)</f>
        <v>23.748088125</v>
      </c>
      <c r="AM73" s="35" t="n">
        <f aca="false">AVERAGEIF($F$7:$AG$7,AM$7,$F73:$AG73)</f>
        <v>58.214180625</v>
      </c>
      <c r="AN73" s="35" t="n">
        <f aca="false">AVERAGEIF($F$7:$AG$7,AN$7,$F73:$AG73)</f>
        <v>86.508280625</v>
      </c>
      <c r="AO73" s="35" t="n">
        <f aca="false">AVERAGEIF($F$7:$AG$7,AO$7,$F73:$AG73)</f>
        <v>117.68409625</v>
      </c>
    </row>
    <row r="74" customFormat="false" ht="15" hidden="false" customHeight="false" outlineLevel="0" collapsed="false">
      <c r="A74" s="112" t="s">
        <v>2301</v>
      </c>
      <c r="B74" s="24" t="s">
        <v>751</v>
      </c>
      <c r="C74" s="24" t="s">
        <v>672</v>
      </c>
      <c r="D74" s="24"/>
      <c r="F74" s="134" t="n">
        <f aca="false">IF(F72+IF(STGBOnly=1,F62,F61)&gt;0,F73/(F72+IF(STGBOnly=1,F62,F61)),0)</f>
        <v>0</v>
      </c>
      <c r="G74" s="134" t="n">
        <f aca="false">IF(G72+IF(STGBOnly=1,G62,G61)&gt;0,G73/(G72+IF(STGBOnly=1,G62,G61)),0)</f>
        <v>0</v>
      </c>
      <c r="H74" s="134" t="n">
        <f aca="false">IF(H72+IF(STGBOnly=1,H62,H61)&gt;0,H73/(H72+IF(STGBOnly=1,H62,H61)),0)</f>
        <v>0</v>
      </c>
      <c r="I74" s="134" t="n">
        <f aca="false">IF(I72+IF(STGBOnly=1,I62,I61)&gt;0,I73/(I72+IF(STGBOnly=1,I62,I61)),0)</f>
        <v>0</v>
      </c>
      <c r="J74" s="134" t="n">
        <f aca="false">IF(J72+IF(STGBOnly=1,J62,J61)&gt;0,J73/(J72+IF(STGBOnly=1,J62,J61)),0)</f>
        <v>0</v>
      </c>
      <c r="K74" s="134" t="n">
        <f aca="false">IF(K72+IF(STGBOnly=1,K62,K61)&gt;0,K73/(K72+IF(STGBOnly=1,K62,K61)),0)</f>
        <v>0</v>
      </c>
      <c r="L74" s="134" t="n">
        <f aca="false">IF(L72+IF(STGBOnly=1,L62,L61)&gt;0,L73/(L72+IF(STGBOnly=1,L62,L61)),0)</f>
        <v>0</v>
      </c>
      <c r="M74" s="134" t="n">
        <f aca="false">IF(M72+IF(STGBOnly=1,M62,M61)&gt;0,M73/(M72+IF(STGBOnly=1,M62,M61)),0)</f>
        <v>0</v>
      </c>
      <c r="N74" s="134" t="n">
        <f aca="false">IF(N72+IF(STGBOnly=1,N62,N61)&gt;0,N73/(N72+IF(STGBOnly=1,N62,N61)),0)</f>
        <v>0</v>
      </c>
      <c r="O74" s="134" t="n">
        <f aca="false">IF(O72+IF(STGBOnly=1,O62,O61)&gt;0,O73/(O72+IF(STGBOnly=1,O62,O61)),0)</f>
        <v>0</v>
      </c>
      <c r="P74" s="29" t="n">
        <f aca="false">IF(P72+IF(STGBOnly=1,P62,P61)&gt;0,P73/(P72+IF(STGBOnly=1,P62,P61)),0)</f>
        <v>0</v>
      </c>
      <c r="Q74" s="29" t="n">
        <f aca="false">IF(Q72+IF(STGBOnly=1,Q62,Q61)&gt;0,Q73/(Q72+IF(STGBOnly=1,Q62,Q61)),0)</f>
        <v>0</v>
      </c>
      <c r="R74" s="29" t="n">
        <f aca="false">IF(R72+IF(STGBOnly=1,R62,R61)&gt;0,R73/(R72+IF(STGBOnly=1,R62,R61)),0)</f>
        <v>0.113105066821738</v>
      </c>
      <c r="S74" s="29" t="n">
        <f aca="false">IF(S72+IF(STGBOnly=1,S62,S61)&gt;0,S73/(S72+IF(STGBOnly=1,S62,S61)),0)</f>
        <v>0.0981520256963718</v>
      </c>
      <c r="T74" s="29" t="n">
        <f aca="false">IF(T72+IF(STGBOnly=1,T62,T61)&gt;0,T73/(T72+IF(STGBOnly=1,T62,T61)),0)</f>
        <v>0.0950972440725708</v>
      </c>
      <c r="U74" s="29" t="n">
        <f aca="false">IF(U72+IF(STGBOnly=1,U62,U61)&gt;0,U73/(U72+IF(STGBOnly=1,U62,U61)),0)</f>
        <v>0.100801566471492</v>
      </c>
      <c r="V74" s="29" t="n">
        <f aca="false">IF(V72+IF(STGBOnly=1,V62,V61)&gt;0,V73/(V72+IF(STGBOnly=1,V62,V61)),0)</f>
        <v>0.113139582582082</v>
      </c>
      <c r="W74" s="29" t="n">
        <f aca="false">IF(W72+IF(STGBOnly=1,W62,W61)&gt;0,W73/(W72+IF(STGBOnly=1,W62,W61)),0)</f>
        <v>0.12468883141196</v>
      </c>
      <c r="X74" s="29" t="n">
        <f aca="false">IF(X72+IF(STGBOnly=1,X62,X61)&gt;0,X73/(X72+IF(STGBOnly=1,X62,X61)),0)</f>
        <v>0.138211155951011</v>
      </c>
      <c r="Y74" s="29" t="n">
        <f aca="false">IF(Y72+IF(STGBOnly=1,Y62,Y61)&gt;0,Y73/(Y72+IF(STGBOnly=1,Y62,Y61)),0)</f>
        <v>0.147388178288119</v>
      </c>
      <c r="Z74" s="29" t="n">
        <f aca="false">IF(Z72+IF(STGBOnly=1,Z62,Z61)&gt;0,Z73/(Z72+IF(STGBOnly=1,Z62,Z61)),0)</f>
        <v>0.156907101375502</v>
      </c>
      <c r="AA74" s="29" t="n">
        <f aca="false">IF(AA72+IF(STGBOnly=1,AA62,AA61)&gt;0,AA73/(AA72+IF(STGBOnly=1,AA62,AA61)),0)</f>
        <v>0.164869765324314</v>
      </c>
      <c r="AB74" s="29" t="n">
        <f aca="false">IF(AB72+IF(STGBOnly=1,AB62,AB61)&gt;0,AB73/(AB72+IF(STGBOnly=1,AB62,AB61)),0)</f>
        <v>0.180386540164847</v>
      </c>
      <c r="AC74" s="29" t="n">
        <f aca="false">IF(AC72+IF(STGBOnly=1,AC62,AC61)&gt;0,AC73/(AC72+IF(STGBOnly=1,AC62,AC61)),0)</f>
        <v>0.195903315005379</v>
      </c>
      <c r="AD74" s="29" t="n">
        <f aca="false">IF(AD72+IF(STGBOnly=1,AD62,AD61)&gt;0,AD73/(AD72+IF(STGBOnly=1,AD62,AD61)),0)</f>
        <v>0.218126747839421</v>
      </c>
      <c r="AE74" s="29" t="n">
        <f aca="false">IF(AE72+IF(STGBOnly=1,AE62,AE61)&gt;0,AE73/(AE72+IF(STGBOnly=1,AE62,AE61)),0)</f>
        <v>0.240350180673463</v>
      </c>
      <c r="AF74" s="29" t="n">
        <f aca="false">IF(AF72+IF(STGBOnly=1,AF62,AF61)&gt;0,AF73/(AF72+IF(STGBOnly=1,AF62,AF61)),0)</f>
        <v>0.240350180673463</v>
      </c>
      <c r="AG74" s="29" t="n">
        <f aca="false">IF(AG72+IF(STGBOnly=1,AG62,AG61)&gt;0,AG73/(AG72+IF(STGBOnly=1,AG62,AG61)),0)</f>
        <v>0.241555010955176</v>
      </c>
      <c r="AI74" s="29" t="n">
        <f aca="false">AVERAGEIF($F$7:$AG$7,AI$7,$F74:$AG74)</f>
        <v>0</v>
      </c>
      <c r="AJ74" s="29" t="n">
        <f aca="false">AVERAGEIF($F$7:$AG$7,AJ$7,$F74:$AG74)</f>
        <v>0</v>
      </c>
      <c r="AK74" s="29" t="n">
        <f aca="false">AVERAGEIF($F$7:$AG$7,AK$7,$F74:$AG74)</f>
        <v>0</v>
      </c>
      <c r="AL74" s="29" t="n">
        <f aca="false">AVERAGEIF($F$7:$AG$7,AL$7,$F74:$AG74)</f>
        <v>0.101788975765543</v>
      </c>
      <c r="AM74" s="29" t="n">
        <f aca="false">AVERAGEIF($F$7:$AG$7,AM$7,$F74:$AG74)</f>
        <v>0.130856937058293</v>
      </c>
      <c r="AN74" s="29" t="n">
        <f aca="false">AVERAGEIF($F$7:$AG$7,AN$7,$F74:$AG74)</f>
        <v>0.17451668046751</v>
      </c>
      <c r="AO74" s="29" t="n">
        <f aca="false">AVERAGEIF($F$7:$AG$7,AO$7,$F74:$AG74)</f>
        <v>0.235095530035381</v>
      </c>
    </row>
    <row r="75" customFormat="false" ht="15" hidden="false" customHeight="false" outlineLevel="0" collapsed="false">
      <c r="A75" s="112" t="s">
        <v>2302</v>
      </c>
      <c r="B75" s="24" t="s">
        <v>745</v>
      </c>
      <c r="C75" s="24" t="s">
        <v>672</v>
      </c>
      <c r="D75" s="24"/>
      <c r="F75" s="130" t="n">
        <f aca="false">SUMPRODUCT($F$66:F66,$F$69:F69)/4</f>
        <v>0</v>
      </c>
      <c r="G75" s="130" t="n">
        <f aca="false">SUMPRODUCT($F$66:G66,$F$69:G69)/4</f>
        <v>0</v>
      </c>
      <c r="H75" s="130" t="n">
        <f aca="false">SUMPRODUCT($F$66:H66,$F$69:H69)/4</f>
        <v>0</v>
      </c>
      <c r="I75" s="130" t="n">
        <f aca="false">SUMPRODUCT($F$66:I66,$F$69:I69)/4</f>
        <v>0</v>
      </c>
      <c r="J75" s="130" t="n">
        <f aca="false">SUMPRODUCT($F$66:J66,$F$69:J69)/4</f>
        <v>0</v>
      </c>
      <c r="K75" s="130" t="n">
        <f aca="false">SUMPRODUCT($F$66:K66,$F$69:K69)/4</f>
        <v>0</v>
      </c>
      <c r="L75" s="130" t="n">
        <f aca="false">SUMPRODUCT($F$66:L66,$F$69:L69)/4</f>
        <v>0</v>
      </c>
      <c r="M75" s="130" t="n">
        <f aca="false">SUMPRODUCT($F$66:M66,$F$69:M69)/4</f>
        <v>0</v>
      </c>
      <c r="N75" s="130" t="n">
        <f aca="false">SUMPRODUCT($F$66:N66,$F$69:N69)/4</f>
        <v>0</v>
      </c>
      <c r="O75" s="130" t="n">
        <f aca="false">SUMPRODUCT($F$66:O66,$F$69:O69)/4</f>
        <v>0</v>
      </c>
      <c r="P75" s="131" t="n">
        <f aca="false">SUMPRODUCT($F$66:P66,$F$69:P69)/4</f>
        <v>0</v>
      </c>
      <c r="Q75" s="131" t="n">
        <f aca="false">SUMPRODUCT($F$66:Q66,$F$69:Q69)/4</f>
        <v>0</v>
      </c>
      <c r="R75" s="131" t="n">
        <f aca="false">SUMPRODUCT($F$66:R66,$F$69:R69)/4</f>
        <v>133.912</v>
      </c>
      <c r="S75" s="131" t="n">
        <f aca="false">SUMPRODUCT($F$66:S66,$F$69:S69)/4</f>
        <v>466.16328125</v>
      </c>
      <c r="T75" s="131" t="n">
        <f aca="false">SUMPRODUCT($F$66:T66,$F$69:T69)/4</f>
        <v>835.60728125</v>
      </c>
      <c r="U75" s="131" t="n">
        <f aca="false">SUMPRODUCT($F$66:U66,$F$69:U69)/4</f>
        <v>1143.389765625</v>
      </c>
      <c r="V75" s="131" t="n">
        <f aca="false">SUMPRODUCT($F$66:V66,$F$69:V69)/4</f>
        <v>1787.860234375</v>
      </c>
      <c r="W75" s="131" t="n">
        <f aca="false">SUMPRODUCT($F$66:W66,$F$69:W69)/4</f>
        <v>2479.302375</v>
      </c>
      <c r="X75" s="131" t="n">
        <f aca="false">SUMPRODUCT($F$66:X66,$F$69:X69)/4</f>
        <v>3003.0433125</v>
      </c>
      <c r="Y75" s="131" t="n">
        <f aca="false">SUMPRODUCT($F$66:Y66,$F$69:Y69)/4</f>
        <v>3357.8233125</v>
      </c>
      <c r="Z75" s="131" t="n">
        <f aca="false">SUMPRODUCT($F$66:Z66,$F$69:Z69)/4</f>
        <v>4067.30788716689</v>
      </c>
      <c r="AA75" s="131" t="n">
        <f aca="false">SUMPRODUCT($F$66:AA66,$F$69:AA69)/4</f>
        <v>4746.48047374898</v>
      </c>
      <c r="AB75" s="131" t="n">
        <f aca="false">SUMPRODUCT($F$66:AB66,$F$69:AB69)/4</f>
        <v>5440.08896579721</v>
      </c>
      <c r="AC75" s="131" t="n">
        <f aca="false">SUMPRODUCT($F$66:AC66,$F$69:AC69)/4</f>
        <v>6128.43582517221</v>
      </c>
      <c r="AD75" s="131" t="n">
        <f aca="false">SUMPRODUCT($F$66:AD66,$F$69:AD69)/4</f>
        <v>7079.93155704275</v>
      </c>
      <c r="AE75" s="131" t="n">
        <f aca="false">SUMPRODUCT($F$66:AE66,$F$69:AE69)/4</f>
        <v>8024.20935388416</v>
      </c>
      <c r="AF75" s="131" t="n">
        <f aca="false">SUMPRODUCT($F$66:AF66,$F$69:AF69)/4</f>
        <v>8024.20935388416</v>
      </c>
      <c r="AG75" s="131" t="n">
        <f aca="false">SUMPRODUCT($F$66:AG66,$F$69:AG69)/4</f>
        <v>8024.20935388416</v>
      </c>
      <c r="AI75" s="131" t="n">
        <f aca="false">SUMIF($F$7:$AG$7,AI$7,$F75:$AG75)</f>
        <v>0</v>
      </c>
      <c r="AJ75" s="131" t="n">
        <f aca="false">SUMIF($F$7:$AG$7,AJ$7,$F75:$AG75)</f>
        <v>0</v>
      </c>
      <c r="AK75" s="131" t="n">
        <f aca="false">SUMIF($F$7:$AG$7,AK$7,$F75:$AG75)</f>
        <v>0</v>
      </c>
      <c r="AL75" s="131" t="n">
        <f aca="false">SUMIF($F$7:$AG$7,AL$7,$F75:$AG75)</f>
        <v>2579.072328125</v>
      </c>
      <c r="AM75" s="131" t="n">
        <f aca="false">SUMIF($F$7:$AG$7,AM$7,$F75:$AG75)</f>
        <v>10628.029234375</v>
      </c>
      <c r="AN75" s="131" t="n">
        <f aca="false">SUMIF($F$7:$AG$7,AN$7,$F75:$AG75)</f>
        <v>20382.3131518853</v>
      </c>
      <c r="AO75" s="131" t="n">
        <f aca="false">SUMIF($F$7:$AG$7,AO$7,$F75:$AG75)</f>
        <v>31152.5596186952</v>
      </c>
    </row>
    <row r="77" customFormat="false" ht="15" hidden="false" customHeight="false" outlineLevel="0" collapsed="false">
      <c r="A77" s="64" t="s">
        <v>2303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</row>
    <row r="78" customFormat="false" ht="15" hidden="false" customHeight="false" outlineLevel="0" collapsed="false">
      <c r="A78" s="112" t="s">
        <v>2304</v>
      </c>
      <c r="B78" s="24" t="s">
        <v>745</v>
      </c>
      <c r="C78" s="24" t="s">
        <v>672</v>
      </c>
      <c r="D78" s="24"/>
      <c r="F78" s="130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12" t="s">
        <v>2305</v>
      </c>
      <c r="B79" s="24" t="s">
        <v>745</v>
      </c>
      <c r="C79" s="24" t="s">
        <v>736</v>
      </c>
      <c r="D79" s="24"/>
      <c r="F79" s="130" t="n">
        <f aca="false">MAX(0,RPO_Tot*RPO24Pct-RPO_Cov)</f>
        <v>2837.65139777243</v>
      </c>
    </row>
    <row r="80" customFormat="false" ht="15" hidden="false" customHeight="false" outlineLevel="0" collapsed="false">
      <c r="A80" s="112" t="s">
        <v>2306</v>
      </c>
      <c r="B80" s="24" t="s">
        <v>751</v>
      </c>
      <c r="C80" s="24" t="s">
        <v>672</v>
      </c>
      <c r="D80" s="24"/>
      <c r="F80" s="134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12" t="s">
        <v>2307</v>
      </c>
      <c r="B81" s="24" t="s">
        <v>857</v>
      </c>
      <c r="C81" s="24" t="s">
        <v>672</v>
      </c>
      <c r="D81" s="24"/>
      <c r="F81" s="116" t="n">
        <f aca="false">RPO_Sold*INDEX(ND_MW,1,LastHist+8)</f>
        <v>255.63387110807</v>
      </c>
    </row>
    <row r="82" customFormat="false" ht="15" hidden="false" customHeight="false" outlineLevel="0" collapsed="false">
      <c r="A82" s="112" t="s">
        <v>2308</v>
      </c>
      <c r="B82" s="24" t="s">
        <v>857</v>
      </c>
      <c r="C82" s="24" t="s">
        <v>672</v>
      </c>
      <c r="D82" s="24"/>
      <c r="F82" s="116" t="n">
        <f aca="false">E82+F66</f>
        <v>0</v>
      </c>
      <c r="G82" s="116" t="n">
        <f aca="false">F82+G66</f>
        <v>0</v>
      </c>
      <c r="H82" s="116" t="n">
        <f aca="false">G82+H66</f>
        <v>0</v>
      </c>
      <c r="I82" s="116" t="n">
        <f aca="false">H82+I66</f>
        <v>0</v>
      </c>
      <c r="J82" s="116" t="n">
        <f aca="false">I82+J66</f>
        <v>0</v>
      </c>
      <c r="K82" s="116" t="n">
        <f aca="false">J82+K66</f>
        <v>0</v>
      </c>
      <c r="L82" s="116" t="n">
        <f aca="false">K82+L66</f>
        <v>0</v>
      </c>
      <c r="M82" s="116" t="n">
        <f aca="false">L82+M66</f>
        <v>0</v>
      </c>
      <c r="N82" s="116" t="n">
        <f aca="false">M82+N66</f>
        <v>0</v>
      </c>
      <c r="O82" s="116" t="n">
        <f aca="false">N82+O66</f>
        <v>0</v>
      </c>
      <c r="P82" s="35" t="n">
        <f aca="false">O82+P66</f>
        <v>0</v>
      </c>
      <c r="Q82" s="35" t="n">
        <f aca="false">P82+Q66</f>
        <v>0</v>
      </c>
      <c r="R82" s="35" t="n">
        <f aca="false">Q82+R66</f>
        <v>33.478</v>
      </c>
      <c r="S82" s="35" t="n">
        <f aca="false">R82+S66</f>
        <v>116.475625</v>
      </c>
      <c r="T82" s="35" t="n">
        <f aca="false">S82+T66</f>
        <v>208.836625</v>
      </c>
      <c r="U82" s="35" t="n">
        <f aca="false">T82+U66</f>
        <v>285.731979166667</v>
      </c>
      <c r="V82" s="35" t="n">
        <f aca="false">U82+V66</f>
        <v>445.613020833333</v>
      </c>
      <c r="W82" s="35" t="n">
        <f aca="false">V82+W66</f>
        <v>616.752833333334</v>
      </c>
      <c r="X82" s="35" t="n">
        <f aca="false">W82+X66</f>
        <v>746.071583333334</v>
      </c>
      <c r="Y82" s="35" t="n">
        <f aca="false">X82+Y66</f>
        <v>833.671583333334</v>
      </c>
      <c r="Z82" s="35" t="n">
        <f aca="false">Y82+Z66</f>
        <v>1010.49520833333</v>
      </c>
      <c r="AA82" s="35" t="n">
        <f aca="false">Z82+AA66</f>
        <v>1181.06883333333</v>
      </c>
      <c r="AB82" s="35" t="n">
        <f aca="false">AA82+AB66</f>
        <v>1356.28758333333</v>
      </c>
      <c r="AC82" s="35" t="n">
        <f aca="false">AB82+AC66</f>
        <v>1531.50633333333</v>
      </c>
      <c r="AD82" s="35" t="n">
        <f aca="false">AC82+AD66</f>
        <v>1775.56102083333</v>
      </c>
      <c r="AE82" s="35" t="n">
        <f aca="false">AD82+AE66</f>
        <v>2019.61570833333</v>
      </c>
      <c r="AF82" s="35" t="n">
        <f aca="false">AE82+AF66</f>
        <v>2019.61570833333</v>
      </c>
      <c r="AG82" s="35" t="n">
        <f aca="false">AF82+AG66</f>
        <v>2019.61570833333</v>
      </c>
      <c r="AI82" s="35" t="n">
        <f aca="false">INDEX($F82:$AG82,1,MATCH(AI$7,$F$7:$AG$7,1))</f>
        <v>0</v>
      </c>
      <c r="AJ82" s="35" t="n">
        <f aca="false">INDEX($F82:$AG82,1,MATCH(AJ$7,$F$7:$AG$7,1))</f>
        <v>0</v>
      </c>
      <c r="AK82" s="35" t="n">
        <f aca="false">INDEX($F82:$AG82,1,MATCH(AK$7,$F$7:$AG$7,1))</f>
        <v>0</v>
      </c>
      <c r="AL82" s="35" t="n">
        <f aca="false">INDEX($F82:$AG82,1,MATCH(AL$7,$F$7:$AG$7,1))</f>
        <v>285.731979166667</v>
      </c>
      <c r="AM82" s="35" t="n">
        <f aca="false">INDEX($F82:$AG82,1,MATCH(AM$7,$F$7:$AG$7,1))</f>
        <v>833.671583333334</v>
      </c>
      <c r="AN82" s="35" t="n">
        <f aca="false">INDEX($F82:$AG82,1,MATCH(AN$7,$F$7:$AG$7,1))</f>
        <v>1531.50633333333</v>
      </c>
      <c r="AO82" s="35" t="n">
        <f aca="false">INDEX($F82:$AG82,1,MATCH(AO$7,$F$7:$AG$7,1))</f>
        <v>2019.61570833333</v>
      </c>
    </row>
    <row r="83" customFormat="false" ht="15" hidden="false" customHeight="false" outlineLevel="0" collapsed="false">
      <c r="A83" s="112" t="s">
        <v>2309</v>
      </c>
      <c r="B83" s="24" t="s">
        <v>857</v>
      </c>
      <c r="C83" s="24" t="s">
        <v>672</v>
      </c>
      <c r="D83" s="24"/>
      <c r="F83" s="121" t="n">
        <f aca="false">MIN(F66,MAX(0,RPO_SoldMW-E82))</f>
        <v>0</v>
      </c>
      <c r="G83" s="121" t="n">
        <f aca="false">MIN(G66,MAX(0,RPO_SoldMW-F82))</f>
        <v>0</v>
      </c>
      <c r="H83" s="121" t="n">
        <f aca="false">MIN(H66,MAX(0,RPO_SoldMW-G82))</f>
        <v>0</v>
      </c>
      <c r="I83" s="121" t="n">
        <f aca="false">MIN(I66,MAX(0,RPO_SoldMW-H82))</f>
        <v>0</v>
      </c>
      <c r="J83" s="121" t="n">
        <f aca="false">MIN(J66,MAX(0,RPO_SoldMW-I82))</f>
        <v>0</v>
      </c>
      <c r="K83" s="121" t="n">
        <f aca="false">MIN(K66,MAX(0,RPO_SoldMW-J82))</f>
        <v>0</v>
      </c>
      <c r="L83" s="121" t="n">
        <f aca="false">MIN(L66,MAX(0,RPO_SoldMW-K82))</f>
        <v>0</v>
      </c>
      <c r="M83" s="121" t="n">
        <f aca="false">MIN(M66,MAX(0,RPO_SoldMW-L82))</f>
        <v>0</v>
      </c>
      <c r="N83" s="121" t="n">
        <f aca="false">MIN(N66,MAX(0,RPO_SoldMW-M82))</f>
        <v>0</v>
      </c>
      <c r="O83" s="121" t="n">
        <f aca="false">MIN(O66,MAX(0,RPO_SoldMW-N82))</f>
        <v>0</v>
      </c>
      <c r="P83" s="39" t="n">
        <f aca="false">MIN(P66,MAX(0,RPO_SoldMW-O82))</f>
        <v>0</v>
      </c>
      <c r="Q83" s="39" t="n">
        <f aca="false">MIN(Q66,MAX(0,RPO_SoldMW-P82))</f>
        <v>0</v>
      </c>
      <c r="R83" s="39" t="n">
        <f aca="false">MIN(R66,MAX(0,RPO_SoldMW-Q82))</f>
        <v>33.478</v>
      </c>
      <c r="S83" s="39" t="n">
        <f aca="false">MIN(S66,MAX(0,RPO_SoldMW-R82))</f>
        <v>82.997625</v>
      </c>
      <c r="T83" s="39" t="n">
        <f aca="false">MIN(T66,MAX(0,RPO_SoldMW-S82))</f>
        <v>92.361</v>
      </c>
      <c r="U83" s="39" t="n">
        <f aca="false">MIN(U66,MAX(0,RPO_SoldMW-T82))</f>
        <v>46.7972461080701</v>
      </c>
      <c r="V83" s="39" t="n">
        <f aca="false">MIN(V66,MAX(0,RPO_SoldMW-U82))</f>
        <v>0</v>
      </c>
      <c r="W83" s="39" t="n">
        <f aca="false">MIN(W66,MAX(0,RPO_SoldMW-V82))</f>
        <v>0</v>
      </c>
      <c r="X83" s="39" t="n">
        <f aca="false">MIN(X66,MAX(0,RPO_SoldMW-W82))</f>
        <v>0</v>
      </c>
      <c r="Y83" s="39" t="n">
        <f aca="false">MIN(Y66,MAX(0,RPO_SoldMW-X82))</f>
        <v>0</v>
      </c>
      <c r="Z83" s="39" t="n">
        <f aca="false">MIN(Z66,MAX(0,RPO_SoldMW-Y82))</f>
        <v>0</v>
      </c>
      <c r="AA83" s="39" t="n">
        <f aca="false">MIN(AA66,MAX(0,RPO_SoldMW-Z82))</f>
        <v>0</v>
      </c>
      <c r="AB83" s="39" t="n">
        <f aca="false">MIN(AB66,MAX(0,RPO_SoldMW-AA82))</f>
        <v>0</v>
      </c>
      <c r="AC83" s="39" t="n">
        <f aca="false">MIN(AC66,MAX(0,RPO_SoldMW-AB82))</f>
        <v>0</v>
      </c>
      <c r="AD83" s="39" t="n">
        <f aca="false">MIN(AD66,MAX(0,RPO_SoldMW-AC82))</f>
        <v>0</v>
      </c>
      <c r="AE83" s="39" t="n">
        <f aca="false">MIN(AE66,MAX(0,RPO_SoldMW-AD82))</f>
        <v>0</v>
      </c>
      <c r="AF83" s="39" t="n">
        <f aca="false">MIN(AF66,MAX(0,RPO_SoldMW-AE82))</f>
        <v>0</v>
      </c>
      <c r="AG83" s="39" t="n">
        <f aca="false">MIN(AG66,MAX(0,RPO_SoldMW-AF82))</f>
        <v>0</v>
      </c>
      <c r="AI83" s="39" t="n">
        <f aca="false">SUMIF($F$7:$AG$7,AI$7,$F83:$AG83)</f>
        <v>0</v>
      </c>
      <c r="AJ83" s="39" t="n">
        <f aca="false">SUMIF($F$7:$AG$7,AJ$7,$F83:$AG83)</f>
        <v>0</v>
      </c>
      <c r="AK83" s="39" t="n">
        <f aca="false">SUMIF($F$7:$AG$7,AK$7,$F83:$AG83)</f>
        <v>0</v>
      </c>
      <c r="AL83" s="39" t="n">
        <f aca="false">SUMIF($F$7:$AG$7,AL$7,$F83:$AG83)</f>
        <v>255.63387110807</v>
      </c>
      <c r="AM83" s="39" t="n">
        <f aca="false">SUMIF($F$7:$AG$7,AM$7,$F83:$AG83)</f>
        <v>0</v>
      </c>
      <c r="AN83" s="39" t="n">
        <f aca="false">SUMIF($F$7:$AG$7,AN$7,$F83:$AG83)</f>
        <v>0</v>
      </c>
      <c r="AO83" s="39" t="n">
        <f aca="false">SUMIF($F$7:$AG$7,AO$7,$F83:$AG83)</f>
        <v>0</v>
      </c>
    </row>
    <row r="84" customFormat="false" ht="15" hidden="false" customHeight="false" outlineLevel="0" collapsed="false">
      <c r="A84" s="112" t="s">
        <v>2310</v>
      </c>
      <c r="B84" s="24" t="s">
        <v>930</v>
      </c>
      <c r="C84" s="24" t="s">
        <v>672</v>
      </c>
      <c r="D84" s="24"/>
      <c r="F84" s="133" t="n">
        <f aca="false">IF(F66&gt;0,(F83+(F66-F83)*MYRateU/MYRate)/F66,0)</f>
        <v>0</v>
      </c>
      <c r="G84" s="133" t="n">
        <f aca="false">IF(G66&gt;0,(G83+(G66-G83)*MYRateU/MYRate)/G66,0)</f>
        <v>0</v>
      </c>
      <c r="H84" s="133" t="n">
        <f aca="false">IF(H66&gt;0,(H83+(H66-H83)*MYRateU/MYRate)/H66,0)</f>
        <v>0</v>
      </c>
      <c r="I84" s="133" t="n">
        <f aca="false">IF(I66&gt;0,(I83+(I66-I83)*MYRateU/MYRate)/I66,0)</f>
        <v>0</v>
      </c>
      <c r="J84" s="133" t="n">
        <f aca="false">IF(J66&gt;0,(J83+(J66-J83)*MYRateU/MYRate)/J66,0)</f>
        <v>0</v>
      </c>
      <c r="K84" s="133" t="n">
        <f aca="false">IF(K66&gt;0,(K83+(K66-K83)*MYRateU/MYRate)/K66,0)</f>
        <v>0</v>
      </c>
      <c r="L84" s="133" t="n">
        <f aca="false">IF(L66&gt;0,(L83+(L66-L83)*MYRateU/MYRate)/L66,0)</f>
        <v>0</v>
      </c>
      <c r="M84" s="133" t="n">
        <f aca="false">IF(M66&gt;0,(M83+(M66-M83)*MYRateU/MYRate)/M66,0)</f>
        <v>0</v>
      </c>
      <c r="N84" s="133" t="n">
        <f aca="false">IF(N66&gt;0,(N83+(N66-N83)*MYRateU/MYRate)/N66,0)</f>
        <v>0</v>
      </c>
      <c r="O84" s="133" t="n">
        <f aca="false">IF(O66&gt;0,(O83+(O66-O83)*MYRateU/MYRate)/O66,0)</f>
        <v>0</v>
      </c>
      <c r="P84" s="37" t="n">
        <f aca="false">IF(P66&gt;0,(P83+(P66-P83)*MYRateU/MYRate)/P66,0)</f>
        <v>0</v>
      </c>
      <c r="Q84" s="37" t="n">
        <f aca="false">IF(Q66&gt;0,(Q83+(Q66-Q83)*MYRateU/MYRate)/Q66,0)</f>
        <v>0</v>
      </c>
      <c r="R84" s="37" t="n">
        <f aca="false">IF(R66&gt;0,(R83+(R66-R83)*MYRateU/MYRate)/R66,0)</f>
        <v>1</v>
      </c>
      <c r="S84" s="37" t="n">
        <f aca="false">IF(S66&gt;0,(S83+(S66-S83)*MYRateU/MYRate)/S66,0)</f>
        <v>1</v>
      </c>
      <c r="T84" s="37" t="n">
        <f aca="false">IF(T66&gt;0,(T83+(T66-T83)*MYRateU/MYRate)/T66,0)</f>
        <v>1</v>
      </c>
      <c r="U84" s="37" t="n">
        <f aca="false">IF(U66&gt;0,(U83+(U66-U83)*MYRateU/MYRate)/U66,0)</f>
        <v>1</v>
      </c>
      <c r="V84" s="37" t="n">
        <f aca="false">IF(V66&gt;0,(V83+(V66-V83)*MYRateU/MYRate)/V66,0)</f>
        <v>1</v>
      </c>
      <c r="W84" s="37" t="n">
        <f aca="false">IF(W66&gt;0,(W83+(W66-W83)*MYRateU/MYRate)/W66,0)</f>
        <v>1</v>
      </c>
      <c r="X84" s="37" t="n">
        <f aca="false">IF(X66&gt;0,(X83+(X66-X83)*MYRateU/MYRate)/X66,0)</f>
        <v>1</v>
      </c>
      <c r="Y84" s="37" t="n">
        <f aca="false">IF(Y66&gt;0,(Y83+(Y66-Y83)*MYRateU/MYRate)/Y66,0)</f>
        <v>1</v>
      </c>
      <c r="Z84" s="37" t="n">
        <f aca="false">IF(Z66&gt;0,(Z83+(Z66-Z83)*MYRateU/MYRate)/Z66,0)</f>
        <v>1</v>
      </c>
      <c r="AA84" s="37" t="n">
        <f aca="false">IF(AA66&gt;0,(AA83+(AA66-AA83)*MYRateU/MYRate)/AA66,0)</f>
        <v>1</v>
      </c>
      <c r="AB84" s="37" t="n">
        <f aca="false">IF(AB66&gt;0,(AB83+(AB66-AB83)*MYRateU/MYRate)/AB66,0)</f>
        <v>1</v>
      </c>
      <c r="AC84" s="37" t="n">
        <f aca="false">IF(AC66&gt;0,(AC83+(AC66-AC83)*MYRateU/MYRate)/AC66,0)</f>
        <v>1</v>
      </c>
      <c r="AD84" s="37" t="n">
        <f aca="false">IF(AD66&gt;0,(AD83+(AD66-AD83)*MYRateU/MYRate)/AD66,0)</f>
        <v>1</v>
      </c>
      <c r="AE84" s="37" t="n">
        <f aca="false">IF(AE66&gt;0,(AE83+(AE66-AE83)*MYRateU/MYRate)/AE66,0)</f>
        <v>1</v>
      </c>
      <c r="AF84" s="37" t="n">
        <f aca="false">IF(AF66&gt;0,(AF83+(AF66-AF83)*MYRateU/MYRate)/AF66,0)</f>
        <v>0</v>
      </c>
      <c r="AG84" s="37" t="n">
        <f aca="false">IF(AG66&gt;0,(AG83+(AG66-AG83)*MYRateU/MYRate)/AG66,0)</f>
        <v>0</v>
      </c>
      <c r="AI84" s="37" t="n">
        <f aca="false">AVERAGEIF($F$7:$AG$7,AI$7,$F84:$AG84)</f>
        <v>0</v>
      </c>
      <c r="AJ84" s="37" t="n">
        <f aca="false">AVERAGEIF($F$7:$AG$7,AJ$7,$F84:$AG84)</f>
        <v>0</v>
      </c>
      <c r="AK84" s="37" t="n">
        <f aca="false">AVERAGEIF($F$7:$AG$7,AK$7,$F84:$AG84)</f>
        <v>0</v>
      </c>
      <c r="AL84" s="37" t="n">
        <f aca="false">AVERAGEIF($F$7:$AG$7,AL$7,$F84:$AG84)</f>
        <v>1</v>
      </c>
      <c r="AM84" s="37" t="n">
        <f aca="false">AVERAGEIF($F$7:$AG$7,AM$7,$F84:$AG84)</f>
        <v>1</v>
      </c>
      <c r="AN84" s="37" t="n">
        <f aca="false">AVERAGEIF($F$7:$AG$7,AN$7,$F84:$AG84)</f>
        <v>1</v>
      </c>
      <c r="AO84" s="37" t="n">
        <f aca="false">AVERAGEIF($F$7:$AG$7,AO$7,$F84:$AG84)</f>
        <v>0.5</v>
      </c>
    </row>
    <row r="85" customFormat="false" ht="15" hidden="false" customHeight="false" outlineLevel="0" collapsed="false">
      <c r="A85" s="112" t="s">
        <v>2311</v>
      </c>
      <c r="B85" s="24" t="s">
        <v>751</v>
      </c>
      <c r="C85" s="24" t="s">
        <v>672</v>
      </c>
      <c r="D85" s="24"/>
      <c r="F85" s="134" t="n">
        <f aca="false">IF(F66&gt;0,F83/F66,0)</f>
        <v>0</v>
      </c>
      <c r="G85" s="134" t="n">
        <f aca="false">IF(G66&gt;0,G83/G66,0)</f>
        <v>0</v>
      </c>
      <c r="H85" s="134" t="n">
        <f aca="false">IF(H66&gt;0,H83/H66,0)</f>
        <v>0</v>
      </c>
      <c r="I85" s="134" t="n">
        <f aca="false">IF(I66&gt;0,I83/I66,0)</f>
        <v>0</v>
      </c>
      <c r="J85" s="134" t="n">
        <f aca="false">IF(J66&gt;0,J83/J66,0)</f>
        <v>0</v>
      </c>
      <c r="K85" s="134" t="n">
        <f aca="false">IF(K66&gt;0,K83/K66,0)</f>
        <v>0</v>
      </c>
      <c r="L85" s="134" t="n">
        <f aca="false">IF(L66&gt;0,L83/L66,0)</f>
        <v>0</v>
      </c>
      <c r="M85" s="134" t="n">
        <f aca="false">IF(M66&gt;0,M83/M66,0)</f>
        <v>0</v>
      </c>
      <c r="N85" s="134" t="n">
        <f aca="false">IF(N66&gt;0,N83/N66,0)</f>
        <v>0</v>
      </c>
      <c r="O85" s="134" t="n">
        <f aca="false">IF(O66&gt;0,O83/O66,0)</f>
        <v>0</v>
      </c>
      <c r="P85" s="29" t="n">
        <f aca="false">IF(P66&gt;0,P83/P66,0)</f>
        <v>0</v>
      </c>
      <c r="Q85" s="29" t="n">
        <f aca="false">IF(Q66&gt;0,Q83/Q66,0)</f>
        <v>0</v>
      </c>
      <c r="R85" s="29" t="n">
        <f aca="false">IF(R66&gt;0,R83/R66,0)</f>
        <v>1</v>
      </c>
      <c r="S85" s="29" t="n">
        <f aca="false">IF(S66&gt;0,S83/S66,0)</f>
        <v>1</v>
      </c>
      <c r="T85" s="29" t="n">
        <f aca="false">IF(T66&gt;0,T83/T66,0)</f>
        <v>1</v>
      </c>
      <c r="U85" s="29" t="n">
        <f aca="false">IF(U66&gt;0,U83/U66,0)</f>
        <v>0.608583530373493</v>
      </c>
      <c r="V85" s="29" t="n">
        <f aca="false">IF(V66&gt;0,V83/V66,0)</f>
        <v>0</v>
      </c>
      <c r="W85" s="29" t="n">
        <f aca="false">IF(W66&gt;0,W83/W66,0)</f>
        <v>0</v>
      </c>
      <c r="X85" s="29" t="n">
        <f aca="false">IF(X66&gt;0,X83/X66,0)</f>
        <v>0</v>
      </c>
      <c r="Y85" s="29" t="n">
        <f aca="false">IF(Y66&gt;0,Y83/Y66,0)</f>
        <v>0</v>
      </c>
      <c r="Z85" s="29" t="n">
        <f aca="false">IF(Z66&gt;0,Z83/Z66,0)</f>
        <v>0</v>
      </c>
      <c r="AA85" s="29" t="n">
        <f aca="false">IF(AA66&gt;0,AA83/AA66,0)</f>
        <v>0</v>
      </c>
      <c r="AB85" s="29" t="n">
        <f aca="false">IF(AB66&gt;0,AB83/AB66,0)</f>
        <v>0</v>
      </c>
      <c r="AC85" s="29" t="n">
        <f aca="false">IF(AC66&gt;0,AC83/AC66,0)</f>
        <v>0</v>
      </c>
      <c r="AD85" s="29" t="n">
        <f aca="false">IF(AD66&gt;0,AD83/AD66,0)</f>
        <v>0</v>
      </c>
      <c r="AE85" s="29" t="n">
        <f aca="false">IF(AE66&gt;0,AE83/AE66,0)</f>
        <v>0</v>
      </c>
      <c r="AF85" s="29" t="n">
        <f aca="false">IF(AF66&gt;0,AF83/AF66,0)</f>
        <v>0</v>
      </c>
      <c r="AG85" s="29" t="n">
        <f aca="false">IF(AG66&gt;0,AG83/AG66,0)</f>
        <v>0</v>
      </c>
      <c r="AI85" s="29" t="n">
        <f aca="false">AVERAGEIF($F$7:$AG$7,AI$7,$F85:$AG85)</f>
        <v>0</v>
      </c>
      <c r="AJ85" s="29" t="n">
        <f aca="false">AVERAGEIF($F$7:$AG$7,AJ$7,$F85:$AG85)</f>
        <v>0</v>
      </c>
      <c r="AK85" s="29" t="n">
        <f aca="false">AVERAGEIF($F$7:$AG$7,AK$7,$F85:$AG85)</f>
        <v>0</v>
      </c>
      <c r="AL85" s="29" t="n">
        <f aca="false">AVERAGEIF($F$7:$AG$7,AL$7,$F85:$AG85)</f>
        <v>0.902145882593373</v>
      </c>
      <c r="AM85" s="29" t="n">
        <f aca="false">AVERAGEIF($F$7:$AG$7,AM$7,$F85:$AG85)</f>
        <v>0</v>
      </c>
      <c r="AN85" s="29" t="n">
        <f aca="false">AVERAGEIF($F$7:$AG$7,AN$7,$F85:$AG85)</f>
        <v>0</v>
      </c>
      <c r="AO85" s="29" t="n">
        <f aca="false">AVERAGEIF($F$7:$AG$7,AO$7,$F85:$AG85)</f>
        <v>0</v>
      </c>
    </row>
    <row r="86" customFormat="false" ht="15" hidden="false" customHeight="false" outlineLevel="0" collapsed="false">
      <c r="A86" s="112" t="s">
        <v>2312</v>
      </c>
      <c r="B86" s="24" t="s">
        <v>732</v>
      </c>
      <c r="C86" s="24" t="s">
        <v>683</v>
      </c>
      <c r="D86" s="24"/>
      <c r="F86" s="122" t="n">
        <f aca="false">IF(UncPxOn=1,UncPx*(1+MYDecl)^(MAX(0,F$5-(MYDeclIdx-1))/4)*IF(AND(MYStressOn=1,F$5&gt;=PxCycIdx),1-MYStressCut,1),F67*MYRateU/MYRate)</f>
        <v>16</v>
      </c>
      <c r="G86" s="122" t="n">
        <f aca="false">IF(UncPxOn=1,UncPx*(1+MYDecl)^(MAX(0,G$5-(MYDeclIdx-1))/4)*IF(AND(MYStressOn=1,G$5&gt;=PxCycIdx),1-MYStressCut,1),G67*MYRateU/MYRate)</f>
        <v>16</v>
      </c>
      <c r="H86" s="122" t="n">
        <f aca="false">IF(UncPxOn=1,UncPx*(1+MYDecl)^(MAX(0,H$5-(MYDeclIdx-1))/4)*IF(AND(MYStressOn=1,H$5&gt;=PxCycIdx),1-MYStressCut,1),H67*MYRateU/MYRate)</f>
        <v>16</v>
      </c>
      <c r="I86" s="122" t="n">
        <f aca="false">IF(UncPxOn=1,UncPx*(1+MYDecl)^(MAX(0,I$5-(MYDeclIdx-1))/4)*IF(AND(MYStressOn=1,I$5&gt;=PxCycIdx),1-MYStressCut,1),I67*MYRateU/MYRate)</f>
        <v>16</v>
      </c>
      <c r="J86" s="122" t="n">
        <f aca="false">IF(UncPxOn=1,UncPx*(1+MYDecl)^(MAX(0,J$5-(MYDeclIdx-1))/4)*IF(AND(MYStressOn=1,J$5&gt;=PxCycIdx),1-MYStressCut,1),J67*MYRateU/MYRate)</f>
        <v>16</v>
      </c>
      <c r="K86" s="122" t="n">
        <f aca="false">IF(UncPxOn=1,UncPx*(1+MYDecl)^(MAX(0,K$5-(MYDeclIdx-1))/4)*IF(AND(MYStressOn=1,K$5&gt;=PxCycIdx),1-MYStressCut,1),K67*MYRateU/MYRate)</f>
        <v>16</v>
      </c>
      <c r="L86" s="122" t="n">
        <f aca="false">IF(UncPxOn=1,UncPx*(1+MYDecl)^(MAX(0,L$5-(MYDeclIdx-1))/4)*IF(AND(MYStressOn=1,L$5&gt;=PxCycIdx),1-MYStressCut,1),L67*MYRateU/MYRate)</f>
        <v>16</v>
      </c>
      <c r="M86" s="122" t="n">
        <f aca="false">IF(UncPxOn=1,UncPx*(1+MYDecl)^(MAX(0,M$5-(MYDeclIdx-1))/4)*IF(AND(MYStressOn=1,M$5&gt;=PxCycIdx),1-MYStressCut,1),M67*MYRateU/MYRate)</f>
        <v>16</v>
      </c>
      <c r="N86" s="122" t="n">
        <f aca="false">IF(UncPxOn=1,UncPx*(1+MYDecl)^(MAX(0,N$5-(MYDeclIdx-1))/4)*IF(AND(MYStressOn=1,N$5&gt;=PxCycIdx),1-MYStressCut,1),N67*MYRateU/MYRate)</f>
        <v>16</v>
      </c>
      <c r="O86" s="122" t="n">
        <f aca="false">IF(UncPxOn=1,UncPx*(1+MYDecl)^(MAX(0,O$5-(MYDeclIdx-1))/4)*IF(AND(MYStressOn=1,O$5&gt;=PxCycIdx),1-MYStressCut,1),O67*MYRateU/MYRate)</f>
        <v>16</v>
      </c>
      <c r="P86" s="32" t="n">
        <f aca="false">IF(UncPxOn=1,UncPx*(1+MYDecl)^(MAX(0,P$5-(MYDeclIdx-1))/4)*IF(AND(MYStressOn=1,P$5&gt;=PxCycIdx),1-MYStressCut,1),P67*MYRateU/MYRate)</f>
        <v>16</v>
      </c>
      <c r="Q86" s="32" t="n">
        <f aca="false">IF(UncPxOn=1,UncPx*(1+MYDecl)^(MAX(0,Q$5-(MYDeclIdx-1))/4)*IF(AND(MYStressOn=1,Q$5&gt;=PxCycIdx),1-MYStressCut,1),Q67*MYRateU/MYRate)</f>
        <v>16</v>
      </c>
      <c r="R86" s="32" t="n">
        <f aca="false">IF(UncPxOn=1,UncPx*(1+MYDecl)^(MAX(0,R$5-(MYDeclIdx-1))/4)*IF(AND(MYStressOn=1,R$5&gt;=PxCycIdx),1-MYStressCut,1),R67*MYRateU/MYRate)</f>
        <v>16</v>
      </c>
      <c r="S86" s="32" t="n">
        <f aca="false">IF(UncPxOn=1,UncPx*(1+MYDecl)^(MAX(0,S$5-(MYDeclIdx-1))/4)*IF(AND(MYStressOn=1,S$5&gt;=PxCycIdx),1-MYStressCut,1),S67*MYRateU/MYRate)</f>
        <v>16</v>
      </c>
      <c r="T86" s="32" t="n">
        <f aca="false">IF(UncPxOn=1,UncPx*(1+MYDecl)^(MAX(0,T$5-(MYDeclIdx-1))/4)*IF(AND(MYStressOn=1,T$5&gt;=PxCycIdx),1-MYStressCut,1),T67*MYRateU/MYRate)</f>
        <v>16</v>
      </c>
      <c r="U86" s="32" t="n">
        <f aca="false">IF(UncPxOn=1,UncPx*(1+MYDecl)^(MAX(0,U$5-(MYDeclIdx-1))/4)*IF(AND(MYStressOn=1,U$5&gt;=PxCycIdx),1-MYStressCut,1),U67*MYRateU/MYRate)</f>
        <v>16</v>
      </c>
      <c r="V86" s="32" t="n">
        <f aca="false">IF(UncPxOn=1,UncPx*(1+MYDecl)^(MAX(0,V$5-(MYDeclIdx-1))/4)*IF(AND(MYStressOn=1,V$5&gt;=PxCycIdx),1-MYStressCut,1),V67*MYRateU/MYRate)</f>
        <v>16</v>
      </c>
      <c r="W86" s="32" t="n">
        <f aca="false">IF(UncPxOn=1,UncPx*(1+MYDecl)^(MAX(0,W$5-(MYDeclIdx-1))/4)*IF(AND(MYStressOn=1,W$5&gt;=PxCycIdx),1-MYStressCut,1),W67*MYRateU/MYRate)</f>
        <v>16</v>
      </c>
      <c r="X86" s="32" t="n">
        <f aca="false">IF(UncPxOn=1,UncPx*(1+MYDecl)^(MAX(0,X$5-(MYDeclIdx-1))/4)*IF(AND(MYStressOn=1,X$5&gt;=PxCycIdx),1-MYStressCut,1),X67*MYRateU/MYRate)</f>
        <v>16</v>
      </c>
      <c r="Y86" s="32" t="n">
        <f aca="false">IF(UncPxOn=1,UncPx*(1+MYDecl)^(MAX(0,Y$5-(MYDeclIdx-1))/4)*IF(AND(MYStressOn=1,Y$5&gt;=PxCycIdx),1-MYStressCut,1),Y67*MYRateU/MYRate)</f>
        <v>16</v>
      </c>
      <c r="Z86" s="32" t="n">
        <f aca="false">IF(UncPxOn=1,UncPx*(1+MYDecl)^(MAX(0,Z$5-(MYDeclIdx-1))/4)*IF(AND(MYStressOn=1,Z$5&gt;=PxCycIdx),1-MYStressCut,1),Z67*MYRateU/MYRate)</f>
        <v>15.8786258765039</v>
      </c>
      <c r="AA86" s="32" t="n">
        <f aca="false">IF(UncPxOn=1,UncPx*(1+MYDecl)^(MAX(0,AA$5-(MYDeclIdx-1))/4)*IF(AND(MYStressOn=1,AA$5&gt;=PxCycIdx),1-MYStressCut,1),AA67*MYRateU/MYRate)</f>
        <v>15.7581724828738</v>
      </c>
      <c r="AB86" s="32" t="n">
        <f aca="false">IF(UncPxOn=1,UncPx*(1+MYDecl)^(MAX(0,AB$5-(MYDeclIdx-1))/4)*IF(AND(MYStressOn=1,AB$5&gt;=PxCycIdx),1-MYStressCut,1),AB67*MYRateU/MYRate)</f>
        <v>15.6386328345607</v>
      </c>
      <c r="AC86" s="32" t="n">
        <f aca="false">IF(UncPxOn=1,UncPx*(1+MYDecl)^(MAX(0,AC$5-(MYDeclIdx-1))/4)*IF(AND(MYStressOn=1,AC$5&gt;=PxCycIdx),1-MYStressCut,1),AC67*MYRateU/MYRate)</f>
        <v>15.52</v>
      </c>
      <c r="AD86" s="32" t="n">
        <f aca="false">IF(UncPxOn=1,UncPx*(1+MYDecl)^(MAX(0,AD$5-(MYDeclIdx-1))/4)*IF(AND(MYStressOn=1,AD$5&gt;=PxCycIdx),1-MYStressCut,1),AD67*MYRateU/MYRate)</f>
        <v>15.4022671002088</v>
      </c>
      <c r="AE86" s="32" t="n">
        <f aca="false">IF(UncPxOn=1,UncPx*(1+MYDecl)^(MAX(0,AE$5-(MYDeclIdx-1))/4)*IF(AND(MYStressOn=1,AE$5&gt;=PxCycIdx),1-MYStressCut,1),AE67*MYRateU/MYRate)</f>
        <v>15.2854273083876</v>
      </c>
      <c r="AF86" s="32" t="n">
        <f aca="false">IF(UncPxOn=1,UncPx*(1+MYDecl)^(MAX(0,AF$5-(MYDeclIdx-1))/4)*IF(AND(MYStressOn=1,AF$5&gt;=PxCycIdx),1-MYStressCut,1),AF67*MYRateU/MYRate)</f>
        <v>15.1694738495239</v>
      </c>
      <c r="AG86" s="32" t="n">
        <f aca="false">IF(UncPxOn=1,UncPx*(1+MYDecl)^(MAX(0,AG$5-(MYDeclIdx-1))/4)*IF(AND(MYStressOn=1,AG$5&gt;=PxCycIdx),1-MYStressCut,1),AG67*MYRateU/MYRate)</f>
        <v>15.0544</v>
      </c>
      <c r="AI86" s="32" t="n">
        <f aca="false">AVERAGEIF($F$7:$AG$7,AI$7,$F86:$AG86)</f>
        <v>16</v>
      </c>
      <c r="AJ86" s="32" t="n">
        <f aca="false">AVERAGEIF($F$7:$AG$7,AJ$7,$F86:$AG86)</f>
        <v>16</v>
      </c>
      <c r="AK86" s="32" t="n">
        <f aca="false">AVERAGEIF($F$7:$AG$7,AK$7,$F86:$AG86)</f>
        <v>16</v>
      </c>
      <c r="AL86" s="32" t="n">
        <f aca="false">AVERAGEIF($F$7:$AG$7,AL$7,$F86:$AG86)</f>
        <v>16</v>
      </c>
      <c r="AM86" s="32" t="n">
        <f aca="false">AVERAGEIF($F$7:$AG$7,AM$7,$F86:$AG86)</f>
        <v>16</v>
      </c>
      <c r="AN86" s="32" t="n">
        <f aca="false">AVERAGEIF($F$7:$AG$7,AN$7,$F86:$AG86)</f>
        <v>15.6988577984846</v>
      </c>
      <c r="AO86" s="32" t="n">
        <f aca="false">AVERAGEIF($F$7:$AG$7,AO$7,$F86:$AG86)</f>
        <v>15.2278920645301</v>
      </c>
    </row>
    <row r="87" customFormat="false" ht="15" hidden="false" customHeight="false" outlineLevel="0" collapsed="false">
      <c r="A87" s="112" t="s">
        <v>2313</v>
      </c>
      <c r="B87" s="24" t="s">
        <v>732</v>
      </c>
      <c r="C87" s="24" t="s">
        <v>683</v>
      </c>
      <c r="D87" s="24"/>
      <c r="F87" s="122" t="n">
        <f aca="false">IF(UncPxOn=1,UncPx*(1+MYDecl)^(MAX(0,F$5-(MYDeclIdx-1))/4)*IF(AND(MYStressOn=1,F$5&gt;=PxCycIdx),1-MYStressCut,1),F68*MYRateU/MYRate)</f>
        <v>16.2</v>
      </c>
      <c r="G87" s="122" t="n">
        <f aca="false">IF(UncPxOn=1,UncPx*(1+MYDecl)^(MAX(0,G$5-(MYDeclIdx-1))/4)*IF(AND(MYStressOn=1,G$5&gt;=PxCycIdx),1-MYStressCut,1),G68*MYRateU/MYRate)</f>
        <v>16.2</v>
      </c>
      <c r="H87" s="122" t="n">
        <f aca="false">IF(UncPxOn=1,UncPx*(1+MYDecl)^(MAX(0,H$5-(MYDeclIdx-1))/4)*IF(AND(MYStressOn=1,H$5&gt;=PxCycIdx),1-MYStressCut,1),H68*MYRateU/MYRate)</f>
        <v>16.2</v>
      </c>
      <c r="I87" s="122" t="n">
        <f aca="false">IF(UncPxOn=1,UncPx*(1+MYDecl)^(MAX(0,I$5-(MYDeclIdx-1))/4)*IF(AND(MYStressOn=1,I$5&gt;=PxCycIdx),1-MYStressCut,1),I68*MYRateU/MYRate)</f>
        <v>16.2</v>
      </c>
      <c r="J87" s="122" t="n">
        <f aca="false">IF(UncPxOn=1,UncPx*(1+MYDecl)^(MAX(0,J$5-(MYDeclIdx-1))/4)*IF(AND(MYStressOn=1,J$5&gt;=PxCycIdx),1-MYStressCut,1),J68*MYRateU/MYRate)</f>
        <v>16.2</v>
      </c>
      <c r="K87" s="122" t="n">
        <f aca="false">IF(UncPxOn=1,UncPx*(1+MYDecl)^(MAX(0,K$5-(MYDeclIdx-1))/4)*IF(AND(MYStressOn=1,K$5&gt;=PxCycIdx),1-MYStressCut,1),K68*MYRateU/MYRate)</f>
        <v>16.2</v>
      </c>
      <c r="L87" s="122" t="n">
        <f aca="false">IF(UncPxOn=1,UncPx*(1+MYDecl)^(MAX(0,L$5-(MYDeclIdx-1))/4)*IF(AND(MYStressOn=1,L$5&gt;=PxCycIdx),1-MYStressCut,1),L68*MYRateU/MYRate)</f>
        <v>16.2</v>
      </c>
      <c r="M87" s="122" t="n">
        <f aca="false">IF(UncPxOn=1,UncPx*(1+MYDecl)^(MAX(0,M$5-(MYDeclIdx-1))/4)*IF(AND(MYStressOn=1,M$5&gt;=PxCycIdx),1-MYStressCut,1),M68*MYRateU/MYRate)</f>
        <v>16.2</v>
      </c>
      <c r="N87" s="122" t="n">
        <f aca="false">IF(UncPxOn=1,UncPx*(1+MYDecl)^(MAX(0,N$5-(MYDeclIdx-1))/4)*IF(AND(MYStressOn=1,N$5&gt;=PxCycIdx),1-MYStressCut,1),N68*MYRateU/MYRate)</f>
        <v>16.2</v>
      </c>
      <c r="O87" s="122" t="n">
        <f aca="false">IF(UncPxOn=1,UncPx*(1+MYDecl)^(MAX(0,O$5-(MYDeclIdx-1))/4)*IF(AND(MYStressOn=1,O$5&gt;=PxCycIdx),1-MYStressCut,1),O68*MYRateU/MYRate)</f>
        <v>16.2</v>
      </c>
      <c r="P87" s="32" t="n">
        <f aca="false">IF(UncPxOn=1,UncPx*(1+MYDecl)^(MAX(0,P$5-(MYDeclIdx-1))/4)*IF(AND(MYStressOn=1,P$5&gt;=PxCycIdx),1-MYStressCut,1),P68*MYRateU/MYRate)</f>
        <v>16.2</v>
      </c>
      <c r="Q87" s="32" t="n">
        <f aca="false">IF(UncPxOn=1,UncPx*(1+MYDecl)^(MAX(0,Q$5-(MYDeclIdx-1))/4)*IF(AND(MYStressOn=1,Q$5&gt;=PxCycIdx),1-MYStressCut,1),Q68*MYRateU/MYRate)</f>
        <v>16.2</v>
      </c>
      <c r="R87" s="32" t="n">
        <f aca="false">IF(UncPxOn=1,UncPx*(1+MYDecl)^(MAX(0,R$5-(MYDeclIdx-1))/4)*IF(AND(MYStressOn=1,R$5&gt;=PxCycIdx),1-MYStressCut,1),R68*MYRateU/MYRate)</f>
        <v>16.2</v>
      </c>
      <c r="S87" s="32" t="n">
        <f aca="false">IF(UncPxOn=1,UncPx*(1+MYDecl)^(MAX(0,S$5-(MYDeclIdx-1))/4)*IF(AND(MYStressOn=1,S$5&gt;=PxCycIdx),1-MYStressCut,1),S68*MYRateU/MYRate)</f>
        <v>16.2</v>
      </c>
      <c r="T87" s="32" t="n">
        <f aca="false">IF(UncPxOn=1,UncPx*(1+MYDecl)^(MAX(0,T$5-(MYDeclIdx-1))/4)*IF(AND(MYStressOn=1,T$5&gt;=PxCycIdx),1-MYStressCut,1),T68*MYRateU/MYRate)</f>
        <v>16.2</v>
      </c>
      <c r="U87" s="32" t="n">
        <f aca="false">IF(UncPxOn=1,UncPx*(1+MYDecl)^(MAX(0,U$5-(MYDeclIdx-1))/4)*IF(AND(MYStressOn=1,U$5&gt;=PxCycIdx),1-MYStressCut,1),U68*MYRateU/MYRate)</f>
        <v>16.2</v>
      </c>
      <c r="V87" s="32" t="n">
        <f aca="false">IF(UncPxOn=1,UncPx*(1+MYDecl)^(MAX(0,V$5-(MYDeclIdx-1))/4)*IF(AND(MYStressOn=1,V$5&gt;=PxCycIdx),1-MYStressCut,1),V68*MYRateU/MYRate)</f>
        <v>16.2</v>
      </c>
      <c r="W87" s="32" t="n">
        <f aca="false">IF(UncPxOn=1,UncPx*(1+MYDecl)^(MAX(0,W$5-(MYDeclIdx-1))/4)*IF(AND(MYStressOn=1,W$5&gt;=PxCycIdx),1-MYStressCut,1),W68*MYRateU/MYRate)</f>
        <v>16.2</v>
      </c>
      <c r="X87" s="32" t="n">
        <f aca="false">IF(UncPxOn=1,UncPx*(1+MYDecl)^(MAX(0,X$5-(MYDeclIdx-1))/4)*IF(AND(MYStressOn=1,X$5&gt;=PxCycIdx),1-MYStressCut,1),X68*MYRateU/MYRate)</f>
        <v>16.2</v>
      </c>
      <c r="Y87" s="32" t="n">
        <f aca="false">IF(UncPxOn=1,UncPx*(1+MYDecl)^(MAX(0,Y$5-(MYDeclIdx-1))/4)*IF(AND(MYStressOn=1,Y$5&gt;=PxCycIdx),1-MYStressCut,1),Y68*MYRateU/MYRate)</f>
        <v>16.2</v>
      </c>
      <c r="Z87" s="32" t="n">
        <f aca="false">IF(UncPxOn=1,UncPx*(1+MYDecl)^(MAX(0,Z$5-(MYDeclIdx-1))/4)*IF(AND(MYStressOn=1,Z$5&gt;=PxCycIdx),1-MYStressCut,1),Z68*MYRateU/MYRate)</f>
        <v>16.0771086999602</v>
      </c>
      <c r="AA87" s="32" t="n">
        <f aca="false">IF(UncPxOn=1,UncPx*(1+MYDecl)^(MAX(0,AA$5-(MYDeclIdx-1))/4)*IF(AND(MYStressOn=1,AA$5&gt;=PxCycIdx),1-MYStressCut,1),AA68*MYRateU/MYRate)</f>
        <v>15.9551496389097</v>
      </c>
      <c r="AB87" s="32" t="n">
        <f aca="false">IF(UncPxOn=1,UncPx*(1+MYDecl)^(MAX(0,AB$5-(MYDeclIdx-1))/4)*IF(AND(MYStressOn=1,AB$5&gt;=PxCycIdx),1-MYStressCut,1),AB68*MYRateU/MYRate)</f>
        <v>15.8341157449927</v>
      </c>
      <c r="AC87" s="32" t="n">
        <f aca="false">IF(UncPxOn=1,UncPx*(1+MYDecl)^(MAX(0,AC$5-(MYDeclIdx-1))/4)*IF(AND(MYStressOn=1,AC$5&gt;=PxCycIdx),1-MYStressCut,1),AC68*MYRateU/MYRate)</f>
        <v>15.714</v>
      </c>
      <c r="AD87" s="32" t="n">
        <f aca="false">IF(UncPxOn=1,UncPx*(1+MYDecl)^(MAX(0,AD$5-(MYDeclIdx-1))/4)*IF(AND(MYStressOn=1,AD$5&gt;=PxCycIdx),1-MYStressCut,1),AD68*MYRateU/MYRate)</f>
        <v>15.5947954389614</v>
      </c>
      <c r="AE87" s="32" t="n">
        <f aca="false">IF(UncPxOn=1,UncPx*(1+MYDecl)^(MAX(0,AE$5-(MYDeclIdx-1))/4)*IF(AND(MYStressOn=1,AE$5&gt;=PxCycIdx),1-MYStressCut,1),AE68*MYRateU/MYRate)</f>
        <v>15.4764951497424</v>
      </c>
      <c r="AF87" s="32" t="n">
        <f aca="false">IF(UncPxOn=1,UncPx*(1+MYDecl)^(MAX(0,AF$5-(MYDeclIdx-1))/4)*IF(AND(MYStressOn=1,AF$5&gt;=PxCycIdx),1-MYStressCut,1),AF68*MYRateU/MYRate)</f>
        <v>15.359092272643</v>
      </c>
      <c r="AG87" s="32" t="n">
        <f aca="false">IF(UncPxOn=1,UncPx*(1+MYDecl)^(MAX(0,AG$5-(MYDeclIdx-1))/4)*IF(AND(MYStressOn=1,AG$5&gt;=PxCycIdx),1-MYStressCut,1),AG68*MYRateU/MYRate)</f>
        <v>15.24258</v>
      </c>
      <c r="AI87" s="32" t="n">
        <f aca="false">AVERAGEIF($F$7:$AG$7,AI$7,$F87:$AG87)</f>
        <v>16.2</v>
      </c>
      <c r="AJ87" s="32" t="n">
        <f aca="false">AVERAGEIF($F$7:$AG$7,AJ$7,$F87:$AG87)</f>
        <v>16.2</v>
      </c>
      <c r="AK87" s="32" t="n">
        <f aca="false">AVERAGEIF($F$7:$AG$7,AK$7,$F87:$AG87)</f>
        <v>16.2</v>
      </c>
      <c r="AL87" s="32" t="n">
        <f aca="false">AVERAGEIF($F$7:$AG$7,AL$7,$F87:$AG87)</f>
        <v>16.2</v>
      </c>
      <c r="AM87" s="32" t="n">
        <f aca="false">AVERAGEIF($F$7:$AG$7,AM$7,$F87:$AG87)</f>
        <v>16.2</v>
      </c>
      <c r="AN87" s="32" t="n">
        <f aca="false">AVERAGEIF($F$7:$AG$7,AN$7,$F87:$AG87)</f>
        <v>15.8950935209657</v>
      </c>
      <c r="AO87" s="32" t="n">
        <f aca="false">AVERAGEIF($F$7:$AG$7,AO$7,$F87:$AG87)</f>
        <v>15.4182407153367</v>
      </c>
    </row>
    <row r="88" customFormat="false" ht="15" hidden="false" customHeight="false" outlineLevel="0" collapsed="false">
      <c r="A88" s="112" t="s">
        <v>2314</v>
      </c>
      <c r="B88" s="24" t="s">
        <v>745</v>
      </c>
      <c r="C88" s="24" t="s">
        <v>672</v>
      </c>
      <c r="D88" s="24" t="s">
        <v>2315</v>
      </c>
      <c r="F88" s="130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30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30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30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30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30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30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30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30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30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31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31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31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31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31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31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31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31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31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31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31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31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31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31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31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31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31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31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31" t="n">
        <f aca="false">SUMIF($F$7:$AG$7,AI$7,$F88:$AG88)</f>
        <v>0</v>
      </c>
      <c r="AJ88" s="131" t="n">
        <f aca="false">SUMIF($F$7:$AG$7,AJ$7,$F88:$AG88)</f>
        <v>0</v>
      </c>
      <c r="AK88" s="131" t="n">
        <f aca="false">SUMIF($F$7:$AG$7,AK$7,$F88:$AG88)</f>
        <v>0</v>
      </c>
      <c r="AL88" s="131" t="n">
        <f aca="false">SUMIF($F$7:$AG$7,AL$7,$F88:$AG88)</f>
        <v>2331.30492467351</v>
      </c>
      <c r="AM88" s="131" t="n">
        <f aca="false">SUMIF($F$7:$AG$7,AM$7,$F88:$AG88)</f>
        <v>9866.55738636055</v>
      </c>
      <c r="AN88" s="131" t="n">
        <f aca="false">SUMIF($F$7:$AG$7,AN$7,$F88:$AG88)</f>
        <v>19226.1639712948</v>
      </c>
      <c r="AO88" s="131" t="n">
        <f aca="false">SUMIF($F$7:$AG$7,AO$7,$F88:$AG88)</f>
        <v>29574.6340394554</v>
      </c>
    </row>
    <row r="89" customFormat="false" ht="15" hidden="false" customHeight="false" outlineLevel="0" collapsed="false">
      <c r="A89" s="112" t="s">
        <v>2316</v>
      </c>
      <c r="B89" s="24" t="s">
        <v>732</v>
      </c>
      <c r="C89" s="24" t="s">
        <v>766</v>
      </c>
      <c r="D89" s="24" t="s">
        <v>2317</v>
      </c>
      <c r="F89" s="122" t="n">
        <f aca="false">IF(1+12&lt;=28,INDEX($F$67:$AG$67,1,MIN(28,1+12)),F67*(1+MYDecl)^3)</f>
        <v>16</v>
      </c>
      <c r="G89" s="122" t="n">
        <f aca="false">IF(2+12&lt;=28,INDEX($F$67:$AG$67,1,MIN(28,2+12)),G67*(1+MYDecl)^3)</f>
        <v>16</v>
      </c>
      <c r="H89" s="122" t="n">
        <f aca="false">IF(3+12&lt;=28,INDEX($F$67:$AG$67,1,MIN(28,3+12)),H67*(1+MYDecl)^3)</f>
        <v>16</v>
      </c>
      <c r="I89" s="122" t="n">
        <f aca="false">IF(4+12&lt;=28,INDEX($F$67:$AG$67,1,MIN(28,4+12)),I67*(1+MYDecl)^3)</f>
        <v>16</v>
      </c>
      <c r="J89" s="122" t="n">
        <f aca="false">IF(5+12&lt;=28,INDEX($F$67:$AG$67,1,MIN(28,5+12)),J67*(1+MYDecl)^3)</f>
        <v>16</v>
      </c>
      <c r="K89" s="122" t="n">
        <f aca="false">IF(6+12&lt;=28,INDEX($F$67:$AG$67,1,MIN(28,6+12)),K67*(1+MYDecl)^3)</f>
        <v>16</v>
      </c>
      <c r="L89" s="122" t="n">
        <f aca="false">IF(7+12&lt;=28,INDEX($F$67:$AG$67,1,MIN(28,7+12)),L67*(1+MYDecl)^3)</f>
        <v>16</v>
      </c>
      <c r="M89" s="122" t="n">
        <f aca="false">IF(8+12&lt;=28,INDEX($F$67:$AG$67,1,MIN(28,8+12)),M67*(1+MYDecl)^3)</f>
        <v>16</v>
      </c>
      <c r="N89" s="122" t="n">
        <f aca="false">IF(9+12&lt;=28,INDEX($F$67:$AG$67,1,MIN(28,9+12)),N67*(1+MYDecl)^3)</f>
        <v>15.8786258765039</v>
      </c>
      <c r="O89" s="122" t="n">
        <f aca="false">IF(10+12&lt;=28,INDEX($F$67:$AG$67,1,MIN(28,10+12)),O67*(1+MYDecl)^3)</f>
        <v>15.7581724828738</v>
      </c>
      <c r="P89" s="32" t="n">
        <f aca="false">IF(11+12&lt;=28,INDEX($F$67:$AG$67,1,MIN(28,11+12)),P67*(1+MYDecl)^3)</f>
        <v>15.6386328345607</v>
      </c>
      <c r="Q89" s="32" t="n">
        <f aca="false">IF(12+12&lt;=28,INDEX($F$67:$AG$67,1,MIN(28,12+12)),Q67*(1+MYDecl)^3)</f>
        <v>15.52</v>
      </c>
      <c r="R89" s="32" t="n">
        <f aca="false">IF(13+12&lt;=28,INDEX($F$67:$AG$67,1,MIN(28,13+12)),R67*(1+MYDecl)^3)</f>
        <v>15.4022671002088</v>
      </c>
      <c r="S89" s="32" t="n">
        <f aca="false">IF(14+12&lt;=28,INDEX($F$67:$AG$67,1,MIN(28,14+12)),S67*(1+MYDecl)^3)</f>
        <v>15.2854273083876</v>
      </c>
      <c r="T89" s="32" t="n">
        <f aca="false">IF(15+12&lt;=28,INDEX($F$67:$AG$67,1,MIN(28,15+12)),T67*(1+MYDecl)^3)</f>
        <v>15.1694738495239</v>
      </c>
      <c r="U89" s="32" t="n">
        <f aca="false">IF(16+12&lt;=28,INDEX($F$67:$AG$67,1,MIN(28,16+12)),U67*(1+MYDecl)^3)</f>
        <v>15.0544</v>
      </c>
      <c r="V89" s="32" t="n">
        <f aca="false">IF(17+12&lt;=28,INDEX($F$67:$AG$67,1,MIN(28,17+12)),V67*(1+MYDecl)^3)</f>
        <v>14.602768</v>
      </c>
      <c r="W89" s="32" t="n">
        <f aca="false">IF(18+12&lt;=28,INDEX($F$67:$AG$67,1,MIN(28,18+12)),W67*(1+MYDecl)^3)</f>
        <v>14.602768</v>
      </c>
      <c r="X89" s="32" t="n">
        <f aca="false">IF(19+12&lt;=28,INDEX($F$67:$AG$67,1,MIN(28,19+12)),X67*(1+MYDecl)^3)</f>
        <v>14.602768</v>
      </c>
      <c r="Y89" s="32" t="n">
        <f aca="false">IF(20+12&lt;=28,INDEX($F$67:$AG$67,1,MIN(28,20+12)),Y67*(1+MYDecl)^3)</f>
        <v>14.602768</v>
      </c>
      <c r="Z89" s="32" t="n">
        <f aca="false">IF(21+12&lt;=28,INDEX($F$67:$AG$67,1,MIN(28,21+12)),Z67*(1+MYDecl)^3)</f>
        <v>14.4919931145865</v>
      </c>
      <c r="AA89" s="32" t="n">
        <f aca="false">IF(22+12&lt;=28,INDEX($F$67:$AG$67,1,MIN(28,22+12)),AA67*(1+MYDecl)^3)</f>
        <v>14.3820585544618</v>
      </c>
      <c r="AB89" s="32" t="n">
        <f aca="false">IF(23+12&lt;=28,INDEX($F$67:$AG$67,1,MIN(28,23+12)),AB67*(1+MYDecl)^3)</f>
        <v>14.272957945017</v>
      </c>
      <c r="AC89" s="32" t="n">
        <f aca="false">IF(24+12&lt;=28,INDEX($F$67:$AG$67,1,MIN(28,24+12)),AC67*(1+MYDecl)^3)</f>
        <v>14.16468496</v>
      </c>
      <c r="AD89" s="32" t="n">
        <f aca="false">IF(25+12&lt;=28,INDEX($F$67:$AG$67,1,MIN(28,25+12)),AD67*(1+MYDecl)^3)</f>
        <v>14.0572333211489</v>
      </c>
      <c r="AE89" s="32" t="n">
        <f aca="false">IF(26+12&lt;=28,INDEX($F$67:$AG$67,1,MIN(28,26+12)),AE67*(1+MYDecl)^3)</f>
        <v>13.950596797828</v>
      </c>
      <c r="AF89" s="32" t="n">
        <f aca="false">IF(27+12&lt;=28,INDEX($F$67:$AG$67,1,MIN(28,27+12)),AF67*(1+MYDecl)^3)</f>
        <v>13.8447692066665</v>
      </c>
      <c r="AG89" s="32" t="n">
        <f aca="false">IF(28+12&lt;=28,INDEX($F$67:$AG$67,1,MIN(28,28+12)),AG67*(1+MYDecl)^3)</f>
        <v>13.7397444112</v>
      </c>
      <c r="AI89" s="32" t="n">
        <f aca="false">AVERAGEIF($F$7:$AG$7,AI$7,$F89:$AG89)</f>
        <v>16</v>
      </c>
      <c r="AJ89" s="32" t="n">
        <f aca="false">AVERAGEIF($F$7:$AG$7,AJ$7,$F89:$AG89)</f>
        <v>16</v>
      </c>
      <c r="AK89" s="32" t="n">
        <f aca="false">AVERAGEIF($F$7:$AG$7,AK$7,$F89:$AG89)</f>
        <v>15.6988577984846</v>
      </c>
      <c r="AL89" s="32" t="n">
        <f aca="false">AVERAGEIF($F$7:$AG$7,AL$7,$F89:$AG89)</f>
        <v>15.2278920645301</v>
      </c>
      <c r="AM89" s="32" t="n">
        <f aca="false">AVERAGEIF($F$7:$AG$7,AM$7,$F89:$AG89)</f>
        <v>14.602768</v>
      </c>
      <c r="AN89" s="32" t="n">
        <f aca="false">AVERAGEIF($F$7:$AG$7,AN$7,$F89:$AG89)</f>
        <v>14.3279236435163</v>
      </c>
      <c r="AO89" s="32" t="n">
        <f aca="false">AVERAGEIF($F$7:$AG$7,AO$7,$F89:$AG89)</f>
        <v>13.8980859342108</v>
      </c>
    </row>
    <row r="90" customFormat="false" ht="15" hidden="false" customHeight="false" outlineLevel="0" collapsed="false">
      <c r="A90" s="112" t="s">
        <v>2318</v>
      </c>
      <c r="B90" s="24" t="s">
        <v>745</v>
      </c>
      <c r="C90" s="24" t="s">
        <v>766</v>
      </c>
      <c r="D90" s="24" t="s">
        <v>2319</v>
      </c>
      <c r="F90" s="130" t="n">
        <f aca="false">ThreeYrOn*ThreeYrSh*IF(STMode=1,1-F74,1-STShare)*SUMPRODUCT(($F$5:F$5&lt;=F$5-12)*$F$64:F64*$F$84:F84*($F$89:F89-$F$67:F67))/4</f>
        <v>0</v>
      </c>
      <c r="G90" s="130" t="n">
        <f aca="false">ThreeYrOn*ThreeYrSh*IF(STMode=1,1-G74,1-STShare)*SUMPRODUCT(($F$5:G$5&lt;=G$5-12)*$F$64:G64*$F$84:G84*($F$89:G89-$F$67:G67))/4</f>
        <v>0</v>
      </c>
      <c r="H90" s="130" t="n">
        <f aca="false">ThreeYrOn*ThreeYrSh*IF(STMode=1,1-H74,1-STShare)*SUMPRODUCT(($F$5:H$5&lt;=H$5-12)*$F$64:H64*$F$84:H84*($F$89:H89-$F$67:H67))/4</f>
        <v>0</v>
      </c>
      <c r="I90" s="130" t="n">
        <f aca="false">ThreeYrOn*ThreeYrSh*IF(STMode=1,1-I74,1-STShare)*SUMPRODUCT(($F$5:I$5&lt;=I$5-12)*$F$64:I64*$F$84:I84*($F$89:I89-$F$67:I67))/4</f>
        <v>0</v>
      </c>
      <c r="J90" s="130" t="n">
        <f aca="false">ThreeYrOn*ThreeYrSh*IF(STMode=1,1-J74,1-STShare)*SUMPRODUCT(($F$5:J$5&lt;=J$5-12)*$F$64:J64*$F$84:J84*($F$89:J89-$F$67:J67))/4</f>
        <v>0</v>
      </c>
      <c r="K90" s="130" t="n">
        <f aca="false">ThreeYrOn*ThreeYrSh*IF(STMode=1,1-K74,1-STShare)*SUMPRODUCT(($F$5:K$5&lt;=K$5-12)*$F$64:K64*$F$84:K84*($F$89:K89-$F$67:K67))/4</f>
        <v>0</v>
      </c>
      <c r="L90" s="130" t="n">
        <f aca="false">ThreeYrOn*ThreeYrSh*IF(STMode=1,1-L74,1-STShare)*SUMPRODUCT(($F$5:L$5&lt;=L$5-12)*$F$64:L64*$F$84:L84*($F$89:L89-$F$67:L67))/4</f>
        <v>0</v>
      </c>
      <c r="M90" s="130" t="n">
        <f aca="false">ThreeYrOn*ThreeYrSh*IF(STMode=1,1-M74,1-STShare)*SUMPRODUCT(($F$5:M$5&lt;=M$5-12)*$F$64:M64*$F$84:M84*($F$89:M89-$F$67:M67))/4</f>
        <v>0</v>
      </c>
      <c r="N90" s="130" t="n">
        <f aca="false">ThreeYrOn*ThreeYrSh*IF(STMode=1,1-N74,1-STShare)*SUMPRODUCT(($F$5:N$5&lt;=N$5-12)*$F$64:N64*$F$84:N84*($F$89:N89-$F$67:N67))/4</f>
        <v>0</v>
      </c>
      <c r="O90" s="130" t="n">
        <f aca="false">ThreeYrOn*ThreeYrSh*IF(STMode=1,1-O74,1-STShare)*SUMPRODUCT(($F$5:O$5&lt;=O$5-12)*$F$64:O64*$F$84:O84*($F$89:O89-$F$67:O67))/4</f>
        <v>0</v>
      </c>
      <c r="P90" s="131" t="n">
        <f aca="false">ThreeYrOn*ThreeYrSh*IF(STMode=1,1-P74,1-STShare)*SUMPRODUCT(($F$5:P$5&lt;=P$5-12)*$F$64:P64*$F$84:P84*($F$89:P89-$F$67:P67))/4</f>
        <v>0</v>
      </c>
      <c r="Q90" s="131" t="n">
        <f aca="false">ThreeYrOn*ThreeYrSh*IF(STMode=1,1-Q74,1-STShare)*SUMPRODUCT(($F$5:Q$5&lt;=Q$5-12)*$F$64:Q64*$F$84:Q84*($F$89:Q89-$F$67:Q67))/4</f>
        <v>0</v>
      </c>
      <c r="R90" s="131" t="n">
        <f aca="false">ThreeYrOn*ThreeYrSh*IF(STMode=1,1-R74,1-STShare)*SUMPRODUCT(($F$5:R$5&lt;=R$5-12)*$F$64:R64*$F$84:R84*($F$89:R89-$F$67:R67))/4</f>
        <v>0</v>
      </c>
      <c r="S90" s="131" t="n">
        <f aca="false">ThreeYrOn*ThreeYrSh*IF(STMode=1,1-S74,1-STShare)*SUMPRODUCT(($F$5:S$5&lt;=S$5-12)*$F$64:S64*$F$84:S84*($F$89:S89-$F$67:S67))/4</f>
        <v>0</v>
      </c>
      <c r="T90" s="131" t="n">
        <f aca="false">ThreeYrOn*ThreeYrSh*IF(STMode=1,1-T74,1-STShare)*SUMPRODUCT(($F$5:T$5&lt;=T$5-12)*$F$64:T64*$F$84:T84*($F$89:T89-$F$67:T67))/4</f>
        <v>0</v>
      </c>
      <c r="U90" s="131" t="n">
        <f aca="false">ThreeYrOn*ThreeYrSh*IF(STMode=1,1-U74,1-STShare)*SUMPRODUCT(($F$5:U$5&lt;=U$5-12)*$F$64:U64*$F$84:U84*($F$89:U89-$F$67:U67))/4</f>
        <v>0</v>
      </c>
      <c r="V90" s="131" t="n">
        <f aca="false">ThreeYrOn*ThreeYrSh*IF(STMode=1,1-V74,1-STShare)*SUMPRODUCT(($F$5:V$5&lt;=V$5-12)*$F$64:V64*$F$84:V84*($F$89:V89-$F$67:V67))/4</f>
        <v>0</v>
      </c>
      <c r="W90" s="131" t="n">
        <f aca="false">ThreeYrOn*ThreeYrSh*IF(STMode=1,1-W74,1-STShare)*SUMPRODUCT(($F$5:W$5&lt;=W$5-12)*$F$64:W64*$F$84:W84*($F$89:W89-$F$67:W67))/4</f>
        <v>0</v>
      </c>
      <c r="X90" s="131" t="n">
        <f aca="false">ThreeYrOn*ThreeYrSh*IF(STMode=1,1-X74,1-STShare)*SUMPRODUCT(($F$5:X$5&lt;=X$5-12)*$F$64:X64*$F$84:X84*($F$89:X89-$F$67:X67))/4</f>
        <v>0</v>
      </c>
      <c r="Y90" s="131" t="n">
        <f aca="false">ThreeYrOn*ThreeYrSh*IF(STMode=1,1-Y74,1-STShare)*SUMPRODUCT(($F$5:Y$5&lt;=Y$5-12)*$F$64:Y64*$F$84:Y84*($F$89:Y89-$F$67:Y67))/4</f>
        <v>0</v>
      </c>
      <c r="Z90" s="131" t="n">
        <f aca="false">ThreeYrOn*ThreeYrSh*IF(STMode=1,1-Z74,1-STShare)*SUMPRODUCT(($F$5:Z$5&lt;=Z$5-12)*$F$64:Z64*$F$84:Z84*($F$89:Z89-$F$67:Z67))/4</f>
        <v>0</v>
      </c>
      <c r="AA90" s="131" t="n">
        <f aca="false">ThreeYrOn*ThreeYrSh*IF(STMode=1,1-AA74,1-STShare)*SUMPRODUCT(($F$5:AA$5&lt;=AA$5-12)*$F$64:AA64*$F$84:AA84*($F$89:AA89-$F$67:AA67))/4</f>
        <v>0</v>
      </c>
      <c r="AB90" s="131" t="n">
        <f aca="false">ThreeYrOn*ThreeYrSh*IF(STMode=1,1-AB74,1-STShare)*SUMPRODUCT(($F$5:AB$5&lt;=AB$5-12)*$F$64:AB64*$F$84:AB84*($F$89:AB89-$F$67:AB67))/4</f>
        <v>0</v>
      </c>
      <c r="AC90" s="131" t="n">
        <f aca="false">ThreeYrOn*ThreeYrSh*IF(STMode=1,1-AC74,1-STShare)*SUMPRODUCT(($F$5:AC$5&lt;=AC$5-12)*$F$64:AC64*$F$84:AC84*($F$89:AC89-$F$67:AC67))/4</f>
        <v>0</v>
      </c>
      <c r="AD90" s="131" t="n">
        <f aca="false">ThreeYrOn*ThreeYrSh*IF(STMode=1,1-AD74,1-STShare)*SUMPRODUCT(($F$5:AD$5&lt;=AD$5-12)*$F$64:AD64*$F$84:AD84*($F$89:AD89-$F$67:AD67))/4</f>
        <v>-0</v>
      </c>
      <c r="AE90" s="131" t="n">
        <f aca="false">ThreeYrOn*ThreeYrSh*IF(STMode=1,1-AE74,1-STShare)*SUMPRODUCT(($F$5:AE$5&lt;=AE$5-12)*$F$64:AE64*$F$84:AE84*($F$89:AE89-$F$67:AE67))/4</f>
        <v>-0</v>
      </c>
      <c r="AF90" s="131" t="n">
        <f aca="false">ThreeYrOn*ThreeYrSh*IF(STMode=1,1-AF74,1-STShare)*SUMPRODUCT(($F$5:AF$5&lt;=AF$5-12)*$F$64:AF64*$F$84:AF84*($F$89:AF89-$F$67:AF67))/4</f>
        <v>-0</v>
      </c>
      <c r="AG90" s="131" t="n">
        <f aca="false">ThreeYrOn*ThreeYrSh*IF(STMode=1,1-AG74,1-STShare)*SUMPRODUCT(($F$5:AG$5&lt;=AG$5-12)*$F$64:AG64*$F$84:AG84*($F$89:AG89-$F$67:AG67))/4</f>
        <v>-0</v>
      </c>
      <c r="AI90" s="131" t="n">
        <f aca="false">SUMIF($F$7:$AG$7,AI$7,$F90:$AG90)</f>
        <v>0</v>
      </c>
      <c r="AJ90" s="131" t="n">
        <f aca="false">SUMIF($F$7:$AG$7,AJ$7,$F90:$AG90)</f>
        <v>0</v>
      </c>
      <c r="AK90" s="131" t="n">
        <f aca="false">SUMIF($F$7:$AG$7,AK$7,$F90:$AG90)</f>
        <v>0</v>
      </c>
      <c r="AL90" s="131" t="n">
        <f aca="false">SUMIF($F$7:$AG$7,AL$7,$F90:$AG90)</f>
        <v>0</v>
      </c>
      <c r="AM90" s="131" t="n">
        <f aca="false">SUMIF($F$7:$AG$7,AM$7,$F90:$AG90)</f>
        <v>0</v>
      </c>
      <c r="AN90" s="131" t="n">
        <f aca="false">SUMIF($F$7:$AG$7,AN$7,$F90:$AG90)</f>
        <v>0</v>
      </c>
      <c r="AO90" s="131" t="n">
        <f aca="false">SUMIF($F$7:$AG$7,AO$7,$F90:$AG90)</f>
        <v>0</v>
      </c>
    </row>
    <row r="91" customFormat="false" ht="15" hidden="false" customHeight="false" outlineLevel="0" collapsed="false">
      <c r="A91" s="112" t="s">
        <v>2320</v>
      </c>
      <c r="B91" s="24" t="s">
        <v>732</v>
      </c>
      <c r="C91" s="24" t="s">
        <v>766</v>
      </c>
      <c r="D91" s="24"/>
      <c r="F91" s="122" t="n">
        <f aca="false">IF(1+12&lt;=28,INDEX($F$68:$AG$68,1,MIN(28,1+12)),F68*(1+MYDecl)^3)</f>
        <v>16.2</v>
      </c>
      <c r="G91" s="122" t="n">
        <f aca="false">IF(2+12&lt;=28,INDEX($F$68:$AG$68,1,MIN(28,2+12)),G68*(1+MYDecl)^3)</f>
        <v>16.2</v>
      </c>
      <c r="H91" s="122" t="n">
        <f aca="false">IF(3+12&lt;=28,INDEX($F$68:$AG$68,1,MIN(28,3+12)),H68*(1+MYDecl)^3)</f>
        <v>16.2</v>
      </c>
      <c r="I91" s="122" t="n">
        <f aca="false">IF(4+12&lt;=28,INDEX($F$68:$AG$68,1,MIN(28,4+12)),I68*(1+MYDecl)^3)</f>
        <v>16.2</v>
      </c>
      <c r="J91" s="122" t="n">
        <f aca="false">IF(5+12&lt;=28,INDEX($F$68:$AG$68,1,MIN(28,5+12)),J68*(1+MYDecl)^3)</f>
        <v>16.2</v>
      </c>
      <c r="K91" s="122" t="n">
        <f aca="false">IF(6+12&lt;=28,INDEX($F$68:$AG$68,1,MIN(28,6+12)),K68*(1+MYDecl)^3)</f>
        <v>16.2</v>
      </c>
      <c r="L91" s="122" t="n">
        <f aca="false">IF(7+12&lt;=28,INDEX($F$68:$AG$68,1,MIN(28,7+12)),L68*(1+MYDecl)^3)</f>
        <v>16.2</v>
      </c>
      <c r="M91" s="122" t="n">
        <f aca="false">IF(8+12&lt;=28,INDEX($F$68:$AG$68,1,MIN(28,8+12)),M68*(1+MYDecl)^3)</f>
        <v>16.2</v>
      </c>
      <c r="N91" s="122" t="n">
        <f aca="false">IF(9+12&lt;=28,INDEX($F$68:$AG$68,1,MIN(28,9+12)),N68*(1+MYDecl)^3)</f>
        <v>16.0771086999602</v>
      </c>
      <c r="O91" s="122" t="n">
        <f aca="false">IF(10+12&lt;=28,INDEX($F$68:$AG$68,1,MIN(28,10+12)),O68*(1+MYDecl)^3)</f>
        <v>15.9551496389097</v>
      </c>
      <c r="P91" s="32" t="n">
        <f aca="false">IF(11+12&lt;=28,INDEX($F$68:$AG$68,1,MIN(28,11+12)),P68*(1+MYDecl)^3)</f>
        <v>15.8341157449927</v>
      </c>
      <c r="Q91" s="32" t="n">
        <f aca="false">IF(12+12&lt;=28,INDEX($F$68:$AG$68,1,MIN(28,12+12)),Q68*(1+MYDecl)^3)</f>
        <v>15.714</v>
      </c>
      <c r="R91" s="32" t="n">
        <f aca="false">IF(13+12&lt;=28,INDEX($F$68:$AG$68,1,MIN(28,13+12)),R68*(1+MYDecl)^3)</f>
        <v>15.5947954389614</v>
      </c>
      <c r="S91" s="32" t="n">
        <f aca="false">IF(14+12&lt;=28,INDEX($F$68:$AG$68,1,MIN(28,14+12)),S68*(1+MYDecl)^3)</f>
        <v>15.4764951497424</v>
      </c>
      <c r="T91" s="32" t="n">
        <f aca="false">IF(15+12&lt;=28,INDEX($F$68:$AG$68,1,MIN(28,15+12)),T68*(1+MYDecl)^3)</f>
        <v>15.359092272643</v>
      </c>
      <c r="U91" s="32" t="n">
        <f aca="false">IF(16+12&lt;=28,INDEX($F$68:$AG$68,1,MIN(28,16+12)),U68*(1+MYDecl)^3)</f>
        <v>15.24258</v>
      </c>
      <c r="V91" s="32" t="n">
        <f aca="false">IF(17+12&lt;=28,INDEX($F$68:$AG$68,1,MIN(28,17+12)),V68*(1+MYDecl)^3)</f>
        <v>14.7853026</v>
      </c>
      <c r="W91" s="32" t="n">
        <f aca="false">IF(18+12&lt;=28,INDEX($F$68:$AG$68,1,MIN(28,18+12)),W68*(1+MYDecl)^3)</f>
        <v>14.7853026</v>
      </c>
      <c r="X91" s="32" t="n">
        <f aca="false">IF(19+12&lt;=28,INDEX($F$68:$AG$68,1,MIN(28,19+12)),X68*(1+MYDecl)^3)</f>
        <v>14.7853026</v>
      </c>
      <c r="Y91" s="32" t="n">
        <f aca="false">IF(20+12&lt;=28,INDEX($F$68:$AG$68,1,MIN(28,20+12)),Y68*(1+MYDecl)^3)</f>
        <v>14.7853026</v>
      </c>
      <c r="Z91" s="32" t="n">
        <f aca="false">IF(21+12&lt;=28,INDEX($F$68:$AG$68,1,MIN(28,21+12)),Z68*(1+MYDecl)^3)</f>
        <v>14.6731430285188</v>
      </c>
      <c r="AA91" s="32" t="n">
        <f aca="false">IF(22+12&lt;=28,INDEX($F$68:$AG$68,1,MIN(28,22+12)),AA68*(1+MYDecl)^3)</f>
        <v>14.5618342863926</v>
      </c>
      <c r="AB91" s="32" t="n">
        <f aca="false">IF(23+12&lt;=28,INDEX($F$68:$AG$68,1,MIN(28,23+12)),AB68*(1+MYDecl)^3)</f>
        <v>14.4513699193298</v>
      </c>
      <c r="AC91" s="32" t="n">
        <f aca="false">IF(24+12&lt;=28,INDEX($F$68:$AG$68,1,MIN(28,24+12)),AC68*(1+MYDecl)^3)</f>
        <v>14.341743522</v>
      </c>
      <c r="AD91" s="32" t="n">
        <f aca="false">IF(25+12&lt;=28,INDEX($F$68:$AG$68,1,MIN(28,25+12)),AD68*(1+MYDecl)^3)</f>
        <v>14.2329487376632</v>
      </c>
      <c r="AE91" s="32" t="n">
        <f aca="false">IF(26+12&lt;=28,INDEX($F$68:$AG$68,1,MIN(28,26+12)),AE68*(1+MYDecl)^3)</f>
        <v>14.1249792578008</v>
      </c>
      <c r="AF91" s="32" t="n">
        <f aca="false">IF(27+12&lt;=28,INDEX($F$68:$AG$68,1,MIN(28,27+12)),AF68*(1+MYDecl)^3)</f>
        <v>14.0178288217499</v>
      </c>
      <c r="AG91" s="32" t="n">
        <f aca="false">IF(28+12&lt;=28,INDEX($F$68:$AG$68,1,MIN(28,28+12)),AG68*(1+MYDecl)^3)</f>
        <v>13.91149121634</v>
      </c>
      <c r="AI91" s="32" t="n">
        <f aca="false">AVERAGEIF($F$7:$AG$7,AI$7,$F91:$AG91)</f>
        <v>16.2</v>
      </c>
      <c r="AJ91" s="32" t="n">
        <f aca="false">AVERAGEIF($F$7:$AG$7,AJ$7,$F91:$AG91)</f>
        <v>16.2</v>
      </c>
      <c r="AK91" s="32" t="n">
        <f aca="false">AVERAGEIF($F$7:$AG$7,AK$7,$F91:$AG91)</f>
        <v>15.8950935209657</v>
      </c>
      <c r="AL91" s="32" t="n">
        <f aca="false">AVERAGEIF($F$7:$AG$7,AL$7,$F91:$AG91)</f>
        <v>15.4182407153367</v>
      </c>
      <c r="AM91" s="32" t="n">
        <f aca="false">AVERAGEIF($F$7:$AG$7,AM$7,$F91:$AG91)</f>
        <v>14.7853026</v>
      </c>
      <c r="AN91" s="32" t="n">
        <f aca="false">AVERAGEIF($F$7:$AG$7,AN$7,$F91:$AG91)</f>
        <v>14.5070226890603</v>
      </c>
      <c r="AO91" s="32" t="n">
        <f aca="false">AVERAGEIF($F$7:$AG$7,AO$7,$F91:$AG91)</f>
        <v>14.0718120083885</v>
      </c>
    </row>
    <row r="92" customFormat="false" ht="15" hidden="false" customHeight="false" outlineLevel="0" collapsed="false">
      <c r="A92" s="112" t="s">
        <v>2321</v>
      </c>
      <c r="B92" s="24" t="s">
        <v>745</v>
      </c>
      <c r="C92" s="24" t="s">
        <v>683</v>
      </c>
      <c r="D92" s="24" t="s">
        <v>2322</v>
      </c>
      <c r="F92" s="130" t="n">
        <f aca="false">UncPxOn*UncRenew*(IF(STMode=1,1-F74,1-STShare)*SUMPRODUCT(($F$5:F$5&lt;=F$5-12)*$F$64:F64*(1-$F$85:F85)*($F$89:F89-$F$86:F86))+IF(STMode=1,IF(STGBOnly=1,1,1-F74),1-STShare)*SUMPRODUCT(($F$5:F$5&lt;=F$5-12)*$F$65:F65*(1-$F$85:F85)*($F$91:F91-$F$87:F87)))/4</f>
        <v>0</v>
      </c>
      <c r="G92" s="130" t="n">
        <f aca="false">UncPxOn*UncRenew*(IF(STMode=1,1-G74,1-STShare)*SUMPRODUCT(($F$5:G$5&lt;=G$5-12)*$F$64:G64*(1-$F$85:G85)*($F$89:G89-$F$86:G86))+IF(STMode=1,IF(STGBOnly=1,1,1-G74),1-STShare)*SUMPRODUCT(($F$5:G$5&lt;=G$5-12)*$F$65:G65*(1-$F$85:G85)*($F$91:G91-$F$87:G87)))/4</f>
        <v>0</v>
      </c>
      <c r="H92" s="130" t="n">
        <f aca="false">UncPxOn*UncRenew*(IF(STMode=1,1-H74,1-STShare)*SUMPRODUCT(($F$5:H$5&lt;=H$5-12)*$F$64:H64*(1-$F$85:H85)*($F$89:H89-$F$86:H86))+IF(STMode=1,IF(STGBOnly=1,1,1-H74),1-STShare)*SUMPRODUCT(($F$5:H$5&lt;=H$5-12)*$F$65:H65*(1-$F$85:H85)*($F$91:H91-$F$87:H87)))/4</f>
        <v>0</v>
      </c>
      <c r="I92" s="130" t="n">
        <f aca="false">UncPxOn*UncRenew*(IF(STMode=1,1-I74,1-STShare)*SUMPRODUCT(($F$5:I$5&lt;=I$5-12)*$F$64:I64*(1-$F$85:I85)*($F$89:I89-$F$86:I86))+IF(STMode=1,IF(STGBOnly=1,1,1-I74),1-STShare)*SUMPRODUCT(($F$5:I$5&lt;=I$5-12)*$F$65:I65*(1-$F$85:I85)*($F$91:I91-$F$87:I87)))/4</f>
        <v>0</v>
      </c>
      <c r="J92" s="130" t="n">
        <f aca="false">UncPxOn*UncRenew*(IF(STMode=1,1-J74,1-STShare)*SUMPRODUCT(($F$5:J$5&lt;=J$5-12)*$F$64:J64*(1-$F$85:J85)*($F$89:J89-$F$86:J86))+IF(STMode=1,IF(STGBOnly=1,1,1-J74),1-STShare)*SUMPRODUCT(($F$5:J$5&lt;=J$5-12)*$F$65:J65*(1-$F$85:J85)*($F$91:J91-$F$87:J87)))/4</f>
        <v>0</v>
      </c>
      <c r="K92" s="130" t="n">
        <f aca="false">UncPxOn*UncRenew*(IF(STMode=1,1-K74,1-STShare)*SUMPRODUCT(($F$5:K$5&lt;=K$5-12)*$F$64:K64*(1-$F$85:K85)*($F$89:K89-$F$86:K86))+IF(STMode=1,IF(STGBOnly=1,1,1-K74),1-STShare)*SUMPRODUCT(($F$5:K$5&lt;=K$5-12)*$F$65:K65*(1-$F$85:K85)*($F$91:K91-$F$87:K87)))/4</f>
        <v>0</v>
      </c>
      <c r="L92" s="130" t="n">
        <f aca="false">UncPxOn*UncRenew*(IF(STMode=1,1-L74,1-STShare)*SUMPRODUCT(($F$5:L$5&lt;=L$5-12)*$F$64:L64*(1-$F$85:L85)*($F$89:L89-$F$86:L86))+IF(STMode=1,IF(STGBOnly=1,1,1-L74),1-STShare)*SUMPRODUCT(($F$5:L$5&lt;=L$5-12)*$F$65:L65*(1-$F$85:L85)*($F$91:L91-$F$87:L87)))/4</f>
        <v>0</v>
      </c>
      <c r="M92" s="130" t="n">
        <f aca="false">UncPxOn*UncRenew*(IF(STMode=1,1-M74,1-STShare)*SUMPRODUCT(($F$5:M$5&lt;=M$5-12)*$F$64:M64*(1-$F$85:M85)*($F$89:M89-$F$86:M86))+IF(STMode=1,IF(STGBOnly=1,1,1-M74),1-STShare)*SUMPRODUCT(($F$5:M$5&lt;=M$5-12)*$F$65:M65*(1-$F$85:M85)*($F$91:M91-$F$87:M87)))/4</f>
        <v>0</v>
      </c>
      <c r="N92" s="130" t="n">
        <f aca="false">UncPxOn*UncRenew*(IF(STMode=1,1-N74,1-STShare)*SUMPRODUCT(($F$5:N$5&lt;=N$5-12)*$F$64:N64*(1-$F$85:N85)*($F$89:N89-$F$86:N86))+IF(STMode=1,IF(STGBOnly=1,1,1-N74),1-STShare)*SUMPRODUCT(($F$5:N$5&lt;=N$5-12)*$F$65:N65*(1-$F$85:N85)*($F$91:N91-$F$87:N87)))/4</f>
        <v>0</v>
      </c>
      <c r="O92" s="130" t="n">
        <f aca="false">UncPxOn*UncRenew*(IF(STMode=1,1-O74,1-STShare)*SUMPRODUCT(($F$5:O$5&lt;=O$5-12)*$F$64:O64*(1-$F$85:O85)*($F$89:O89-$F$86:O86))+IF(STMode=1,IF(STGBOnly=1,1,1-O74),1-STShare)*SUMPRODUCT(($F$5:O$5&lt;=O$5-12)*$F$65:O65*(1-$F$85:O85)*($F$91:O91-$F$87:O87)))/4</f>
        <v>0</v>
      </c>
      <c r="P92" s="131" t="n">
        <f aca="false">UncPxOn*UncRenew*(IF(STMode=1,1-P74,1-STShare)*SUMPRODUCT(($F$5:P$5&lt;=P$5-12)*$F$64:P64*(1-$F$85:P85)*($F$89:P89-$F$86:P86))+IF(STMode=1,IF(STGBOnly=1,1,1-P74),1-STShare)*SUMPRODUCT(($F$5:P$5&lt;=P$5-12)*$F$65:P65*(1-$F$85:P85)*($F$91:P91-$F$87:P87)))/4</f>
        <v>0</v>
      </c>
      <c r="Q92" s="131" t="n">
        <f aca="false">UncPxOn*UncRenew*(IF(STMode=1,1-Q74,1-STShare)*SUMPRODUCT(($F$5:Q$5&lt;=Q$5-12)*$F$64:Q64*(1-$F$85:Q85)*($F$89:Q89-$F$86:Q86))+IF(STMode=1,IF(STGBOnly=1,1,1-Q74),1-STShare)*SUMPRODUCT(($F$5:Q$5&lt;=Q$5-12)*$F$65:Q65*(1-$F$85:Q85)*($F$91:Q91-$F$87:Q87)))/4</f>
        <v>0</v>
      </c>
      <c r="R92" s="131" t="n">
        <f aca="false">UncPxOn*UncRenew*(IF(STMode=1,1-R74,1-STShare)*SUMPRODUCT(($F$5:R$5&lt;=R$5-12)*$F$64:R64*(1-$F$85:R85)*($F$89:R89-$F$86:R86))+IF(STMode=1,IF(STGBOnly=1,1,1-R74),1-STShare)*SUMPRODUCT(($F$5:R$5&lt;=R$5-12)*$F$65:R65*(1-$F$85:R85)*($F$91:R91-$F$87:R87)))/4</f>
        <v>0</v>
      </c>
      <c r="S92" s="131" t="n">
        <f aca="false">UncPxOn*UncRenew*(IF(STMode=1,1-S74,1-STShare)*SUMPRODUCT(($F$5:S$5&lt;=S$5-12)*$F$64:S64*(1-$F$85:S85)*($F$89:S89-$F$86:S86))+IF(STMode=1,IF(STGBOnly=1,1,1-S74),1-STShare)*SUMPRODUCT(($F$5:S$5&lt;=S$5-12)*$F$65:S65*(1-$F$85:S85)*($F$91:S91-$F$87:S87)))/4</f>
        <v>0</v>
      </c>
      <c r="T92" s="131" t="n">
        <f aca="false">UncPxOn*UncRenew*(IF(STMode=1,1-T74,1-STShare)*SUMPRODUCT(($F$5:T$5&lt;=T$5-12)*$F$64:T64*(1-$F$85:T85)*($F$89:T89-$F$86:T86))+IF(STMode=1,IF(STGBOnly=1,1,1-T74),1-STShare)*SUMPRODUCT(($F$5:T$5&lt;=T$5-12)*$F$65:T65*(1-$F$85:T85)*($F$91:T91-$F$87:T87)))/4</f>
        <v>0</v>
      </c>
      <c r="U92" s="131" t="n">
        <f aca="false">UncPxOn*UncRenew*(IF(STMode=1,1-U74,1-STShare)*SUMPRODUCT(($F$5:U$5&lt;=U$5-12)*$F$64:U64*(1-$F$85:U85)*($F$89:U89-$F$86:U86))+IF(STMode=1,IF(STGBOnly=1,1,1-U74),1-STShare)*SUMPRODUCT(($F$5:U$5&lt;=U$5-12)*$F$65:U65*(1-$F$85:U85)*($F$91:U91-$F$87:U87)))/4</f>
        <v>0</v>
      </c>
      <c r="V92" s="131" t="n">
        <f aca="false">UncPxOn*UncRenew*(IF(STMode=1,1-V74,1-STShare)*SUMPRODUCT(($F$5:V$5&lt;=V$5-12)*$F$64:V64*(1-$F$85:V85)*($F$89:V89-$F$86:V86))+IF(STMode=1,IF(STGBOnly=1,1,1-V74),1-STShare)*SUMPRODUCT(($F$5:V$5&lt;=V$5-12)*$F$65:V65*(1-$F$85:V85)*($F$91:V91-$F$87:V87)))/4</f>
        <v>0</v>
      </c>
      <c r="W92" s="131" t="n">
        <f aca="false">UncPxOn*UncRenew*(IF(STMode=1,1-W74,1-STShare)*SUMPRODUCT(($F$5:W$5&lt;=W$5-12)*$F$64:W64*(1-$F$85:W85)*($F$89:W89-$F$86:W86))+IF(STMode=1,IF(STGBOnly=1,1,1-W74),1-STShare)*SUMPRODUCT(($F$5:W$5&lt;=W$5-12)*$F$65:W65*(1-$F$85:W85)*($F$91:W91-$F$87:W87)))/4</f>
        <v>0</v>
      </c>
      <c r="X92" s="131" t="n">
        <f aca="false">UncPxOn*UncRenew*(IF(STMode=1,1-X74,1-STShare)*SUMPRODUCT(($F$5:X$5&lt;=X$5-12)*$F$64:X64*(1-$F$85:X85)*($F$89:X89-$F$86:X86))+IF(STMode=1,IF(STGBOnly=1,1,1-X74),1-STShare)*SUMPRODUCT(($F$5:X$5&lt;=X$5-12)*$F$65:X65*(1-$F$85:X85)*($F$91:X91-$F$87:X87)))/4</f>
        <v>0</v>
      </c>
      <c r="Y92" s="131" t="n">
        <f aca="false">UncPxOn*UncRenew*(IF(STMode=1,1-Y74,1-STShare)*SUMPRODUCT(($F$5:Y$5&lt;=Y$5-12)*$F$64:Y64*(1-$F$85:Y85)*($F$89:Y89-$F$86:Y86))+IF(STMode=1,IF(STGBOnly=1,1,1-Y74),1-STShare)*SUMPRODUCT(($F$5:Y$5&lt;=Y$5-12)*$F$65:Y65*(1-$F$85:Y85)*($F$91:Y91-$F$87:Y87)))/4</f>
        <v>0</v>
      </c>
      <c r="Z92" s="131" t="n">
        <f aca="false">UncPxOn*UncRenew*(IF(STMode=1,1-Z74,1-STShare)*SUMPRODUCT(($F$5:Z$5&lt;=Z$5-12)*$F$64:Z64*(1-$F$85:Z85)*($F$89:Z89-$F$86:Z86))+IF(STMode=1,IF(STGBOnly=1,1,1-Z74),1-STShare)*SUMPRODUCT(($F$5:Z$5&lt;=Z$5-12)*$F$65:Z65*(1-$F$85:Z85)*($F$91:Z91-$F$87:Z87)))/4</f>
        <v>0</v>
      </c>
      <c r="AA92" s="131" t="n">
        <f aca="false">UncPxOn*UncRenew*(IF(STMode=1,1-AA74,1-STShare)*SUMPRODUCT(($F$5:AA$5&lt;=AA$5-12)*$F$64:AA64*(1-$F$85:AA85)*($F$89:AA89-$F$86:AA86))+IF(STMode=1,IF(STGBOnly=1,1,1-AA74),1-STShare)*SUMPRODUCT(($F$5:AA$5&lt;=AA$5-12)*$F$65:AA65*(1-$F$85:AA85)*($F$91:AA91-$F$87:AA87)))/4</f>
        <v>0</v>
      </c>
      <c r="AB92" s="131" t="n">
        <f aca="false">UncPxOn*UncRenew*(IF(STMode=1,1-AB74,1-STShare)*SUMPRODUCT(($F$5:AB$5&lt;=AB$5-12)*$F$64:AB64*(1-$F$85:AB85)*($F$89:AB89-$F$86:AB86))+IF(STMode=1,IF(STGBOnly=1,1,1-AB74),1-STShare)*SUMPRODUCT(($F$5:AB$5&lt;=AB$5-12)*$F$65:AB65*(1-$F$85:AB85)*($F$91:AB91-$F$87:AB87)))/4</f>
        <v>0</v>
      </c>
      <c r="AC92" s="131" t="n">
        <f aca="false">UncPxOn*UncRenew*(IF(STMode=1,1-AC74,1-STShare)*SUMPRODUCT(($F$5:AC$5&lt;=AC$5-12)*$F$64:AC64*(1-$F$85:AC85)*($F$89:AC89-$F$86:AC86))+IF(STMode=1,IF(STGBOnly=1,1,1-AC74),1-STShare)*SUMPRODUCT(($F$5:AC$5&lt;=AC$5-12)*$F$65:AC65*(1-$F$85:AC85)*($F$91:AC91-$F$87:AC87)))/4</f>
        <v>0</v>
      </c>
      <c r="AD92" s="131" t="n">
        <f aca="false">UncPxOn*UncRenew*(IF(STMode=1,1-AD74,1-STShare)*SUMPRODUCT(($F$5:AD$5&lt;=AD$5-12)*$F$64:AD64*(1-$F$85:AD85)*($F$89:AD89-$F$86:AD86))+IF(STMode=1,IF(STGBOnly=1,1,1-AD74),1-STShare)*SUMPRODUCT(($F$5:AD$5&lt;=AD$5-12)*$F$65:AD65*(1-$F$85:AD85)*($F$91:AD91-$F$87:AD87)))/4</f>
        <v>0</v>
      </c>
      <c r="AE92" s="131" t="n">
        <f aca="false">UncPxOn*UncRenew*(IF(STMode=1,1-AE74,1-STShare)*SUMPRODUCT(($F$5:AE$5&lt;=AE$5-12)*$F$64:AE64*(1-$F$85:AE85)*($F$89:AE89-$F$86:AE86))+IF(STMode=1,IF(STGBOnly=1,1,1-AE74),1-STShare)*SUMPRODUCT(($F$5:AE$5&lt;=AE$5-12)*$F$65:AE65*(1-$F$85:AE85)*($F$91:AE91-$F$87:AE87)))/4</f>
        <v>0</v>
      </c>
      <c r="AF92" s="131" t="n">
        <f aca="false">UncPxOn*UncRenew*(IF(STMode=1,1-AF74,1-STShare)*SUMPRODUCT(($F$5:AF$5&lt;=AF$5-12)*$F$64:AF64*(1-$F$85:AF85)*($F$89:AF89-$F$86:AF86))+IF(STMode=1,IF(STGBOnly=1,1,1-AF74),1-STShare)*SUMPRODUCT(($F$5:AF$5&lt;=AF$5-12)*$F$65:AF65*(1-$F$85:AF85)*($F$91:AF91-$F$87:AF87)))/4</f>
        <v>0</v>
      </c>
      <c r="AG92" s="131" t="n">
        <f aca="false">UncPxOn*UncRenew*(IF(STMode=1,1-AG74,1-STShare)*SUMPRODUCT(($F$5:AG$5&lt;=AG$5-12)*$F$64:AG64*(1-$F$85:AG85)*($F$89:AG89-$F$86:AG86))+IF(STMode=1,IF(STGBOnly=1,1,1-AG74),1-STShare)*SUMPRODUCT(($F$5:AG$5&lt;=AG$5-12)*$F$65:AG65*(1-$F$85:AG85)*($F$91:AG91-$F$87:AG87)))/4</f>
        <v>-0</v>
      </c>
      <c r="AI92" s="131" t="n">
        <f aca="false">SUMIF($F$7:$AG$7,AI$7,$F92:$AG92)</f>
        <v>0</v>
      </c>
      <c r="AJ92" s="131" t="n">
        <f aca="false">SUMIF($F$7:$AG$7,AJ$7,$F92:$AG92)</f>
        <v>0</v>
      </c>
      <c r="AK92" s="131" t="n">
        <f aca="false">SUMIF($F$7:$AG$7,AK$7,$F92:$AG92)</f>
        <v>0</v>
      </c>
      <c r="AL92" s="131" t="n">
        <f aca="false">SUMIF($F$7:$AG$7,AL$7,$F92:$AG92)</f>
        <v>0</v>
      </c>
      <c r="AM92" s="131" t="n">
        <f aca="false">SUMIF($F$7:$AG$7,AM$7,$F92:$AG92)</f>
        <v>0</v>
      </c>
      <c r="AN92" s="131" t="n">
        <f aca="false">SUMIF($F$7:$AG$7,AN$7,$F92:$AG92)</f>
        <v>0</v>
      </c>
      <c r="AO92" s="131" t="n">
        <f aca="false">SUMIF($F$7:$AG$7,AO$7,$F92:$AG92)</f>
        <v>0</v>
      </c>
    </row>
    <row r="93" customFormat="false" ht="15" hidden="false" customHeight="false" outlineLevel="0" collapsed="false">
      <c r="A93" s="112" t="s">
        <v>2323</v>
      </c>
      <c r="B93" s="24" t="s">
        <v>745</v>
      </c>
      <c r="C93" s="24" t="s">
        <v>672</v>
      </c>
      <c r="D93" s="24" t="s">
        <v>2324</v>
      </c>
      <c r="F93" s="130" t="n">
        <f aca="false">F73*F71*IF(STMode=1,STOcc,1)/4</f>
        <v>0</v>
      </c>
      <c r="G93" s="130" t="n">
        <f aca="false">G73*G71*IF(STMode=1,STOcc,1)/4</f>
        <v>0</v>
      </c>
      <c r="H93" s="130" t="n">
        <f aca="false">H73*H71*IF(STMode=1,STOcc,1)/4</f>
        <v>0</v>
      </c>
      <c r="I93" s="130" t="n">
        <f aca="false">I73*I71*IF(STMode=1,STOcc,1)/4</f>
        <v>0</v>
      </c>
      <c r="J93" s="130" t="n">
        <f aca="false">J73*J71*IF(STMode=1,STOcc,1)/4</f>
        <v>0</v>
      </c>
      <c r="K93" s="130" t="n">
        <f aca="false">K73*K71*IF(STMode=1,STOcc,1)/4</f>
        <v>0</v>
      </c>
      <c r="L93" s="130" t="n">
        <f aca="false">L73*L71*IF(STMode=1,STOcc,1)/4</f>
        <v>0</v>
      </c>
      <c r="M93" s="130" t="n">
        <f aca="false">M73*M71*IF(STMode=1,STOcc,1)/4</f>
        <v>0</v>
      </c>
      <c r="N93" s="130" t="n">
        <f aca="false">N73*N71*IF(STMode=1,STOcc,1)/4</f>
        <v>0</v>
      </c>
      <c r="O93" s="130" t="n">
        <f aca="false">O73*O71*IF(STMode=1,STOcc,1)/4</f>
        <v>0</v>
      </c>
      <c r="P93" s="131" t="n">
        <f aca="false">P73*P71*IF(STMode=1,STOcc,1)/4</f>
        <v>0</v>
      </c>
      <c r="Q93" s="131" t="n">
        <f aca="false">Q73*Q71*IF(STMode=1,STOcc,1)/4</f>
        <v>0</v>
      </c>
      <c r="R93" s="131" t="n">
        <f aca="false">R73*R71*IF(STMode=1,STOcc,1)/4</f>
        <v>96.7230561375</v>
      </c>
      <c r="S93" s="131" t="n">
        <f aca="false">S73*S71*IF(STMode=1,STOcc,1)/4</f>
        <v>140.879331632813</v>
      </c>
      <c r="T93" s="131" t="n">
        <f aca="false">T73*T71*IF(STMode=1,STOcc,1)/4</f>
        <v>202.007013792188</v>
      </c>
      <c r="U93" s="131" t="n">
        <f aca="false">U73*U71*IF(STMode=1,STOcc,1)/4</f>
        <v>268.914807646875</v>
      </c>
      <c r="V93" s="131" t="n">
        <f aca="false">V73*V71*IF(STMode=1,STOcc,1)/4</f>
        <v>452.90823328125</v>
      </c>
      <c r="W93" s="131" t="n">
        <f aca="false">W73*W71*IF(STMode=1,STOcc,1)/4</f>
        <v>539.06277234375</v>
      </c>
      <c r="X93" s="131" t="n">
        <f aca="false">X73*X71*IF(STMode=1,STOcc,1)/4</f>
        <v>588.351477542802</v>
      </c>
      <c r="Y93" s="131" t="n">
        <f aca="false">Y73*Y71*IF(STMode=1,STOcc,1)/4</f>
        <v>627.417171005306</v>
      </c>
      <c r="Z93" s="131" t="n">
        <f aca="false">Z73*Z71*IF(STMode=1,STOcc,1)/4</f>
        <v>682.766736158828</v>
      </c>
      <c r="AA93" s="131" t="n">
        <f aca="false">AA73*AA71*IF(STMode=1,STOcc,1)/4</f>
        <v>754.377181952163</v>
      </c>
      <c r="AB93" s="131" t="n">
        <f aca="false">AB73*AB71*IF(STMode=1,STOcc,1)/4</f>
        <v>800.231383318567</v>
      </c>
      <c r="AC93" s="131" t="n">
        <f aca="false">AC73*AC71*IF(STMode=1,STOcc,1)/4</f>
        <v>869.066952668335</v>
      </c>
      <c r="AD93" s="131" t="n">
        <f aca="false">AD73*AD71*IF(STMode=1,STOcc,1)/4</f>
        <v>938.175963061627</v>
      </c>
      <c r="AE93" s="131" t="n">
        <f aca="false">AE73*AE71*IF(STMode=1,STOcc,1)/4</f>
        <v>1033.76025388396</v>
      </c>
      <c r="AF93" s="131" t="n">
        <f aca="false">AF73*AF71*IF(STMode=1,STOcc,1)/4</f>
        <v>1002.26775203017</v>
      </c>
      <c r="AG93" s="131" t="n">
        <f aca="false">AG73*AG71*IF(STMode=1,STOcc,1)/4</f>
        <v>1002.26775203017</v>
      </c>
      <c r="AI93" s="131" t="n">
        <f aca="false">SUMIF($F$7:$AG$7,AI$7,$F93:$AG93)</f>
        <v>0</v>
      </c>
      <c r="AJ93" s="131" t="n">
        <f aca="false">SUMIF($F$7:$AG$7,AJ$7,$F93:$AG93)</f>
        <v>0</v>
      </c>
      <c r="AK93" s="131" t="n">
        <f aca="false">SUMIF($F$7:$AG$7,AK$7,$F93:$AG93)</f>
        <v>0</v>
      </c>
      <c r="AL93" s="131" t="n">
        <f aca="false">SUMIF($F$7:$AG$7,AL$7,$F93:$AG93)</f>
        <v>708.524209209375</v>
      </c>
      <c r="AM93" s="131" t="n">
        <f aca="false">SUMIF($F$7:$AG$7,AM$7,$F93:$AG93)</f>
        <v>2207.73965417311</v>
      </c>
      <c r="AN93" s="131" t="n">
        <f aca="false">SUMIF($F$7:$AG$7,AN$7,$F93:$AG93)</f>
        <v>3106.44225409789</v>
      </c>
      <c r="AO93" s="131" t="n">
        <f aca="false">SUMIF($F$7:$AG$7,AO$7,$F93:$AG93)</f>
        <v>3976.47172100593</v>
      </c>
    </row>
    <row r="94" customFormat="false" ht="15" hidden="false" customHeight="false" outlineLevel="0" collapsed="false">
      <c r="A94" s="3" t="s">
        <v>2325</v>
      </c>
      <c r="B94" s="24" t="s">
        <v>745</v>
      </c>
      <c r="C94" s="24" t="s">
        <v>672</v>
      </c>
      <c r="D94" s="24"/>
      <c r="F94" s="132" t="n">
        <f aca="false">IF(AND(NewDealOn=1,F$5&gt;=NewDealIdx),F60*IF(STMode=1,1-F74,1)+F88+F90+F92+F93-F53-F54,0)</f>
        <v>0</v>
      </c>
      <c r="G94" s="132" t="n">
        <f aca="false">IF(AND(NewDealOn=1,G$5&gt;=NewDealIdx),G60*IF(STMode=1,1-G74,1)+G88+G90+G92+G93-G53-G54,0)</f>
        <v>0</v>
      </c>
      <c r="H94" s="132" t="n">
        <f aca="false">IF(AND(NewDealOn=1,H$5&gt;=NewDealIdx),H60*IF(STMode=1,1-H74,1)+H88+H90+H92+H93-H53-H54,0)</f>
        <v>0</v>
      </c>
      <c r="I94" s="132" t="n">
        <f aca="false">IF(AND(NewDealOn=1,I$5&gt;=NewDealIdx),I60*IF(STMode=1,1-I74,1)+I88+I90+I92+I93-I53-I54,0)</f>
        <v>0</v>
      </c>
      <c r="J94" s="132" t="n">
        <f aca="false">IF(AND(NewDealOn=1,J$5&gt;=NewDealIdx),J60*IF(STMode=1,1-J74,1)+J88+J90+J92+J93-J53-J54,0)</f>
        <v>0</v>
      </c>
      <c r="K94" s="132" t="n">
        <f aca="false">IF(AND(NewDealOn=1,K$5&gt;=NewDealIdx),K60*IF(STMode=1,1-K74,1)+K88+K90+K92+K93-K53-K54,0)</f>
        <v>0</v>
      </c>
      <c r="L94" s="132" t="n">
        <f aca="false">IF(AND(NewDealOn=1,L$5&gt;=NewDealIdx),L60*IF(STMode=1,1-L74,1)+L88+L90+L92+L93-L53-L54,0)</f>
        <v>0</v>
      </c>
      <c r="M94" s="132" t="n">
        <f aca="false">IF(AND(NewDealOn=1,M$5&gt;=NewDealIdx),M60*IF(STMode=1,1-M74,1)+M88+M90+M92+M93-M53-M54,0)</f>
        <v>0</v>
      </c>
      <c r="N94" s="132" t="n">
        <f aca="false">IF(AND(NewDealOn=1,N$5&gt;=NewDealIdx),N60*IF(STMode=1,1-N74,1)+N88+N90+N92+N93-N53-N54,0)</f>
        <v>0</v>
      </c>
      <c r="O94" s="132" t="n">
        <f aca="false">IF(AND(NewDealOn=1,O$5&gt;=NewDealIdx),O60*IF(STMode=1,1-O74,1)+O88+O90+O92+O93-O53-O54,0)</f>
        <v>0</v>
      </c>
      <c r="P94" s="104" t="n">
        <f aca="false">IF(AND(NewDealOn=1,P$5&gt;=NewDealIdx),P60*IF(STMode=1,1-P74,1)+P88+P90+P92+P93-P53-P54,0)</f>
        <v>0</v>
      </c>
      <c r="Q94" s="104" t="n">
        <f aca="false">IF(AND(NewDealOn=1,Q$5&gt;=NewDealIdx),Q60*IF(STMode=1,1-Q74,1)+Q88+Q90+Q92+Q93-Q53-Q54,0)</f>
        <v>0</v>
      </c>
      <c r="R94" s="104" t="n">
        <f aca="false">IF(AND(NewDealOn=1,R$5&gt;=NewDealIdx),R60*IF(STMode=1,1-R74,1)+R88+R90+R92+R93-R53-R54,0)</f>
        <v>-18.0228264754164</v>
      </c>
      <c r="S94" s="104" t="n">
        <f aca="false">IF(AND(NewDealOn=1,S$5&gt;=NewDealIdx),S60*IF(STMode=1,1-S74,1)+S88+S90+S92+S93-S53-S54,0)</f>
        <v>-130.154618839051</v>
      </c>
      <c r="T94" s="104" t="n">
        <f aca="false">IF(AND(NewDealOn=1,T$5&gt;=NewDealIdx),T60*IF(STMode=1,1-T74,1)+T88+T90+T92+T93-T53-T54,0)</f>
        <v>-195.42330320084</v>
      </c>
      <c r="U94" s="104" t="n">
        <f aca="false">IF(AND(NewDealOn=1,U$5&gt;=NewDealIdx),U60*IF(STMode=1,1-U74,1)+U88+U90+U92+U93-U53-U54,0)</f>
        <v>-177.585635557092</v>
      </c>
      <c r="V94" s="104" t="n">
        <f aca="false">IF(AND(NewDealOn=1,V$5&gt;=NewDealIdx),V60*IF(STMode=1,1-V74,1)+V88+V90+V92+V93-V53-V54,0)</f>
        <v>-388.816203404035</v>
      </c>
      <c r="W94" s="104" t="n">
        <f aca="false">IF(AND(NewDealOn=1,W$5&gt;=NewDealIdx),W60*IF(STMode=1,1-W74,1)+W88+W90+W92+W93-W53-W54,0)</f>
        <v>-732.502554312749</v>
      </c>
      <c r="X94" s="104" t="n">
        <f aca="false">IF(AND(NewDealOn=1,X$5&gt;=NewDealIdx),X60*IF(STMode=1,1-X74,1)+X88+X90+X92+X93-X53-X54,0)</f>
        <v>-1066.51693935256</v>
      </c>
      <c r="Y94" s="104" t="n">
        <f aca="false">IF(AND(NewDealOn=1,Y$5&gt;=NewDealIdx),Y60*IF(STMode=1,1-Y74,1)+Y88+Y90+Y92+Y93-Y53-Y54,0)</f>
        <v>-1220.12285923071</v>
      </c>
      <c r="Z94" s="104" t="n">
        <f aca="false">IF(AND(NewDealOn=1,Z$5&gt;=NewDealIdx),Z60*IF(STMode=1,1-Z74,1)+Z88+Z90+Z92+Z93-Z53-Z54,0)</f>
        <v>-1420.93799555409</v>
      </c>
      <c r="AA94" s="104" t="n">
        <f aca="false">IF(AND(NewDealOn=1,AA$5&gt;=NewDealIdx),AA60*IF(STMode=1,1-AA74,1)+AA88+AA90+AA92+AA93-AA53-AA54,0)</f>
        <v>-1745.61100776711</v>
      </c>
      <c r="AB94" s="104" t="n">
        <f aca="false">IF(AND(NewDealOn=1,AB$5&gt;=NewDealIdx),AB60*IF(STMode=1,1-AB74,1)+AB88+AB90+AB92+AB93-AB53-AB54,0)</f>
        <v>-2149.88532694414</v>
      </c>
      <c r="AC94" s="104" t="n">
        <f aca="false">IF(AND(NewDealOn=1,AC$5&gt;=NewDealIdx),AC60*IF(STMode=1,1-AC74,1)+AC88+AC90+AC92+AC93-AC53-AC54,0)</f>
        <v>-2426.14877846121</v>
      </c>
      <c r="AD94" s="104" t="n">
        <f aca="false">IF(AND(NewDealOn=1,AD$5&gt;=NewDealIdx),AD60*IF(STMode=1,1-AD74,1)+AD88+AD90+AD92+AD93-AD53-AD54,0)</f>
        <v>-2626.98502602396</v>
      </c>
      <c r="AE94" s="104" t="n">
        <f aca="false">IF(AND(NewDealOn=1,AE$5&gt;=NewDealIdx),AE60*IF(STMode=1,1-AE74,1)+AE88+AE90+AE92+AE93-AE53-AE54,0)</f>
        <v>-3090.7279388183</v>
      </c>
      <c r="AF94" s="104" t="n">
        <f aca="false">IF(AND(NewDealOn=1,AF$5&gt;=NewDealIdx),AF60*IF(STMode=1,1-AF74,1)+AF88+AF90+AF92+AF93-AF53-AF54,0)</f>
        <v>-3068.40337251622</v>
      </c>
      <c r="AG94" s="104" t="n">
        <f aca="false">IF(AND(NewDealOn=1,AG$5&gt;=NewDealIdx),AG60*IF(STMode=1,1-AG74,1)+AG88+AG90+AG92+AG93-AG53-AG54,0)</f>
        <v>-2880.13496125824</v>
      </c>
      <c r="AI94" s="104" t="n">
        <f aca="false">SUMIF($F$7:$AG$7,AI$7,$F94:$AG94)</f>
        <v>0</v>
      </c>
      <c r="AJ94" s="104" t="n">
        <f aca="false">SUMIF($F$7:$AG$7,AJ$7,$F94:$AG94)</f>
        <v>0</v>
      </c>
      <c r="AK94" s="104" t="n">
        <f aca="false">SUMIF($F$7:$AG$7,AK$7,$F94:$AG94)</f>
        <v>0</v>
      </c>
      <c r="AL94" s="104" t="n">
        <f aca="false">SUMIF($F$7:$AG$7,AL$7,$F94:$AG94)</f>
        <v>-521.1863840724</v>
      </c>
      <c r="AM94" s="104" t="n">
        <f aca="false">SUMIF($F$7:$AG$7,AM$7,$F94:$AG94)</f>
        <v>-3407.95855630006</v>
      </c>
      <c r="AN94" s="104" t="n">
        <f aca="false">SUMIF($F$7:$AG$7,AN$7,$F94:$AG94)</f>
        <v>-7742.58310872655</v>
      </c>
      <c r="AO94" s="104" t="n">
        <f aca="false">SUMIF($F$7:$AG$7,AO$7,$F94:$AG94)</f>
        <v>-11666.2512986167</v>
      </c>
    </row>
    <row r="95" customFormat="false" ht="15" hidden="false" customHeight="false" outlineLevel="0" collapsed="false">
      <c r="A95" s="112" t="s">
        <v>2326</v>
      </c>
      <c r="B95" s="24" t="s">
        <v>732</v>
      </c>
      <c r="C95" s="24" t="s">
        <v>672</v>
      </c>
      <c r="D95" s="24"/>
      <c r="F95" s="122" t="n">
        <f aca="false">IF(F61&gt;0,F75*4/F61,0)</f>
        <v>0</v>
      </c>
      <c r="G95" s="122" t="n">
        <f aca="false">IF(G61&gt;0,G75*4/G61,0)</f>
        <v>0</v>
      </c>
      <c r="H95" s="122" t="n">
        <f aca="false">IF(H61&gt;0,H75*4/H61,0)</f>
        <v>0</v>
      </c>
      <c r="I95" s="122" t="n">
        <f aca="false">IF(I61&gt;0,I75*4/I61,0)</f>
        <v>0</v>
      </c>
      <c r="J95" s="122" t="n">
        <f aca="false">IF(J61&gt;0,J75*4/J61,0)</f>
        <v>0</v>
      </c>
      <c r="K95" s="122" t="n">
        <f aca="false">IF(K61&gt;0,K75*4/K61,0)</f>
        <v>0</v>
      </c>
      <c r="L95" s="122" t="n">
        <f aca="false">IF(L61&gt;0,L75*4/L61,0)</f>
        <v>0</v>
      </c>
      <c r="M95" s="122" t="n">
        <f aca="false">IF(M61&gt;0,M75*4/M61,0)</f>
        <v>0</v>
      </c>
      <c r="N95" s="122" t="n">
        <f aca="false">IF(N61&gt;0,N75*4/N61,0)</f>
        <v>0</v>
      </c>
      <c r="O95" s="122" t="n">
        <f aca="false">IF(O61&gt;0,O75*4/O61,0)</f>
        <v>0</v>
      </c>
      <c r="P95" s="32" t="n">
        <f aca="false">IF(P61&gt;0,P75*4/P61,0)</f>
        <v>0</v>
      </c>
      <c r="Q95" s="32" t="n">
        <f aca="false">IF(Q61&gt;0,Q75*4/Q61,0)</f>
        <v>0</v>
      </c>
      <c r="R95" s="32" t="n">
        <f aca="false">IF(R61&gt;0,R75*4/R61,0)</f>
        <v>16</v>
      </c>
      <c r="S95" s="32" t="n">
        <f aca="false">IF(S61&gt;0,S75*4/S61,0)</f>
        <v>16.008955736447</v>
      </c>
      <c r="T95" s="32" t="n">
        <f aca="false">IF(T61&gt;0,T75*4/T61,0)</f>
        <v>16.0049949332403</v>
      </c>
      <c r="U95" s="32" t="n">
        <f aca="false">IF(U61&gt;0,U75*4/U61,0)</f>
        <v>16.006465485028</v>
      </c>
      <c r="V95" s="32" t="n">
        <f aca="false">IF(V61&gt;0,V75*4/V61,0)</f>
        <v>16.0485457182697</v>
      </c>
      <c r="W95" s="32" t="n">
        <f aca="false">IF(W61&gt;0,W75*4/W61,0)</f>
        <v>16.0797145371849</v>
      </c>
      <c r="X95" s="32" t="n">
        <f aca="false">IF(X61&gt;0,X75*4/X61,0)</f>
        <v>16.1005639650976</v>
      </c>
      <c r="Y95" s="32" t="n">
        <f aca="false">IF(Y61&gt;0,Y75*4/Y61,0)</f>
        <v>16.1110124400506</v>
      </c>
      <c r="Z95" s="32" t="n">
        <f aca="false">IF(Z61&gt;0,Z75*4/Z61,0)</f>
        <v>16.1002560076473</v>
      </c>
      <c r="AA95" s="32" t="n">
        <f aca="false">IF(AA61&gt;0,AA75*4/AA61,0)</f>
        <v>16.0752035437358</v>
      </c>
      <c r="AB95" s="32" t="n">
        <f aca="false">IF(AB61&gt;0,AB75*4/AB61,0)</f>
        <v>16.0440574186403</v>
      </c>
      <c r="AC95" s="32" t="n">
        <f aca="false">IF(AC61&gt;0,AC75*4/AC61,0)</f>
        <v>16.0062957410921</v>
      </c>
      <c r="AD95" s="32" t="n">
        <f aca="false">IF(AD61&gt;0,AD75*4/AD61,0)</f>
        <v>15.949734138047</v>
      </c>
      <c r="AE95" s="32" t="n">
        <f aca="false">IF(AE61&gt;0,AE75*4/AE61,0)</f>
        <v>15.8925469251892</v>
      </c>
      <c r="AF95" s="32" t="n">
        <f aca="false">IF(AF61&gt;0,AF75*4/AF61,0)</f>
        <v>15.8925469251892</v>
      </c>
      <c r="AG95" s="32" t="n">
        <f aca="false">IF(AG61&gt;0,AG75*4/AG61,0)</f>
        <v>15.9122440437773</v>
      </c>
      <c r="AI95" s="32" t="n">
        <f aca="false">AVERAGEIF($F$7:$AG$7,AI$7,$F95:$AG95)</f>
        <v>0</v>
      </c>
      <c r="AJ95" s="32" t="n">
        <f aca="false">AVERAGEIF($F$7:$AG$7,AJ$7,$F95:$AG95)</f>
        <v>0</v>
      </c>
      <c r="AK95" s="32" t="n">
        <f aca="false">AVERAGEIF($F$7:$AG$7,AK$7,$F95:$AG95)</f>
        <v>0</v>
      </c>
      <c r="AL95" s="32" t="n">
        <f aca="false">AVERAGEIF($F$7:$AG$7,AL$7,$F95:$AG95)</f>
        <v>16.0051040386788</v>
      </c>
      <c r="AM95" s="32" t="n">
        <f aca="false">AVERAGEIF($F$7:$AG$7,AM$7,$F95:$AG95)</f>
        <v>16.0849591651507</v>
      </c>
      <c r="AN95" s="32" t="n">
        <f aca="false">AVERAGEIF($F$7:$AG$7,AN$7,$F95:$AG95)</f>
        <v>16.0564531777789</v>
      </c>
      <c r="AO95" s="32" t="n">
        <f aca="false">AVERAGEIF($F$7:$AG$7,AO$7,$F95:$AG95)</f>
        <v>15.9117680080507</v>
      </c>
    </row>
    <row r="97" customFormat="false" ht="15" hidden="false" customHeight="false" outlineLevel="0" collapsed="false">
      <c r="A97" s="64" t="s">
        <v>2327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</row>
    <row r="98" customFormat="false" ht="15" hidden="false" customHeight="false" outlineLevel="0" collapsed="false">
      <c r="A98" s="112" t="s">
        <v>1435</v>
      </c>
      <c r="B98" s="24" t="s">
        <v>745</v>
      </c>
      <c r="C98" s="24" t="s">
        <v>820</v>
      </c>
      <c r="D98" s="24"/>
      <c r="F98" s="130" t="n">
        <f aca="false">INDEX(AssetLight,1,F$7-FYBase)/4</f>
        <v>0</v>
      </c>
      <c r="G98" s="130" t="n">
        <f aca="false">INDEX(AssetLight,1,G$7-FYBase)/4</f>
        <v>0</v>
      </c>
      <c r="H98" s="130" t="n">
        <f aca="false">INDEX(AssetLight,1,H$7-FYBase)/4</f>
        <v>0</v>
      </c>
      <c r="I98" s="130" t="n">
        <f aca="false">INDEX(AssetLight,1,I$7-FYBase)/4</f>
        <v>0</v>
      </c>
      <c r="J98" s="130" t="n">
        <f aca="false">INDEX(AssetLight,1,J$7-FYBase)/4</f>
        <v>0</v>
      </c>
      <c r="K98" s="130" t="n">
        <f aca="false">INDEX(AssetLight,1,K$7-FYBase)/4</f>
        <v>0</v>
      </c>
      <c r="L98" s="130" t="n">
        <f aca="false">INDEX(AssetLight,1,L$7-FYBase)/4</f>
        <v>0</v>
      </c>
      <c r="M98" s="130" t="n">
        <f aca="false">INDEX(AssetLight,1,M$7-FYBase)/4</f>
        <v>0</v>
      </c>
      <c r="N98" s="130" t="n">
        <f aca="false">INDEX(AssetLight,1,N$7-FYBase)/4</f>
        <v>0</v>
      </c>
      <c r="O98" s="130" t="n">
        <f aca="false">INDEX(AssetLight,1,O$7-FYBase)/4</f>
        <v>0</v>
      </c>
      <c r="P98" s="131" t="n">
        <f aca="false">INDEX(AssetLight,1,P$7-FYBase)/4</f>
        <v>0</v>
      </c>
      <c r="Q98" s="131" t="n">
        <f aca="false">INDEX(AssetLight,1,Q$7-FYBase)/4</f>
        <v>0</v>
      </c>
      <c r="R98" s="131" t="n">
        <f aca="false">INDEX(AssetLight,1,R$7-FYBase)/4</f>
        <v>0</v>
      </c>
      <c r="S98" s="131" t="n">
        <f aca="false">INDEX(AssetLight,1,S$7-FYBase)/4</f>
        <v>0</v>
      </c>
      <c r="T98" s="131" t="n">
        <f aca="false">INDEX(AssetLight,1,T$7-FYBase)/4</f>
        <v>0</v>
      </c>
      <c r="U98" s="131" t="n">
        <f aca="false">INDEX(AssetLight,1,U$7-FYBase)/4</f>
        <v>0</v>
      </c>
      <c r="V98" s="131" t="n">
        <f aca="false">INDEX(AssetLight,1,V$7-FYBase)/4</f>
        <v>0</v>
      </c>
      <c r="W98" s="131" t="n">
        <f aca="false">INDEX(AssetLight,1,W$7-FYBase)/4</f>
        <v>0</v>
      </c>
      <c r="X98" s="131" t="n">
        <f aca="false">INDEX(AssetLight,1,X$7-FYBase)/4</f>
        <v>0</v>
      </c>
      <c r="Y98" s="131" t="n">
        <f aca="false">INDEX(AssetLight,1,Y$7-FYBase)/4</f>
        <v>0</v>
      </c>
      <c r="Z98" s="131" t="n">
        <f aca="false">INDEX(AssetLight,1,Z$7-FYBase)/4</f>
        <v>0</v>
      </c>
      <c r="AA98" s="131" t="n">
        <f aca="false">INDEX(AssetLight,1,AA$7-FYBase)/4</f>
        <v>0</v>
      </c>
      <c r="AB98" s="131" t="n">
        <f aca="false">INDEX(AssetLight,1,AB$7-FYBase)/4</f>
        <v>0</v>
      </c>
      <c r="AC98" s="131" t="n">
        <f aca="false">INDEX(AssetLight,1,AC$7-FYBase)/4</f>
        <v>0</v>
      </c>
      <c r="AD98" s="131" t="n">
        <f aca="false">INDEX(AssetLight,1,AD$7-FYBase)/4</f>
        <v>0</v>
      </c>
      <c r="AE98" s="131" t="n">
        <f aca="false">INDEX(AssetLight,1,AE$7-FYBase)/4</f>
        <v>0</v>
      </c>
      <c r="AF98" s="131" t="n">
        <f aca="false">INDEX(AssetLight,1,AF$7-FYBase)/4</f>
        <v>0</v>
      </c>
      <c r="AG98" s="131" t="n">
        <f aca="false">INDEX(AssetLight,1,AG$7-FYBase)/4</f>
        <v>0</v>
      </c>
      <c r="AI98" s="131" t="n">
        <f aca="false">SUMIF($F$7:$AG$7,AI$7,$F98:$AG98)</f>
        <v>0</v>
      </c>
      <c r="AJ98" s="131" t="n">
        <f aca="false">SUMIF($F$7:$AG$7,AJ$7,$F98:$AG98)</f>
        <v>0</v>
      </c>
      <c r="AK98" s="131" t="n">
        <f aca="false">SUMIF($F$7:$AG$7,AK$7,$F98:$AG98)</f>
        <v>0</v>
      </c>
      <c r="AL98" s="131" t="n">
        <f aca="false">SUMIF($F$7:$AG$7,AL$7,$F98:$AG98)</f>
        <v>0</v>
      </c>
      <c r="AM98" s="131" t="n">
        <f aca="false">SUMIF($F$7:$AG$7,AM$7,$F98:$AG98)</f>
        <v>0</v>
      </c>
      <c r="AN98" s="131" t="n">
        <f aca="false">SUMIF($F$7:$AG$7,AN$7,$F98:$AG98)</f>
        <v>0</v>
      </c>
      <c r="AO98" s="131" t="n">
        <f aca="false">SUMIF($F$7:$AG$7,AO$7,$F98:$AG98)</f>
        <v>0</v>
      </c>
    </row>
    <row r="99" customFormat="false" ht="15" hidden="false" customHeight="false" outlineLevel="0" collapsed="false">
      <c r="A99" s="112" t="s">
        <v>2328</v>
      </c>
      <c r="B99" s="24" t="s">
        <v>745</v>
      </c>
      <c r="C99" s="24" t="s">
        <v>672</v>
      </c>
      <c r="D99" s="24"/>
      <c r="F99" s="130" t="n">
        <f aca="false">F29+F30+F53+F54+F94+F98</f>
        <v>65.2966755658367</v>
      </c>
      <c r="G99" s="130" t="n">
        <f aca="false">G29+G30+G53+G54+G94+G98</f>
        <v>65.2966755658367</v>
      </c>
      <c r="H99" s="130" t="n">
        <f aca="false">H29+H30+H53+H54+H94+H98</f>
        <v>66.0142214511756</v>
      </c>
      <c r="I99" s="130" t="n">
        <f aca="false">I29+I30+I53+I54+I94+I98</f>
        <v>72.6166063939516</v>
      </c>
      <c r="J99" s="130" t="n">
        <f aca="false">J29+J30+J53+J54+J94+J98</f>
        <v>108.516901483042</v>
      </c>
      <c r="K99" s="130" t="n">
        <f aca="false">K29+K30+K53+K54+K94+K98</f>
        <v>141.711699026416</v>
      </c>
      <c r="L99" s="130" t="n">
        <f aca="false">L29+L30+L53+L54+L94+L98</f>
        <v>170.146790371793</v>
      </c>
      <c r="M99" s="130" t="n">
        <f aca="false">M29+M30+M53+M54+M94+M98</f>
        <v>308.954903729411</v>
      </c>
      <c r="N99" s="130" t="n">
        <f aca="false">N29+N30+N53+N54+N94+N98</f>
        <v>470.189886700579</v>
      </c>
      <c r="O99" s="130" t="n">
        <f aca="false">O29+O30+O53+O54+O94+O98</f>
        <v>574.9</v>
      </c>
      <c r="P99" s="131" t="n">
        <f aca="false">P29+P30+P53+P54+P94+P98</f>
        <v>667.138407680941</v>
      </c>
      <c r="Q99" s="131" t="n">
        <f aca="false">Q29+Q30+Q53+Q54+Q94+Q98</f>
        <v>801.394173895167</v>
      </c>
      <c r="R99" s="131" t="n">
        <f aca="false">R29+R30+R53+R54+R94+R98</f>
        <v>1019.79435176515</v>
      </c>
      <c r="S99" s="131" t="n">
        <f aca="false">S29+S30+S53+S54+S94+S98</f>
        <v>1625.12051074108</v>
      </c>
      <c r="T99" s="131" t="n">
        <f aca="false">T29+T30+T53+T54+T94+T98</f>
        <v>2454.04151213617</v>
      </c>
      <c r="U99" s="131" t="n">
        <f aca="false">U29+U30+U53+U54+U94+U98</f>
        <v>3077.91728058742</v>
      </c>
      <c r="V99" s="131" t="n">
        <f aca="false">V29+V30+V53+V54+V94+V98</f>
        <v>4005.39032586974</v>
      </c>
      <c r="W99" s="131" t="n">
        <f aca="false">W29+W30+W53+W54+W94+W98</f>
        <v>4739.39924907673</v>
      </c>
      <c r="X99" s="131" t="n">
        <f aca="false">X29+X30+X53+X54+X94+X98</f>
        <v>5283.48619034052</v>
      </c>
      <c r="Y99" s="131" t="n">
        <f aca="false">Y29+Y30+Y53+Y54+Y94+Y98</f>
        <v>5653.48606942659</v>
      </c>
      <c r="Z99" s="131" t="n">
        <f aca="false">Z29+Z30+Z53+Z54+Z94+Z98</f>
        <v>6373.21938802956</v>
      </c>
      <c r="AA99" s="131" t="n">
        <f aca="false">AA29+AA30+AA53+AA54+AA94+AA98</f>
        <v>7089.30781079804</v>
      </c>
      <c r="AB99" s="131" t="n">
        <f aca="false">AB29+AB30+AB53+AB54+AB94+AB98</f>
        <v>7794.47214693247</v>
      </c>
      <c r="AC99" s="131" t="n">
        <f aca="false">AC29+AC30+AC53+AC54+AC94+AC98</f>
        <v>8515.02352343495</v>
      </c>
      <c r="AD99" s="131" t="n">
        <f aca="false">AD29+AD30+AD53+AD54+AD94+AD98</f>
        <v>9481.47164299477</v>
      </c>
      <c r="AE99" s="131" t="n">
        <f aca="false">AE29+AE30+AE53+AE54+AE94+AE98</f>
        <v>10474.9820612932</v>
      </c>
      <c r="AF99" s="131" t="n">
        <f aca="false">AF29+AF30+AF53+AF54+AF94+AF98</f>
        <v>10440.6054764595</v>
      </c>
      <c r="AG99" s="131" t="n">
        <f aca="false">AG29+AG30+AG53+AG54+AG94+AG98</f>
        <v>10554.8422241595</v>
      </c>
      <c r="AI99" s="131" t="n">
        <f aca="false">SUMIF($F$7:$AG$7,AI$7,$F99:$AG99)</f>
        <v>269.224178976801</v>
      </c>
      <c r="AJ99" s="131" t="n">
        <f aca="false">SUMIF($F$7:$AG$7,AJ$7,$F99:$AG99)</f>
        <v>729.330294610662</v>
      </c>
      <c r="AK99" s="131" t="n">
        <f aca="false">SUMIF($F$7:$AG$7,AK$7,$F99:$AG99)</f>
        <v>2513.62246827669</v>
      </c>
      <c r="AL99" s="131" t="n">
        <f aca="false">SUMIF($F$7:$AG$7,AL$7,$F99:$AG99)</f>
        <v>8176.87365522983</v>
      </c>
      <c r="AM99" s="131" t="n">
        <f aca="false">SUMIF($F$7:$AG$7,AM$7,$F99:$AG99)</f>
        <v>19681.7618347136</v>
      </c>
      <c r="AN99" s="131" t="n">
        <f aca="false">SUMIF($F$7:$AG$7,AN$7,$F99:$AG99)</f>
        <v>29772.022869195</v>
      </c>
      <c r="AO99" s="131" t="n">
        <f aca="false">SUMIF($F$7:$AG$7,AO$7,$F99:$AG99)</f>
        <v>40951.901404907</v>
      </c>
    </row>
    <row r="100" customFormat="false" ht="15" hidden="false" customHeight="false" outlineLevel="0" collapsed="false">
      <c r="A100" s="112" t="s">
        <v>2329</v>
      </c>
      <c r="B100" s="24" t="s">
        <v>745</v>
      </c>
      <c r="C100" s="24" t="s">
        <v>736</v>
      </c>
      <c r="D100" s="24" t="s">
        <v>2330</v>
      </c>
      <c r="F100" s="130" t="n">
        <f aca="false">IF(F$5&lt;=LastHist,0,JuneExitOn*MAX(0,INDEX(H_ARR,1,LastHist)/4-INDEX($E$99:$AG$99,1,LastHist+2)))</f>
        <v>0</v>
      </c>
      <c r="G100" s="130" t="n">
        <f aca="false">IF(G$5&lt;=LastHist,0,JuneExitOn*MAX(0,INDEX(H_ARR,1,LastHist)/4-INDEX($E$99:$AG$99,1,LastHist+2)))</f>
        <v>0</v>
      </c>
      <c r="H100" s="130" t="n">
        <f aca="false">IF(H$5&lt;=LastHist,0,JuneExitOn*MAX(0,INDEX(H_ARR,1,LastHist)/4-INDEX($E$99:$AG$99,1,LastHist+2)))</f>
        <v>0</v>
      </c>
      <c r="I100" s="130" t="n">
        <f aca="false">IF(I$5&lt;=LastHist,0,JuneExitOn*MAX(0,INDEX(H_ARR,1,LastHist)/4-INDEX($E$99:$AG$99,1,LastHist+2)))</f>
        <v>0</v>
      </c>
      <c r="J100" s="130" t="n">
        <f aca="false">IF(J$5&lt;=LastHist,0,JuneExitOn*MAX(0,INDEX(H_ARR,1,LastHist)/4-INDEX($E$99:$AG$99,1,LastHist+2)))</f>
        <v>0</v>
      </c>
      <c r="K100" s="130" t="n">
        <f aca="false">IF(K$5&lt;=LastHist,0,JuneExitOn*MAX(0,INDEX(H_ARR,1,LastHist)/4-INDEX($E$99:$AG$99,1,LastHist+2)))</f>
        <v>0</v>
      </c>
      <c r="L100" s="130" t="n">
        <f aca="false">IF(L$5&lt;=LastHist,0,JuneExitOn*MAX(0,INDEX(H_ARR,1,LastHist)/4-INDEX($E$99:$AG$99,1,LastHist+2)))</f>
        <v>0</v>
      </c>
      <c r="M100" s="130" t="n">
        <f aca="false">IF(M$5&lt;=LastHist,0,JuneExitOn*MAX(0,INDEX(H_ARR,1,LastHist)/4-INDEX($E$99:$AG$99,1,LastHist+2)))</f>
        <v>0</v>
      </c>
      <c r="N100" s="130" t="n">
        <f aca="false">IF(N$5&lt;=LastHist,0,JuneExitOn*MAX(0,INDEX(H_ARR,1,LastHist)/4-INDEX($E$99:$AG$99,1,LastHist+2)))</f>
        <v>0</v>
      </c>
      <c r="O100" s="130" t="n">
        <f aca="false">IF(O$5&lt;=LastHist,0,JuneExitOn*MAX(0,INDEX(H_ARR,1,LastHist)/4-INDEX($E$99:$AG$99,1,LastHist+2)))</f>
        <v>0</v>
      </c>
      <c r="P100" s="131" t="n">
        <f aca="false">IF(P$5&lt;=LastHist,0,JuneExitOn*MAX(0,INDEX(H_ARR,1,LastHist)/4-INDEX($E$99:$AG$99,1,LastHist+2)))</f>
        <v>0</v>
      </c>
      <c r="Q100" s="131" t="n">
        <f aca="false">IF(Q$5&lt;=LastHist,0,JuneExitOn*MAX(0,INDEX(H_ARR,1,LastHist)/4-INDEX($E$99:$AG$99,1,LastHist+2)))</f>
        <v>0</v>
      </c>
      <c r="R100" s="131" t="n">
        <f aca="false">IF(R$5&lt;=LastHist,0,JuneExitOn*MAX(0,INDEX(H_ARR,1,LastHist)/4-INDEX($E$99:$AG$99,1,LastHist+2)))</f>
        <v>0</v>
      </c>
      <c r="S100" s="131" t="n">
        <f aca="false">IF(S$5&lt;=LastHist,0,JuneExitOn*MAX(0,INDEX(H_ARR,1,LastHist)/4-INDEX($E$99:$AG$99,1,LastHist+2)))</f>
        <v>0</v>
      </c>
      <c r="T100" s="131" t="n">
        <f aca="false">IF(T$5&lt;=LastHist,0,JuneExitOn*MAX(0,INDEX(H_ARR,1,LastHist)/4-INDEX($E$99:$AG$99,1,LastHist+2)))</f>
        <v>0</v>
      </c>
      <c r="U100" s="131" t="n">
        <f aca="false">IF(U$5&lt;=LastHist,0,JuneExitOn*MAX(0,INDEX(H_ARR,1,LastHist)/4-INDEX($E$99:$AG$99,1,LastHist+2)))</f>
        <v>0</v>
      </c>
      <c r="V100" s="131" t="n">
        <f aca="false">IF(V$5&lt;=LastHist,0,JuneExitOn*MAX(0,INDEX(H_ARR,1,LastHist)/4-INDEX($E$99:$AG$99,1,LastHist+2)))</f>
        <v>0</v>
      </c>
      <c r="W100" s="131" t="n">
        <f aca="false">IF(W$5&lt;=LastHist,0,JuneExitOn*MAX(0,INDEX(H_ARR,1,LastHist)/4-INDEX($E$99:$AG$99,1,LastHist+2)))</f>
        <v>0</v>
      </c>
      <c r="X100" s="131" t="n">
        <f aca="false">IF(X$5&lt;=LastHist,0,JuneExitOn*MAX(0,INDEX(H_ARR,1,LastHist)/4-INDEX($E$99:$AG$99,1,LastHist+2)))</f>
        <v>0</v>
      </c>
      <c r="Y100" s="131" t="n">
        <f aca="false">IF(Y$5&lt;=LastHist,0,JuneExitOn*MAX(0,INDEX(H_ARR,1,LastHist)/4-INDEX($E$99:$AG$99,1,LastHist+2)))</f>
        <v>0</v>
      </c>
      <c r="Z100" s="131" t="n">
        <f aca="false">IF(Z$5&lt;=LastHist,0,JuneExitOn*MAX(0,INDEX(H_ARR,1,LastHist)/4-INDEX($E$99:$AG$99,1,LastHist+2)))</f>
        <v>0</v>
      </c>
      <c r="AA100" s="131" t="n">
        <f aca="false">IF(AA$5&lt;=LastHist,0,JuneExitOn*MAX(0,INDEX(H_ARR,1,LastHist)/4-INDEX($E$99:$AG$99,1,LastHist+2)))</f>
        <v>0</v>
      </c>
      <c r="AB100" s="131" t="n">
        <f aca="false">IF(AB$5&lt;=LastHist,0,JuneExitOn*MAX(0,INDEX(H_ARR,1,LastHist)/4-INDEX($E$99:$AG$99,1,LastHist+2)))</f>
        <v>0</v>
      </c>
      <c r="AC100" s="131" t="n">
        <f aca="false">IF(AC$5&lt;=LastHist,0,JuneExitOn*MAX(0,INDEX(H_ARR,1,LastHist)/4-INDEX($E$99:$AG$99,1,LastHist+2)))</f>
        <v>0</v>
      </c>
      <c r="AD100" s="131" t="n">
        <f aca="false">IF(AD$5&lt;=LastHist,0,JuneExitOn*MAX(0,INDEX(H_ARR,1,LastHist)/4-INDEX($E$99:$AG$99,1,LastHist+2)))</f>
        <v>0</v>
      </c>
      <c r="AE100" s="131" t="n">
        <f aca="false">IF(AE$5&lt;=LastHist,0,JuneExitOn*MAX(0,INDEX(H_ARR,1,LastHist)/4-INDEX($E$99:$AG$99,1,LastHist+2)))</f>
        <v>0</v>
      </c>
      <c r="AF100" s="131" t="n">
        <f aca="false">IF(AF$5&lt;=LastHist,0,JuneExitOn*MAX(0,INDEX(H_ARR,1,LastHist)/4-INDEX($E$99:$AG$99,1,LastHist+2)))</f>
        <v>0</v>
      </c>
      <c r="AG100" s="131" t="n">
        <f aca="false">IF(AG$5&lt;=LastHist,0,JuneExitOn*MAX(0,INDEX(H_ARR,1,LastHist)/4-INDEX($E$99:$AG$99,1,LastHist+2)))</f>
        <v>0</v>
      </c>
      <c r="AI100" s="131" t="n">
        <f aca="false">SUMIF($F$7:$AG$7,AI$7,$F100:$AG100)</f>
        <v>0</v>
      </c>
      <c r="AJ100" s="131" t="n">
        <f aca="false">SUMIF($F$7:$AG$7,AJ$7,$F100:$AG100)</f>
        <v>0</v>
      </c>
      <c r="AK100" s="131" t="n">
        <f aca="false">SUMIF($F$7:$AG$7,AK$7,$F100:$AG100)</f>
        <v>0</v>
      </c>
      <c r="AL100" s="131" t="n">
        <f aca="false">SUMIF($F$7:$AG$7,AL$7,$F100:$AG100)</f>
        <v>0</v>
      </c>
      <c r="AM100" s="131" t="n">
        <f aca="false">SUMIF($F$7:$AG$7,AM$7,$F100:$AG100)</f>
        <v>0</v>
      </c>
      <c r="AN100" s="131" t="n">
        <f aca="false">SUMIF($F$7:$AG$7,AN$7,$F100:$AG100)</f>
        <v>0</v>
      </c>
      <c r="AO100" s="131" t="n">
        <f aca="false">SUMIF($F$7:$AG$7,AO$7,$F100:$AG100)</f>
        <v>0</v>
      </c>
    </row>
    <row r="101" customFormat="false" ht="15" hidden="false" customHeight="false" outlineLevel="0" collapsed="false">
      <c r="A101" s="3" t="s">
        <v>2331</v>
      </c>
      <c r="B101" s="24" t="s">
        <v>745</v>
      </c>
      <c r="C101" s="24" t="s">
        <v>672</v>
      </c>
      <c r="D101" s="24"/>
      <c r="F101" s="132" t="n">
        <f aca="false">F99+F100</f>
        <v>65.2966755658367</v>
      </c>
      <c r="G101" s="132" t="n">
        <f aca="false">G99+G100</f>
        <v>65.2966755658367</v>
      </c>
      <c r="H101" s="132" t="n">
        <f aca="false">H99+H100</f>
        <v>66.0142214511756</v>
      </c>
      <c r="I101" s="132" t="n">
        <f aca="false">I99+I100</f>
        <v>72.6166063939516</v>
      </c>
      <c r="J101" s="132" t="n">
        <f aca="false">J99+J100</f>
        <v>108.516901483042</v>
      </c>
      <c r="K101" s="132" t="n">
        <f aca="false">K99+K100</f>
        <v>141.711699026416</v>
      </c>
      <c r="L101" s="132" t="n">
        <f aca="false">L99+L100</f>
        <v>170.146790371793</v>
      </c>
      <c r="M101" s="132" t="n">
        <f aca="false">M99+M100</f>
        <v>308.954903729411</v>
      </c>
      <c r="N101" s="132" t="n">
        <f aca="false">N99+N100</f>
        <v>470.189886700579</v>
      </c>
      <c r="O101" s="132" t="n">
        <f aca="false">O99+O100</f>
        <v>574.9</v>
      </c>
      <c r="P101" s="104" t="n">
        <f aca="false">P99+P100</f>
        <v>667.138407680941</v>
      </c>
      <c r="Q101" s="104" t="n">
        <f aca="false">Q99+Q100</f>
        <v>801.394173895167</v>
      </c>
      <c r="R101" s="104" t="n">
        <f aca="false">R99+R100</f>
        <v>1019.79435176515</v>
      </c>
      <c r="S101" s="104" t="n">
        <f aca="false">S99+S100</f>
        <v>1625.12051074108</v>
      </c>
      <c r="T101" s="104" t="n">
        <f aca="false">T99+T100</f>
        <v>2454.04151213617</v>
      </c>
      <c r="U101" s="104" t="n">
        <f aca="false">U99+U100</f>
        <v>3077.91728058742</v>
      </c>
      <c r="V101" s="104" t="n">
        <f aca="false">V99+V100</f>
        <v>4005.39032586974</v>
      </c>
      <c r="W101" s="104" t="n">
        <f aca="false">W99+W100</f>
        <v>4739.39924907673</v>
      </c>
      <c r="X101" s="104" t="n">
        <f aca="false">X99+X100</f>
        <v>5283.48619034052</v>
      </c>
      <c r="Y101" s="104" t="n">
        <f aca="false">Y99+Y100</f>
        <v>5653.48606942659</v>
      </c>
      <c r="Z101" s="104" t="n">
        <f aca="false">Z99+Z100</f>
        <v>6373.21938802956</v>
      </c>
      <c r="AA101" s="104" t="n">
        <f aca="false">AA99+AA100</f>
        <v>7089.30781079804</v>
      </c>
      <c r="AB101" s="104" t="n">
        <f aca="false">AB99+AB100</f>
        <v>7794.47214693247</v>
      </c>
      <c r="AC101" s="104" t="n">
        <f aca="false">AC99+AC100</f>
        <v>8515.02352343495</v>
      </c>
      <c r="AD101" s="104" t="n">
        <f aca="false">AD99+AD100</f>
        <v>9481.47164299477</v>
      </c>
      <c r="AE101" s="104" t="n">
        <f aca="false">AE99+AE100</f>
        <v>10474.9820612932</v>
      </c>
      <c r="AF101" s="104" t="n">
        <f aca="false">AF99+AF100</f>
        <v>10440.6054764595</v>
      </c>
      <c r="AG101" s="104" t="n">
        <f aca="false">AG99+AG100</f>
        <v>10554.8422241595</v>
      </c>
      <c r="AI101" s="104" t="n">
        <f aca="false">SUMIF($F$7:$AG$7,AI$7,$F101:$AG101)</f>
        <v>269.224178976801</v>
      </c>
      <c r="AJ101" s="104" t="n">
        <f aca="false">SUMIF($F$7:$AG$7,AJ$7,$F101:$AG101)</f>
        <v>729.330294610662</v>
      </c>
      <c r="AK101" s="104" t="n">
        <f aca="false">SUMIF($F$7:$AG$7,AK$7,$F101:$AG101)</f>
        <v>2513.62246827669</v>
      </c>
      <c r="AL101" s="104" t="n">
        <f aca="false">SUMIF($F$7:$AG$7,AL$7,$F101:$AG101)</f>
        <v>8176.87365522983</v>
      </c>
      <c r="AM101" s="104" t="n">
        <f aca="false">SUMIF($F$7:$AG$7,AM$7,$F101:$AG101)</f>
        <v>19681.7618347136</v>
      </c>
      <c r="AN101" s="104" t="n">
        <f aca="false">SUMIF($F$7:$AG$7,AN$7,$F101:$AG101)</f>
        <v>29772.022869195</v>
      </c>
      <c r="AO101" s="104" t="n">
        <f aca="false">SUMIF($F$7:$AG$7,AO$7,$F101:$AG101)</f>
        <v>40951.901404907</v>
      </c>
    </row>
    <row r="102" customFormat="false" ht="15" hidden="false" customHeight="false" outlineLevel="0" collapsed="false">
      <c r="A102" s="112" t="s">
        <v>2332</v>
      </c>
      <c r="B102" s="24" t="s">
        <v>745</v>
      </c>
      <c r="C102" s="24" t="s">
        <v>736</v>
      </c>
      <c r="D102" s="24" t="s">
        <v>2333</v>
      </c>
      <c r="F102" s="130" t="n">
        <f aca="false">INDEX(H_Rev,1,1)-INDEX(H_AIRev,1,1)</f>
        <v>1.1</v>
      </c>
      <c r="G102" s="130" t="n">
        <f aca="false">IF(G$5&lt;=LastHist,INDEX(H_Rev,1,G$5)-INDEX(H_AIRev,1,G$5),F102*(1+OthRev_g))</f>
        <v>1.4</v>
      </c>
      <c r="H102" s="130" t="n">
        <f aca="false">IF(H$5&lt;=LastHist,INDEX(H_Rev,1,H$5)-INDEX(H_AIRev,1,H$5),G102*(1+OthRev_g))</f>
        <v>3.2</v>
      </c>
      <c r="I102" s="130" t="n">
        <f aca="false">IF(I$5&lt;=LastHist,INDEX(H_Rev,1,I$5)-INDEX(H_AIRev,1,I$5),H102*(1+OthRev_g))</f>
        <v>3.5</v>
      </c>
      <c r="J102" s="130" t="n">
        <f aca="false">IF(J$5&lt;=LastHist,INDEX(H_Rev,1,J$5)-INDEX(H_AIRev,1,J$5),I102*(1+OthRev_g))</f>
        <v>9.5</v>
      </c>
      <c r="K102" s="130" t="n">
        <f aca="false">IF(K$5&lt;=LastHist,INDEX(H_Rev,1,K$5)-INDEX(H_AIRev,1,K$5),J102*(1+OthRev_g))</f>
        <v>11.5</v>
      </c>
      <c r="L102" s="130" t="n">
        <f aca="false">IF(L$5&lt;=LastHist,INDEX(H_Rev,1,L$5)-INDEX(H_AIRev,1,L$5),K102*(1+OthRev_g))</f>
        <v>7.29999999999998</v>
      </c>
      <c r="M102" s="130" t="n">
        <f aca="false">IF(M$5&lt;=LastHist,INDEX(H_Rev,1,M$5)-INDEX(H_AIRev,1,M$5),L102*(1+OthRev_g))</f>
        <v>13.5</v>
      </c>
      <c r="N102" s="130" t="n">
        <f aca="false">IF(N$5&lt;=LastHist,INDEX(H_Rev,1,N$5)-INDEX(H_AIRev,1,N$5),M102*(1+OthRev_g))</f>
        <v>9.30000000000001</v>
      </c>
      <c r="O102" s="130" t="n">
        <f aca="false">IF(O$5&lt;=LastHist,INDEX(H_Rev,1,O$5)-INDEX(H_AIRev,1,O$5),N102*(1+OthRev_g))</f>
        <v>7.39999999999998</v>
      </c>
      <c r="P102" s="0" t="n">
        <f aca="false">IF(P$5&lt;=LastHist,INDEX(H_Rev,1,P$5)-INDEX(H_AIRev,1,P$5),O102*(1+OthRev_g))</f>
        <v>7.54799999999998</v>
      </c>
      <c r="Q102" s="0" t="n">
        <f aca="false">IF(Q$5&lt;=LastHist,INDEX(H_Rev,1,Q$5)-INDEX(H_AIRev,1,Q$5),P102*(1+OthRev_g))</f>
        <v>7.69895999999998</v>
      </c>
      <c r="R102" s="0" t="n">
        <f aca="false">IF(R$5&lt;=LastHist,INDEX(H_Rev,1,R$5)-INDEX(H_AIRev,1,R$5),Q102*(1+OthRev_g))</f>
        <v>7.85293919999998</v>
      </c>
      <c r="S102" s="0" t="n">
        <f aca="false">IF(S$5&lt;=LastHist,INDEX(H_Rev,1,S$5)-INDEX(H_AIRev,1,S$5),R102*(1+OthRev_g))</f>
        <v>8.00999798399998</v>
      </c>
      <c r="T102" s="0" t="n">
        <f aca="false">IF(T$5&lt;=LastHist,INDEX(H_Rev,1,T$5)-INDEX(H_AIRev,1,T$5),S102*(1+OthRev_g))</f>
        <v>8.17019794367998</v>
      </c>
      <c r="U102" s="0" t="n">
        <f aca="false">IF(U$5&lt;=LastHist,INDEX(H_Rev,1,U$5)-INDEX(H_AIRev,1,U$5),T102*(1+OthRev_g))</f>
        <v>8.33360190255358</v>
      </c>
      <c r="V102" s="0" t="n">
        <f aca="false">IF(V$5&lt;=LastHist,INDEX(H_Rev,1,V$5)-INDEX(H_AIRev,1,V$5),U102*(1+OthRev_g))</f>
        <v>8.50027394060465</v>
      </c>
      <c r="W102" s="0" t="n">
        <f aca="false">IF(W$5&lt;=LastHist,INDEX(H_Rev,1,W$5)-INDEX(H_AIRev,1,W$5),V102*(1+OthRev_g))</f>
        <v>8.67027941941674</v>
      </c>
      <c r="X102" s="0" t="n">
        <f aca="false">IF(X$5&lt;=LastHist,INDEX(H_Rev,1,X$5)-INDEX(H_AIRev,1,X$5),W102*(1+OthRev_g))</f>
        <v>8.84368500780508</v>
      </c>
      <c r="Y102" s="0" t="n">
        <f aca="false">IF(Y$5&lt;=LastHist,INDEX(H_Rev,1,Y$5)-INDEX(H_AIRev,1,Y$5),X102*(1+OthRev_g))</f>
        <v>9.02055870796118</v>
      </c>
      <c r="Z102" s="0" t="n">
        <f aca="false">IF(Z$5&lt;=LastHist,INDEX(H_Rev,1,Z$5)-INDEX(H_AIRev,1,Z$5),Y102*(1+OthRev_g))</f>
        <v>9.2009698821204</v>
      </c>
      <c r="AA102" s="0" t="n">
        <f aca="false">IF(AA$5&lt;=LastHist,INDEX(H_Rev,1,AA$5)-INDEX(H_AIRev,1,AA$5),Z102*(1+OthRev_g))</f>
        <v>9.38498927976281</v>
      </c>
      <c r="AB102" s="0" t="n">
        <f aca="false">IF(AB$5&lt;=LastHist,INDEX(H_Rev,1,AB$5)-INDEX(H_AIRev,1,AB$5),AA102*(1+OthRev_g))</f>
        <v>9.57268906535807</v>
      </c>
      <c r="AC102" s="0" t="n">
        <f aca="false">IF(AC$5&lt;=LastHist,INDEX(H_Rev,1,AC$5)-INDEX(H_AIRev,1,AC$5),AB102*(1+OthRev_g))</f>
        <v>9.76414284666523</v>
      </c>
      <c r="AD102" s="0" t="n">
        <f aca="false">IF(AD$5&lt;=LastHist,INDEX(H_Rev,1,AD$5)-INDEX(H_AIRev,1,AD$5),AC102*(1+OthRev_g))</f>
        <v>9.95942570359853</v>
      </c>
      <c r="AE102" s="0" t="n">
        <f aca="false">IF(AE$5&lt;=LastHist,INDEX(H_Rev,1,AE$5)-INDEX(H_AIRev,1,AE$5),AD102*(1+OthRev_g))</f>
        <v>10.1586142176705</v>
      </c>
      <c r="AF102" s="0" t="n">
        <f aca="false">IF(AF$5&lt;=LastHist,INDEX(H_Rev,1,AF$5)-INDEX(H_AIRev,1,AF$5),AE102*(1+OthRev_g))</f>
        <v>10.3617865020239</v>
      </c>
      <c r="AG102" s="0" t="n">
        <f aca="false">IF(AG$5&lt;=LastHist,INDEX(H_Rev,1,AG$5)-INDEX(H_AIRev,1,AG$5),AF102*(1+OthRev_g))</f>
        <v>10.5690222320644</v>
      </c>
      <c r="AI102" s="131" t="n">
        <f aca="false">SUMIF($F$7:$AG$7,AI$7,$F102:$AG102)</f>
        <v>9.20000000000001</v>
      </c>
      <c r="AJ102" s="131" t="n">
        <f aca="false">SUMIF($F$7:$AG$7,AJ$7,$F102:$AG102)</f>
        <v>41.8</v>
      </c>
      <c r="AK102" s="131" t="n">
        <f aca="false">SUMIF($F$7:$AG$7,AK$7,$F102:$AG102)</f>
        <v>31.9469599999999</v>
      </c>
      <c r="AL102" s="131" t="n">
        <f aca="false">SUMIF($F$7:$AG$7,AL$7,$F102:$AG102)</f>
        <v>32.3667370302335</v>
      </c>
      <c r="AM102" s="131" t="n">
        <f aca="false">SUMIF($F$7:$AG$7,AM$7,$F102:$AG102)</f>
        <v>35.0347970757876</v>
      </c>
      <c r="AN102" s="131" t="n">
        <f aca="false">SUMIF($F$7:$AG$7,AN$7,$F102:$AG102)</f>
        <v>37.9227910739065</v>
      </c>
      <c r="AO102" s="131" t="n">
        <f aca="false">SUMIF($F$7:$AG$7,AO$7,$F102:$AG102)</f>
        <v>41.0488486553574</v>
      </c>
    </row>
    <row r="103" customFormat="false" ht="15" hidden="false" customHeight="false" outlineLevel="0" collapsed="false">
      <c r="A103" s="3" t="s">
        <v>2334</v>
      </c>
      <c r="B103" s="24" t="s">
        <v>745</v>
      </c>
      <c r="C103" s="24" t="s">
        <v>672</v>
      </c>
      <c r="D103" s="24"/>
      <c r="F103" s="132" t="n">
        <f aca="false">F101+F102</f>
        <v>66.3966755658367</v>
      </c>
      <c r="G103" s="132" t="n">
        <f aca="false">G101+G102</f>
        <v>66.6966755658367</v>
      </c>
      <c r="H103" s="132" t="n">
        <f aca="false">H101+H102</f>
        <v>69.2142214511756</v>
      </c>
      <c r="I103" s="132" t="n">
        <f aca="false">I101+I102</f>
        <v>76.1166063939516</v>
      </c>
      <c r="J103" s="132" t="n">
        <f aca="false">J101+J102</f>
        <v>118.016901483042</v>
      </c>
      <c r="K103" s="132" t="n">
        <f aca="false">K101+K102</f>
        <v>153.211699026416</v>
      </c>
      <c r="L103" s="132" t="n">
        <f aca="false">L101+L102</f>
        <v>177.446790371793</v>
      </c>
      <c r="M103" s="132" t="n">
        <f aca="false">M101+M102</f>
        <v>322.454903729411</v>
      </c>
      <c r="N103" s="132" t="n">
        <f aca="false">N101+N102</f>
        <v>479.489886700579</v>
      </c>
      <c r="O103" s="132" t="n">
        <f aca="false">O101+O102</f>
        <v>582.3</v>
      </c>
      <c r="P103" s="104" t="n">
        <f aca="false">P101+P102</f>
        <v>674.686407680941</v>
      </c>
      <c r="Q103" s="104" t="n">
        <f aca="false">Q101+Q102</f>
        <v>809.093133895167</v>
      </c>
      <c r="R103" s="104" t="n">
        <f aca="false">R101+R102</f>
        <v>1027.64729096515</v>
      </c>
      <c r="S103" s="104" t="n">
        <f aca="false">S101+S102</f>
        <v>1633.13050872508</v>
      </c>
      <c r="T103" s="104" t="n">
        <f aca="false">T101+T102</f>
        <v>2462.21171007985</v>
      </c>
      <c r="U103" s="104" t="n">
        <f aca="false">U101+U102</f>
        <v>3086.25088248997</v>
      </c>
      <c r="V103" s="104" t="n">
        <f aca="false">V101+V102</f>
        <v>4013.89059981034</v>
      </c>
      <c r="W103" s="104" t="n">
        <f aca="false">W101+W102</f>
        <v>4748.06952849615</v>
      </c>
      <c r="X103" s="104" t="n">
        <f aca="false">X101+X102</f>
        <v>5292.32987534832</v>
      </c>
      <c r="Y103" s="104" t="n">
        <f aca="false">Y101+Y102</f>
        <v>5662.50662813455</v>
      </c>
      <c r="Z103" s="104" t="n">
        <f aca="false">Z101+Z102</f>
        <v>6382.42035791168</v>
      </c>
      <c r="AA103" s="104" t="n">
        <f aca="false">AA101+AA102</f>
        <v>7098.6928000778</v>
      </c>
      <c r="AB103" s="104" t="n">
        <f aca="false">AB101+AB102</f>
        <v>7804.04483599783</v>
      </c>
      <c r="AC103" s="104" t="n">
        <f aca="false">AC101+AC102</f>
        <v>8524.78766628161</v>
      </c>
      <c r="AD103" s="104" t="n">
        <f aca="false">AD101+AD102</f>
        <v>9491.43106869837</v>
      </c>
      <c r="AE103" s="104" t="n">
        <f aca="false">AE101+AE102</f>
        <v>10485.1406755109</v>
      </c>
      <c r="AF103" s="104" t="n">
        <f aca="false">AF101+AF102</f>
        <v>10450.9672629615</v>
      </c>
      <c r="AG103" s="104" t="n">
        <f aca="false">AG101+AG102</f>
        <v>10565.4112463916</v>
      </c>
      <c r="AI103" s="104" t="n">
        <f aca="false">SUMIF($F$7:$AG$7,AI$7,$F103:$AG103)</f>
        <v>278.424178976801</v>
      </c>
      <c r="AJ103" s="104" t="n">
        <f aca="false">SUMIF($F$7:$AG$7,AJ$7,$F103:$AG103)</f>
        <v>771.130294610662</v>
      </c>
      <c r="AK103" s="104" t="n">
        <f aca="false">SUMIF($F$7:$AG$7,AK$7,$F103:$AG103)</f>
        <v>2545.56942827669</v>
      </c>
      <c r="AL103" s="104" t="n">
        <f aca="false">SUMIF($F$7:$AG$7,AL$7,$F103:$AG103)</f>
        <v>8209.24039226006</v>
      </c>
      <c r="AM103" s="104" t="n">
        <f aca="false">SUMIF($F$7:$AG$7,AM$7,$F103:$AG103)</f>
        <v>19716.7966317894</v>
      </c>
      <c r="AN103" s="104" t="n">
        <f aca="false">SUMIF($F$7:$AG$7,AN$7,$F103:$AG103)</f>
        <v>29809.9456602689</v>
      </c>
      <c r="AO103" s="104" t="n">
        <f aca="false">SUMIF($F$7:$AG$7,AO$7,$F103:$AG103)</f>
        <v>40992.9502535623</v>
      </c>
    </row>
    <row r="104" customFormat="false" ht="15" hidden="false" customHeight="false" outlineLevel="0" collapsed="false">
      <c r="A104" s="3" t="s">
        <v>2335</v>
      </c>
      <c r="B104" s="24" t="s">
        <v>745</v>
      </c>
      <c r="C104" s="24" t="s">
        <v>672</v>
      </c>
      <c r="D104" s="24"/>
      <c r="F104" s="132" t="n">
        <f aca="false">IF(F$5&lt;=LastHist,INDEX(H_Rev,1,F$5),F103)</f>
        <v>11.4</v>
      </c>
      <c r="G104" s="132" t="n">
        <f aca="false">IF(G$5&lt;=LastHist,INDEX(H_Rev,1,G$5),G103)</f>
        <v>14.5</v>
      </c>
      <c r="H104" s="132" t="n">
        <f aca="false">IF(H$5&lt;=LastHist,INDEX(H_Rev,1,H$5),H103)</f>
        <v>32.1</v>
      </c>
      <c r="I104" s="132" t="n">
        <f aca="false">IF(I$5&lt;=LastHist,INDEX(H_Rev,1,I$5),I103)</f>
        <v>35.2</v>
      </c>
      <c r="J104" s="132" t="n">
        <f aca="false">IF(J$5&lt;=LastHist,INDEX(H_Rev,1,J$5),J103)</f>
        <v>50.9</v>
      </c>
      <c r="K104" s="132" t="n">
        <f aca="false">IF(K$5&lt;=LastHist,INDEX(H_Rev,1,K$5),K103)</f>
        <v>105.1</v>
      </c>
      <c r="L104" s="132" t="n">
        <f aca="false">IF(L$5&lt;=LastHist,INDEX(H_Rev,1,L$5),L103)</f>
        <v>146.1</v>
      </c>
      <c r="M104" s="132" t="n">
        <f aca="false">IF(M$5&lt;=LastHist,INDEX(H_Rev,1,M$5),M103)</f>
        <v>227.7</v>
      </c>
      <c r="N104" s="132" t="n">
        <f aca="false">IF(N$5&lt;=LastHist,INDEX(H_Rev,1,N$5),N103)</f>
        <v>399</v>
      </c>
      <c r="O104" s="132" t="n">
        <f aca="false">IF(O$5&lt;=LastHist,INDEX(H_Rev,1,O$5),O103)</f>
        <v>582.3</v>
      </c>
      <c r="P104" s="104" t="n">
        <f aca="false">IF(P$5&lt;=LastHist,INDEX(H_Rev,1,P$5),P103)</f>
        <v>674.686407680941</v>
      </c>
      <c r="Q104" s="104" t="n">
        <f aca="false">IF(Q$5&lt;=LastHist,INDEX(H_Rev,1,Q$5),Q103)</f>
        <v>809.093133895167</v>
      </c>
      <c r="R104" s="104" t="n">
        <f aca="false">IF(R$5&lt;=LastHist,INDEX(H_Rev,1,R$5),R103)</f>
        <v>1027.64729096515</v>
      </c>
      <c r="S104" s="104" t="n">
        <f aca="false">IF(S$5&lt;=LastHist,INDEX(H_Rev,1,S$5),S103)</f>
        <v>1633.13050872508</v>
      </c>
      <c r="T104" s="104" t="n">
        <f aca="false">IF(T$5&lt;=LastHist,INDEX(H_Rev,1,T$5),T103)</f>
        <v>2462.21171007985</v>
      </c>
      <c r="U104" s="104" t="n">
        <f aca="false">IF(U$5&lt;=LastHist,INDEX(H_Rev,1,U$5),U103)</f>
        <v>3086.25088248997</v>
      </c>
      <c r="V104" s="104" t="n">
        <f aca="false">IF(V$5&lt;=LastHist,INDEX(H_Rev,1,V$5),V103)</f>
        <v>4013.89059981034</v>
      </c>
      <c r="W104" s="104" t="n">
        <f aca="false">IF(W$5&lt;=LastHist,INDEX(H_Rev,1,W$5),W103)</f>
        <v>4748.06952849615</v>
      </c>
      <c r="X104" s="104" t="n">
        <f aca="false">IF(X$5&lt;=LastHist,INDEX(H_Rev,1,X$5),X103)</f>
        <v>5292.32987534832</v>
      </c>
      <c r="Y104" s="104" t="n">
        <f aca="false">IF(Y$5&lt;=LastHist,INDEX(H_Rev,1,Y$5),Y103)</f>
        <v>5662.50662813455</v>
      </c>
      <c r="Z104" s="104" t="n">
        <f aca="false">IF(Z$5&lt;=LastHist,INDEX(H_Rev,1,Z$5),Z103)</f>
        <v>6382.42035791168</v>
      </c>
      <c r="AA104" s="104" t="n">
        <f aca="false">IF(AA$5&lt;=LastHist,INDEX(H_Rev,1,AA$5),AA103)</f>
        <v>7098.6928000778</v>
      </c>
      <c r="AB104" s="104" t="n">
        <f aca="false">IF(AB$5&lt;=LastHist,INDEX(H_Rev,1,AB$5),AB103)</f>
        <v>7804.04483599783</v>
      </c>
      <c r="AC104" s="104" t="n">
        <f aca="false">IF(AC$5&lt;=LastHist,INDEX(H_Rev,1,AC$5),AC103)</f>
        <v>8524.78766628161</v>
      </c>
      <c r="AD104" s="104" t="n">
        <f aca="false">IF(AD$5&lt;=LastHist,INDEX(H_Rev,1,AD$5),AD103)</f>
        <v>9491.43106869837</v>
      </c>
      <c r="AE104" s="104" t="n">
        <f aca="false">IF(AE$5&lt;=LastHist,INDEX(H_Rev,1,AE$5),AE103)</f>
        <v>10485.1406755109</v>
      </c>
      <c r="AF104" s="104" t="n">
        <f aca="false">IF(AF$5&lt;=LastHist,INDEX(H_Rev,1,AF$5),AF103)</f>
        <v>10450.9672629615</v>
      </c>
      <c r="AG104" s="104" t="n">
        <f aca="false">IF(AG$5&lt;=LastHist,INDEX(H_Rev,1,AG$5),AG103)</f>
        <v>10565.4112463916</v>
      </c>
      <c r="AI104" s="104" t="n">
        <f aca="false">SUMIF($F$7:$AG$7,AI$7,$F104:$AG104)</f>
        <v>93.2</v>
      </c>
      <c r="AJ104" s="104" t="n">
        <f aca="false">SUMIF($F$7:$AG$7,AJ$7,$F104:$AG104)</f>
        <v>529.8</v>
      </c>
      <c r="AK104" s="104" t="n">
        <f aca="false">SUMIF($F$7:$AG$7,AK$7,$F104:$AG104)</f>
        <v>2465.07954157611</v>
      </c>
      <c r="AL104" s="104" t="n">
        <f aca="false">SUMIF($F$7:$AG$7,AL$7,$F104:$AG104)</f>
        <v>8209.24039226006</v>
      </c>
      <c r="AM104" s="104" t="n">
        <f aca="false">SUMIF($F$7:$AG$7,AM$7,$F104:$AG104)</f>
        <v>19716.7966317894</v>
      </c>
      <c r="AN104" s="104" t="n">
        <f aca="false">SUMIF($F$7:$AG$7,AN$7,$F104:$AG104)</f>
        <v>29809.9456602689</v>
      </c>
      <c r="AO104" s="104" t="n">
        <f aca="false">SUMIF($F$7:$AG$7,AO$7,$F104:$AG104)</f>
        <v>40992.9502535623</v>
      </c>
    </row>
    <row r="105" customFormat="false" ht="15" hidden="false" customHeight="false" outlineLevel="0" collapsed="false">
      <c r="A105" s="112" t="s">
        <v>2336</v>
      </c>
      <c r="B105" s="24" t="s">
        <v>745</v>
      </c>
      <c r="C105" s="24" t="s">
        <v>672</v>
      </c>
      <c r="D105" s="24"/>
      <c r="F105" s="130" t="n">
        <f aca="false">IF(F$5&lt;=LastHist,INDEX(H_AIRev,1,F$5),F101)</f>
        <v>10.3</v>
      </c>
      <c r="G105" s="130" t="n">
        <f aca="false">IF(G$5&lt;=LastHist,INDEX(H_AIRev,1,G$5),G101)</f>
        <v>13.1</v>
      </c>
      <c r="H105" s="130" t="n">
        <f aca="false">IF(H$5&lt;=LastHist,INDEX(H_AIRev,1,H$5),H101)</f>
        <v>28.9</v>
      </c>
      <c r="I105" s="130" t="n">
        <f aca="false">IF(I$5&lt;=LastHist,INDEX(H_AIRev,1,I$5),I101)</f>
        <v>31.7</v>
      </c>
      <c r="J105" s="130" t="n">
        <f aca="false">IF(J$5&lt;=LastHist,INDEX(H_AIRev,1,J$5),J101)</f>
        <v>41.4</v>
      </c>
      <c r="K105" s="130" t="n">
        <f aca="false">IF(K$5&lt;=LastHist,INDEX(H_AIRev,1,K$5),K101)</f>
        <v>93.6</v>
      </c>
      <c r="L105" s="130" t="n">
        <f aca="false">IF(L$5&lt;=LastHist,INDEX(H_AIRev,1,L$5),L101)</f>
        <v>138.8</v>
      </c>
      <c r="M105" s="130" t="n">
        <f aca="false">IF(M$5&lt;=LastHist,INDEX(H_AIRev,1,M$5),M101)</f>
        <v>214.2</v>
      </c>
      <c r="N105" s="130" t="n">
        <f aca="false">IF(N$5&lt;=LastHist,INDEX(H_AIRev,1,N$5),N101)</f>
        <v>389.7</v>
      </c>
      <c r="O105" s="130" t="n">
        <f aca="false">IF(O$5&lt;=LastHist,INDEX(H_AIRev,1,O$5),O101)</f>
        <v>574.9</v>
      </c>
      <c r="P105" s="131" t="n">
        <f aca="false">IF(P$5&lt;=LastHist,INDEX(H_AIRev,1,P$5),P101)</f>
        <v>667.138407680941</v>
      </c>
      <c r="Q105" s="131" t="n">
        <f aca="false">IF(Q$5&lt;=LastHist,INDEX(H_AIRev,1,Q$5),Q101)</f>
        <v>801.394173895167</v>
      </c>
      <c r="R105" s="131" t="n">
        <f aca="false">IF(R$5&lt;=LastHist,INDEX(H_AIRev,1,R$5),R101)</f>
        <v>1019.79435176515</v>
      </c>
      <c r="S105" s="131" t="n">
        <f aca="false">IF(S$5&lt;=LastHist,INDEX(H_AIRev,1,S$5),S101)</f>
        <v>1625.12051074108</v>
      </c>
      <c r="T105" s="131" t="n">
        <f aca="false">IF(T$5&lt;=LastHist,INDEX(H_AIRev,1,T$5),T101)</f>
        <v>2454.04151213617</v>
      </c>
      <c r="U105" s="131" t="n">
        <f aca="false">IF(U$5&lt;=LastHist,INDEX(H_AIRev,1,U$5),U101)</f>
        <v>3077.91728058742</v>
      </c>
      <c r="V105" s="131" t="n">
        <f aca="false">IF(V$5&lt;=LastHist,INDEX(H_AIRev,1,V$5),V101)</f>
        <v>4005.39032586974</v>
      </c>
      <c r="W105" s="131" t="n">
        <f aca="false">IF(W$5&lt;=LastHist,INDEX(H_AIRev,1,W$5),W101)</f>
        <v>4739.39924907673</v>
      </c>
      <c r="X105" s="131" t="n">
        <f aca="false">IF(X$5&lt;=LastHist,INDEX(H_AIRev,1,X$5),X101)</f>
        <v>5283.48619034052</v>
      </c>
      <c r="Y105" s="131" t="n">
        <f aca="false">IF(Y$5&lt;=LastHist,INDEX(H_AIRev,1,Y$5),Y101)</f>
        <v>5653.48606942659</v>
      </c>
      <c r="Z105" s="131" t="n">
        <f aca="false">IF(Z$5&lt;=LastHist,INDEX(H_AIRev,1,Z$5),Z101)</f>
        <v>6373.21938802956</v>
      </c>
      <c r="AA105" s="131" t="n">
        <f aca="false">IF(AA$5&lt;=LastHist,INDEX(H_AIRev,1,AA$5),AA101)</f>
        <v>7089.30781079804</v>
      </c>
      <c r="AB105" s="131" t="n">
        <f aca="false">IF(AB$5&lt;=LastHist,INDEX(H_AIRev,1,AB$5),AB101)</f>
        <v>7794.47214693247</v>
      </c>
      <c r="AC105" s="131" t="n">
        <f aca="false">IF(AC$5&lt;=LastHist,INDEX(H_AIRev,1,AC$5),AC101)</f>
        <v>8515.02352343495</v>
      </c>
      <c r="AD105" s="131" t="n">
        <f aca="false">IF(AD$5&lt;=LastHist,INDEX(H_AIRev,1,AD$5),AD101)</f>
        <v>9481.47164299477</v>
      </c>
      <c r="AE105" s="131" t="n">
        <f aca="false">IF(AE$5&lt;=LastHist,INDEX(H_AIRev,1,AE$5),AE101)</f>
        <v>10474.9820612932</v>
      </c>
      <c r="AF105" s="131" t="n">
        <f aca="false">IF(AF$5&lt;=LastHist,INDEX(H_AIRev,1,AF$5),AF101)</f>
        <v>10440.6054764595</v>
      </c>
      <c r="AG105" s="131" t="n">
        <f aca="false">IF(AG$5&lt;=LastHist,INDEX(H_AIRev,1,AG$5),AG101)</f>
        <v>10554.8422241595</v>
      </c>
      <c r="AI105" s="131" t="n">
        <f aca="false">SUMIF($F$7:$AG$7,AI$7,$F105:$AG105)</f>
        <v>84</v>
      </c>
      <c r="AJ105" s="131" t="n">
        <f aca="false">SUMIF($F$7:$AG$7,AJ$7,$F105:$AG105)</f>
        <v>488</v>
      </c>
      <c r="AK105" s="131" t="n">
        <f aca="false">SUMIF($F$7:$AG$7,AK$7,$F105:$AG105)</f>
        <v>2433.13258157611</v>
      </c>
      <c r="AL105" s="131" t="n">
        <f aca="false">SUMIF($F$7:$AG$7,AL$7,$F105:$AG105)</f>
        <v>8176.87365522983</v>
      </c>
      <c r="AM105" s="131" t="n">
        <f aca="false">SUMIF($F$7:$AG$7,AM$7,$F105:$AG105)</f>
        <v>19681.7618347136</v>
      </c>
      <c r="AN105" s="131" t="n">
        <f aca="false">SUMIF($F$7:$AG$7,AN$7,$F105:$AG105)</f>
        <v>29772.022869195</v>
      </c>
      <c r="AO105" s="131" t="n">
        <f aca="false">SUMIF($F$7:$AG$7,AO$7,$F105:$AG105)</f>
        <v>40951.901404907</v>
      </c>
    </row>
    <row r="106" customFormat="false" ht="15" hidden="false" customHeight="false" outlineLevel="0" collapsed="false">
      <c r="A106" s="112" t="s">
        <v>2337</v>
      </c>
      <c r="B106" s="24" t="s">
        <v>751</v>
      </c>
      <c r="C106" s="24" t="s">
        <v>672</v>
      </c>
      <c r="D106" s="24" t="s">
        <v>2338</v>
      </c>
      <c r="F106" s="135" t="n">
        <f aca="false">IF(F$5&lt;=LastHist,F101/INDEX(H_AIRev,1,F$5)-1,"")</f>
        <v>5.33948306464434</v>
      </c>
      <c r="G106" s="135" t="n">
        <f aca="false">IF(G$5&lt;=LastHist,G101/INDEX(H_AIRev,1,G$5)-1,"")</f>
        <v>3.98447905082723</v>
      </c>
      <c r="H106" s="135" t="n">
        <f aca="false">IF(H$5&lt;=LastHist,H101/INDEX(H_AIRev,1,H$5)-1,"")</f>
        <v>1.28422911595763</v>
      </c>
      <c r="I106" s="135" t="n">
        <f aca="false">IF(I$5&lt;=LastHist,I101/INDEX(H_AIRev,1,I$5)-1,"")</f>
        <v>1.29074468119721</v>
      </c>
      <c r="J106" s="135" t="n">
        <f aca="false">IF(J$5&lt;=LastHist,J101/INDEX(H_AIRev,1,J$5)-1,"")</f>
        <v>1.62118119524255</v>
      </c>
      <c r="K106" s="135" t="n">
        <f aca="false">IF(K$5&lt;=LastHist,K101/INDEX(H_AIRev,1,K$5)-1,"")</f>
        <v>0.514013878487354</v>
      </c>
      <c r="L106" s="135" t="n">
        <f aca="false">IF(L$5&lt;=LastHist,L101/INDEX(H_AIRev,1,L$5)-1,"")</f>
        <v>0.225841429191591</v>
      </c>
      <c r="M106" s="135" t="n">
        <f aca="false">IF(M$5&lt;=LastHist,M101/INDEX(H_AIRev,1,M$5)-1,"")</f>
        <v>0.442366497336186</v>
      </c>
      <c r="N106" s="135" t="n">
        <f aca="false">IF(N$5&lt;=LastHist,N101/INDEX(H_AIRev,1,N$5)-1,"")</f>
        <v>0.206543204261173</v>
      </c>
      <c r="O106" s="135" t="n">
        <f aca="false">IF(O$5&lt;=LastHist,O101/INDEX(H_AIRev,1,O$5)-1,"")</f>
        <v>0</v>
      </c>
      <c r="P106" s="136" t="str">
        <f aca="false">IF(P$5&lt;=LastHist,P101/INDEX(H_AIRev,1,P$5)-1,"")</f>
        <v/>
      </c>
      <c r="Q106" s="136" t="str">
        <f aca="false">IF(Q$5&lt;=LastHist,Q101/INDEX(H_AIRev,1,Q$5)-1,"")</f>
        <v/>
      </c>
      <c r="R106" s="136" t="str">
        <f aca="false">IF(R$5&lt;=LastHist,R101/INDEX(H_AIRev,1,R$5)-1,"")</f>
        <v/>
      </c>
      <c r="S106" s="136" t="str">
        <f aca="false">IF(S$5&lt;=LastHist,S101/INDEX(H_AIRev,1,S$5)-1,"")</f>
        <v/>
      </c>
      <c r="T106" s="136" t="str">
        <f aca="false">IF(T$5&lt;=LastHist,T101/INDEX(H_AIRev,1,T$5)-1,"")</f>
        <v/>
      </c>
      <c r="U106" s="136" t="str">
        <f aca="false">IF(U$5&lt;=LastHist,U101/INDEX(H_AIRev,1,U$5)-1,"")</f>
        <v/>
      </c>
      <c r="V106" s="136" t="str">
        <f aca="false">IF(V$5&lt;=LastHist,V101/INDEX(H_AIRev,1,V$5)-1,"")</f>
        <v/>
      </c>
      <c r="W106" s="136" t="str">
        <f aca="false">IF(W$5&lt;=LastHist,W101/INDEX(H_AIRev,1,W$5)-1,"")</f>
        <v/>
      </c>
      <c r="X106" s="136" t="str">
        <f aca="false">IF(X$5&lt;=LastHist,X101/INDEX(H_AIRev,1,X$5)-1,"")</f>
        <v/>
      </c>
      <c r="Y106" s="136" t="str">
        <f aca="false">IF(Y$5&lt;=LastHist,Y101/INDEX(H_AIRev,1,Y$5)-1,"")</f>
        <v/>
      </c>
      <c r="Z106" s="136" t="str">
        <f aca="false">IF(Z$5&lt;=LastHist,Z101/INDEX(H_AIRev,1,Z$5)-1,"")</f>
        <v/>
      </c>
      <c r="AA106" s="136" t="str">
        <f aca="false">IF(AA$5&lt;=LastHist,AA101/INDEX(H_AIRev,1,AA$5)-1,"")</f>
        <v/>
      </c>
      <c r="AB106" s="136" t="str">
        <f aca="false">IF(AB$5&lt;=LastHist,AB101/INDEX(H_AIRev,1,AB$5)-1,"")</f>
        <v/>
      </c>
      <c r="AC106" s="136" t="str">
        <f aca="false">IF(AC$5&lt;=LastHist,AC101/INDEX(H_AIRev,1,AC$5)-1,"")</f>
        <v/>
      </c>
      <c r="AD106" s="136" t="str">
        <f aca="false">IF(AD$5&lt;=LastHist,AD101/INDEX(H_AIRev,1,AD$5)-1,"")</f>
        <v/>
      </c>
      <c r="AE106" s="136" t="str">
        <f aca="false">IF(AE$5&lt;=LastHist,AE101/INDEX(H_AIRev,1,AE$5)-1,"")</f>
        <v/>
      </c>
      <c r="AF106" s="136" t="str">
        <f aca="false">IF(AF$5&lt;=LastHist,AF101/INDEX(H_AIRev,1,AF$5)-1,"")</f>
        <v/>
      </c>
      <c r="AG106" s="136" t="str">
        <f aca="false">IF(AG$5&lt;=LastHist,AG101/INDEX(H_AIRev,1,AG$5)-1,"")</f>
        <v/>
      </c>
    </row>
    <row r="108" customFormat="false" ht="15" hidden="false" customHeight="false" outlineLevel="0" collapsed="false">
      <c r="A108" s="64" t="s">
        <v>2339</v>
      </c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customFormat="false" ht="15" hidden="false" customHeight="false" outlineLevel="0" collapsed="false">
      <c r="A109" s="112" t="s">
        <v>2340</v>
      </c>
      <c r="B109" s="24" t="s">
        <v>751</v>
      </c>
      <c r="C109" s="24" t="s">
        <v>672</v>
      </c>
      <c r="D109" s="24"/>
      <c r="F109" s="124" t="n">
        <f aca="false">IF(F101&lt;&gt;0,F29/F101,0)</f>
        <v>0</v>
      </c>
      <c r="G109" s="124" t="n">
        <f aca="false">IF(G101&lt;&gt;0,G29/G101,0)</f>
        <v>0</v>
      </c>
      <c r="H109" s="124" t="n">
        <f aca="false">IF(H101&lt;&gt;0,H29/H101,0)</f>
        <v>0</v>
      </c>
      <c r="I109" s="124" t="n">
        <f aca="false">IF(I101&lt;&gt;0,I29/I101,0)</f>
        <v>0</v>
      </c>
      <c r="J109" s="124" t="n">
        <f aca="false">IF(J101&lt;&gt;0,J29/J101,0)</f>
        <v>0</v>
      </c>
      <c r="K109" s="124" t="n">
        <f aca="false">IF(K101&lt;&gt;0,K29/K101,0)</f>
        <v>0</v>
      </c>
      <c r="L109" s="124" t="n">
        <f aca="false">IF(L101&lt;&gt;0,L29/L101,0)</f>
        <v>0</v>
      </c>
      <c r="M109" s="124" t="n">
        <f aca="false">IF(M101&lt;&gt;0,M29/M101,0)</f>
        <v>0.155644568826438</v>
      </c>
      <c r="N109" s="124" t="n">
        <f aca="false">IF(N101&lt;&gt;0,N29/N101,0)</f>
        <v>0.358192016997038</v>
      </c>
      <c r="O109" s="124" t="n">
        <f aca="false">IF(O101&lt;&gt;0,O29/O101,0)</f>
        <v>0.460634941342456</v>
      </c>
      <c r="P109" s="27" t="n">
        <f aca="false">IF(P101&lt;&gt;0,P29/P101,0)</f>
        <v>0.494034609428809</v>
      </c>
      <c r="Q109" s="27" t="n">
        <f aca="false">IF(Q101&lt;&gt;0,Q29/Q101,0)</f>
        <v>0.527039885949643</v>
      </c>
      <c r="R109" s="27" t="n">
        <f aca="false">IF(R101&lt;&gt;0,R29/R101,0)</f>
        <v>0.459656703204382</v>
      </c>
      <c r="S109" s="27" t="n">
        <f aca="false">IF(S101&lt;&gt;0,S29/S101,0)</f>
        <v>0.445381329291863</v>
      </c>
      <c r="T109" s="27" t="n">
        <f aca="false">IF(T101&lt;&gt;0,T29/T101,0)</f>
        <v>0.474189207576627</v>
      </c>
      <c r="U109" s="27" t="n">
        <f aca="false">IF(U101&lt;&gt;0,U29/U101,0)</f>
        <v>0.475542344569006</v>
      </c>
      <c r="V109" s="27" t="n">
        <f aca="false">IF(V101&lt;&gt;0,V29/V101,0)</f>
        <v>0.402877090299459</v>
      </c>
      <c r="W109" s="27" t="n">
        <f aca="false">IF(W101&lt;&gt;0,W29/W101,0)</f>
        <v>0.340481971489183</v>
      </c>
      <c r="X109" s="27" t="n">
        <f aca="false">IF(X101&lt;&gt;0,X29/X101,0)</f>
        <v>0.305419554791341</v>
      </c>
      <c r="Y109" s="27" t="n">
        <f aca="false">IF(Y101&lt;&gt;0,Y29/Y101,0)</f>
        <v>0.285430967757504</v>
      </c>
      <c r="Z109" s="27" t="n">
        <f aca="false">IF(Z101&lt;&gt;0,Z29/Z101,0)</f>
        <v>0.253196995388372</v>
      </c>
      <c r="AA109" s="27" t="n">
        <f aca="false">IF(AA101&lt;&gt;0,AA29/AA101,0)</f>
        <v>0.227621658286883</v>
      </c>
      <c r="AB109" s="27" t="n">
        <f aca="false">IF(AB101&lt;&gt;0,AB29/AB101,0)</f>
        <v>0.207028772389041</v>
      </c>
      <c r="AC109" s="27" t="n">
        <f aca="false">IF(AC101&lt;&gt;0,AC29/AC101,0)</f>
        <v>0.189509752446232</v>
      </c>
      <c r="AD109" s="27" t="n">
        <f aca="false">IF(AD101&lt;&gt;0,AD29/AD101,0)</f>
        <v>0.170192989101248</v>
      </c>
      <c r="AE109" s="27" t="n">
        <f aca="false">IF(AE101&lt;&gt;0,AE29/AE101,0)</f>
        <v>0.15405086047477</v>
      </c>
      <c r="AF109" s="27" t="n">
        <f aca="false">IF(AF101&lt;&gt;0,AF29/AF101,0)</f>
        <v>0.154558086084028</v>
      </c>
      <c r="AG109" s="27" t="n">
        <f aca="false">IF(AG101&lt;&gt;0,AG29/AG101,0)</f>
        <v>0.144896305071076</v>
      </c>
      <c r="AI109" s="27" t="n">
        <f aca="false">IF(AI101&lt;&gt;0,AI29/AI101,0)</f>
        <v>0</v>
      </c>
      <c r="AJ109" s="27" t="n">
        <f aca="false">IF(AJ101&lt;&gt;0,AJ29/AJ101,0)</f>
        <v>0.0659332995394743</v>
      </c>
      <c r="AK109" s="27" t="n">
        <f aca="false">IF(AK101&lt;&gt;0,AK29/AK101,0)</f>
        <v>0.471508137482257</v>
      </c>
      <c r="AL109" s="27" t="n">
        <f aca="false">IF(AL101&lt;&gt;0,AL29/AL101,0)</f>
        <v>0.467160653823847</v>
      </c>
      <c r="AM109" s="27" t="n">
        <f aca="false">IF(AM101&lt;&gt;0,AM29/AM101,0)</f>
        <v>0.327954380009595</v>
      </c>
      <c r="AN109" s="27" t="n">
        <f aca="false">IF(AN101&lt;&gt;0,AN29/AN101,0)</f>
        <v>0.216804885188996</v>
      </c>
      <c r="AO109" s="27" t="n">
        <f aca="false">IF(AO101&lt;&gt;0,AO29/AO101,0)</f>
        <v>0.155558042980773</v>
      </c>
    </row>
    <row r="110" customFormat="false" ht="15" hidden="false" customHeight="false" outlineLevel="0" collapsed="false">
      <c r="A110" s="112" t="s">
        <v>2341</v>
      </c>
      <c r="B110" s="24" t="s">
        <v>751</v>
      </c>
      <c r="C110" s="24" t="s">
        <v>672</v>
      </c>
      <c r="D110" s="24"/>
      <c r="F110" s="124" t="n">
        <f aca="false">IF(F101&lt;&gt;0,F53/F101,0)</f>
        <v>0.816137690326465</v>
      </c>
      <c r="G110" s="124" t="n">
        <f aca="false">IF(G101&lt;&gt;0,G53/G101,0)</f>
        <v>0.816137690326465</v>
      </c>
      <c r="H110" s="124" t="n">
        <f aca="false">IF(H101&lt;&gt;0,H53/H101,0)</f>
        <v>0.816137690326465</v>
      </c>
      <c r="I110" s="124" t="n">
        <f aca="false">IF(I101&lt;&gt;0,I53/I101,0)</f>
        <v>0.816137690326465</v>
      </c>
      <c r="J110" s="124" t="n">
        <f aca="false">IF(J101&lt;&gt;0,J53/J101,0)</f>
        <v>0.85172878620062</v>
      </c>
      <c r="K110" s="124" t="n">
        <f aca="false">IF(K101&lt;&gt;0,K53/K101,0)</f>
        <v>0.85172878620062</v>
      </c>
      <c r="L110" s="124" t="n">
        <f aca="false">IF(L101&lt;&gt;0,L53/L101,0)</f>
        <v>0.851929459981012</v>
      </c>
      <c r="M110" s="124" t="n">
        <f aca="false">IF(M101&lt;&gt;0,M53/M101,0)</f>
        <v>0.719645361697211</v>
      </c>
      <c r="N110" s="124" t="n">
        <f aca="false">IF(N101&lt;&gt;0,N53/N101,0)</f>
        <v>0.559163511629236</v>
      </c>
      <c r="O110" s="124" t="n">
        <f aca="false">IF(O101&lt;&gt;0,O53/O101,0)</f>
        <v>0.469916518503568</v>
      </c>
      <c r="P110" s="27" t="n">
        <f aca="false">IF(P101&lt;&gt;0,P53/P101,0)</f>
        <v>0.439235798923321</v>
      </c>
      <c r="Q110" s="27" t="n">
        <f aca="false">IF(Q101&lt;&gt;0,Q53/Q101,0)</f>
        <v>0.403978325295544</v>
      </c>
      <c r="R110" s="27" t="n">
        <f aca="false">IF(R101&lt;&gt;0,R53/R101,0)</f>
        <v>0.479496541479761</v>
      </c>
      <c r="S110" s="27" t="n">
        <f aca="false">IF(S101&lt;&gt;0,S53/S101,0)</f>
        <v>0.548723256210861</v>
      </c>
      <c r="T110" s="27" t="n">
        <f aca="false">IF(T101&lt;&gt;0,T53/T101,0)</f>
        <v>0.524365568058622</v>
      </c>
      <c r="U110" s="27" t="n">
        <f aca="false">IF(U101&lt;&gt;0,U53/U101,0)</f>
        <v>0.504486342841553</v>
      </c>
      <c r="V110" s="27" t="n">
        <f aca="false">IF(V101&lt;&gt;0,V53/V101,0)</f>
        <v>0.598308351575541</v>
      </c>
      <c r="W110" s="27" t="n">
        <f aca="false">IF(W101&lt;&gt;0,W53/W101,0)</f>
        <v>0.701740662626355</v>
      </c>
      <c r="X110" s="27" t="n">
        <f aca="false">IF(X101&lt;&gt;0,X53/X101,0)</f>
        <v>0.772832725255133</v>
      </c>
      <c r="Y110" s="27" t="n">
        <f aca="false">IF(Y101&lt;&gt;0,Y53/Y101,0)</f>
        <v>0.802146576372552</v>
      </c>
      <c r="Z110" s="27" t="n">
        <f aca="false">IF(Z101&lt;&gt;0,Z53/Z101,0)</f>
        <v>0.836142213840478</v>
      </c>
      <c r="AA110" s="27" t="n">
        <f aca="false">IF(AA101&lt;&gt;0,AA53/AA101,0)</f>
        <v>0.878299509159222</v>
      </c>
      <c r="AB110" s="27" t="n">
        <f aca="false">IF(AB101&lt;&gt;0,AB53/AB101,0)</f>
        <v>0.921614333606318</v>
      </c>
      <c r="AC110" s="27" t="n">
        <f aca="false">IF(AC101&lt;&gt;0,AC53/AC101,0)</f>
        <v>0.944605496590066</v>
      </c>
      <c r="AD110" s="27" t="n">
        <f aca="false">IF(AD101&lt;&gt;0,AD53/AD101,0)</f>
        <v>0.954520773734482</v>
      </c>
      <c r="AE110" s="27" t="n">
        <f aca="false">IF(AE101&lt;&gt;0,AE53/AE101,0)</f>
        <v>0.983985446450935</v>
      </c>
      <c r="AF110" s="27" t="n">
        <f aca="false">IF(AF101&lt;&gt;0,AF53/AF101,0)</f>
        <v>0.982542158351472</v>
      </c>
      <c r="AG110" s="27" t="n">
        <f aca="false">IF(AG101&lt;&gt;0,AG53/AG101,0)</f>
        <v>0.955927241962207</v>
      </c>
      <c r="AI110" s="27" t="n">
        <f aca="false">IF(AI101&lt;&gt;0,AI53/AI101,0)</f>
        <v>0.816137690326465</v>
      </c>
      <c r="AJ110" s="27" t="n">
        <f aca="false">IF(AJ101&lt;&gt;0,AJ53/AJ101,0)</f>
        <v>0.795823145089384</v>
      </c>
      <c r="AK110" s="27" t="n">
        <f aca="false">IF(AK101&lt;&gt;0,AK53/AK101,0)</f>
        <v>0.457445378906888</v>
      </c>
      <c r="AL110" s="27" t="n">
        <f aca="false">IF(AL101&lt;&gt;0,AL53/AL101,0)</f>
        <v>0.516127748211533</v>
      </c>
      <c r="AM110" s="27" t="n">
        <f aca="false">IF(AM101&lt;&gt;0,AM53/AM101,0)</f>
        <v>0.728616843334725</v>
      </c>
      <c r="AN110" s="27" t="n">
        <f aca="false">IF(AN101&lt;&gt;0,AN53/AN101,0)</f>
        <v>0.899579069044405</v>
      </c>
      <c r="AO110" s="27" t="n">
        <f aca="false">IF(AO101&lt;&gt;0,AO53/AO101,0)</f>
        <v>0.969563962669293</v>
      </c>
    </row>
    <row r="111" customFormat="false" ht="15" hidden="false" customHeight="false" outlineLevel="0" collapsed="false">
      <c r="A111" s="112" t="s">
        <v>2342</v>
      </c>
      <c r="B111" s="24" t="s">
        <v>751</v>
      </c>
      <c r="C111" s="24" t="s">
        <v>672</v>
      </c>
      <c r="D111" s="24"/>
      <c r="F111" s="124" t="n">
        <f aca="false">IF(F101&lt;&gt;0,F54/F101,0)</f>
        <v>0.183862309673535</v>
      </c>
      <c r="G111" s="124" t="n">
        <f aca="false">IF(G101&lt;&gt;0,G54/G101,0)</f>
        <v>0.183862309673535</v>
      </c>
      <c r="H111" s="124" t="n">
        <f aca="false">IF(H101&lt;&gt;0,H54/H101,0)</f>
        <v>0.183862309673535</v>
      </c>
      <c r="I111" s="124" t="n">
        <f aca="false">IF(I101&lt;&gt;0,I54/I101,0)</f>
        <v>0.183862309673535</v>
      </c>
      <c r="J111" s="124" t="n">
        <f aca="false">IF(J101&lt;&gt;0,J54/J101,0)</f>
        <v>0.14827121379938</v>
      </c>
      <c r="K111" s="124" t="n">
        <f aca="false">IF(K101&lt;&gt;0,K54/K101,0)</f>
        <v>0.14827121379938</v>
      </c>
      <c r="L111" s="124" t="n">
        <f aca="false">IF(L101&lt;&gt;0,L54/L101,0)</f>
        <v>0.148070540018988</v>
      </c>
      <c r="M111" s="124" t="n">
        <f aca="false">IF(M101&lt;&gt;0,M54/M101,0)</f>
        <v>0.124710069476351</v>
      </c>
      <c r="N111" s="124" t="n">
        <f aca="false">IF(N101&lt;&gt;0,N54/N101,0)</f>
        <v>0.0826444713737264</v>
      </c>
      <c r="O111" s="124" t="n">
        <f aca="false">IF(O101&lt;&gt;0,O54/O101,0)</f>
        <v>0.0694485401539759</v>
      </c>
      <c r="P111" s="27" t="n">
        <f aca="false">IF(P101&lt;&gt;0,P54/P101,0)</f>
        <v>0.0667295916478699</v>
      </c>
      <c r="Q111" s="27" t="n">
        <f aca="false">IF(Q101&lt;&gt;0,Q54/Q101,0)</f>
        <v>0.0689817887548136</v>
      </c>
      <c r="R111" s="27" t="n">
        <f aca="false">IF(R101&lt;&gt;0,R54/R101,0)</f>
        <v>0.0785197561951233</v>
      </c>
      <c r="S111" s="27" t="n">
        <f aca="false">IF(S101&lt;&gt;0,S54/S101,0)</f>
        <v>0.0859846250996943</v>
      </c>
      <c r="T111" s="27" t="n">
        <f aca="false">IF(T101&lt;&gt;0,T54/T101,0)</f>
        <v>0.0810784751612008</v>
      </c>
      <c r="U111" s="27" t="n">
        <f aca="false">IF(U101&lt;&gt;0,U54/U101,0)</f>
        <v>0.0776680014111762</v>
      </c>
      <c r="V111" s="27" t="n">
        <f aca="false">IF(V101&lt;&gt;0,V54/V101,0)</f>
        <v>0.0958877948811727</v>
      </c>
      <c r="W111" s="27" t="n">
        <f aca="false">IF(W101&lt;&gt;0,W54/W101,0)</f>
        <v>0.112333358282749</v>
      </c>
      <c r="X111" s="27" t="n">
        <f aca="false">IF(X101&lt;&gt;0,X54/X101,0)</f>
        <v>0.123606284721313</v>
      </c>
      <c r="Y111" s="27" t="n">
        <f aca="false">IF(Y101&lt;&gt;0,Y54/Y101,0)</f>
        <v>0.128240244088969</v>
      </c>
      <c r="Z111" s="27" t="n">
        <f aca="false">IF(Z101&lt;&gt;0,Z54/Z101,0)</f>
        <v>0.133615299166539</v>
      </c>
      <c r="AA111" s="27" t="n">
        <f aca="false">IF(AA101&lt;&gt;0,AA54/AA101,0)</f>
        <v>0.140310348289225</v>
      </c>
      <c r="AB111" s="27" t="n">
        <f aca="false">IF(AB101&lt;&gt;0,AB54/AB101,0)</f>
        <v>0.147178692635383</v>
      </c>
      <c r="AC111" s="27" t="n">
        <f aca="false">IF(AC101&lt;&gt;0,AC54/AC101,0)</f>
        <v>0.150810420491683</v>
      </c>
      <c r="AD111" s="27" t="n">
        <f aca="false">IF(AD101&lt;&gt;0,AD54/AD101,0)</f>
        <v>0.152351351625153</v>
      </c>
      <c r="AE111" s="27" t="n">
        <f aca="false">IF(AE101&lt;&gt;0,AE54/AE101,0)</f>
        <v>0.15702175816054</v>
      </c>
      <c r="AF111" s="27" t="n">
        <f aca="false">IF(AF101&lt;&gt;0,AF54/AF101,0)</f>
        <v>0.156791080108328</v>
      </c>
      <c r="AG111" s="27" t="n">
        <f aca="false">IF(AG101&lt;&gt;0,AG54/AG101,0)</f>
        <v>0.152542713862455</v>
      </c>
      <c r="AI111" s="27" t="n">
        <f aca="false">IF(AI101&lt;&gt;0,AI54/AI101,0)</f>
        <v>0.183862309673535</v>
      </c>
      <c r="AJ111" s="27" t="n">
        <f aca="false">IF(AJ101&lt;&gt;0,AJ54/AJ101,0)</f>
        <v>0.138243555371142</v>
      </c>
      <c r="AK111" s="27" t="n">
        <f aca="false">IF(AK101&lt;&gt;0,AK54/AK101,0)</f>
        <v>0.071046483610855</v>
      </c>
      <c r="AL111" s="27" t="n">
        <f aca="false">IF(AL101&lt;&gt;0,AL54/AL101,0)</f>
        <v>0.0804506755201423</v>
      </c>
      <c r="AM111" s="27" t="n">
        <f aca="false">IF(AM101&lt;&gt;0,AM54/AM101,0)</f>
        <v>0.116581901102562</v>
      </c>
      <c r="AN111" s="27" t="n">
        <f aca="false">IF(AN101&lt;&gt;0,AN54/AN101,0)</f>
        <v>0.143678425227477</v>
      </c>
      <c r="AO111" s="27" t="n">
        <f aca="false">IF(AO101&lt;&gt;0,AO54/AO101,0)</f>
        <v>0.154727204102745</v>
      </c>
    </row>
    <row r="112" customFormat="false" ht="15" hidden="false" customHeight="false" outlineLevel="0" collapsed="false">
      <c r="A112" s="112" t="s">
        <v>2343</v>
      </c>
      <c r="B112" s="24" t="s">
        <v>751</v>
      </c>
      <c r="C112" s="24" t="s">
        <v>672</v>
      </c>
      <c r="D112" s="24"/>
      <c r="F112" s="124" t="n">
        <f aca="false">IF(F101&lt;&gt;0,F30/F101,0)</f>
        <v>0</v>
      </c>
      <c r="G112" s="124" t="n">
        <f aca="false">IF(G101&lt;&gt;0,G30/G101,0)</f>
        <v>0</v>
      </c>
      <c r="H112" s="124" t="n">
        <f aca="false">IF(H101&lt;&gt;0,H30/H101,0)</f>
        <v>0</v>
      </c>
      <c r="I112" s="124" t="n">
        <f aca="false">IF(I101&lt;&gt;0,I30/I101,0)</f>
        <v>0</v>
      </c>
      <c r="J112" s="124" t="n">
        <f aca="false">IF(J101&lt;&gt;0,J30/J101,0)</f>
        <v>0</v>
      </c>
      <c r="K112" s="124" t="n">
        <f aca="false">IF(K101&lt;&gt;0,K30/K101,0)</f>
        <v>0</v>
      </c>
      <c r="L112" s="124" t="n">
        <f aca="false">IF(L101&lt;&gt;0,L30/L101,0)</f>
        <v>0</v>
      </c>
      <c r="M112" s="124" t="n">
        <f aca="false">IF(M101&lt;&gt;0,M30/M101,0)</f>
        <v>0</v>
      </c>
      <c r="N112" s="124" t="n">
        <f aca="false">IF(N101&lt;&gt;0,N30/N101,0)</f>
        <v>0</v>
      </c>
      <c r="O112" s="124" t="n">
        <f aca="false">IF(O101&lt;&gt;0,O30/O101,0)</f>
        <v>0</v>
      </c>
      <c r="P112" s="27" t="n">
        <f aca="false">IF(P101&lt;&gt;0,P30/P101,0)</f>
        <v>0</v>
      </c>
      <c r="Q112" s="27" t="n">
        <f aca="false">IF(Q101&lt;&gt;0,Q30/Q101,0)</f>
        <v>0</v>
      </c>
      <c r="R112" s="27" t="n">
        <f aca="false">IF(R101&lt;&gt;0,R30/R101,0)</f>
        <v>0</v>
      </c>
      <c r="S112" s="27" t="n">
        <f aca="false">IF(S101&lt;&gt;0,S30/S101,0)</f>
        <v>0</v>
      </c>
      <c r="T112" s="27" t="n">
        <f aca="false">IF(T101&lt;&gt;0,T30/T101,0)</f>
        <v>0</v>
      </c>
      <c r="U112" s="27" t="n">
        <f aca="false">IF(U101&lt;&gt;0,U30/U101,0)</f>
        <v>0</v>
      </c>
      <c r="V112" s="27" t="n">
        <f aca="false">IF(V101&lt;&gt;0,V30/V101,0)</f>
        <v>0</v>
      </c>
      <c r="W112" s="27" t="n">
        <f aca="false">IF(W101&lt;&gt;0,W30/W101,0)</f>
        <v>0</v>
      </c>
      <c r="X112" s="27" t="n">
        <f aca="false">IF(X101&lt;&gt;0,X30/X101,0)</f>
        <v>0</v>
      </c>
      <c r="Y112" s="27" t="n">
        <f aca="false">IF(Y101&lt;&gt;0,Y30/Y101,0)</f>
        <v>0</v>
      </c>
      <c r="Z112" s="27" t="n">
        <f aca="false">IF(Z101&lt;&gt;0,Z30/Z101,0)</f>
        <v>0</v>
      </c>
      <c r="AA112" s="27" t="n">
        <f aca="false">IF(AA101&lt;&gt;0,AA30/AA101,0)</f>
        <v>0</v>
      </c>
      <c r="AB112" s="27" t="n">
        <f aca="false">IF(AB101&lt;&gt;0,AB30/AB101,0)</f>
        <v>0</v>
      </c>
      <c r="AC112" s="27" t="n">
        <f aca="false">IF(AC101&lt;&gt;0,AC30/AC101,0)</f>
        <v>0</v>
      </c>
      <c r="AD112" s="27" t="n">
        <f aca="false">IF(AD101&lt;&gt;0,AD30/AD101,0)</f>
        <v>0</v>
      </c>
      <c r="AE112" s="27" t="n">
        <f aca="false">IF(AE101&lt;&gt;0,AE30/AE101,0)</f>
        <v>0</v>
      </c>
      <c r="AF112" s="27" t="n">
        <f aca="false">IF(AF101&lt;&gt;0,AF30/AF101,0)</f>
        <v>0</v>
      </c>
      <c r="AG112" s="27" t="n">
        <f aca="false">IF(AG101&lt;&gt;0,AG30/AG101,0)</f>
        <v>0.0195070706132602</v>
      </c>
      <c r="AI112" s="27" t="n">
        <f aca="false">IF(AI101&lt;&gt;0,AI30/AI101,0)</f>
        <v>0</v>
      </c>
      <c r="AJ112" s="27" t="n">
        <f aca="false">IF(AJ101&lt;&gt;0,AJ30/AJ101,0)</f>
        <v>0</v>
      </c>
      <c r="AK112" s="27" t="n">
        <f aca="false">IF(AK101&lt;&gt;0,AK30/AK101,0)</f>
        <v>0</v>
      </c>
      <c r="AL112" s="27" t="n">
        <f aca="false">IF(AL101&lt;&gt;0,AL30/AL101,0)</f>
        <v>0</v>
      </c>
      <c r="AM112" s="27" t="n">
        <f aca="false">IF(AM101&lt;&gt;0,AM30/AM101,0)</f>
        <v>0</v>
      </c>
      <c r="AN112" s="27" t="n">
        <f aca="false">IF(AN101&lt;&gt;0,AN30/AN101,0)</f>
        <v>0</v>
      </c>
      <c r="AO112" s="27" t="n">
        <f aca="false">IF(AO101&lt;&gt;0,AO30/AO101,0)</f>
        <v>0.00502770434375556</v>
      </c>
    </row>
    <row r="113" customFormat="false" ht="15" hidden="false" customHeight="false" outlineLevel="0" collapsed="false">
      <c r="A113" s="112" t="s">
        <v>2344</v>
      </c>
      <c r="B113" s="24" t="s">
        <v>745</v>
      </c>
      <c r="C113" s="24" t="s">
        <v>672</v>
      </c>
      <c r="D113" s="24" t="s">
        <v>2345</v>
      </c>
      <c r="F113" s="130" t="n">
        <f aca="false">F53+F54</f>
        <v>65.2966755658367</v>
      </c>
      <c r="G113" s="130" t="n">
        <f aca="false">G53+G54</f>
        <v>65.2966755658367</v>
      </c>
      <c r="H113" s="130" t="n">
        <f aca="false">H53+H54</f>
        <v>66.0142214511756</v>
      </c>
      <c r="I113" s="130" t="n">
        <f aca="false">I53+I54</f>
        <v>72.6166063939516</v>
      </c>
      <c r="J113" s="130" t="n">
        <f aca="false">J53+J54</f>
        <v>108.516901483042</v>
      </c>
      <c r="K113" s="130" t="n">
        <f aca="false">K53+K54</f>
        <v>141.711699026416</v>
      </c>
      <c r="L113" s="130" t="n">
        <f aca="false">L53+L54</f>
        <v>170.146790371793</v>
      </c>
      <c r="M113" s="130" t="n">
        <f aca="false">M53+M54</f>
        <v>260.867750951633</v>
      </c>
      <c r="N113" s="130" t="n">
        <f aca="false">N53+N54</f>
        <v>301.77162281169</v>
      </c>
      <c r="O113" s="130" t="n">
        <f aca="false">O53+O54</f>
        <v>310.080972222222</v>
      </c>
      <c r="P113" s="131" t="n">
        <f aca="false">P53+P54</f>
        <v>337.54894500733</v>
      </c>
      <c r="Q113" s="131" t="n">
        <f aca="false">Q53+Q54</f>
        <v>379.02747988475</v>
      </c>
      <c r="R113" s="131" t="n">
        <f aca="false">R53+R54</f>
        <v>569.061868561749</v>
      </c>
      <c r="S113" s="131" t="n">
        <f aca="false">S53+S54</f>
        <v>1031.4767962468</v>
      </c>
      <c r="T113" s="131" t="n">
        <f aca="false">T53+T54</f>
        <v>1485.78481533701</v>
      </c>
      <c r="U113" s="131" t="n">
        <f aca="false">U53+U54</f>
        <v>1791.82291614451</v>
      </c>
      <c r="V113" s="131" t="n">
        <f aca="false">V53+V54</f>
        <v>2780.52652927377</v>
      </c>
      <c r="W113" s="131" t="n">
        <f aca="false">W53+W54</f>
        <v>3858.22180338948</v>
      </c>
      <c r="X113" s="131" t="n">
        <f aca="false">X53+X54</f>
        <v>4736.32312969308</v>
      </c>
      <c r="Y113" s="131" t="n">
        <f aca="false">Y53+Y54</f>
        <v>5259.9289286573</v>
      </c>
      <c r="Z113" s="131" t="n">
        <f aca="false">Z53+Z54</f>
        <v>6180.47738358365</v>
      </c>
      <c r="AA113" s="131" t="n">
        <f aca="false">AA53+AA54</f>
        <v>7221.23881856515</v>
      </c>
      <c r="AB113" s="131" t="n">
        <f aca="false">AB53+AB54</f>
        <v>8330.67747387661</v>
      </c>
      <c r="AC113" s="131" t="n">
        <f aca="false">AC53+AC54</f>
        <v>9327.49230189615</v>
      </c>
      <c r="AD113" s="131" t="n">
        <f aca="false">AD53+AD54</f>
        <v>10494.7766690187</v>
      </c>
      <c r="AE113" s="131" t="n">
        <f aca="false">AE53+AE54</f>
        <v>11952.0300001115</v>
      </c>
      <c r="AF113" s="131" t="n">
        <f aca="false">AF53+AF54</f>
        <v>11895.3288489757</v>
      </c>
      <c r="AG113" s="131" t="n">
        <f aca="false">AG53+AG54</f>
        <v>11699.7254939504</v>
      </c>
      <c r="AI113" s="131" t="n">
        <f aca="false">SUMIF($F$7:$AG$7,AI$7,$F113:$AG113)</f>
        <v>269.224178976801</v>
      </c>
      <c r="AJ113" s="131" t="n">
        <f aca="false">SUMIF($F$7:$AG$7,AJ$7,$F113:$AG113)</f>
        <v>681.243141832884</v>
      </c>
      <c r="AK113" s="131" t="n">
        <f aca="false">SUMIF($F$7:$AG$7,AK$7,$F113:$AG113)</f>
        <v>1328.42901992599</v>
      </c>
      <c r="AL113" s="131" t="n">
        <f aca="false">SUMIF($F$7:$AG$7,AL$7,$F113:$AG113)</f>
        <v>4878.14639629007</v>
      </c>
      <c r="AM113" s="131" t="n">
        <f aca="false">SUMIF($F$7:$AG$7,AM$7,$F113:$AG113)</f>
        <v>16635.0003910136</v>
      </c>
      <c r="AN113" s="131" t="n">
        <f aca="false">SUMIF($F$7:$AG$7,AN$7,$F113:$AG113)</f>
        <v>31059.8859779216</v>
      </c>
      <c r="AO113" s="131" t="n">
        <f aca="false">SUMIF($F$7:$AG$7,AO$7,$F113:$AG113)</f>
        <v>46041.8610120563</v>
      </c>
    </row>
    <row r="115" customFormat="false" ht="15" hidden="false" customHeight="false" outlineLevel="0" collapsed="false">
      <c r="A115" s="64" t="s">
        <v>2346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</row>
    <row r="116" customFormat="false" ht="15" hidden="false" customHeight="false" outlineLevel="0" collapsed="false">
      <c r="A116" s="0" t="s">
        <v>2347</v>
      </c>
      <c r="D116" s="24" t="s">
        <v>2348</v>
      </c>
      <c r="E116" s="5" t="n">
        <f aca="false">INDEX(H_ARR,1,LastHist)</f>
        <v>3000</v>
      </c>
    </row>
    <row r="117" customFormat="false" ht="15" hidden="false" customHeight="false" outlineLevel="0" collapsed="false">
      <c r="A117" s="0" t="s">
        <v>2349</v>
      </c>
      <c r="D117" s="24" t="s">
        <v>2350</v>
      </c>
      <c r="E117" s="5" t="n">
        <f aca="false">4*((Contracts!O35+Contracts!P35+Contracts!O40+Contracts!P40)/2+Contracts!O150)</f>
        <v>1155.90333333333</v>
      </c>
    </row>
    <row r="118" customFormat="false" ht="15" hidden="false" customHeight="false" outlineLevel="0" collapsed="false">
      <c r="A118" s="0" t="s">
        <v>2351</v>
      </c>
      <c r="D118" s="24" t="s">
        <v>2352</v>
      </c>
      <c r="E118" s="5" t="n">
        <f aca="false">4*(O53+O54+O46*O52*(ODp_H/ODq_H-1))*(O33+O34+O35)/(O36+O37+O38)</f>
        <v>1301.04530643213</v>
      </c>
    </row>
    <row r="119" customFormat="false" ht="15" hidden="false" customHeight="false" outlineLevel="0" collapsed="false">
      <c r="A119" s="0" t="s">
        <v>2353</v>
      </c>
      <c r="D119" s="24"/>
      <c r="E119" s="5" t="n">
        <f aca="false">ARR_RRa+ARR_RRbc</f>
        <v>2456.94863976546</v>
      </c>
    </row>
    <row r="120" customFormat="false" ht="15" hidden="false" customHeight="false" outlineLevel="0" collapsed="false">
      <c r="A120" s="0" t="s">
        <v>2354</v>
      </c>
      <c r="D120" s="24"/>
      <c r="E120" s="71" t="n">
        <f aca="false">ARR_RR/INDEX(MW_En,1,LastHist)</f>
        <v>13.4634921300515</v>
      </c>
    </row>
    <row r="121" customFormat="false" ht="15" hidden="false" customHeight="false" outlineLevel="0" collapsed="false">
      <c r="A121" s="0" t="s">
        <v>2355</v>
      </c>
      <c r="D121" s="24" t="s">
        <v>2356</v>
      </c>
      <c r="E121" s="5" t="n">
        <f aca="false">ARR_Rep-ARR_RR</f>
        <v>543.051360234536</v>
      </c>
    </row>
    <row r="122" customFormat="false" ht="15" hidden="false" customHeight="false" outlineLevel="0" collapsed="false">
      <c r="A122" s="0" t="s">
        <v>2357</v>
      </c>
      <c r="D122" s="24" t="s">
        <v>2358</v>
      </c>
      <c r="E122" s="5" t="n">
        <f aca="false">IFERROR(ARR_Res/ARR_RRMW,0)</f>
        <v>40.335104368829</v>
      </c>
    </row>
    <row r="123" customFormat="false" ht="15" hidden="false" customHeight="false" outlineLevel="0" collapsed="false">
      <c r="A123" s="0" t="s">
        <v>2359</v>
      </c>
      <c r="D123" s="24"/>
      <c r="E123" s="5" t="n">
        <f aca="false">ARR_Rep/12</f>
        <v>250</v>
      </c>
    </row>
    <row r="124" customFormat="false" ht="15" hidden="false" customHeight="false" outlineLevel="0" collapsed="false">
      <c r="A124" s="0" t="s">
        <v>2360</v>
      </c>
      <c r="D124" s="24"/>
      <c r="E124" s="5" t="n">
        <f aca="false">INDEX(H_AIRev,1,LastHist)/3</f>
        <v>191.633333333333</v>
      </c>
    </row>
    <row r="125" customFormat="false" ht="15" hidden="false" customHeight="false" outlineLevel="0" collapsed="false">
      <c r="A125" s="0" t="s">
        <v>2361</v>
      </c>
      <c r="D125" s="24" t="s">
        <v>2362</v>
      </c>
      <c r="E125" s="5" t="n">
        <f aca="false">ARR_JunMo-MarMo</f>
        <v>88</v>
      </c>
    </row>
    <row r="126" customFormat="false" ht="15" hidden="false" customHeight="false" outlineLevel="0" collapsed="false">
      <c r="A126" s="0" t="s">
        <v>2363</v>
      </c>
      <c r="D126" s="24" t="s">
        <v>2364</v>
      </c>
      <c r="E126" s="5" t="n">
        <f aca="false">ARR_Step*12/ACV_2026</f>
        <v>88</v>
      </c>
    </row>
    <row r="127" customFormat="false" ht="15" hidden="false" customHeight="false" outlineLevel="0" collapsed="false">
      <c r="A127" s="0" t="s">
        <v>2365</v>
      </c>
      <c r="D127" s="24" t="s">
        <v>2366</v>
      </c>
      <c r="E127" s="5" t="n">
        <f aca="false">ARR_Rep-INDEX(MW_En,1,LastHist)*ARR_RRMW_Hi</f>
        <v>536.38905</v>
      </c>
    </row>
    <row r="128" customFormat="false" ht="15" hidden="false" customHeight="false" outlineLevel="0" collapsed="false">
      <c r="A128" s="0" t="s">
        <v>2367</v>
      </c>
      <c r="D128" s="24"/>
      <c r="E128" s="5" t="n">
        <f aca="false">ARR_Rep-INDEX(MW_En,1,LastHist)*ARR_RRMW_Lo</f>
        <v>572.88699</v>
      </c>
    </row>
    <row r="129" customFormat="false" ht="15" hidden="false" customHeight="false" outlineLevel="0" collapsed="false">
      <c r="A129" s="0" t="s">
        <v>2368</v>
      </c>
      <c r="D129" s="24"/>
      <c r="E129" s="5" t="n">
        <f aca="false">ARR_Res/ARR_RRMW_Hi</f>
        <v>40.2260266840397</v>
      </c>
    </row>
    <row r="130" customFormat="false" ht="15" hidden="false" customHeight="false" outlineLevel="0" collapsed="false">
      <c r="A130" s="0" t="s">
        <v>2369</v>
      </c>
      <c r="D130" s="24" t="s">
        <v>2370</v>
      </c>
      <c r="E130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2371</v>
      </c>
    </row>
    <row r="2" customFormat="false" ht="15" hidden="false" customHeight="false" outlineLevel="0" collapsed="false">
      <c r="A2" s="24" t="s">
        <v>2372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2373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0" t="s">
        <v>2374</v>
      </c>
      <c r="F11" s="68" t="n">
        <f aca="false">4*IF(LifeOverride=0,Life_H,LifeOverride)</f>
        <v>20</v>
      </c>
      <c r="G11" s="0" t="s">
        <v>2375</v>
      </c>
      <c r="K11" s="68" t="n">
        <f aca="false">IF(ImpQ_H=0,999,ImpQ_H)</f>
        <v>999</v>
      </c>
    </row>
    <row r="12" customFormat="false" ht="15" hidden="false" customHeight="false" outlineLevel="0" collapsed="false">
      <c r="A12" s="0" t="s">
        <v>2376</v>
      </c>
      <c r="F12" s="68" t="n">
        <f aca="false">4*IF(LifeOverride=0,Life_B,LifeOverride)</f>
        <v>20</v>
      </c>
      <c r="G12" s="0" t="s">
        <v>2375</v>
      </c>
      <c r="K12" s="68" t="n">
        <f aca="false">IF(ImpQ_B=0,999,ImpQ_B)</f>
        <v>999</v>
      </c>
    </row>
    <row r="13" customFormat="false" ht="15" hidden="false" customHeight="false" outlineLevel="0" collapsed="false">
      <c r="A13" s="0" t="s">
        <v>2377</v>
      </c>
      <c r="F13" s="68" t="n">
        <f aca="false">4*IF(LifeOverride=0,Life_N,LifeOverride)</f>
        <v>20</v>
      </c>
      <c r="G13" s="0" t="s">
        <v>2375</v>
      </c>
      <c r="K13" s="68" t="n">
        <f aca="false">IF(ImpQ_N=0,999,ImpQ_N)</f>
        <v>999</v>
      </c>
    </row>
    <row r="14" customFormat="false" ht="15" hidden="false" customHeight="false" outlineLevel="0" collapsed="false">
      <c r="A14" s="0" t="s">
        <v>2378</v>
      </c>
      <c r="F14" s="68" t="n">
        <f aca="false">4*CapIntLife</f>
        <v>20</v>
      </c>
    </row>
    <row r="15" customFormat="false" ht="15" hidden="false" customHeight="false" outlineLevel="0" collapsed="false">
      <c r="A15" s="0" t="s">
        <v>2379</v>
      </c>
      <c r="F15" s="68" t="n">
        <f aca="false">4*Life_Shell</f>
        <v>80</v>
      </c>
    </row>
    <row r="16" customFormat="false" ht="15" hidden="false" customHeight="false" outlineLevel="0" collapsed="false">
      <c r="A16" s="0" t="s">
        <v>2380</v>
      </c>
      <c r="F16" s="68" t="n">
        <f aca="false">4*Life_Pow</f>
        <v>40</v>
      </c>
    </row>
    <row r="17" customFormat="false" ht="15" hidden="false" customHeight="false" outlineLevel="0" collapsed="false">
      <c r="A17" s="0" t="s">
        <v>2381</v>
      </c>
      <c r="F17" s="68" t="n">
        <f aca="false">4*Life_Maint</f>
        <v>20</v>
      </c>
    </row>
    <row r="19" customFormat="false" ht="15" hidden="false" customHeight="false" outlineLevel="0" collapsed="false">
      <c r="A19" s="64" t="s">
        <v>2382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</row>
    <row r="20" customFormat="false" ht="15" hidden="false" customHeight="false" outlineLevel="0" collapsed="false">
      <c r="A20" s="112" t="s">
        <v>2383</v>
      </c>
      <c r="B20" s="24" t="s">
        <v>857</v>
      </c>
      <c r="C20" s="24" t="s">
        <v>2227</v>
      </c>
      <c r="D20" s="24"/>
      <c r="F20" s="116" t="n">
        <f aca="false">INDEX(MW_New,1,1)</f>
        <v>0</v>
      </c>
      <c r="G20" s="116" t="n">
        <f aca="false">INDEX(MW_New,1,2)</f>
        <v>0</v>
      </c>
      <c r="H20" s="116" t="n">
        <f aca="false">INDEX(MW_New,1,3)</f>
        <v>0</v>
      </c>
      <c r="I20" s="116" t="n">
        <f aca="false">INDEX(MW_New,1,4)</f>
        <v>5</v>
      </c>
      <c r="J20" s="116" t="n">
        <f aca="false">INDEX(MW_New,1,5)</f>
        <v>20</v>
      </c>
      <c r="K20" s="116" t="n">
        <f aca="false">INDEX(MW_New,1,6)</f>
        <v>0</v>
      </c>
      <c r="L20" s="116" t="n">
        <f aca="false">INDEX(MW_New,1,7)</f>
        <v>11.36375</v>
      </c>
      <c r="M20" s="116" t="n">
        <f aca="false">INDEX(MW_New,1,8)</f>
        <v>79.2347</v>
      </c>
      <c r="N20" s="116" t="n">
        <f aca="false">INDEX(MW_New,1,9)</f>
        <v>32.66375</v>
      </c>
      <c r="O20" s="116" t="n">
        <f aca="false">INDEX(MW_New,1,10)</f>
        <v>11.5</v>
      </c>
      <c r="P20" s="35" t="n">
        <f aca="false">INDEX(MW_New,1,11)</f>
        <v>0</v>
      </c>
      <c r="Q20" s="35" t="n">
        <f aca="false">INDEX(MW_New,1,12)</f>
        <v>34.5</v>
      </c>
      <c r="R20" s="35" t="n">
        <f aca="false">INDEX(MW_New,1,13)</f>
        <v>84.7298</v>
      </c>
      <c r="S20" s="35" t="n">
        <f aca="false">INDEX(MW_New,1,14)</f>
        <v>152.07275</v>
      </c>
      <c r="T20" s="35" t="n">
        <f aca="false">INDEX(MW_New,1,15)</f>
        <v>175.74455</v>
      </c>
      <c r="U20" s="35" t="n">
        <f aca="false">INDEX(MW_New,1,16)</f>
        <v>183.0705</v>
      </c>
      <c r="V20" s="35" t="n">
        <f aca="false">INDEX(MW_New,1,17)</f>
        <v>269.3035</v>
      </c>
      <c r="W20" s="35" t="n">
        <f aca="false">INDEX(MW_New,1,18)</f>
        <v>91.0815</v>
      </c>
      <c r="X20" s="35" t="n">
        <f aca="false">INDEX(MW_New,1,19)</f>
        <v>153.4595</v>
      </c>
      <c r="Y20" s="35" t="n">
        <f aca="false">INDEX(MW_New,1,20)</f>
        <v>12.5</v>
      </c>
      <c r="Z20" s="35" t="n">
        <f aca="false">INDEX(MW_New,1,21)</f>
        <v>313.7755</v>
      </c>
      <c r="AA20" s="35" t="n">
        <f aca="false">INDEX(MW_New,1,22)</f>
        <v>0</v>
      </c>
      <c r="AB20" s="35" t="n">
        <f aca="false">INDEX(MW_New,1,23)</f>
        <v>311.094</v>
      </c>
      <c r="AC20" s="35" t="n">
        <f aca="false">INDEX(MW_New,1,24)</f>
        <v>0</v>
      </c>
      <c r="AD20" s="35" t="n">
        <f aca="false">INDEX(MW_New,1,25)</f>
        <v>445.555</v>
      </c>
      <c r="AE20" s="35" t="n">
        <f aca="false">INDEX(MW_New,1,26)</f>
        <v>0</v>
      </c>
      <c r="AF20" s="35" t="n">
        <f aca="false">INDEX(MW_New,1,27)</f>
        <v>0</v>
      </c>
      <c r="AG20" s="35" t="n">
        <f aca="false">INDEX(MW_New,1,28)</f>
        <v>0</v>
      </c>
      <c r="AI20" s="35" t="n">
        <f aca="false">SUMIF($F$7:$AG$7,AI$7,$F20:$AG20)</f>
        <v>5</v>
      </c>
      <c r="AJ20" s="35" t="n">
        <f aca="false">SUMIF($F$7:$AG$7,AJ$7,$F20:$AG20)</f>
        <v>110.59845</v>
      </c>
      <c r="AK20" s="35" t="n">
        <f aca="false">SUMIF($F$7:$AG$7,AK$7,$F20:$AG20)</f>
        <v>78.66375</v>
      </c>
      <c r="AL20" s="35" t="n">
        <f aca="false">SUMIF($F$7:$AG$7,AL$7,$F20:$AG20)</f>
        <v>595.6176</v>
      </c>
      <c r="AM20" s="35" t="n">
        <f aca="false">SUMIF($F$7:$AG$7,AM$7,$F20:$AG20)</f>
        <v>526.3445</v>
      </c>
      <c r="AN20" s="35" t="n">
        <f aca="false">SUMIF($F$7:$AG$7,AN$7,$F20:$AG20)</f>
        <v>624.8695</v>
      </c>
      <c r="AO20" s="35" t="n">
        <f aca="false">SUMIF($F$7:$AG$7,AO$7,$F20:$AG20)</f>
        <v>445.555</v>
      </c>
    </row>
    <row r="21" customFormat="false" ht="15" hidden="false" customHeight="false" outlineLevel="0" collapsed="false">
      <c r="A21" s="112" t="s">
        <v>2384</v>
      </c>
      <c r="B21" s="24" t="s">
        <v>751</v>
      </c>
      <c r="C21" s="24" t="s">
        <v>1595</v>
      </c>
      <c r="D21" s="24"/>
      <c r="F21" s="124" t="n">
        <f aca="false">INDEX(MW_OwnSh,1,1)</f>
        <v>1</v>
      </c>
      <c r="G21" s="124" t="n">
        <f aca="false">INDEX(MW_OwnSh,1,2)</f>
        <v>1</v>
      </c>
      <c r="H21" s="124" t="n">
        <f aca="false">INDEX(MW_OwnSh,1,3)</f>
        <v>1</v>
      </c>
      <c r="I21" s="124" t="n">
        <f aca="false">INDEX(MW_OwnSh,1,4)</f>
        <v>0.819673609232711</v>
      </c>
      <c r="J21" s="124" t="n">
        <f aca="false">INDEX(MW_OwnSh,1,5)</f>
        <v>0.476192970509664</v>
      </c>
      <c r="K21" s="124" t="n">
        <f aca="false">INDEX(MW_OwnSh,1,6)</f>
        <v>0.476192970509664</v>
      </c>
      <c r="L21" s="124" t="n">
        <f aca="false">INDEX(MW_OwnSh,1,7)</f>
        <v>0.576925517737398</v>
      </c>
      <c r="M21" s="124" t="n">
        <f aca="false">INDEX(MW_OwnSh,1,8)</f>
        <v>0.410759875496969</v>
      </c>
      <c r="N21" s="124" t="n">
        <f aca="false">INDEX(MW_OwnSh,1,9)</f>
        <v>0.398752088576096</v>
      </c>
      <c r="O21" s="124" t="n">
        <f aca="false">INDEX(MW_OwnSh,1,10)</f>
        <v>0.373623826440616</v>
      </c>
      <c r="P21" s="27" t="n">
        <f aca="false">INDEX(MW_OwnSh,1,11)</f>
        <v>0.314219983713513</v>
      </c>
      <c r="Q21" s="27" t="n">
        <f aca="false">INDEX(MW_OwnSh,1,12)</f>
        <v>0.225979759346015</v>
      </c>
      <c r="R21" s="27" t="n">
        <f aca="false">INDEX(MW_OwnSh,1,13)</f>
        <v>0.170653531434263</v>
      </c>
      <c r="S21" s="27" t="n">
        <f aca="false">INDEX(MW_OwnSh,1,14)</f>
        <v>0.161893633541359</v>
      </c>
      <c r="T21" s="27" t="n">
        <f aca="false">INDEX(MW_OwnSh,1,15)</f>
        <v>0.212511627695198</v>
      </c>
      <c r="U21" s="27" t="n">
        <f aca="false">INDEX(MW_OwnSh,1,16)</f>
        <v>0.300708709072874</v>
      </c>
      <c r="V21" s="27" t="n">
        <f aca="false">INDEX(MW_OwnSh,1,17)</f>
        <v>0.344351365307343</v>
      </c>
      <c r="W21" s="27" t="n">
        <f aca="false">INDEX(MW_OwnSh,1,18)</f>
        <v>0.420204488395281</v>
      </c>
      <c r="X21" s="27" t="n">
        <f aca="false">INDEX(MW_OwnSh,1,19)</f>
        <v>0.416281601772371</v>
      </c>
      <c r="Y21" s="27" t="n">
        <f aca="false">INDEX(MW_OwnSh,1,20)</f>
        <v>0.499177632026772</v>
      </c>
      <c r="Z21" s="27" t="n">
        <f aca="false">INDEX(MW_OwnSh,1,21)</f>
        <v>0.499177632026772</v>
      </c>
      <c r="AA21" s="27" t="n">
        <f aca="false">INDEX(MW_OwnSh,1,22)</f>
        <v>0.578514195767201</v>
      </c>
      <c r="AB21" s="27" t="n">
        <f aca="false">INDEX(MW_OwnSh,1,23)</f>
        <v>0.578514195767201</v>
      </c>
      <c r="AC21" s="27" t="n">
        <f aca="false">INDEX(MW_OwnSh,1,24)</f>
        <v>0.656457648396392</v>
      </c>
      <c r="AD21" s="27" t="n">
        <f aca="false">INDEX(MW_OwnSh,1,25)</f>
        <v>0.656457648396392</v>
      </c>
      <c r="AE21" s="27" t="n">
        <f aca="false">INDEX(MW_OwnSh,1,26)</f>
        <v>0.656457648396392</v>
      </c>
      <c r="AF21" s="27" t="n">
        <f aca="false">INDEX(MW_OwnSh,1,27)</f>
        <v>0.656457648396392</v>
      </c>
      <c r="AG21" s="27" t="n">
        <f aca="false">INDEX(MW_OwnSh,1,28)</f>
        <v>0.708659029686359</v>
      </c>
      <c r="AI21" s="27" t="n">
        <f aca="false">AVERAGEIF($F$7:$AG$7,AI$7,$F21:$AG21)</f>
        <v>0.954918402308178</v>
      </c>
      <c r="AJ21" s="27" t="n">
        <f aca="false">AVERAGEIF($F$7:$AG$7,AJ$7,$F21:$AG21)</f>
        <v>0.485017833563424</v>
      </c>
      <c r="AK21" s="27" t="n">
        <f aca="false">AVERAGEIF($F$7:$AG$7,AK$7,$F21:$AG21)</f>
        <v>0.32814391451906</v>
      </c>
      <c r="AL21" s="27" t="n">
        <f aca="false">AVERAGEIF($F$7:$AG$7,AL$7,$F21:$AG21)</f>
        <v>0.211441875435924</v>
      </c>
      <c r="AM21" s="27" t="n">
        <f aca="false">AVERAGEIF($F$7:$AG$7,AM$7,$F21:$AG21)</f>
        <v>0.420003771875442</v>
      </c>
      <c r="AN21" s="27" t="n">
        <f aca="false">AVERAGEIF($F$7:$AG$7,AN$7,$F21:$AG21)</f>
        <v>0.578165917989392</v>
      </c>
      <c r="AO21" s="27" t="n">
        <f aca="false">AVERAGEIF($F$7:$AG$7,AO$7,$F21:$AG21)</f>
        <v>0.669507993718884</v>
      </c>
    </row>
    <row r="22" customFormat="false" ht="15" hidden="false" customHeight="false" outlineLevel="0" collapsed="false">
      <c r="A22" s="112" t="s">
        <v>2385</v>
      </c>
      <c r="B22" s="24" t="s">
        <v>745</v>
      </c>
      <c r="C22" s="24" t="s">
        <v>736</v>
      </c>
      <c r="D22" s="24"/>
      <c r="F22" s="130" t="n">
        <f aca="false">INDEX(H_Capex,1,1)</f>
        <v>130</v>
      </c>
      <c r="G22" s="130" t="n">
        <f aca="false">INDEX(H_Capex,1,2)</f>
        <v>130</v>
      </c>
      <c r="H22" s="130" t="n">
        <f aca="false">INDEX(H_Capex,1,3)</f>
        <v>129.9</v>
      </c>
      <c r="I22" s="130" t="n">
        <f aca="false">INDEX(H_Capex,1,4)</f>
        <v>417.6</v>
      </c>
      <c r="J22" s="130" t="n">
        <f aca="false">INDEX(H_Capex,1,5)</f>
        <v>544</v>
      </c>
      <c r="K22" s="130" t="n">
        <f aca="false">INDEX(H_Capex,1,6)</f>
        <v>510.6</v>
      </c>
      <c r="L22" s="130" t="n">
        <f aca="false">INDEX(H_Capex,1,7)</f>
        <v>955.5</v>
      </c>
      <c r="M22" s="130" t="n">
        <f aca="false">INDEX(H_Capex,1,8)</f>
        <v>2056</v>
      </c>
      <c r="N22" s="130" t="n">
        <f aca="false">INDEX(H_Capex,1,9)</f>
        <v>2472.9</v>
      </c>
      <c r="O22" s="130" t="n">
        <f aca="false">INDEX(H_Capex,1,10)</f>
        <v>5657.4</v>
      </c>
      <c r="AI22" s="131" t="n">
        <f aca="false">SUMIF($F$7:$AG$7,AI$7,$F22:$AG22)</f>
        <v>807.5</v>
      </c>
      <c r="AJ22" s="131" t="n">
        <f aca="false">SUMIF($F$7:$AG$7,AJ$7,$F22:$AG22)</f>
        <v>4066.1</v>
      </c>
      <c r="AK22" s="131" t="n">
        <f aca="false">SUMIF($F$7:$AG$7,AK$7,$F22:$AG22)</f>
        <v>8130.3</v>
      </c>
      <c r="AL22" s="131" t="n">
        <f aca="false">SUMIF($F$7:$AG$7,AL$7,$F22:$AG22)</f>
        <v>0</v>
      </c>
      <c r="AM22" s="131" t="n">
        <f aca="false">SUMIF($F$7:$AG$7,AM$7,$F22:$AG22)</f>
        <v>0</v>
      </c>
      <c r="AN22" s="131" t="n">
        <f aca="false">SUMIF($F$7:$AG$7,AN$7,$F22:$AG22)</f>
        <v>0</v>
      </c>
      <c r="AO22" s="131" t="n">
        <f aca="false">SUMIF($F$7:$AG$7,AO$7,$F22:$AG22)</f>
        <v>0</v>
      </c>
    </row>
    <row r="23" customFormat="false" ht="15" hidden="false" customHeight="false" outlineLevel="0" collapsed="false">
      <c r="A23" s="112" t="s">
        <v>2386</v>
      </c>
      <c r="B23" s="24" t="s">
        <v>745</v>
      </c>
      <c r="C23" s="24" t="s">
        <v>672</v>
      </c>
      <c r="D23" s="24" t="s">
        <v>2387</v>
      </c>
      <c r="E23" s="131" t="n">
        <f aca="false">OpenGPU_H</f>
        <v>142.4</v>
      </c>
      <c r="F23" s="130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30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30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30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30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30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30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30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30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30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31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31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31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31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31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31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31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31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31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31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31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31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31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31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31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31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31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31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31" t="n">
        <f aca="false">SUMIF($F$7:$AG$7,AI$7,$F23:$AG23)</f>
        <v>646</v>
      </c>
      <c r="AJ23" s="131" t="n">
        <f aca="false">SUMIF($F$7:$AG$7,AJ$7,$F23:$AG23)</f>
        <v>1951.728</v>
      </c>
      <c r="AK23" s="131" t="n">
        <f aca="false">SUMIF($F$7:$AG$7,AK$7,$F23:$AG23)</f>
        <v>650.424</v>
      </c>
      <c r="AL23" s="131" t="n">
        <f aca="false">SUMIF($F$7:$AG$7,AL$7,$F23:$AG23)</f>
        <v>0</v>
      </c>
      <c r="AM23" s="131" t="n">
        <f aca="false">SUMIF($F$7:$AG$7,AM$7,$F23:$AG23)</f>
        <v>0</v>
      </c>
      <c r="AN23" s="131" t="n">
        <f aca="false">SUMIF($F$7:$AG$7,AN$7,$F23:$AG23)</f>
        <v>0</v>
      </c>
      <c r="AO23" s="131" t="n">
        <f aca="false">SUMIF($F$7:$AG$7,AO$7,$F23:$AG23)</f>
        <v>0</v>
      </c>
    </row>
    <row r="24" customFormat="false" ht="15" hidden="false" customHeight="false" outlineLevel="0" collapsed="false">
      <c r="A24" s="112" t="s">
        <v>2388</v>
      </c>
      <c r="B24" s="24" t="s">
        <v>745</v>
      </c>
      <c r="C24" s="24" t="s">
        <v>672</v>
      </c>
      <c r="D24" s="24" t="s">
        <v>2387</v>
      </c>
      <c r="E24" s="131" t="n">
        <f aca="false">0</f>
        <v>0</v>
      </c>
      <c r="F24" s="130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30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30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30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30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30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30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30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30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30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31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31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31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31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31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31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31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31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31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31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31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31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31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31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31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31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31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31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31" t="n">
        <f aca="false">SUMIF($F$7:$AG$7,AI$7,$F24:$AG24)</f>
        <v>0</v>
      </c>
      <c r="AJ24" s="131" t="n">
        <f aca="false">SUMIF($F$7:$AG$7,AJ$7,$F24:$AG24)</f>
        <v>1301.152</v>
      </c>
      <c r="AK24" s="131" t="n">
        <f aca="false">SUMIF($F$7:$AG$7,AK$7,$F24:$AG24)</f>
        <v>14151.3121548388</v>
      </c>
      <c r="AL24" s="131" t="n">
        <f aca="false">SUMIF($F$7:$AG$7,AL$7,$F24:$AG24)</f>
        <v>14940.434401232</v>
      </c>
      <c r="AM24" s="131" t="n">
        <f aca="false">SUMIF($F$7:$AG$7,AM$7,$F24:$AG24)</f>
        <v>2586.63928572554</v>
      </c>
      <c r="AN24" s="131" t="n">
        <f aca="false">SUMIF($F$7:$AG$7,AN$7,$F24:$AG24)</f>
        <v>0</v>
      </c>
      <c r="AO24" s="131" t="n">
        <f aca="false">SUMIF($F$7:$AG$7,AO$7,$F24:$AG24)</f>
        <v>0</v>
      </c>
    </row>
    <row r="25" customFormat="false" ht="15" hidden="false" customHeight="false" outlineLevel="0" collapsed="false">
      <c r="A25" s="112" t="s">
        <v>2389</v>
      </c>
      <c r="B25" s="24" t="s">
        <v>745</v>
      </c>
      <c r="C25" s="24" t="s">
        <v>672</v>
      </c>
      <c r="D25" s="24" t="s">
        <v>2387</v>
      </c>
      <c r="E25" s="131" t="n">
        <f aca="false">0</f>
        <v>0</v>
      </c>
      <c r="F25" s="130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30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30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30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30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30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30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30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30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30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31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31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31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31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31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31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31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31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31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31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31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31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31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31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31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31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31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31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31" t="n">
        <f aca="false">SUMIF($F$7:$AG$7,AI$7,$F25:$AG25)</f>
        <v>0</v>
      </c>
      <c r="AJ25" s="131" t="n">
        <f aca="false">SUMIF($F$7:$AG$7,AJ$7,$F25:$AG25)</f>
        <v>0</v>
      </c>
      <c r="AK25" s="131" t="n">
        <f aca="false">SUMIF($F$7:$AG$7,AK$7,$F25:$AG25)</f>
        <v>268.020677661185</v>
      </c>
      <c r="AL25" s="131" t="n">
        <f aca="false">SUMIF($F$7:$AG$7,AL$7,$F25:$AG25)</f>
        <v>12595.217016268</v>
      </c>
      <c r="AM25" s="131" t="n">
        <f aca="false">SUMIF($F$7:$AG$7,AM$7,$F25:$AG25)</f>
        <v>16497.8557142745</v>
      </c>
      <c r="AN25" s="131" t="n">
        <f aca="false">SUMIF($F$7:$AG$7,AN$7,$F25:$AG25)</f>
        <v>30341.6249</v>
      </c>
      <c r="AO25" s="131" t="n">
        <f aca="false">SUMIF($F$7:$AG$7,AO$7,$F25:$AG25)</f>
        <v>0</v>
      </c>
    </row>
    <row r="26" customFormat="false" ht="15" hidden="false" customHeight="false" outlineLevel="0" collapsed="false">
      <c r="A26" s="112" t="s">
        <v>2390</v>
      </c>
      <c r="B26" s="24" t="s">
        <v>745</v>
      </c>
      <c r="C26" s="24" t="s">
        <v>672</v>
      </c>
      <c r="D26" s="24" t="s">
        <v>2391</v>
      </c>
      <c r="E26" s="131" t="n">
        <f aca="false">0</f>
        <v>0</v>
      </c>
      <c r="F26" s="130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30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30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30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30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30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30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30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30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30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31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31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31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31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31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31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31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31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31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31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31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31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31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31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31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31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31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31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31" t="n">
        <f aca="false">SUMIF($F$7:$AG$7,AI$7,$F26:$AG26)</f>
        <v>64.6</v>
      </c>
      <c r="AJ26" s="131" t="n">
        <f aca="false">SUMIF($F$7:$AG$7,AJ$7,$F26:$AG26)</f>
        <v>325.288</v>
      </c>
      <c r="AK26" s="131" t="n">
        <f aca="false">SUMIF($F$7:$AG$7,AK$7,$F26:$AG26)</f>
        <v>776.932125</v>
      </c>
      <c r="AL26" s="131" t="n">
        <f aca="false">SUMIF($F$7:$AG$7,AL$7,$F26:$AG26)</f>
        <v>1707.98625</v>
      </c>
      <c r="AM26" s="131" t="n">
        <f aca="false">SUMIF($F$7:$AG$7,AM$7,$F26:$AG26)</f>
        <v>2170.190625</v>
      </c>
      <c r="AN26" s="131" t="n">
        <f aca="false">SUMIF($F$7:$AG$7,AN$7,$F26:$AG26)</f>
        <v>1670.83125</v>
      </c>
      <c r="AO26" s="131" t="n">
        <f aca="false">SUMIF($F$7:$AG$7,AO$7,$F26:$AG26)</f>
        <v>0</v>
      </c>
    </row>
    <row r="27" customFormat="false" ht="15" hidden="false" customHeight="false" outlineLevel="0" collapsed="false">
      <c r="A27" s="112" t="s">
        <v>2392</v>
      </c>
      <c r="B27" s="24" t="s">
        <v>745</v>
      </c>
      <c r="C27" s="24" t="s">
        <v>672</v>
      </c>
      <c r="D27" s="24" t="s">
        <v>2393</v>
      </c>
      <c r="E27" s="131" t="n">
        <f aca="false">0</f>
        <v>0</v>
      </c>
      <c r="F27" s="130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30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30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30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30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30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30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30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30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30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31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31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31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31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31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31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31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31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31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31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31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31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31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31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31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31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31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31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31" t="n">
        <f aca="false">SUMIF($F$7:$AG$7,AI$7,$F27:$AG27)</f>
        <v>96.9</v>
      </c>
      <c r="AJ27" s="131" t="n">
        <f aca="false">SUMIF($F$7:$AG$7,AJ$7,$F27:$AG27)</f>
        <v>487.932</v>
      </c>
      <c r="AK27" s="131" t="n">
        <f aca="false">SUMIF($F$7:$AG$7,AK$7,$F27:$AG27)</f>
        <v>1270.821625</v>
      </c>
      <c r="AL27" s="131" t="n">
        <f aca="false">SUMIF($F$7:$AG$7,AL$7,$F27:$AG27)</f>
        <v>3985.30125</v>
      </c>
      <c r="AM27" s="131" t="n">
        <f aca="false">SUMIF($F$7:$AG$7,AM$7,$F27:$AG27)</f>
        <v>5063.778125</v>
      </c>
      <c r="AN27" s="131" t="n">
        <f aca="false">SUMIF($F$7:$AG$7,AN$7,$F27:$AG27)</f>
        <v>3898.60625</v>
      </c>
      <c r="AO27" s="131" t="n">
        <f aca="false">SUMIF($F$7:$AG$7,AO$7,$F27:$AG27)</f>
        <v>0</v>
      </c>
    </row>
    <row r="28" customFormat="false" ht="15" hidden="false" customHeight="false" outlineLevel="0" collapsed="false">
      <c r="A28" s="112" t="s">
        <v>1185</v>
      </c>
      <c r="B28" s="24" t="s">
        <v>745</v>
      </c>
      <c r="C28" s="24" t="s">
        <v>672</v>
      </c>
      <c r="D28" s="24" t="s">
        <v>2394</v>
      </c>
      <c r="E28" s="131" t="n">
        <f aca="false">0</f>
        <v>0</v>
      </c>
      <c r="F28" s="130" t="n">
        <f aca="false">IF(F$5&lt;=LastHist,0,MaintPct*INDEX(Rev,1,1))</f>
        <v>0</v>
      </c>
      <c r="G28" s="130" t="n">
        <f aca="false">IF(G$5&lt;=LastHist,0,MaintPct*INDEX(Rev,1,2))</f>
        <v>0</v>
      </c>
      <c r="H28" s="130" t="n">
        <f aca="false">IF(H$5&lt;=LastHist,0,MaintPct*INDEX(Rev,1,3))</f>
        <v>0</v>
      </c>
      <c r="I28" s="130" t="n">
        <f aca="false">IF(I$5&lt;=LastHist,0,MaintPct*INDEX(Rev,1,4))</f>
        <v>0</v>
      </c>
      <c r="J28" s="130" t="n">
        <f aca="false">IF(J$5&lt;=LastHist,0,MaintPct*INDEX(Rev,1,5))</f>
        <v>0</v>
      </c>
      <c r="K28" s="130" t="n">
        <f aca="false">IF(K$5&lt;=LastHist,0,MaintPct*INDEX(Rev,1,6))</f>
        <v>0</v>
      </c>
      <c r="L28" s="130" t="n">
        <f aca="false">IF(L$5&lt;=LastHist,0,MaintPct*INDEX(Rev,1,7))</f>
        <v>0</v>
      </c>
      <c r="M28" s="130" t="n">
        <f aca="false">IF(M$5&lt;=LastHist,0,MaintPct*INDEX(Rev,1,8))</f>
        <v>0</v>
      </c>
      <c r="N28" s="130" t="n">
        <f aca="false">IF(N$5&lt;=LastHist,0,MaintPct*INDEX(Rev,1,9))</f>
        <v>0</v>
      </c>
      <c r="O28" s="130" t="n">
        <f aca="false">IF(O$5&lt;=LastHist,0,MaintPct*INDEX(Rev,1,10))</f>
        <v>0</v>
      </c>
      <c r="P28" s="131" t="n">
        <f aca="false">IF(P$5&lt;=LastHist,0,MaintPct*INDEX(Rev,1,11))</f>
        <v>13.4937281536188</v>
      </c>
      <c r="Q28" s="131" t="n">
        <f aca="false">IF(Q$5&lt;=LastHist,0,MaintPct*INDEX(Rev,1,12))</f>
        <v>16.1818626779033</v>
      </c>
      <c r="R28" s="131" t="n">
        <f aca="false">IF(R$5&lt;=LastHist,0,MaintPct*INDEX(Rev,1,13))</f>
        <v>20.552945819303</v>
      </c>
      <c r="S28" s="131" t="n">
        <f aca="false">IF(S$5&lt;=LastHist,0,MaintPct*INDEX(Rev,1,14))</f>
        <v>32.6626101745016</v>
      </c>
      <c r="T28" s="131" t="n">
        <f aca="false">IF(T$5&lt;=LastHist,0,MaintPct*INDEX(Rev,1,15))</f>
        <v>49.2442342015971</v>
      </c>
      <c r="U28" s="131" t="n">
        <f aca="false">IF(U$5&lt;=LastHist,0,MaintPct*INDEX(Rev,1,16))</f>
        <v>61.7250176497995</v>
      </c>
      <c r="V28" s="131" t="n">
        <f aca="false">IF(V$5&lt;=LastHist,0,MaintPct*INDEX(Rev,1,17))</f>
        <v>80.2778119962068</v>
      </c>
      <c r="W28" s="131" t="n">
        <f aca="false">IF(W$5&lt;=LastHist,0,MaintPct*INDEX(Rev,1,18))</f>
        <v>94.961390569923</v>
      </c>
      <c r="X28" s="131" t="n">
        <f aca="false">IF(X$5&lt;=LastHist,0,MaintPct*INDEX(Rev,1,19))</f>
        <v>105.846597506966</v>
      </c>
      <c r="Y28" s="131" t="n">
        <f aca="false">IF(Y$5&lt;=LastHist,0,MaintPct*INDEX(Rev,1,20))</f>
        <v>113.250132562691</v>
      </c>
      <c r="Z28" s="131" t="n">
        <f aca="false">IF(Z$5&lt;=LastHist,0,MaintPct*INDEX(Rev,1,21))</f>
        <v>127.648407158234</v>
      </c>
      <c r="AA28" s="131" t="n">
        <f aca="false">IF(AA$5&lt;=LastHist,0,MaintPct*INDEX(Rev,1,22))</f>
        <v>141.973856001556</v>
      </c>
      <c r="AB28" s="131" t="n">
        <f aca="false">IF(AB$5&lt;=LastHist,0,MaintPct*INDEX(Rev,1,23))</f>
        <v>156.080896719957</v>
      </c>
      <c r="AC28" s="131" t="n">
        <f aca="false">IF(AC$5&lt;=LastHist,0,MaintPct*INDEX(Rev,1,24))</f>
        <v>170.495753325632</v>
      </c>
      <c r="AD28" s="131" t="n">
        <f aca="false">IF(AD$5&lt;=LastHist,0,MaintPct*INDEX(Rev,1,25))</f>
        <v>189.828621373967</v>
      </c>
      <c r="AE28" s="131" t="n">
        <f aca="false">IF(AE$5&lt;=LastHist,0,MaintPct*INDEX(Rev,1,26))</f>
        <v>209.702813510218</v>
      </c>
      <c r="AF28" s="131" t="n">
        <f aca="false">IF(AF$5&lt;=LastHist,0,MaintPct*INDEX(Rev,1,27))</f>
        <v>209.01934525923</v>
      </c>
      <c r="AG28" s="131" t="n">
        <f aca="false">IF(AG$5&lt;=LastHist,0,MaintPct*INDEX(Rev,1,28))</f>
        <v>211.308224927832</v>
      </c>
      <c r="AI28" s="131" t="n">
        <f aca="false">SUMIF($F$7:$AG$7,AI$7,$F28:$AG28)</f>
        <v>0</v>
      </c>
      <c r="AJ28" s="131" t="n">
        <f aca="false">SUMIF($F$7:$AG$7,AJ$7,$F28:$AG28)</f>
        <v>0</v>
      </c>
      <c r="AK28" s="131" t="n">
        <f aca="false">SUMIF($F$7:$AG$7,AK$7,$F28:$AG28)</f>
        <v>29.6755908315222</v>
      </c>
      <c r="AL28" s="131" t="n">
        <f aca="false">SUMIF($F$7:$AG$7,AL$7,$F28:$AG28)</f>
        <v>164.184807845201</v>
      </c>
      <c r="AM28" s="131" t="n">
        <f aca="false">SUMIF($F$7:$AG$7,AM$7,$F28:$AG28)</f>
        <v>394.335932635787</v>
      </c>
      <c r="AN28" s="131" t="n">
        <f aca="false">SUMIF($F$7:$AG$7,AN$7,$F28:$AG28)</f>
        <v>596.198913205378</v>
      </c>
      <c r="AO28" s="131" t="n">
        <f aca="false">SUMIF($F$7:$AG$7,AO$7,$F28:$AG28)</f>
        <v>819.859005071247</v>
      </c>
    </row>
    <row r="29" customFormat="false" ht="15" hidden="false" customHeight="false" outlineLevel="0" collapsed="false">
      <c r="A29" s="112" t="s">
        <v>2395</v>
      </c>
      <c r="B29" s="24" t="s">
        <v>745</v>
      </c>
      <c r="C29" s="24" t="s">
        <v>736</v>
      </c>
      <c r="D29" s="24" t="s">
        <v>2396</v>
      </c>
      <c r="F29" s="130" t="n">
        <f aca="false">IF(F$5&lt;=LastHist,0,(1-StopBuild)*LeasePrepayOn*LeasePrepay*IF(F$5+DCLead-EnLag&gt;LastHist,INDEX(EnNewL,1,MAX(1,MIN(28,F$5+DCLead-EnLag))),0))</f>
        <v>0</v>
      </c>
      <c r="G29" s="130" t="n">
        <f aca="false">IF(G$5&lt;=LastHist,0,(1-StopBuild)*LeasePrepayOn*LeasePrepay*IF(G$5+DCLead-EnLag&gt;LastHist,INDEX(EnNewL,1,MAX(1,MIN(28,G$5+DCLead-EnLag))),0))</f>
        <v>0</v>
      </c>
      <c r="H29" s="130" t="n">
        <f aca="false">IF(H$5&lt;=LastHist,0,(1-StopBuild)*LeasePrepayOn*LeasePrepay*IF(H$5+DCLead-EnLag&gt;LastHist,INDEX(EnNewL,1,MAX(1,MIN(28,H$5+DCLead-EnLag))),0))</f>
        <v>0</v>
      </c>
      <c r="I29" s="130" t="n">
        <f aca="false">IF(I$5&lt;=LastHist,0,(1-StopBuild)*LeasePrepayOn*LeasePrepay*IF(I$5+DCLead-EnLag&gt;LastHist,INDEX(EnNewL,1,MAX(1,MIN(28,I$5+DCLead-EnLag))),0))</f>
        <v>0</v>
      </c>
      <c r="J29" s="130" t="n">
        <f aca="false">IF(J$5&lt;=LastHist,0,(1-StopBuild)*LeasePrepayOn*LeasePrepay*IF(J$5+DCLead-EnLag&gt;LastHist,INDEX(EnNewL,1,MAX(1,MIN(28,J$5+DCLead-EnLag))),0))</f>
        <v>0</v>
      </c>
      <c r="K29" s="130" t="n">
        <f aca="false">IF(K$5&lt;=LastHist,0,(1-StopBuild)*LeasePrepayOn*LeasePrepay*IF(K$5+DCLead-EnLag&gt;LastHist,INDEX(EnNewL,1,MAX(1,MIN(28,K$5+DCLead-EnLag))),0))</f>
        <v>0</v>
      </c>
      <c r="L29" s="130" t="n">
        <f aca="false">IF(L$5&lt;=LastHist,0,(1-StopBuild)*LeasePrepayOn*LeasePrepay*IF(L$5+DCLead-EnLag&gt;LastHist,INDEX(EnNewL,1,MAX(1,MIN(28,L$5+DCLead-EnLag))),0))</f>
        <v>0</v>
      </c>
      <c r="M29" s="130" t="n">
        <f aca="false">IF(M$5&lt;=LastHist,0,(1-StopBuild)*LeasePrepayOn*LeasePrepay*IF(M$5+DCLead-EnLag&gt;LastHist,INDEX(EnNewL,1,MAX(1,MIN(28,M$5+DCLead-EnLag))),0))</f>
        <v>0</v>
      </c>
      <c r="N29" s="130" t="n">
        <f aca="false">IF(N$5&lt;=LastHist,0,(1-StopBuild)*LeasePrepayOn*LeasePrepay*IF(N$5+DCLead-EnLag&gt;LastHist,INDEX(EnNewL,1,MAX(1,MIN(28,N$5+DCLead-EnLag))),0))</f>
        <v>0</v>
      </c>
      <c r="O29" s="130" t="n">
        <f aca="false">IF(O$5&lt;=LastHist,0,(1-StopBuild)*LeasePrepayOn*LeasePrepay*IF(O$5+DCLead-EnLag&gt;LastHist,INDEX(EnNewL,1,MAX(1,MIN(28,O$5+DCLead-EnLag))),0))</f>
        <v>0</v>
      </c>
      <c r="P29" s="131" t="n">
        <f aca="false">IF(P$5&lt;=LastHist,0,(1-StopBuild)*LeasePrepayOn*LeasePrepay*IF(P$5+DCLead-EnLag&gt;LastHist,INDEX(EnNewL,1,MAX(1,MIN(28,P$5+DCLead-EnLag))),0))</f>
        <v>228.5024</v>
      </c>
      <c r="Q29" s="131" t="n">
        <f aca="false">IF(Q$5&lt;=LastHist,0,(1-StopBuild)*LeasePrepayOn*LeasePrepay*IF(Q$5+DCLead-EnLag&gt;LastHist,INDEX(EnNewL,1,MAX(1,MIN(28,Q$5+DCLead-EnLag))),0))</f>
        <v>242.02848</v>
      </c>
      <c r="R29" s="131" t="n">
        <f aca="false">IF(R$5&lt;=LastHist,0,(1-StopBuild)*LeasePrepayOn*LeasePrepay*IF(R$5+DCLead-EnLag&gt;LastHist,INDEX(EnNewL,1,MAX(1,MIN(28,R$5+DCLead-EnLag))),0))</f>
        <v>179.68</v>
      </c>
      <c r="S29" s="131" t="n">
        <f aca="false">IF(S$5&lt;=LastHist,0,(1-StopBuild)*LeasePrepayOn*LeasePrepay*IF(S$5+DCLead-EnLag&gt;LastHist,INDEX(EnNewL,1,MAX(1,MIN(28,S$5+DCLead-EnLag))),0))</f>
        <v>186.6432</v>
      </c>
      <c r="T29" s="131" t="n">
        <f aca="false">IF(T$5&lt;=LastHist,0,(1-StopBuild)*LeasePrepayOn*LeasePrepay*IF(T$5+DCLead-EnLag&gt;LastHist,INDEX(EnNewL,1,MAX(1,MIN(28,T$5+DCLead-EnLag))),0))</f>
        <v>20</v>
      </c>
      <c r="U29" s="131" t="n">
        <f aca="false">IF(U$5&lt;=LastHist,0,(1-StopBuild)*LeasePrepayOn*LeasePrepay*IF(U$5+DCLead-EnLag&gt;LastHist,INDEX(EnNewL,1,MAX(1,MIN(28,U$5+DCLead-EnLag))),0))</f>
        <v>0</v>
      </c>
      <c r="V29" s="131" t="n">
        <f aca="false">IF(V$5&lt;=LastHist,0,(1-StopBuild)*LeasePrepayOn*LeasePrepay*IF(V$5+DCLead-EnLag&gt;LastHist,INDEX(EnNewL,1,MAX(1,MIN(28,V$5+DCLead-EnLag))),0))</f>
        <v>20</v>
      </c>
      <c r="W29" s="131" t="n">
        <f aca="false">IF(W$5&lt;=LastHist,0,(1-StopBuild)*LeasePrepayOn*LeasePrepay*IF(W$5+DCLead-EnLag&gt;LastHist,INDEX(EnNewL,1,MAX(1,MIN(28,W$5+DCLead-EnLag))),0))</f>
        <v>73.8432</v>
      </c>
      <c r="X29" s="131" t="n">
        <f aca="false">IF(X$5&lt;=LastHist,0,(1-StopBuild)*LeasePrepayOn*LeasePrepay*IF(X$5+DCLead-EnLag&gt;LastHist,INDEX(EnNewL,1,MAX(1,MIN(28,X$5+DCLead-EnLag))),0))</f>
        <v>0</v>
      </c>
      <c r="Y29" s="131" t="n">
        <f aca="false">IF(Y$5&lt;=LastHist,0,(1-StopBuild)*LeasePrepayOn*LeasePrepay*IF(Y$5+DCLead-EnLag&gt;LastHist,INDEX(EnNewL,1,MAX(1,MIN(28,Y$5+DCLead-EnLag))),0))</f>
        <v>0</v>
      </c>
      <c r="Z29" s="131" t="n">
        <f aca="false">IF(Z$5&lt;=LastHist,0,(1-StopBuild)*LeasePrepayOn*LeasePrepay*IF(Z$5+DCLead-EnLag&gt;LastHist,INDEX(EnNewL,1,MAX(1,MIN(28,Z$5+DCLead-EnLag))),0))</f>
        <v>0</v>
      </c>
      <c r="AA29" s="131" t="n">
        <f aca="false">IF(AA$5&lt;=LastHist,0,(1-StopBuild)*LeasePrepayOn*LeasePrepay*IF(AA$5+DCLead-EnLag&gt;LastHist,INDEX(EnNewL,1,MAX(1,MIN(28,AA$5+DCLead-EnLag))),0))</f>
        <v>0</v>
      </c>
      <c r="AB29" s="131" t="n">
        <f aca="false">IF(AB$5&lt;=LastHist,0,(1-StopBuild)*LeasePrepayOn*LeasePrepay*IF(AB$5+DCLead-EnLag&gt;LastHist,INDEX(EnNewL,1,MAX(1,MIN(28,AB$5+DCLead-EnLag))),0))</f>
        <v>0</v>
      </c>
      <c r="AC29" s="131" t="n">
        <f aca="false">IF(AC$5&lt;=LastHist,0,(1-StopBuild)*LeasePrepayOn*LeasePrepay*IF(AC$5+DCLead-EnLag&gt;LastHist,INDEX(EnNewL,1,MAX(1,MIN(28,AC$5+DCLead-EnLag))),0))</f>
        <v>0</v>
      </c>
      <c r="AD29" s="131" t="n">
        <f aca="false">IF(AD$5&lt;=LastHist,0,(1-StopBuild)*LeasePrepayOn*LeasePrepay*IF(AD$5+DCLead-EnLag&gt;LastHist,INDEX(EnNewL,1,MAX(1,MIN(28,AD$5+DCLead-EnLag))),0))</f>
        <v>0</v>
      </c>
      <c r="AE29" s="131" t="n">
        <f aca="false">IF(AE$5&lt;=LastHist,0,(1-StopBuild)*LeasePrepayOn*LeasePrepay*IF(AE$5+DCLead-EnLag&gt;LastHist,INDEX(EnNewL,1,MAX(1,MIN(28,AE$5+DCLead-EnLag))),0))</f>
        <v>0</v>
      </c>
      <c r="AF29" s="131" t="n">
        <f aca="false">IF(AF$5&lt;=LastHist,0,(1-StopBuild)*LeasePrepayOn*LeasePrepay*IF(AF$5+DCLead-EnLag&gt;LastHist,INDEX(EnNewL,1,MAX(1,MIN(28,AF$5+DCLead-EnLag))),0))</f>
        <v>0</v>
      </c>
      <c r="AG29" s="131" t="n">
        <f aca="false">IF(AG$5&lt;=LastHist,0,(1-StopBuild)*LeasePrepayOn*LeasePrepay*IF(AG$5+DCLead-EnLag&gt;LastHist,INDEX(EnNewL,1,MAX(1,MIN(28,AG$5+DCLead-EnLag))),0))</f>
        <v>0</v>
      </c>
      <c r="AI29" s="131" t="n">
        <f aca="false">SUMIF($F$7:$AG$7,AI$7,$F29:$AG29)</f>
        <v>0</v>
      </c>
      <c r="AJ29" s="131" t="n">
        <f aca="false">SUMIF($F$7:$AG$7,AJ$7,$F29:$AG29)</f>
        <v>0</v>
      </c>
      <c r="AK29" s="131" t="n">
        <f aca="false">SUMIF($F$7:$AG$7,AK$7,$F29:$AG29)</f>
        <v>470.53088</v>
      </c>
      <c r="AL29" s="131" t="n">
        <f aca="false">SUMIF($F$7:$AG$7,AL$7,$F29:$AG29)</f>
        <v>386.3232</v>
      </c>
      <c r="AM29" s="131" t="n">
        <f aca="false">SUMIF($F$7:$AG$7,AM$7,$F29:$AG29)</f>
        <v>93.8432</v>
      </c>
      <c r="AN29" s="131" t="n">
        <f aca="false">SUMIF($F$7:$AG$7,AN$7,$F29:$AG29)</f>
        <v>0</v>
      </c>
      <c r="AO29" s="131" t="n">
        <f aca="false">SUMIF($F$7:$AG$7,AO$7,$F29:$AG29)</f>
        <v>0</v>
      </c>
    </row>
    <row r="30" customFormat="false" ht="15" hidden="false" customHeight="false" outlineLevel="0" collapsed="false">
      <c r="A30" s="112" t="s">
        <v>2397</v>
      </c>
      <c r="B30" s="24" t="s">
        <v>745</v>
      </c>
      <c r="C30" s="24" t="s">
        <v>672</v>
      </c>
      <c r="D30" s="24" t="s">
        <v>2398</v>
      </c>
      <c r="E30" s="131" t="n">
        <f aca="false">0</f>
        <v>0</v>
      </c>
      <c r="F30" s="130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30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30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30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30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30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30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30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30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30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31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31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31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31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31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31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31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31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31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31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31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31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31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31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31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31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31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31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31" t="n">
        <f aca="false">SUMIF($F$7:$AG$7,AI$7,$F30:$AG30)</f>
        <v>0</v>
      </c>
      <c r="AJ30" s="131" t="n">
        <f aca="false">SUMIF($F$7:$AG$7,AJ$7,$F30:$AG30)</f>
        <v>0</v>
      </c>
      <c r="AK30" s="131" t="n">
        <f aca="false">SUMIF($F$7:$AG$7,AK$7,$F30:$AG30)</f>
        <v>0</v>
      </c>
      <c r="AL30" s="131" t="n">
        <f aca="false">SUMIF($F$7:$AG$7,AL$7,$F30:$AG30)</f>
        <v>0</v>
      </c>
      <c r="AM30" s="131" t="n">
        <f aca="false">SUMIF($F$7:$AG$7,AM$7,$F30:$AG30)</f>
        <v>142.4</v>
      </c>
      <c r="AN30" s="131" t="n">
        <f aca="false">SUMIF($F$7:$AG$7,AN$7,$F30:$AG30)</f>
        <v>646</v>
      </c>
      <c r="AO30" s="131" t="n">
        <f aca="false">SUMIF($F$7:$AG$7,AO$7,$F30:$AG30)</f>
        <v>3252.88</v>
      </c>
    </row>
    <row r="31" customFormat="false" ht="15" hidden="false" customHeight="false" outlineLevel="0" collapsed="false">
      <c r="A31" s="112" t="s">
        <v>2399</v>
      </c>
      <c r="B31" s="24" t="s">
        <v>745</v>
      </c>
      <c r="C31" s="24" t="s">
        <v>820</v>
      </c>
      <c r="D31" s="24" t="s">
        <v>2400</v>
      </c>
      <c r="F31" s="130" t="n">
        <f aca="false">IF(F$5&lt;=LastHist,0,GPU_Resid*F30*(1-TaxRate))</f>
        <v>0</v>
      </c>
      <c r="G31" s="130" t="n">
        <f aca="false">IF(G$5&lt;=LastHist,0,GPU_Resid*G30*(1-TaxRate))</f>
        <v>0</v>
      </c>
      <c r="H31" s="130" t="n">
        <f aca="false">IF(H$5&lt;=LastHist,0,GPU_Resid*H30*(1-TaxRate))</f>
        <v>0</v>
      </c>
      <c r="I31" s="130" t="n">
        <f aca="false">IF(I$5&lt;=LastHist,0,GPU_Resid*I30*(1-TaxRate))</f>
        <v>0</v>
      </c>
      <c r="J31" s="130" t="n">
        <f aca="false">IF(J$5&lt;=LastHist,0,GPU_Resid*J30*(1-TaxRate))</f>
        <v>0</v>
      </c>
      <c r="K31" s="130" t="n">
        <f aca="false">IF(K$5&lt;=LastHist,0,GPU_Resid*K30*(1-TaxRate))</f>
        <v>0</v>
      </c>
      <c r="L31" s="130" t="n">
        <f aca="false">IF(L$5&lt;=LastHist,0,GPU_Resid*L30*(1-TaxRate))</f>
        <v>0</v>
      </c>
      <c r="M31" s="130" t="n">
        <f aca="false">IF(M$5&lt;=LastHist,0,GPU_Resid*M30*(1-TaxRate))</f>
        <v>0</v>
      </c>
      <c r="N31" s="130" t="n">
        <f aca="false">IF(N$5&lt;=LastHist,0,GPU_Resid*N30*(1-TaxRate))</f>
        <v>0</v>
      </c>
      <c r="O31" s="130" t="n">
        <f aca="false">IF(O$5&lt;=LastHist,0,GPU_Resid*O30*(1-TaxRate))</f>
        <v>0</v>
      </c>
      <c r="P31" s="131" t="n">
        <f aca="false">IF(P$5&lt;=LastHist,0,GPU_Resid*P30*(1-TaxRate))</f>
        <v>0</v>
      </c>
      <c r="Q31" s="131" t="n">
        <f aca="false">IF(Q$5&lt;=LastHist,0,GPU_Resid*Q30*(1-TaxRate))</f>
        <v>0</v>
      </c>
      <c r="R31" s="131" t="n">
        <f aca="false">IF(R$5&lt;=LastHist,0,GPU_Resid*R30*(1-TaxRate))</f>
        <v>0</v>
      </c>
      <c r="S31" s="131" t="n">
        <f aca="false">IF(S$5&lt;=LastHist,0,GPU_Resid*S30*(1-TaxRate))</f>
        <v>0</v>
      </c>
      <c r="T31" s="131" t="n">
        <f aca="false">IF(T$5&lt;=LastHist,0,GPU_Resid*T30*(1-TaxRate))</f>
        <v>0</v>
      </c>
      <c r="U31" s="131" t="n">
        <f aca="false">IF(U$5&lt;=LastHist,0,GPU_Resid*U30*(1-TaxRate))</f>
        <v>0</v>
      </c>
      <c r="V31" s="131" t="n">
        <f aca="false">IF(V$5&lt;=LastHist,0,GPU_Resid*V30*(1-TaxRate))</f>
        <v>0</v>
      </c>
      <c r="W31" s="131" t="n">
        <f aca="false">IF(W$5&lt;=LastHist,0,GPU_Resid*W30*(1-TaxRate))</f>
        <v>0</v>
      </c>
      <c r="X31" s="131" t="n">
        <f aca="false">IF(X$5&lt;=LastHist,0,GPU_Resid*X30*(1-TaxRate))</f>
        <v>0</v>
      </c>
      <c r="Y31" s="131" t="n">
        <f aca="false">IF(Y$5&lt;=LastHist,0,GPU_Resid*Y30*(1-TaxRate))</f>
        <v>15.84912</v>
      </c>
      <c r="Z31" s="131" t="n">
        <f aca="false">IF(Z$5&lt;=LastHist,0,GPU_Resid*Z30*(1-TaxRate))</f>
        <v>11.5752</v>
      </c>
      <c r="AA31" s="131" t="n">
        <f aca="false">IF(AA$5&lt;=LastHist,0,GPU_Resid*AA30*(1-TaxRate))</f>
        <v>11.5752</v>
      </c>
      <c r="AB31" s="131" t="n">
        <f aca="false">IF(AB$5&lt;=LastHist,0,GPU_Resid*AB30*(1-TaxRate))</f>
        <v>11.566296</v>
      </c>
      <c r="AC31" s="131" t="n">
        <f aca="false">IF(AC$5&lt;=LastHist,0,GPU_Resid*AC30*(1-TaxRate))</f>
        <v>37.183104</v>
      </c>
      <c r="AD31" s="131" t="n">
        <f aca="false">IF(AD$5&lt;=LastHist,0,GPU_Resid*AD30*(1-TaxRate))</f>
        <v>48.43776</v>
      </c>
      <c r="AE31" s="131" t="n">
        <f aca="false">IF(AE$5&lt;=LastHist,0,GPU_Resid*AE30*(1-TaxRate))</f>
        <v>45.463824</v>
      </c>
      <c r="AF31" s="131" t="n">
        <f aca="false">IF(AF$5&lt;=LastHist,0,GPU_Resid*AF30*(1-TaxRate))</f>
        <v>85.07772</v>
      </c>
      <c r="AG31" s="131" t="n">
        <f aca="false">IF(AG$5&lt;=LastHist,0,GPU_Resid*AG30*(1-TaxRate))</f>
        <v>183.06624</v>
      </c>
      <c r="AI31" s="131" t="n">
        <f aca="false">SUMIF($F$7:$AG$7,AI$7,$F31:$AG31)</f>
        <v>0</v>
      </c>
      <c r="AJ31" s="131" t="n">
        <f aca="false">SUMIF($F$7:$AG$7,AJ$7,$F31:$AG31)</f>
        <v>0</v>
      </c>
      <c r="AK31" s="131" t="n">
        <f aca="false">SUMIF($F$7:$AG$7,AK$7,$F31:$AG31)</f>
        <v>0</v>
      </c>
      <c r="AL31" s="131" t="n">
        <f aca="false">SUMIF($F$7:$AG$7,AL$7,$F31:$AG31)</f>
        <v>0</v>
      </c>
      <c r="AM31" s="131" t="n">
        <f aca="false">SUMIF($F$7:$AG$7,AM$7,$F31:$AG31)</f>
        <v>15.84912</v>
      </c>
      <c r="AN31" s="131" t="n">
        <f aca="false">SUMIF($F$7:$AG$7,AN$7,$F31:$AG31)</f>
        <v>71.8998</v>
      </c>
      <c r="AO31" s="131" t="n">
        <f aca="false">SUMIF($F$7:$AG$7,AO$7,$F31:$AG31)</f>
        <v>362.045544</v>
      </c>
    </row>
    <row r="32" customFormat="false" ht="15" hidden="false" customHeight="false" outlineLevel="0" collapsed="false">
      <c r="A32" s="112" t="s">
        <v>2401</v>
      </c>
      <c r="B32" s="24" t="s">
        <v>745</v>
      </c>
      <c r="C32" s="24" t="s">
        <v>672</v>
      </c>
      <c r="D32" s="24"/>
      <c r="F32" s="130" t="n">
        <f aca="false">F23+F24+F25+F26+F27+F28+F30+F29</f>
        <v>130</v>
      </c>
      <c r="G32" s="130" t="n">
        <f aca="false">G23+G24+G25+G26+G27+G28+G30+G29</f>
        <v>130</v>
      </c>
      <c r="H32" s="130" t="n">
        <f aca="false">H23+H24+H25+H26+H27+H28+H30+H29</f>
        <v>129.9</v>
      </c>
      <c r="I32" s="130" t="n">
        <f aca="false">I23+I24+I25+I26+I27+I28+I30+I29</f>
        <v>417.6</v>
      </c>
      <c r="J32" s="130" t="n">
        <f aca="false">J23+J24+J25+J26+J27+J28+J30+J29</f>
        <v>544</v>
      </c>
      <c r="K32" s="130" t="n">
        <f aca="false">K23+K24+K25+K26+K27+K28+K30+K29</f>
        <v>510.6</v>
      </c>
      <c r="L32" s="130" t="n">
        <f aca="false">L23+L24+L25+L26+L27+L28+L30+L29</f>
        <v>955.5</v>
      </c>
      <c r="M32" s="130" t="n">
        <f aca="false">M23+M24+M25+M26+M27+M28+M30+M29</f>
        <v>2056</v>
      </c>
      <c r="N32" s="130" t="n">
        <f aca="false">N23+N24+N25+N26+N27+N28+N30+N29</f>
        <v>2472.9</v>
      </c>
      <c r="O32" s="130" t="n">
        <f aca="false">O23+O24+O25+O26+O27+O28+O30+O29</f>
        <v>5657.4</v>
      </c>
      <c r="P32" s="131" t="n">
        <f aca="false">P23+P24+P25+P26+P27+P28+P30+P29</f>
        <v>3411.23910315362</v>
      </c>
      <c r="Q32" s="131" t="n">
        <f aca="false">Q23+Q24+Q25+Q26+Q27+Q28+Q30+Q29</f>
        <v>6076.17795017791</v>
      </c>
      <c r="R32" s="131" t="n">
        <f aca="false">R23+R24+R25+R26+R27+R28+R30+R29</f>
        <v>7631.1460633193</v>
      </c>
      <c r="S32" s="131" t="n">
        <f aca="false">S23+S24+S25+S26+S27+S28+S30+S29</f>
        <v>9078.25911017451</v>
      </c>
      <c r="T32" s="131" t="n">
        <f aca="false">T23+T24+T25+T26+T27+T28+T30+T29</f>
        <v>11437.7048342016</v>
      </c>
      <c r="U32" s="131" t="n">
        <f aca="false">U23+U24+U25+U26+U27+U28+U30+U29</f>
        <v>5632.3369176498</v>
      </c>
      <c r="V32" s="131" t="n">
        <f aca="false">V23+V24+V25+V26+V27+V28+V30+V29</f>
        <v>6254.0037619962</v>
      </c>
      <c r="W32" s="131" t="n">
        <f aca="false">W23+W24+W25+W26+W27+W28+W30+W29</f>
        <v>4015.34834056992</v>
      </c>
      <c r="X32" s="131" t="n">
        <f aca="false">X23+X24+X25+X26+X27+X28+X30+X29</f>
        <v>12535.365647507</v>
      </c>
      <c r="Y32" s="131" t="n">
        <f aca="false">Y23+Y24+Y25+Y26+Y27+Y28+Y30+Y29</f>
        <v>4144.32513256269</v>
      </c>
      <c r="Z32" s="131" t="n">
        <f aca="false">Z23+Z24+Z25+Z26+Z27+Z28+Z30+Z29</f>
        <v>12706.5178071582</v>
      </c>
      <c r="AA32" s="131" t="n">
        <f aca="false">AA23+AA24+AA25+AA26+AA27+AA28+AA30+AA29</f>
        <v>5815.41135600156</v>
      </c>
      <c r="AB32" s="131" t="n">
        <f aca="false">AB23+AB24+AB25+AB26+AB27+AB28+AB30+AB29</f>
        <v>18126.75639672</v>
      </c>
      <c r="AC32" s="131" t="n">
        <f aca="false">AC23+AC24+AC25+AC26+AC27+AC28+AC30+AC29</f>
        <v>504.575753325632</v>
      </c>
      <c r="AD32" s="131" t="n">
        <f aca="false">AD23+AD24+AD25+AD26+AD27+AD28+AD30+AD29</f>
        <v>625.028621373967</v>
      </c>
      <c r="AE32" s="131" t="n">
        <f aca="false">AE23+AE24+AE25+AE26+AE27+AE28+AE30+AE29</f>
        <v>618.182813510218</v>
      </c>
      <c r="AF32" s="131" t="n">
        <f aca="false">AF23+AF24+AF25+AF26+AF27+AF28+AF30+AF29</f>
        <v>973.41934525923</v>
      </c>
      <c r="AG32" s="131" t="n">
        <f aca="false">AG23+AG24+AG25+AG26+AG27+AG28+AG30+AG29</f>
        <v>1856.10822492783</v>
      </c>
      <c r="AI32" s="131" t="n">
        <f aca="false">SUMIF($F$7:$AG$7,AI$7,$F32:$AG32)</f>
        <v>807.5</v>
      </c>
      <c r="AJ32" s="131" t="n">
        <f aca="false">SUMIF($F$7:$AG$7,AJ$7,$F32:$AG32)</f>
        <v>4066.1</v>
      </c>
      <c r="AK32" s="131" t="n">
        <f aca="false">SUMIF($F$7:$AG$7,AK$7,$F32:$AG32)</f>
        <v>17617.7170533315</v>
      </c>
      <c r="AL32" s="131" t="n">
        <f aca="false">SUMIF($F$7:$AG$7,AL$7,$F32:$AG32)</f>
        <v>33779.4469253452</v>
      </c>
      <c r="AM32" s="131" t="n">
        <f aca="false">SUMIF($F$7:$AG$7,AM$7,$F32:$AG32)</f>
        <v>26949.0428826358</v>
      </c>
      <c r="AN32" s="131" t="n">
        <f aca="false">SUMIF($F$7:$AG$7,AN$7,$F32:$AG32)</f>
        <v>37153.2613132054</v>
      </c>
      <c r="AO32" s="131" t="n">
        <f aca="false">SUMIF($F$7:$AG$7,AO$7,$F32:$AG32)</f>
        <v>4072.73900507125</v>
      </c>
    </row>
    <row r="33" customFormat="false" ht="15" hidden="false" customHeight="false" outlineLevel="0" collapsed="false">
      <c r="A33" s="112" t="s">
        <v>2402</v>
      </c>
      <c r="B33" s="24" t="s">
        <v>745</v>
      </c>
      <c r="C33" s="24" t="s">
        <v>683</v>
      </c>
      <c r="D33" s="24" t="s">
        <v>2403</v>
      </c>
      <c r="F33" s="130" t="n">
        <f aca="false">IF(AND(CapexMode=1,F$7=2027,F$5&gt;LastHist),INDEX(Cons_Cx,1,2027-FYBase)/4-F32,0)</f>
        <v>0</v>
      </c>
      <c r="G33" s="130" t="n">
        <f aca="false">IF(AND(CapexMode=1,G$7=2027,G$5&gt;LastHist),INDEX(Cons_Cx,1,2027-FYBase)/4-G32,0)</f>
        <v>0</v>
      </c>
      <c r="H33" s="130" t="n">
        <f aca="false">IF(AND(CapexMode=1,H$7=2027,H$5&gt;LastHist),INDEX(Cons_Cx,1,2027-FYBase)/4-H32,0)</f>
        <v>0</v>
      </c>
      <c r="I33" s="130" t="n">
        <f aca="false">IF(AND(CapexMode=1,I$7=2027,I$5&gt;LastHist),INDEX(Cons_Cx,1,2027-FYBase)/4-I32,0)</f>
        <v>0</v>
      </c>
      <c r="J33" s="130" t="n">
        <f aca="false">IF(AND(CapexMode=1,J$7=2027,J$5&gt;LastHist),INDEX(Cons_Cx,1,2027-FYBase)/4-J32,0)</f>
        <v>0</v>
      </c>
      <c r="K33" s="130" t="n">
        <f aca="false">IF(AND(CapexMode=1,K$7=2027,K$5&gt;LastHist),INDEX(Cons_Cx,1,2027-FYBase)/4-K32,0)</f>
        <v>0</v>
      </c>
      <c r="L33" s="130" t="n">
        <f aca="false">IF(AND(CapexMode=1,L$7=2027,L$5&gt;LastHist),INDEX(Cons_Cx,1,2027-FYBase)/4-L32,0)</f>
        <v>0</v>
      </c>
      <c r="M33" s="130" t="n">
        <f aca="false">IF(AND(CapexMode=1,M$7=2027,M$5&gt;LastHist),INDEX(Cons_Cx,1,2027-FYBase)/4-M32,0)</f>
        <v>0</v>
      </c>
      <c r="N33" s="130" t="n">
        <f aca="false">IF(AND(CapexMode=1,N$7=2027,N$5&gt;LastHist),INDEX(Cons_Cx,1,2027-FYBase)/4-N32,0)</f>
        <v>0</v>
      </c>
      <c r="O33" s="130" t="n">
        <f aca="false">IF(AND(CapexMode=1,O$7=2027,O$5&gt;LastHist),INDEX(Cons_Cx,1,2027-FYBase)/4-O32,0)</f>
        <v>0</v>
      </c>
      <c r="P33" s="131" t="n">
        <f aca="false">IF(AND(CapexMode=1,P$7=2027,P$5&gt;LastHist),INDEX(Cons_Cx,1,2027-FYBase)/4-P32,0)</f>
        <v>0</v>
      </c>
      <c r="Q33" s="131" t="n">
        <f aca="false">IF(AND(CapexMode=1,Q$7=2027,Q$5&gt;LastHist),INDEX(Cons_Cx,1,2027-FYBase)/4-Q32,0)</f>
        <v>0</v>
      </c>
      <c r="R33" s="131" t="n">
        <f aca="false">IF(AND(CapexMode=1,R$7=2027,R$5&gt;LastHist),INDEX(Cons_Cx,1,2027-FYBase)/4-R32,0)</f>
        <v>0</v>
      </c>
      <c r="S33" s="131" t="n">
        <f aca="false">IF(AND(CapexMode=1,S$7=2027,S$5&gt;LastHist),INDEX(Cons_Cx,1,2027-FYBase)/4-S32,0)</f>
        <v>0</v>
      </c>
      <c r="T33" s="131" t="n">
        <f aca="false">IF(AND(CapexMode=1,T$7=2027,T$5&gt;LastHist),INDEX(Cons_Cx,1,2027-FYBase)/4-T32,0)</f>
        <v>0</v>
      </c>
      <c r="U33" s="131" t="n">
        <f aca="false">IF(AND(CapexMode=1,U$7=2027,U$5&gt;LastHist),INDEX(Cons_Cx,1,2027-FYBase)/4-U32,0)</f>
        <v>0</v>
      </c>
      <c r="V33" s="131" t="n">
        <f aca="false">IF(AND(CapexMode=1,V$7=2027,V$5&gt;LastHist),INDEX(Cons_Cx,1,2027-FYBase)/4-V32,0)</f>
        <v>0</v>
      </c>
      <c r="W33" s="131" t="n">
        <f aca="false">IF(AND(CapexMode=1,W$7=2027,W$5&gt;LastHist),INDEX(Cons_Cx,1,2027-FYBase)/4-W32,0)</f>
        <v>0</v>
      </c>
      <c r="X33" s="131" t="n">
        <f aca="false">IF(AND(CapexMode=1,X$7=2027,X$5&gt;LastHist),INDEX(Cons_Cx,1,2027-FYBase)/4-X32,0)</f>
        <v>0</v>
      </c>
      <c r="Y33" s="131" t="n">
        <f aca="false">IF(AND(CapexMode=1,Y$7=2027,Y$5&gt;LastHist),INDEX(Cons_Cx,1,2027-FYBase)/4-Y32,0)</f>
        <v>0</v>
      </c>
      <c r="Z33" s="131" t="n">
        <f aca="false">IF(AND(CapexMode=1,Z$7=2027,Z$5&gt;LastHist),INDEX(Cons_Cx,1,2027-FYBase)/4-Z32,0)</f>
        <v>0</v>
      </c>
      <c r="AA33" s="131" t="n">
        <f aca="false">IF(AND(CapexMode=1,AA$7=2027,AA$5&gt;LastHist),INDEX(Cons_Cx,1,2027-FYBase)/4-AA32,0)</f>
        <v>0</v>
      </c>
      <c r="AB33" s="131" t="n">
        <f aca="false">IF(AND(CapexMode=1,AB$7=2027,AB$5&gt;LastHist),INDEX(Cons_Cx,1,2027-FYBase)/4-AB32,0)</f>
        <v>0</v>
      </c>
      <c r="AC33" s="131" t="n">
        <f aca="false">IF(AND(CapexMode=1,AC$7=2027,AC$5&gt;LastHist),INDEX(Cons_Cx,1,2027-FYBase)/4-AC32,0)</f>
        <v>0</v>
      </c>
      <c r="AD33" s="131" t="n">
        <f aca="false">IF(AND(CapexMode=1,AD$7=2027,AD$5&gt;LastHist),INDEX(Cons_Cx,1,2027-FYBase)/4-AD32,0)</f>
        <v>0</v>
      </c>
      <c r="AE33" s="131" t="n">
        <f aca="false">IF(AND(CapexMode=1,AE$7=2027,AE$5&gt;LastHist),INDEX(Cons_Cx,1,2027-FYBase)/4-AE32,0)</f>
        <v>0</v>
      </c>
      <c r="AF33" s="131" t="n">
        <f aca="false">IF(AND(CapexMode=1,AF$7=2027,AF$5&gt;LastHist),INDEX(Cons_Cx,1,2027-FYBase)/4-AF32,0)</f>
        <v>0</v>
      </c>
      <c r="AG33" s="131" t="n">
        <f aca="false">IF(AND(CapexMode=1,AG$7=2027,AG$5&gt;LastHist),INDEX(Cons_Cx,1,2027-FYBase)/4-AG32,0)</f>
        <v>0</v>
      </c>
      <c r="AI33" s="131" t="n">
        <f aca="false">SUMIF($F$7:$AG$7,AI$7,$F33:$AG33)</f>
        <v>0</v>
      </c>
      <c r="AJ33" s="131" t="n">
        <f aca="false">SUMIF($F$7:$AG$7,AJ$7,$F33:$AG33)</f>
        <v>0</v>
      </c>
      <c r="AK33" s="131" t="n">
        <f aca="false">SUMIF($F$7:$AG$7,AK$7,$F33:$AG33)</f>
        <v>0</v>
      </c>
      <c r="AL33" s="131" t="n">
        <f aca="false">SUMIF($F$7:$AG$7,AL$7,$F33:$AG33)</f>
        <v>0</v>
      </c>
      <c r="AM33" s="131" t="n">
        <f aca="false">SUMIF($F$7:$AG$7,AM$7,$F33:$AG33)</f>
        <v>0</v>
      </c>
      <c r="AN33" s="131" t="n">
        <f aca="false">SUMIF($F$7:$AG$7,AN$7,$F33:$AG33)</f>
        <v>0</v>
      </c>
      <c r="AO33" s="131" t="n">
        <f aca="false">SUMIF($F$7:$AG$7,AO$7,$F33:$AG33)</f>
        <v>0</v>
      </c>
    </row>
    <row r="34" customFormat="false" ht="15" hidden="false" customHeight="false" outlineLevel="0" collapsed="false">
      <c r="A34" s="3" t="s">
        <v>2404</v>
      </c>
      <c r="B34" s="24" t="s">
        <v>745</v>
      </c>
      <c r="C34" s="24" t="s">
        <v>672</v>
      </c>
      <c r="D34" s="24"/>
      <c r="F34" s="132" t="n">
        <f aca="false">F32+F33</f>
        <v>130</v>
      </c>
      <c r="G34" s="132" t="n">
        <f aca="false">G32+G33</f>
        <v>130</v>
      </c>
      <c r="H34" s="132" t="n">
        <f aca="false">H32+H33</f>
        <v>129.9</v>
      </c>
      <c r="I34" s="132" t="n">
        <f aca="false">I32+I33</f>
        <v>417.6</v>
      </c>
      <c r="J34" s="132" t="n">
        <f aca="false">J32+J33</f>
        <v>544</v>
      </c>
      <c r="K34" s="132" t="n">
        <f aca="false">K32+K33</f>
        <v>510.6</v>
      </c>
      <c r="L34" s="132" t="n">
        <f aca="false">L32+L33</f>
        <v>955.5</v>
      </c>
      <c r="M34" s="132" t="n">
        <f aca="false">M32+M33</f>
        <v>2056</v>
      </c>
      <c r="N34" s="132" t="n">
        <f aca="false">N32+N33</f>
        <v>2472.9</v>
      </c>
      <c r="O34" s="132" t="n">
        <f aca="false">O32+O33</f>
        <v>5657.4</v>
      </c>
      <c r="P34" s="104" t="n">
        <f aca="false">P32+P33</f>
        <v>3411.23910315362</v>
      </c>
      <c r="Q34" s="104" t="n">
        <f aca="false">Q32+Q33</f>
        <v>6076.17795017791</v>
      </c>
      <c r="R34" s="104" t="n">
        <f aca="false">R32+R33</f>
        <v>7631.1460633193</v>
      </c>
      <c r="S34" s="104" t="n">
        <f aca="false">S32+S33</f>
        <v>9078.25911017451</v>
      </c>
      <c r="T34" s="104" t="n">
        <f aca="false">T32+T33</f>
        <v>11437.7048342016</v>
      </c>
      <c r="U34" s="104" t="n">
        <f aca="false">U32+U33</f>
        <v>5632.3369176498</v>
      </c>
      <c r="V34" s="104" t="n">
        <f aca="false">V32+V33</f>
        <v>6254.0037619962</v>
      </c>
      <c r="W34" s="104" t="n">
        <f aca="false">W32+W33</f>
        <v>4015.34834056992</v>
      </c>
      <c r="X34" s="104" t="n">
        <f aca="false">X32+X33</f>
        <v>12535.365647507</v>
      </c>
      <c r="Y34" s="104" t="n">
        <f aca="false">Y32+Y33</f>
        <v>4144.32513256269</v>
      </c>
      <c r="Z34" s="104" t="n">
        <f aca="false">Z32+Z33</f>
        <v>12706.5178071582</v>
      </c>
      <c r="AA34" s="104" t="n">
        <f aca="false">AA32+AA33</f>
        <v>5815.41135600156</v>
      </c>
      <c r="AB34" s="104" t="n">
        <f aca="false">AB32+AB33</f>
        <v>18126.75639672</v>
      </c>
      <c r="AC34" s="104" t="n">
        <f aca="false">AC32+AC33</f>
        <v>504.575753325632</v>
      </c>
      <c r="AD34" s="104" t="n">
        <f aca="false">AD32+AD33</f>
        <v>625.028621373967</v>
      </c>
      <c r="AE34" s="104" t="n">
        <f aca="false">AE32+AE33</f>
        <v>618.182813510218</v>
      </c>
      <c r="AF34" s="104" t="n">
        <f aca="false">AF32+AF33</f>
        <v>973.41934525923</v>
      </c>
      <c r="AG34" s="104" t="n">
        <f aca="false">AG32+AG33</f>
        <v>1856.10822492783</v>
      </c>
      <c r="AI34" s="104" t="n">
        <f aca="false">SUMIF($F$7:$AG$7,AI$7,$F34:$AG34)</f>
        <v>807.5</v>
      </c>
      <c r="AJ34" s="104" t="n">
        <f aca="false">SUMIF($F$7:$AG$7,AJ$7,$F34:$AG34)</f>
        <v>4066.1</v>
      </c>
      <c r="AK34" s="104" t="n">
        <f aca="false">SUMIF($F$7:$AG$7,AK$7,$F34:$AG34)</f>
        <v>17617.7170533315</v>
      </c>
      <c r="AL34" s="104" t="n">
        <f aca="false">SUMIF($F$7:$AG$7,AL$7,$F34:$AG34)</f>
        <v>33779.4469253452</v>
      </c>
      <c r="AM34" s="104" t="n">
        <f aca="false">SUMIF($F$7:$AG$7,AM$7,$F34:$AG34)</f>
        <v>26949.0428826358</v>
      </c>
      <c r="AN34" s="104" t="n">
        <f aca="false">SUMIF($F$7:$AG$7,AN$7,$F34:$AG34)</f>
        <v>37153.2613132054</v>
      </c>
      <c r="AO34" s="104" t="n">
        <f aca="false">SUMIF($F$7:$AG$7,AO$7,$F34:$AG34)</f>
        <v>4072.73900507125</v>
      </c>
    </row>
    <row r="35" customFormat="false" ht="15" hidden="false" customHeight="false" outlineLevel="0" collapsed="false">
      <c r="A35" s="112" t="s">
        <v>2405</v>
      </c>
      <c r="B35" s="24" t="s">
        <v>745</v>
      </c>
      <c r="C35" s="24" t="s">
        <v>672</v>
      </c>
      <c r="D35" s="24"/>
      <c r="F35" s="130" t="n">
        <f aca="false">F23+F24+F25+F26+F27</f>
        <v>130</v>
      </c>
      <c r="G35" s="130" t="n">
        <f aca="false">G23+G24+G25+G26+G27</f>
        <v>130</v>
      </c>
      <c r="H35" s="130" t="n">
        <f aca="false">H23+H24+H25+H26+H27</f>
        <v>129.9</v>
      </c>
      <c r="I35" s="130" t="n">
        <f aca="false">I23+I24+I25+I26+I27</f>
        <v>417.6</v>
      </c>
      <c r="J35" s="130" t="n">
        <f aca="false">J23+J24+J25+J26+J27</f>
        <v>544</v>
      </c>
      <c r="K35" s="130" t="n">
        <f aca="false">K23+K24+K25+K26+K27</f>
        <v>510.6</v>
      </c>
      <c r="L35" s="130" t="n">
        <f aca="false">L23+L24+L25+L26+L27</f>
        <v>955.5</v>
      </c>
      <c r="M35" s="130" t="n">
        <f aca="false">M23+M24+M25+M26+M27</f>
        <v>2056</v>
      </c>
      <c r="N35" s="130" t="n">
        <f aca="false">N23+N24+N25+N26+N27</f>
        <v>2472.9</v>
      </c>
      <c r="O35" s="130" t="n">
        <f aca="false">O23+O24+O25+O26+O27</f>
        <v>5657.4</v>
      </c>
      <c r="P35" s="131" t="n">
        <f aca="false">P23+P24+P25+P26+P27</f>
        <v>3169.242975</v>
      </c>
      <c r="Q35" s="131" t="n">
        <f aca="false">Q23+Q24+Q25+Q26+Q27</f>
        <v>5817.9676075</v>
      </c>
      <c r="R35" s="131" t="n">
        <f aca="false">R23+R24+R25+R26+R27</f>
        <v>7430.9131175</v>
      </c>
      <c r="S35" s="131" t="n">
        <f aca="false">S23+S24+S25+S26+S27</f>
        <v>8858.9533</v>
      </c>
      <c r="T35" s="131" t="n">
        <f aca="false">T23+T24+T25+T26+T27</f>
        <v>11368.4606</v>
      </c>
      <c r="U35" s="131" t="n">
        <f aca="false">U23+U24+U25+U26+U27</f>
        <v>5570.6119</v>
      </c>
      <c r="V35" s="131" t="n">
        <f aca="false">V23+V24+V25+V26+V27</f>
        <v>6153.72595</v>
      </c>
      <c r="W35" s="131" t="n">
        <f aca="false">W23+W24+W25+W26+W27</f>
        <v>3846.54375</v>
      </c>
      <c r="X35" s="131" t="n">
        <f aca="false">X23+X24+X25+X26+X27</f>
        <v>12429.51905</v>
      </c>
      <c r="Y35" s="131" t="n">
        <f aca="false">Y23+Y24+Y25+Y26+Y27</f>
        <v>3888.675</v>
      </c>
      <c r="Z35" s="131" t="n">
        <f aca="false">Z23+Z24+Z25+Z26+Z27</f>
        <v>12474.8694</v>
      </c>
      <c r="AA35" s="131" t="n">
        <f aca="false">AA23+AA24+AA25+AA26+AA27</f>
        <v>5569.4375</v>
      </c>
      <c r="AB35" s="131" t="n">
        <f aca="false">AB23+AB24+AB25+AB26+AB27</f>
        <v>17866.7555</v>
      </c>
      <c r="AC35" s="131" t="n">
        <f aca="false">AC23+AC24+AC25+AC26+AC27</f>
        <v>0</v>
      </c>
      <c r="AD35" s="131" t="n">
        <f aca="false">AD23+AD24+AD25+AD26+AD27</f>
        <v>0</v>
      </c>
      <c r="AE35" s="131" t="n">
        <f aca="false">AE23+AE24+AE25+AE26+AE27</f>
        <v>0</v>
      </c>
      <c r="AF35" s="131" t="n">
        <f aca="false">AF23+AF24+AF25+AF26+AF27</f>
        <v>0</v>
      </c>
      <c r="AG35" s="131" t="n">
        <f aca="false">AG23+AG24+AG25+AG26+AG27</f>
        <v>0</v>
      </c>
      <c r="AI35" s="131" t="n">
        <f aca="false">SUMIF($F$7:$AG$7,AI$7,$F35:$AG35)</f>
        <v>807.5</v>
      </c>
      <c r="AJ35" s="131" t="n">
        <f aca="false">SUMIF($F$7:$AG$7,AJ$7,$F35:$AG35)</f>
        <v>4066.1</v>
      </c>
      <c r="AK35" s="131" t="n">
        <f aca="false">SUMIF($F$7:$AG$7,AK$7,$F35:$AG35)</f>
        <v>17117.5105825</v>
      </c>
      <c r="AL35" s="131" t="n">
        <f aca="false">SUMIF($F$7:$AG$7,AL$7,$F35:$AG35)</f>
        <v>33228.9389175</v>
      </c>
      <c r="AM35" s="131" t="n">
        <f aca="false">SUMIF($F$7:$AG$7,AM$7,$F35:$AG35)</f>
        <v>26318.46375</v>
      </c>
      <c r="AN35" s="131" t="n">
        <f aca="false">SUMIF($F$7:$AG$7,AN$7,$F35:$AG35)</f>
        <v>35911.0624</v>
      </c>
      <c r="AO35" s="131" t="n">
        <f aca="false">SUMIF($F$7:$AG$7,AO$7,$F35:$AG35)</f>
        <v>0</v>
      </c>
    </row>
    <row r="36" customFormat="false" ht="15" hidden="false" customHeight="false" outlineLevel="0" collapsed="false">
      <c r="A36" s="112" t="s">
        <v>2406</v>
      </c>
      <c r="B36" s="24" t="s">
        <v>745</v>
      </c>
      <c r="C36" s="24" t="s">
        <v>672</v>
      </c>
      <c r="D36" s="24"/>
      <c r="F36" s="130" t="n">
        <f aca="false">F34-F22</f>
        <v>0</v>
      </c>
      <c r="G36" s="130" t="n">
        <f aca="false">G34-G22</f>
        <v>0</v>
      </c>
      <c r="H36" s="130" t="n">
        <f aca="false">H34-H22</f>
        <v>0</v>
      </c>
      <c r="I36" s="130" t="n">
        <f aca="false">I34-I22</f>
        <v>0</v>
      </c>
      <c r="J36" s="130" t="n">
        <f aca="false">J34-J22</f>
        <v>0</v>
      </c>
      <c r="K36" s="130" t="n">
        <f aca="false">K34-K22</f>
        <v>0</v>
      </c>
      <c r="L36" s="130" t="n">
        <f aca="false">L34-L22</f>
        <v>0</v>
      </c>
      <c r="M36" s="130" t="n">
        <f aca="false">M34-M22</f>
        <v>0</v>
      </c>
      <c r="N36" s="130" t="n">
        <f aca="false">N34-N22</f>
        <v>0</v>
      </c>
      <c r="O36" s="130" t="n">
        <f aca="false">O34-O22</f>
        <v>0</v>
      </c>
      <c r="AI36" s="131" t="n">
        <f aca="false">SUMIF($F$7:$AG$7,AI$7,$F36:$AG36)</f>
        <v>0</v>
      </c>
      <c r="AJ36" s="131" t="n">
        <f aca="false">SUMIF($F$7:$AG$7,AJ$7,$F36:$AG36)</f>
        <v>0</v>
      </c>
      <c r="AK36" s="131" t="n">
        <f aca="false">SUMIF($F$7:$AG$7,AK$7,$F36:$AG36)</f>
        <v>0</v>
      </c>
      <c r="AL36" s="131" t="n">
        <f aca="false">SUMIF($F$7:$AG$7,AL$7,$F36:$AG36)</f>
        <v>0</v>
      </c>
      <c r="AM36" s="131" t="n">
        <f aca="false">SUMIF($F$7:$AG$7,AM$7,$F36:$AG36)</f>
        <v>0</v>
      </c>
      <c r="AN36" s="131" t="n">
        <f aca="false">SUMIF($F$7:$AG$7,AN$7,$F36:$AG36)</f>
        <v>0</v>
      </c>
      <c r="AO36" s="131" t="n">
        <f aca="false">SUMIF($F$7:$AG$7,AO$7,$F36:$AG36)</f>
        <v>0</v>
      </c>
    </row>
    <row r="38" customFormat="false" ht="15" hidden="false" customHeight="false" outlineLevel="0" collapsed="false">
      <c r="A38" s="64" t="s">
        <v>2407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customFormat="false" ht="15" hidden="false" customHeight="false" outlineLevel="0" collapsed="false">
      <c r="A39" s="112" t="s">
        <v>2408</v>
      </c>
      <c r="B39" s="24" t="s">
        <v>745</v>
      </c>
      <c r="C39" s="24" t="s">
        <v>672</v>
      </c>
      <c r="D39" s="24"/>
      <c r="F39" s="130" t="n">
        <f aca="false">SUMPRODUCT($E$23:F$23,((F$5-$E$5:F$5)&gt;=(PISLag+($E$5:F$5&gt;LastHist)*(GPULead-1)))*((F$5-$E$5:F$5)&lt;LQ_H+(PISLag+($E$5:F$5&gt;LastHist)*(GPULead-1)))*($E$5:F$5&lt;=IMPE_H))/LQ_H</f>
        <v>7.12</v>
      </c>
      <c r="G39" s="130" t="n">
        <f aca="false">SUMPRODUCT($E$23:G$23,((G$5-$E$5:G$5)&gt;=(PISLag+($E$5:G$5&gt;LastHist)*(GPULead-1)))*((G$5-$E$5:G$5)&lt;LQ_H+(PISLag+($E$5:G$5&gt;LastHist)*(GPULead-1)))*($E$5:G$5&lt;=IMPE_H))/LQ_H</f>
        <v>12.32</v>
      </c>
      <c r="H39" s="130" t="n">
        <f aca="false">SUMPRODUCT($E$23:H$23,((H$5-$E$5:H$5)&gt;=(PISLag+($E$5:H$5&gt;LastHist)*(GPULead-1)))*((H$5-$E$5:H$5)&lt;LQ_H+(PISLag+($E$5:H$5&gt;LastHist)*(GPULead-1)))*($E$5:H$5&lt;=IMPE_H))/LQ_H</f>
        <v>17.52</v>
      </c>
      <c r="I39" s="130" t="n">
        <f aca="false">SUMPRODUCT($E$23:I$23,((I$5-$E$5:I$5)&gt;=(PISLag+($E$5:I$5&gt;LastHist)*(GPULead-1)))*((I$5-$E$5:I$5)&lt;LQ_H+(PISLag+($E$5:I$5&gt;LastHist)*(GPULead-1)))*($E$5:I$5&lt;=IMPE_H))/LQ_H</f>
        <v>22.716</v>
      </c>
      <c r="J39" s="130" t="n">
        <f aca="false">SUMPRODUCT($E$23:J$23,((J$5-$E$5:J$5)&gt;=(PISLag+($E$5:J$5&gt;LastHist)*(GPULead-1)))*((J$5-$E$5:J$5)&lt;LQ_H+(PISLag+($E$5:J$5&gt;LastHist)*(GPULead-1)))*($E$5:J$5&lt;=IMPE_H))/LQ_H</f>
        <v>39.42</v>
      </c>
      <c r="K39" s="130" t="n">
        <f aca="false">SUMPRODUCT($E$23:K$23,((K$5-$E$5:K$5)&gt;=(PISLag+($E$5:K$5&gt;LastHist)*(GPULead-1)))*((K$5-$E$5:K$5)&lt;LQ_H+(PISLag+($E$5:K$5&gt;LastHist)*(GPULead-1)))*($E$5:K$5&lt;=IMPE_H))/LQ_H</f>
        <v>52.476</v>
      </c>
      <c r="L39" s="130" t="n">
        <f aca="false">SUMPRODUCT($E$23:L$23,((L$5-$E$5:L$5)&gt;=(PISLag+($E$5:L$5&gt;LastHist)*(GPULead-1)))*((L$5-$E$5:L$5)&lt;LQ_H+(PISLag+($E$5:L$5&gt;LastHist)*(GPULead-1)))*($E$5:L$5&lt;=IMPE_H))/LQ_H</f>
        <v>64.7304</v>
      </c>
      <c r="M39" s="130" t="n">
        <f aca="false">SUMPRODUCT($E$23:M$23,((M$5-$E$5:M$5)&gt;=(PISLag+($E$5:M$5&gt;LastHist)*(GPULead-1)))*((M$5-$E$5:M$5)&lt;LQ_H+(PISLag+($E$5:M$5&gt;LastHist)*(GPULead-1)))*($E$5:M$5&lt;=IMPE_H))/LQ_H</f>
        <v>87.6624</v>
      </c>
      <c r="N39" s="130" t="n">
        <f aca="false">SUMPRODUCT($E$23:N$23,((N$5-$E$5:N$5)&gt;=(PISLag+($E$5:N$5&gt;LastHist)*(GPULead-1)))*((N$5-$E$5:N$5)&lt;LQ_H+(PISLag+($E$5:N$5&gt;LastHist)*(GPULead-1)))*($E$5:N$5&lt;=IMPE_H))/LQ_H</f>
        <v>137.0064</v>
      </c>
      <c r="O39" s="130" t="n">
        <f aca="false">SUMPRODUCT($E$23:O$23,((O$5-$E$5:O$5)&gt;=(PISLag+($E$5:O$5&gt;LastHist)*(GPULead-1)))*((O$5-$E$5:O$5)&lt;LQ_H+(PISLag+($E$5:O$5&gt;LastHist)*(GPULead-1)))*($E$5:O$5&lt;=IMPE_H))/LQ_H</f>
        <v>146.898</v>
      </c>
      <c r="P39" s="131" t="n">
        <f aca="false">SUMPRODUCT($E$23:P$23,((P$5-$E$5:P$5)&gt;=(PISLag+($E$5:P$5&gt;LastHist)*(GPULead-1)))*((P$5-$E$5:P$5)&lt;LQ_H+(PISLag+($E$5:P$5&gt;LastHist)*(GPULead-1)))*($E$5:P$5&lt;=IMPE_H))/LQ_H</f>
        <v>169.5276</v>
      </c>
      <c r="Q39" s="131" t="n">
        <f aca="false">SUMPRODUCT($E$23:Q$23,((Q$5-$E$5:Q$5)&gt;=(PISLag+($E$5:Q$5&gt;LastHist)*(GPULead-1)))*((Q$5-$E$5:Q$5)&lt;LQ_H+(PISLag+($E$5:Q$5&gt;LastHist)*(GPULead-1)))*($E$5:Q$5&lt;=IMPE_H))/LQ_H</f>
        <v>169.5276</v>
      </c>
      <c r="R39" s="131" t="n">
        <f aca="false">SUMPRODUCT($E$23:R$23,((R$5-$E$5:R$5)&gt;=(PISLag+($E$5:R$5&gt;LastHist)*(GPULead-1)))*((R$5-$E$5:R$5)&lt;LQ_H+(PISLag+($E$5:R$5&gt;LastHist)*(GPULead-1)))*($E$5:R$5&lt;=IMPE_H))/LQ_H</f>
        <v>169.5276</v>
      </c>
      <c r="S39" s="131" t="n">
        <f aca="false">SUMPRODUCT($E$23:S$23,((S$5-$E$5:S$5)&gt;=(PISLag+($E$5:S$5&gt;LastHist)*(GPULead-1)))*((S$5-$E$5:S$5)&lt;LQ_H+(PISLag+($E$5:S$5&gt;LastHist)*(GPULead-1)))*($E$5:S$5&lt;=IMPE_H))/LQ_H</f>
        <v>169.5276</v>
      </c>
      <c r="T39" s="131" t="n">
        <f aca="false">SUMPRODUCT($E$23:T$23,((T$5-$E$5:T$5)&gt;=(PISLag+($E$5:T$5&gt;LastHist)*(GPULead-1)))*((T$5-$E$5:T$5)&lt;LQ_H+(PISLag+($E$5:T$5&gt;LastHist)*(GPULead-1)))*($E$5:T$5&lt;=IMPE_H))/LQ_H</f>
        <v>169.5276</v>
      </c>
      <c r="U39" s="131" t="n">
        <f aca="false">SUMPRODUCT($E$23:U$23,((U$5-$E$5:U$5)&gt;=(PISLag+($E$5:U$5&gt;LastHist)*(GPULead-1)))*((U$5-$E$5:U$5)&lt;LQ_H+(PISLag+($E$5:U$5&gt;LastHist)*(GPULead-1)))*($E$5:U$5&lt;=IMPE_H))/LQ_H</f>
        <v>169.5276</v>
      </c>
      <c r="V39" s="131" t="n">
        <f aca="false">SUMPRODUCT($E$23:V$23,((V$5-$E$5:V$5)&gt;=(PISLag+($E$5:V$5&gt;LastHist)*(GPULead-1)))*((V$5-$E$5:V$5)&lt;LQ_H+(PISLag+($E$5:V$5&gt;LastHist)*(GPULead-1)))*($E$5:V$5&lt;=IMPE_H))/LQ_H</f>
        <v>169.5276</v>
      </c>
      <c r="W39" s="131" t="n">
        <f aca="false">SUMPRODUCT($E$23:W$23,((W$5-$E$5:W$5)&gt;=(PISLag+($E$5:W$5&gt;LastHist)*(GPULead-1)))*((W$5-$E$5:W$5)&lt;LQ_H+(PISLag+($E$5:W$5&gt;LastHist)*(GPULead-1)))*($E$5:W$5&lt;=IMPE_H))/LQ_H</f>
        <v>169.5276</v>
      </c>
      <c r="X39" s="131" t="n">
        <f aca="false">SUMPRODUCT($E$23:X$23,((X$5-$E$5:X$5)&gt;=(PISLag+($E$5:X$5&gt;LastHist)*(GPULead-1)))*((X$5-$E$5:X$5)&lt;LQ_H+(PISLag+($E$5:X$5&gt;LastHist)*(GPULead-1)))*($E$5:X$5&lt;=IMPE_H))/LQ_H</f>
        <v>169.5276</v>
      </c>
      <c r="Y39" s="131" t="n">
        <f aca="false">SUMPRODUCT($E$23:Y$23,((Y$5-$E$5:Y$5)&gt;=(PISLag+($E$5:Y$5&gt;LastHist)*(GPULead-1)))*((Y$5-$E$5:Y$5)&lt;LQ_H+(PISLag+($E$5:Y$5&gt;LastHist)*(GPULead-1)))*($E$5:Y$5&lt;=IMPE_H))/LQ_H</f>
        <v>169.5276</v>
      </c>
      <c r="Z39" s="131" t="n">
        <f aca="false">SUMPRODUCT($E$23:Z$23,((Z$5-$E$5:Z$5)&gt;=(PISLag+($E$5:Z$5&gt;LastHist)*(GPULead-1)))*((Z$5-$E$5:Z$5)&lt;LQ_H+(PISLag+($E$5:Z$5&gt;LastHist)*(GPULead-1)))*($E$5:Z$5&lt;=IMPE_H))/LQ_H</f>
        <v>162.4076</v>
      </c>
      <c r="AA39" s="131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31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31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31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31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31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31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31" t="n">
        <f aca="false">SUMIF($F$7:$AG$7,AI$7,$F39:$AG39)</f>
        <v>59.676</v>
      </c>
      <c r="AJ39" s="131" t="n">
        <f aca="false">SUMIF($F$7:$AG$7,AJ$7,$F39:$AG39)</f>
        <v>244.2888</v>
      </c>
      <c r="AK39" s="131" t="n">
        <f aca="false">SUMIF($F$7:$AG$7,AK$7,$F39:$AG39)</f>
        <v>622.9596</v>
      </c>
      <c r="AL39" s="131" t="n">
        <f aca="false">SUMIF($F$7:$AG$7,AL$7,$F39:$AG39)</f>
        <v>678.1104</v>
      </c>
      <c r="AM39" s="131" t="n">
        <f aca="false">SUMIF($F$7:$AG$7,AM$7,$F39:$AG39)</f>
        <v>678.1104</v>
      </c>
      <c r="AN39" s="131" t="n">
        <f aca="false">SUMIF($F$7:$AG$7,AN$7,$F39:$AG39)</f>
        <v>618.4344</v>
      </c>
      <c r="AO39" s="131" t="n">
        <f aca="false">SUMIF($F$7:$AG$7,AO$7,$F39:$AG39)</f>
        <v>433.8216</v>
      </c>
    </row>
    <row r="40" customFormat="false" ht="15" hidden="false" customHeight="false" outlineLevel="0" collapsed="false">
      <c r="A40" s="112" t="s">
        <v>2409</v>
      </c>
      <c r="B40" s="24" t="s">
        <v>745</v>
      </c>
      <c r="C40" s="24" t="s">
        <v>672</v>
      </c>
      <c r="D40" s="24"/>
      <c r="F40" s="130" t="n">
        <f aca="false">SUMPRODUCT($E$23:F$23,((F$5-$E$5:F$5)&gt;=(PISLag+($E$5:F$5&gt;LastHist)*(GPULead-1)))*((F$5-$E$5:F$5)&lt;LQ_H+(PISLag+($E$5:F$5&gt;LastHist)*(GPULead-1)))*($E$5:F$5&gt;IMPE_H))/LQ_H</f>
        <v>0</v>
      </c>
      <c r="G40" s="130" t="n">
        <f aca="false">SUMPRODUCT($E$23:G$23,((G$5-$E$5:G$5)&gt;=(PISLag+($E$5:G$5&gt;LastHist)*(GPULead-1)))*((G$5-$E$5:G$5)&lt;LQ_H+(PISLag+($E$5:G$5&gt;LastHist)*(GPULead-1)))*($E$5:G$5&gt;IMPE_H))/LQ_H</f>
        <v>0</v>
      </c>
      <c r="H40" s="130" t="n">
        <f aca="false">SUMPRODUCT($E$23:H$23,((H$5-$E$5:H$5)&gt;=(PISLag+($E$5:H$5&gt;LastHist)*(GPULead-1)))*((H$5-$E$5:H$5)&lt;LQ_H+(PISLag+($E$5:H$5&gt;LastHist)*(GPULead-1)))*($E$5:H$5&gt;IMPE_H))/LQ_H</f>
        <v>0</v>
      </c>
      <c r="I40" s="130" t="n">
        <f aca="false">SUMPRODUCT($E$23:I$23,((I$5-$E$5:I$5)&gt;=(PISLag+($E$5:I$5&gt;LastHist)*(GPULead-1)))*((I$5-$E$5:I$5)&lt;LQ_H+(PISLag+($E$5:I$5&gt;LastHist)*(GPULead-1)))*($E$5:I$5&gt;IMPE_H))/LQ_H</f>
        <v>0</v>
      </c>
      <c r="J40" s="130" t="n">
        <f aca="false">SUMPRODUCT($E$23:J$23,((J$5-$E$5:J$5)&gt;=(PISLag+($E$5:J$5&gt;LastHist)*(GPULead-1)))*((J$5-$E$5:J$5)&lt;LQ_H+(PISLag+($E$5:J$5&gt;LastHist)*(GPULead-1)))*($E$5:J$5&gt;IMPE_H))/LQ_H</f>
        <v>0</v>
      </c>
      <c r="K40" s="130" t="n">
        <f aca="false">SUMPRODUCT($E$23:K$23,((K$5-$E$5:K$5)&gt;=(PISLag+($E$5:K$5&gt;LastHist)*(GPULead-1)))*((K$5-$E$5:K$5)&lt;LQ_H+(PISLag+($E$5:K$5&gt;LastHist)*(GPULead-1)))*($E$5:K$5&gt;IMPE_H))/LQ_H</f>
        <v>0</v>
      </c>
      <c r="L40" s="130" t="n">
        <f aca="false">SUMPRODUCT($E$23:L$23,((L$5-$E$5:L$5)&gt;=(PISLag+($E$5:L$5&gt;LastHist)*(GPULead-1)))*((L$5-$E$5:L$5)&lt;LQ_H+(PISLag+($E$5:L$5&gt;LastHist)*(GPULead-1)))*($E$5:L$5&gt;IMPE_H))/LQ_H</f>
        <v>0</v>
      </c>
      <c r="M40" s="130" t="n">
        <f aca="false">SUMPRODUCT($E$23:M$23,((M$5-$E$5:M$5)&gt;=(PISLag+($E$5:M$5&gt;LastHist)*(GPULead-1)))*((M$5-$E$5:M$5)&lt;LQ_H+(PISLag+($E$5:M$5&gt;LastHist)*(GPULead-1)))*($E$5:M$5&gt;IMPE_H))/LQ_H</f>
        <v>0</v>
      </c>
      <c r="N40" s="130" t="n">
        <f aca="false">SUMPRODUCT($E$23:N$23,((N$5-$E$5:N$5)&gt;=(PISLag+($E$5:N$5&gt;LastHist)*(GPULead-1)))*((N$5-$E$5:N$5)&lt;LQ_H+(PISLag+($E$5:N$5&gt;LastHist)*(GPULead-1)))*($E$5:N$5&gt;IMPE_H))/LQ_H</f>
        <v>0</v>
      </c>
      <c r="O40" s="130" t="n">
        <f aca="false">SUMPRODUCT($E$23:O$23,((O$5-$E$5:O$5)&gt;=(PISLag+($E$5:O$5&gt;LastHist)*(GPULead-1)))*((O$5-$E$5:O$5)&lt;LQ_H+(PISLag+($E$5:O$5&gt;LastHist)*(GPULead-1)))*($E$5:O$5&gt;IMPE_H))/LQ_H</f>
        <v>0</v>
      </c>
      <c r="P40" s="131" t="n">
        <f aca="false">SUMPRODUCT($E$23:P$23,((P$5-$E$5:P$5)&gt;=(PISLag+($E$5:P$5&gt;LastHist)*(GPULead-1)))*((P$5-$E$5:P$5)&lt;LQ_H+(PISLag+($E$5:P$5&gt;LastHist)*(GPULead-1)))*($E$5:P$5&gt;IMPE_H))/LQ_H</f>
        <v>0</v>
      </c>
      <c r="Q40" s="131" t="n">
        <f aca="false">SUMPRODUCT($E$23:Q$23,((Q$5-$E$5:Q$5)&gt;=(PISLag+($E$5:Q$5&gt;LastHist)*(GPULead-1)))*((Q$5-$E$5:Q$5)&lt;LQ_H+(PISLag+($E$5:Q$5&gt;LastHist)*(GPULead-1)))*($E$5:Q$5&gt;IMPE_H))/LQ_H</f>
        <v>0</v>
      </c>
      <c r="R40" s="131" t="n">
        <f aca="false">SUMPRODUCT($E$23:R$23,((R$5-$E$5:R$5)&gt;=(PISLag+($E$5:R$5&gt;LastHist)*(GPULead-1)))*((R$5-$E$5:R$5)&lt;LQ_H+(PISLag+($E$5:R$5&gt;LastHist)*(GPULead-1)))*($E$5:R$5&gt;IMPE_H))/LQ_H</f>
        <v>0</v>
      </c>
      <c r="S40" s="131" t="n">
        <f aca="false">SUMPRODUCT($E$23:S$23,((S$5-$E$5:S$5)&gt;=(PISLag+($E$5:S$5&gt;LastHist)*(GPULead-1)))*((S$5-$E$5:S$5)&lt;LQ_H+(PISLag+($E$5:S$5&gt;LastHist)*(GPULead-1)))*($E$5:S$5&gt;IMPE_H))/LQ_H</f>
        <v>0</v>
      </c>
      <c r="T40" s="131" t="n">
        <f aca="false">SUMPRODUCT($E$23:T$23,((T$5-$E$5:T$5)&gt;=(PISLag+($E$5:T$5&gt;LastHist)*(GPULead-1)))*((T$5-$E$5:T$5)&lt;LQ_H+(PISLag+($E$5:T$5&gt;LastHist)*(GPULead-1)))*($E$5:T$5&gt;IMPE_H))/LQ_H</f>
        <v>0</v>
      </c>
      <c r="U40" s="131" t="n">
        <f aca="false">SUMPRODUCT($E$23:U$23,((U$5-$E$5:U$5)&gt;=(PISLag+($E$5:U$5&gt;LastHist)*(GPULead-1)))*((U$5-$E$5:U$5)&lt;LQ_H+(PISLag+($E$5:U$5&gt;LastHist)*(GPULead-1)))*($E$5:U$5&gt;IMPE_H))/LQ_H</f>
        <v>0</v>
      </c>
      <c r="V40" s="131" t="n">
        <f aca="false">SUMPRODUCT($E$23:V$23,((V$5-$E$5:V$5)&gt;=(PISLag+($E$5:V$5&gt;LastHist)*(GPULead-1)))*((V$5-$E$5:V$5)&lt;LQ_H+(PISLag+($E$5:V$5&gt;LastHist)*(GPULead-1)))*($E$5:V$5&gt;IMPE_H))/LQ_H</f>
        <v>0</v>
      </c>
      <c r="W40" s="131" t="n">
        <f aca="false">SUMPRODUCT($E$23:W$23,((W$5-$E$5:W$5)&gt;=(PISLag+($E$5:W$5&gt;LastHist)*(GPULead-1)))*((W$5-$E$5:W$5)&lt;LQ_H+(PISLag+($E$5:W$5&gt;LastHist)*(GPULead-1)))*($E$5:W$5&gt;IMPE_H))/LQ_H</f>
        <v>0</v>
      </c>
      <c r="X40" s="131" t="n">
        <f aca="false">SUMPRODUCT($E$23:X$23,((X$5-$E$5:X$5)&gt;=(PISLag+($E$5:X$5&gt;LastHist)*(GPULead-1)))*((X$5-$E$5:X$5)&lt;LQ_H+(PISLag+($E$5:X$5&gt;LastHist)*(GPULead-1)))*($E$5:X$5&gt;IMPE_H))/LQ_H</f>
        <v>0</v>
      </c>
      <c r="Y40" s="131" t="n">
        <f aca="false">SUMPRODUCT($E$23:Y$23,((Y$5-$E$5:Y$5)&gt;=(PISLag+($E$5:Y$5&gt;LastHist)*(GPULead-1)))*((Y$5-$E$5:Y$5)&lt;LQ_H+(PISLag+($E$5:Y$5&gt;LastHist)*(GPULead-1)))*($E$5:Y$5&gt;IMPE_H))/LQ_H</f>
        <v>0</v>
      </c>
      <c r="Z40" s="131" t="n">
        <f aca="false">SUMPRODUCT($E$23:Z$23,((Z$5-$E$5:Z$5)&gt;=(PISLag+($E$5:Z$5&gt;LastHist)*(GPULead-1)))*((Z$5-$E$5:Z$5)&lt;LQ_H+(PISLag+($E$5:Z$5&gt;LastHist)*(GPULead-1)))*($E$5:Z$5&gt;IMPE_H))/LQ_H</f>
        <v>0</v>
      </c>
      <c r="AA40" s="131" t="n">
        <f aca="false">SUMPRODUCT($E$23:AA$23,((AA$5-$E$5:AA$5)&gt;=(PISLag+($E$5:AA$5&gt;LastHist)*(GPULead-1)))*((AA$5-$E$5:AA$5)&lt;LQ_H+(PISLag+($E$5:AA$5&gt;LastHist)*(GPULead-1)))*($E$5:AA$5&gt;IMPE_H))/LQ_H</f>
        <v>0</v>
      </c>
      <c r="AB40" s="131" t="n">
        <f aca="false">SUMPRODUCT($E$23:AB$23,((AB$5-$E$5:AB$5)&gt;=(PISLag+($E$5:AB$5&gt;LastHist)*(GPULead-1)))*((AB$5-$E$5:AB$5)&lt;LQ_H+(PISLag+($E$5:AB$5&gt;LastHist)*(GPULead-1)))*($E$5:AB$5&gt;IMPE_H))/LQ_H</f>
        <v>0</v>
      </c>
      <c r="AC40" s="131" t="n">
        <f aca="false">SUMPRODUCT($E$23:AC$23,((AC$5-$E$5:AC$5)&gt;=(PISLag+($E$5:AC$5&gt;LastHist)*(GPULead-1)))*((AC$5-$E$5:AC$5)&lt;LQ_H+(PISLag+($E$5:AC$5&gt;LastHist)*(GPULead-1)))*($E$5:AC$5&gt;IMPE_H))/LQ_H</f>
        <v>0</v>
      </c>
      <c r="AD40" s="131" t="n">
        <f aca="false">SUMPRODUCT($E$23:AD$23,((AD$5-$E$5:AD$5)&gt;=(PISLag+($E$5:AD$5&gt;LastHist)*(GPULead-1)))*((AD$5-$E$5:AD$5)&lt;LQ_H+(PISLag+($E$5:AD$5&gt;LastHist)*(GPULead-1)))*($E$5:AD$5&gt;IMPE_H))/LQ_H</f>
        <v>0</v>
      </c>
      <c r="AE40" s="131" t="n">
        <f aca="false">SUMPRODUCT($E$23:AE$23,((AE$5-$E$5:AE$5)&gt;=(PISLag+($E$5:AE$5&gt;LastHist)*(GPULead-1)))*((AE$5-$E$5:AE$5)&lt;LQ_H+(PISLag+($E$5:AE$5&gt;LastHist)*(GPULead-1)))*($E$5:AE$5&gt;IMPE_H))/LQ_H</f>
        <v>0</v>
      </c>
      <c r="AF40" s="131" t="n">
        <f aca="false">SUMPRODUCT($E$23:AF$23,((AF$5-$E$5:AF$5)&gt;=(PISLag+($E$5:AF$5&gt;LastHist)*(GPULead-1)))*((AF$5-$E$5:AF$5)&lt;LQ_H+(PISLag+($E$5:AF$5&gt;LastHist)*(GPULead-1)))*($E$5:AF$5&gt;IMPE_H))/LQ_H</f>
        <v>0</v>
      </c>
      <c r="AG40" s="131" t="n">
        <f aca="false">SUMPRODUCT($E$23:AG$23,((AG$5-$E$5:AG$5)&gt;=(PISLag+($E$5:AG$5&gt;LastHist)*(GPULead-1)))*((AG$5-$E$5:AG$5)&lt;LQ_H+(PISLag+($E$5:AG$5&gt;LastHist)*(GPULead-1)))*($E$5:AG$5&gt;IMPE_H))/LQ_H</f>
        <v>0</v>
      </c>
      <c r="AI40" s="131" t="n">
        <f aca="false">SUMIF($F$7:$AG$7,AI$7,$F40:$AG40)</f>
        <v>0</v>
      </c>
      <c r="AJ40" s="131" t="n">
        <f aca="false">SUMIF($F$7:$AG$7,AJ$7,$F40:$AG40)</f>
        <v>0</v>
      </c>
      <c r="AK40" s="131" t="n">
        <f aca="false">SUMIF($F$7:$AG$7,AK$7,$F40:$AG40)</f>
        <v>0</v>
      </c>
      <c r="AL40" s="131" t="n">
        <f aca="false">SUMIF($F$7:$AG$7,AL$7,$F40:$AG40)</f>
        <v>0</v>
      </c>
      <c r="AM40" s="131" t="n">
        <f aca="false">SUMIF($F$7:$AG$7,AM$7,$F40:$AG40)</f>
        <v>0</v>
      </c>
      <c r="AN40" s="131" t="n">
        <f aca="false">SUMIF($F$7:$AG$7,AN$7,$F40:$AG40)</f>
        <v>0</v>
      </c>
      <c r="AO40" s="131" t="n">
        <f aca="false">SUMIF($F$7:$AG$7,AO$7,$F40:$AG40)</f>
        <v>0</v>
      </c>
    </row>
    <row r="41" customFormat="false" ht="15" hidden="false" customHeight="false" outlineLevel="0" collapsed="false">
      <c r="A41" s="3" t="s">
        <v>2410</v>
      </c>
      <c r="B41" s="24" t="s">
        <v>745</v>
      </c>
      <c r="C41" s="24" t="s">
        <v>672</v>
      </c>
      <c r="D41" s="24"/>
      <c r="F41" s="132" t="n">
        <f aca="false">F39*(1-ImpPct_H*(F$5&gt;IMPE_H))+F40</f>
        <v>7.12</v>
      </c>
      <c r="G41" s="132" t="n">
        <f aca="false">G39*(1-ImpPct_H*(G$5&gt;IMPE_H))+G40</f>
        <v>12.32</v>
      </c>
      <c r="H41" s="132" t="n">
        <f aca="false">H39*(1-ImpPct_H*(H$5&gt;IMPE_H))+H40</f>
        <v>17.52</v>
      </c>
      <c r="I41" s="132" t="n">
        <f aca="false">I39*(1-ImpPct_H*(I$5&gt;IMPE_H))+I40</f>
        <v>22.716</v>
      </c>
      <c r="J41" s="132" t="n">
        <f aca="false">J39*(1-ImpPct_H*(J$5&gt;IMPE_H))+J40</f>
        <v>39.42</v>
      </c>
      <c r="K41" s="132" t="n">
        <f aca="false">K39*(1-ImpPct_H*(K$5&gt;IMPE_H))+K40</f>
        <v>52.476</v>
      </c>
      <c r="L41" s="132" t="n">
        <f aca="false">L39*(1-ImpPct_H*(L$5&gt;IMPE_H))+L40</f>
        <v>64.7304</v>
      </c>
      <c r="M41" s="132" t="n">
        <f aca="false">M39*(1-ImpPct_H*(M$5&gt;IMPE_H))+M40</f>
        <v>87.6624</v>
      </c>
      <c r="N41" s="132" t="n">
        <f aca="false">N39*(1-ImpPct_H*(N$5&gt;IMPE_H))+N40</f>
        <v>137.0064</v>
      </c>
      <c r="O41" s="132" t="n">
        <f aca="false">O39*(1-ImpPct_H*(O$5&gt;IMPE_H))+O40</f>
        <v>146.898</v>
      </c>
      <c r="P41" s="104" t="n">
        <f aca="false">P39*(1-ImpPct_H*(P$5&gt;IMPE_H))+P40</f>
        <v>169.5276</v>
      </c>
      <c r="Q41" s="104" t="n">
        <f aca="false">Q39*(1-ImpPct_H*(Q$5&gt;IMPE_H))+Q40</f>
        <v>169.5276</v>
      </c>
      <c r="R41" s="104" t="n">
        <f aca="false">R39*(1-ImpPct_H*(R$5&gt;IMPE_H))+R40</f>
        <v>169.5276</v>
      </c>
      <c r="S41" s="104" t="n">
        <f aca="false">S39*(1-ImpPct_H*(S$5&gt;IMPE_H))+S40</f>
        <v>169.5276</v>
      </c>
      <c r="T41" s="104" t="n">
        <f aca="false">T39*(1-ImpPct_H*(T$5&gt;IMPE_H))+T40</f>
        <v>169.5276</v>
      </c>
      <c r="U41" s="104" t="n">
        <f aca="false">U39*(1-ImpPct_H*(U$5&gt;IMPE_H))+U40</f>
        <v>169.5276</v>
      </c>
      <c r="V41" s="104" t="n">
        <f aca="false">V39*(1-ImpPct_H*(V$5&gt;IMPE_H))+V40</f>
        <v>169.5276</v>
      </c>
      <c r="W41" s="104" t="n">
        <f aca="false">W39*(1-ImpPct_H*(W$5&gt;IMPE_H))+W40</f>
        <v>169.5276</v>
      </c>
      <c r="X41" s="104" t="n">
        <f aca="false">X39*(1-ImpPct_H*(X$5&gt;IMPE_H))+X40</f>
        <v>169.5276</v>
      </c>
      <c r="Y41" s="104" t="n">
        <f aca="false">Y39*(1-ImpPct_H*(Y$5&gt;IMPE_H))+Y40</f>
        <v>169.5276</v>
      </c>
      <c r="Z41" s="104" t="n">
        <f aca="false">Z39*(1-ImpPct_H*(Z$5&gt;IMPE_H))+Z40</f>
        <v>162.4076</v>
      </c>
      <c r="AA41" s="104" t="n">
        <f aca="false">AA39*(1-ImpPct_H*(AA$5&gt;IMPE_H))+AA40</f>
        <v>157.2076</v>
      </c>
      <c r="AB41" s="104" t="n">
        <f aca="false">AB39*(1-ImpPct_H*(AB$5&gt;IMPE_H))+AB40</f>
        <v>152.0076</v>
      </c>
      <c r="AC41" s="104" t="n">
        <f aca="false">AC39*(1-ImpPct_H*(AC$5&gt;IMPE_H))+AC40</f>
        <v>146.8116</v>
      </c>
      <c r="AD41" s="104" t="n">
        <f aca="false">AD39*(1-ImpPct_H*(AD$5&gt;IMPE_H))+AD40</f>
        <v>130.1076</v>
      </c>
      <c r="AE41" s="104" t="n">
        <f aca="false">AE39*(1-ImpPct_H*(AE$5&gt;IMPE_H))+AE40</f>
        <v>117.0516</v>
      </c>
      <c r="AF41" s="104" t="n">
        <f aca="false">AF39*(1-ImpPct_H*(AF$5&gt;IMPE_H))+AF40</f>
        <v>104.7972</v>
      </c>
      <c r="AG41" s="104" t="n">
        <f aca="false">AG39*(1-ImpPct_H*(AG$5&gt;IMPE_H))+AG40</f>
        <v>81.8652</v>
      </c>
      <c r="AI41" s="104" t="n">
        <f aca="false">SUMIF($F$7:$AG$7,AI$7,$F41:$AG41)</f>
        <v>59.676</v>
      </c>
      <c r="AJ41" s="104" t="n">
        <f aca="false">SUMIF($F$7:$AG$7,AJ$7,$F41:$AG41)</f>
        <v>244.2888</v>
      </c>
      <c r="AK41" s="104" t="n">
        <f aca="false">SUMIF($F$7:$AG$7,AK$7,$F41:$AG41)</f>
        <v>622.9596</v>
      </c>
      <c r="AL41" s="104" t="n">
        <f aca="false">SUMIF($F$7:$AG$7,AL$7,$F41:$AG41)</f>
        <v>678.1104</v>
      </c>
      <c r="AM41" s="104" t="n">
        <f aca="false">SUMIF($F$7:$AG$7,AM$7,$F41:$AG41)</f>
        <v>678.1104</v>
      </c>
      <c r="AN41" s="104" t="n">
        <f aca="false">SUMIF($F$7:$AG$7,AN$7,$F41:$AG41)</f>
        <v>618.4344</v>
      </c>
      <c r="AO41" s="104" t="n">
        <f aca="false">SUMIF($F$7:$AG$7,AO$7,$F41:$AG41)</f>
        <v>433.8216</v>
      </c>
    </row>
    <row r="42" customFormat="false" ht="15" hidden="false" customHeight="false" outlineLevel="0" collapsed="false">
      <c r="A42" s="112" t="s">
        <v>2411</v>
      </c>
      <c r="B42" s="24" t="s">
        <v>745</v>
      </c>
      <c r="C42" s="24" t="s">
        <v>683</v>
      </c>
      <c r="D42" s="24"/>
      <c r="F42" s="130" t="n">
        <f aca="false">IF(F$5=IMPE_H,ImpPct_H*(SUMPRODUCT($E$23:F$23,--($E$5:F$5&lt;=IMPE_H))-SUM($F$39:F$39)),0)</f>
        <v>0</v>
      </c>
      <c r="G42" s="130" t="n">
        <f aca="false">IF(G$5=IMPE_H,ImpPct_H*(SUMPRODUCT($E$23:G$23,--($E$5:G$5&lt;=IMPE_H))-SUM($F$39:G$39)),0)</f>
        <v>0</v>
      </c>
      <c r="H42" s="130" t="n">
        <f aca="false">IF(H$5=IMPE_H,ImpPct_H*(SUMPRODUCT($E$23:H$23,--($E$5:H$5&lt;=IMPE_H))-SUM($F$39:H$39)),0)</f>
        <v>0</v>
      </c>
      <c r="I42" s="130" t="n">
        <f aca="false">IF(I$5=IMPE_H,ImpPct_H*(SUMPRODUCT($E$23:I$23,--($E$5:I$5&lt;=IMPE_H))-SUM($F$39:I$39)),0)</f>
        <v>0</v>
      </c>
      <c r="J42" s="130" t="n">
        <f aca="false">IF(J$5=IMPE_H,ImpPct_H*(SUMPRODUCT($E$23:J$23,--($E$5:J$5&lt;=IMPE_H))-SUM($F$39:J$39)),0)</f>
        <v>0</v>
      </c>
      <c r="K42" s="130" t="n">
        <f aca="false">IF(K$5=IMPE_H,ImpPct_H*(SUMPRODUCT($E$23:K$23,--($E$5:K$5&lt;=IMPE_H))-SUM($F$39:K$39)),0)</f>
        <v>0</v>
      </c>
      <c r="L42" s="130" t="n">
        <f aca="false">IF(L$5=IMPE_H,ImpPct_H*(SUMPRODUCT($E$23:L$23,--($E$5:L$5&lt;=IMPE_H))-SUM($F$39:L$39)),0)</f>
        <v>0</v>
      </c>
      <c r="M42" s="130" t="n">
        <f aca="false">IF(M$5=IMPE_H,ImpPct_H*(SUMPRODUCT($E$23:M$23,--($E$5:M$5&lt;=IMPE_H))-SUM($F$39:M$39)),0)</f>
        <v>0</v>
      </c>
      <c r="N42" s="130" t="n">
        <f aca="false">IF(N$5=IMPE_H,ImpPct_H*(SUMPRODUCT($E$23:N$23,--($E$5:N$5&lt;=IMPE_H))-SUM($F$39:N$39)),0)</f>
        <v>0</v>
      </c>
      <c r="O42" s="130" t="n">
        <f aca="false">IF(O$5=IMPE_H,ImpPct_H*(SUMPRODUCT($E$23:O$23,--($E$5:O$5&lt;=IMPE_H))-SUM($F$39:O$39)),0)</f>
        <v>0</v>
      </c>
      <c r="P42" s="131" t="n">
        <f aca="false">IF(P$5=IMPE_H,ImpPct_H*(SUMPRODUCT($E$23:P$23,--($E$5:P$5&lt;=IMPE_H))-SUM($F$39:P$39)),0)</f>
        <v>0</v>
      </c>
      <c r="Q42" s="131" t="n">
        <f aca="false">IF(Q$5=IMPE_H,ImpPct_H*(SUMPRODUCT($E$23:Q$23,--($E$5:Q$5&lt;=IMPE_H))-SUM($F$39:Q$39)),0)</f>
        <v>0</v>
      </c>
      <c r="R42" s="131" t="n">
        <f aca="false">IF(R$5=IMPE_H,ImpPct_H*(SUMPRODUCT($E$23:R$23,--($E$5:R$5&lt;=IMPE_H))-SUM($F$39:R$39)),0)</f>
        <v>0</v>
      </c>
      <c r="S42" s="131" t="n">
        <f aca="false">IF(S$5=IMPE_H,ImpPct_H*(SUMPRODUCT($E$23:S$23,--($E$5:S$5&lt;=IMPE_H))-SUM($F$39:S$39)),0)</f>
        <v>0</v>
      </c>
      <c r="T42" s="131" t="n">
        <f aca="false">IF(T$5=IMPE_H,ImpPct_H*(SUMPRODUCT($E$23:T$23,--($E$5:T$5&lt;=IMPE_H))-SUM($F$39:T$39)),0)</f>
        <v>0</v>
      </c>
      <c r="U42" s="131" t="n">
        <f aca="false">IF(U$5=IMPE_H,ImpPct_H*(SUMPRODUCT($E$23:U$23,--($E$5:U$5&lt;=IMPE_H))-SUM($F$39:U$39)),0)</f>
        <v>0</v>
      </c>
      <c r="V42" s="131" t="n">
        <f aca="false">IF(V$5=IMPE_H,ImpPct_H*(SUMPRODUCT($E$23:V$23,--($E$5:V$5&lt;=IMPE_H))-SUM($F$39:V$39)),0)</f>
        <v>0</v>
      </c>
      <c r="W42" s="131" t="n">
        <f aca="false">IF(W$5=IMPE_H,ImpPct_H*(SUMPRODUCT($E$23:W$23,--($E$5:W$5&lt;=IMPE_H))-SUM($F$39:W$39)),0)</f>
        <v>0</v>
      </c>
      <c r="X42" s="131" t="n">
        <f aca="false">IF(X$5=IMPE_H,ImpPct_H*(SUMPRODUCT($E$23:X$23,--($E$5:X$5&lt;=IMPE_H))-SUM($F$39:X$39)),0)</f>
        <v>0</v>
      </c>
      <c r="Y42" s="131" t="n">
        <f aca="false">IF(Y$5=IMPE_H,ImpPct_H*(SUMPRODUCT($E$23:Y$23,--($E$5:Y$5&lt;=IMPE_H))-SUM($F$39:Y$39)),0)</f>
        <v>0</v>
      </c>
      <c r="Z42" s="131" t="n">
        <f aca="false">IF(Z$5=IMPE_H,ImpPct_H*(SUMPRODUCT($E$23:Z$23,--($E$5:Z$5&lt;=IMPE_H))-SUM($F$39:Z$39)),0)</f>
        <v>0</v>
      </c>
      <c r="AA42" s="131" t="n">
        <f aca="false">IF(AA$5=IMPE_H,ImpPct_H*(SUMPRODUCT($E$23:AA$23,--($E$5:AA$5&lt;=IMPE_H))-SUM($F$39:AA$39)),0)</f>
        <v>0</v>
      </c>
      <c r="AB42" s="131" t="n">
        <f aca="false">IF(AB$5=IMPE_H,ImpPct_H*(SUMPRODUCT($E$23:AB$23,--($E$5:AB$5&lt;=IMPE_H))-SUM($F$39:AB$39)),0)</f>
        <v>0</v>
      </c>
      <c r="AC42" s="131" t="n">
        <f aca="false">IF(AC$5=IMPE_H,ImpPct_H*(SUMPRODUCT($E$23:AC$23,--($E$5:AC$5&lt;=IMPE_H))-SUM($F$39:AC$39)),0)</f>
        <v>0</v>
      </c>
      <c r="AD42" s="131" t="n">
        <f aca="false">IF(AD$5=IMPE_H,ImpPct_H*(SUMPRODUCT($E$23:AD$23,--($E$5:AD$5&lt;=IMPE_H))-SUM($F$39:AD$39)),0)</f>
        <v>0</v>
      </c>
      <c r="AE42" s="131" t="n">
        <f aca="false">IF(AE$5=IMPE_H,ImpPct_H*(SUMPRODUCT($E$23:AE$23,--($E$5:AE$5&lt;=IMPE_H))-SUM($F$39:AE$39)),0)</f>
        <v>0</v>
      </c>
      <c r="AF42" s="131" t="n">
        <f aca="false">IF(AF$5=IMPE_H,ImpPct_H*(SUMPRODUCT($E$23:AF$23,--($E$5:AF$5&lt;=IMPE_H))-SUM($F$39:AF$39)),0)</f>
        <v>0</v>
      </c>
      <c r="AG42" s="131" t="n">
        <f aca="false">IF(AG$5=IMPE_H,ImpPct_H*(SUMPRODUCT($E$23:AG$23,--($E$5:AG$5&lt;=IMPE_H))-SUM($F$39:AG$39)),0)</f>
        <v>0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0</v>
      </c>
      <c r="AL42" s="131" t="n">
        <f aca="false">SUMIF($F$7:$AG$7,AL$7,$F42:$AG42)</f>
        <v>0</v>
      </c>
      <c r="AM42" s="131" t="n">
        <f aca="false">SUMIF($F$7:$AG$7,AM$7,$F42:$AG42)</f>
        <v>0</v>
      </c>
      <c r="AN42" s="131" t="n">
        <f aca="false">SUMIF($F$7:$AG$7,AN$7,$F42:$AG42)</f>
        <v>0</v>
      </c>
      <c r="AO42" s="131" t="n">
        <f aca="false">SUMIF($F$7:$AG$7,AO$7,$F42:$AG42)</f>
        <v>0</v>
      </c>
    </row>
    <row r="43" customFormat="false" ht="15" hidden="false" customHeight="false" outlineLevel="0" collapsed="false">
      <c r="A43" s="112" t="s">
        <v>2412</v>
      </c>
      <c r="B43" s="24" t="s">
        <v>745</v>
      </c>
      <c r="C43" s="24" t="s">
        <v>672</v>
      </c>
      <c r="D43" s="24"/>
      <c r="E43" s="131" t="n">
        <f aca="false">E23</f>
        <v>142.4</v>
      </c>
      <c r="F43" s="130" t="n">
        <f aca="false">E43+F23-F41-F42</f>
        <v>239.28</v>
      </c>
      <c r="G43" s="130" t="n">
        <f aca="false">F43+G23-G41-G42</f>
        <v>330.96</v>
      </c>
      <c r="H43" s="130" t="n">
        <f aca="false">G43+H23-H41-H42</f>
        <v>417.36</v>
      </c>
      <c r="I43" s="130" t="n">
        <f aca="false">H43+I23-I41-I42</f>
        <v>728.724</v>
      </c>
      <c r="J43" s="130" t="n">
        <f aca="false">I43+J23-J41-J42</f>
        <v>950.424</v>
      </c>
      <c r="K43" s="130" t="n">
        <f aca="false">J43+K23-K41-K42</f>
        <v>1143.036</v>
      </c>
      <c r="L43" s="130" t="n">
        <f aca="false">K43+L23-L41-L42</f>
        <v>1536.9456</v>
      </c>
      <c r="M43" s="130" t="n">
        <f aca="false">L43+M23-M41-M42</f>
        <v>2436.1632</v>
      </c>
      <c r="N43" s="130" t="n">
        <f aca="false">M43+N23-N41-N42</f>
        <v>2496.9888</v>
      </c>
      <c r="O43" s="130" t="n">
        <f aca="false">N43+O23-O41-O42</f>
        <v>2802.6828</v>
      </c>
      <c r="P43" s="131" t="n">
        <f aca="false">O43+P23-P41-P42</f>
        <v>2633.1552</v>
      </c>
      <c r="Q43" s="131" t="n">
        <f aca="false">P43+Q23-Q41-Q42</f>
        <v>2463.6276</v>
      </c>
      <c r="R43" s="131" t="n">
        <f aca="false">Q43+R23-R41-R42</f>
        <v>2294.1</v>
      </c>
      <c r="S43" s="131" t="n">
        <f aca="false">R43+S23-S41-S42</f>
        <v>2124.5724</v>
      </c>
      <c r="T43" s="131" t="n">
        <f aca="false">S43+T23-T41-T42</f>
        <v>1955.0448</v>
      </c>
      <c r="U43" s="131" t="n">
        <f aca="false">T43+U23-U41-U42</f>
        <v>1785.5172</v>
      </c>
      <c r="V43" s="131" t="n">
        <f aca="false">U43+V23-V41-V42</f>
        <v>1615.9896</v>
      </c>
      <c r="W43" s="131" t="n">
        <f aca="false">V43+W23-W41-W42</f>
        <v>1446.462</v>
      </c>
      <c r="X43" s="131" t="n">
        <f aca="false">W43+X23-X41-X42</f>
        <v>1276.9344</v>
      </c>
      <c r="Y43" s="131" t="n">
        <f aca="false">X43+Y23-Y41-Y42</f>
        <v>1107.4068</v>
      </c>
      <c r="Z43" s="131" t="n">
        <f aca="false">Y43+Z23-Z41-Z42</f>
        <v>944.999200000001</v>
      </c>
      <c r="AA43" s="131" t="n">
        <f aca="false">Z43+AA23-AA41-AA42</f>
        <v>787.791600000001</v>
      </c>
      <c r="AB43" s="131" t="n">
        <f aca="false">AA43+AB23-AB41-AB42</f>
        <v>635.784000000001</v>
      </c>
      <c r="AC43" s="131" t="n">
        <f aca="false">AB43+AC23-AC41-AC42</f>
        <v>488.972400000001</v>
      </c>
      <c r="AD43" s="131" t="n">
        <f aca="false">AC43+AD23-AD41-AD42</f>
        <v>358.864800000001</v>
      </c>
      <c r="AE43" s="131" t="n">
        <f aca="false">AD43+AE23-AE41-AE42</f>
        <v>241.813200000001</v>
      </c>
      <c r="AF43" s="131" t="n">
        <f aca="false">AE43+AF23-AF41-AF42</f>
        <v>137.016000000001</v>
      </c>
      <c r="AG43" s="131" t="n">
        <f aca="false">AF43+AG23-AG41-AG42</f>
        <v>55.1508000000006</v>
      </c>
      <c r="AI43" s="131" t="n">
        <f aca="false">INDEX($F43:$AG43,1,MATCH(AI$7,$F$7:$AG$7,1))</f>
        <v>728.724</v>
      </c>
      <c r="AJ43" s="131" t="n">
        <f aca="false">INDEX($F43:$AG43,1,MATCH(AJ$7,$F$7:$AG$7,1))</f>
        <v>2436.1632</v>
      </c>
      <c r="AK43" s="131" t="n">
        <f aca="false">INDEX($F43:$AG43,1,MATCH(AK$7,$F$7:$AG$7,1))</f>
        <v>2463.6276</v>
      </c>
      <c r="AL43" s="131" t="n">
        <f aca="false">INDEX($F43:$AG43,1,MATCH(AL$7,$F$7:$AG$7,1))</f>
        <v>1785.5172</v>
      </c>
      <c r="AM43" s="131" t="n">
        <f aca="false">INDEX($F43:$AG43,1,MATCH(AM$7,$F$7:$AG$7,1))</f>
        <v>1107.4068</v>
      </c>
      <c r="AN43" s="131" t="n">
        <f aca="false">INDEX($F43:$AG43,1,MATCH(AN$7,$F$7:$AG$7,1))</f>
        <v>488.972400000001</v>
      </c>
      <c r="AO43" s="131" t="n">
        <f aca="false">INDEX($F43:$AG43,1,MATCH(AO$7,$F$7:$AG$7,1))</f>
        <v>55.1508000000006</v>
      </c>
    </row>
    <row r="44" customFormat="false" ht="15" hidden="false" customHeight="false" outlineLevel="0" collapsed="false">
      <c r="A44" s="112" t="s">
        <v>2413</v>
      </c>
      <c r="B44" s="24" t="s">
        <v>745</v>
      </c>
      <c r="C44" s="24" t="s">
        <v>672</v>
      </c>
      <c r="D44" s="24"/>
      <c r="F44" s="130" t="n">
        <f aca="false">SUMPRODUCT($E$24:F$24,((F$5-$E$5:F$5)&gt;=(PISLag+($E$5:F$5&gt;LastHist)*(GPULead-1)))*((F$5-$E$5:F$5)&lt;LQ_B+(PISLag+($E$5:F$5&gt;LastHist)*(GPULead-1)))*($E$5:F$5&lt;=IMPE_B))/LQ_B</f>
        <v>0</v>
      </c>
      <c r="G44" s="130" t="n">
        <f aca="false">SUMPRODUCT($E$24:G$24,((G$5-$E$5:G$5)&gt;=(PISLag+($E$5:G$5&gt;LastHist)*(GPULead-1)))*((G$5-$E$5:G$5)&lt;LQ_B+(PISLag+($E$5:G$5&gt;LastHist)*(GPULead-1)))*($E$5:G$5&lt;=IMPE_B))/LQ_B</f>
        <v>0</v>
      </c>
      <c r="H44" s="130" t="n">
        <f aca="false">SUMPRODUCT($E$24:H$24,((H$5-$E$5:H$5)&gt;=(PISLag+($E$5:H$5&gt;LastHist)*(GPULead-1)))*((H$5-$E$5:H$5)&lt;LQ_B+(PISLag+($E$5:H$5&gt;LastHist)*(GPULead-1)))*($E$5:H$5&lt;=IMPE_B))/LQ_B</f>
        <v>0</v>
      </c>
      <c r="I44" s="130" t="n">
        <f aca="false">SUMPRODUCT($E$24:I$24,((I$5-$E$5:I$5)&gt;=(PISLag+($E$5:I$5&gt;LastHist)*(GPULead-1)))*((I$5-$E$5:I$5)&lt;LQ_B+(PISLag+($E$5:I$5&gt;LastHist)*(GPULead-1)))*($E$5:I$5&lt;=IMPE_B))/LQ_B</f>
        <v>0</v>
      </c>
      <c r="J44" s="130" t="n">
        <f aca="false">SUMPRODUCT($E$24:J$24,((J$5-$E$5:J$5)&gt;=(PISLag+($E$5:J$5&gt;LastHist)*(GPULead-1)))*((J$5-$E$5:J$5)&lt;LQ_B+(PISLag+($E$5:J$5&gt;LastHist)*(GPULead-1)))*($E$5:J$5&lt;=IMPE_B))/LQ_B</f>
        <v>0</v>
      </c>
      <c r="K44" s="130" t="n">
        <f aca="false">SUMPRODUCT($E$24:K$24,((K$5-$E$5:K$5)&gt;=(PISLag+($E$5:K$5&gt;LastHist)*(GPULead-1)))*((K$5-$E$5:K$5)&lt;LQ_B+(PISLag+($E$5:K$5&gt;LastHist)*(GPULead-1)))*($E$5:K$5&lt;=IMPE_B))/LQ_B</f>
        <v>8.704</v>
      </c>
      <c r="L44" s="130" t="n">
        <f aca="false">SUMPRODUCT($E$24:L$24,((L$5-$E$5:L$5)&gt;=(PISLag+($E$5:L$5&gt;LastHist)*(GPULead-1)))*((L$5-$E$5:L$5)&lt;LQ_B+(PISLag+($E$5:L$5&gt;LastHist)*(GPULead-1)))*($E$5:L$5&lt;=IMPE_B))/LQ_B</f>
        <v>16.8736</v>
      </c>
      <c r="M44" s="130" t="n">
        <f aca="false">SUMPRODUCT($E$24:M$24,((M$5-$E$5:M$5)&gt;=(PISLag+($E$5:M$5&gt;LastHist)*(GPULead-1)))*((M$5-$E$5:M$5)&lt;LQ_B+(PISLag+($E$5:M$5&gt;LastHist)*(GPULead-1)))*($E$5:M$5&lt;=IMPE_B))/LQ_B</f>
        <v>32.1616</v>
      </c>
      <c r="N44" s="130" t="n">
        <f aca="false">SUMPRODUCT($E$24:N$24,((N$5-$E$5:N$5)&gt;=(PISLag+($E$5:N$5&gt;LastHist)*(GPULead-1)))*((N$5-$E$5:N$5)&lt;LQ_B+(PISLag+($E$5:N$5&gt;LastHist)*(GPULead-1)))*($E$5:N$5&lt;=IMPE_B))/LQ_B</f>
        <v>65.0576</v>
      </c>
      <c r="O44" s="130" t="n">
        <f aca="false">SUMPRODUCT($E$24:O$24,((O$5-$E$5:O$5)&gt;=(PISLag+($E$5:O$5&gt;LastHist)*(GPULead-1)))*((O$5-$E$5:O$5)&lt;LQ_B+(PISLag+($E$5:O$5&gt;LastHist)*(GPULead-1)))*($E$5:O$5&lt;=IMPE_B))/LQ_B</f>
        <v>154.082</v>
      </c>
      <c r="P44" s="131" t="n">
        <f aca="false">SUMPRODUCT($E$24:P$24,((P$5-$E$5:P$5)&gt;=(PISLag+($E$5:P$5&gt;LastHist)*(GPULead-1)))*((P$5-$E$5:P$5)&lt;LQ_B+(PISLag+($E$5:P$5&gt;LastHist)*(GPULead-1)))*($E$5:P$5&lt;=IMPE_B))/LQ_B</f>
        <v>357.7484</v>
      </c>
      <c r="Q44" s="131" t="n">
        <f aca="false">SUMPRODUCT($E$24:Q$24,((Q$5-$E$5:Q$5)&gt;=(PISLag+($E$5:Q$5&gt;LastHist)*(GPULead-1)))*((Q$5-$E$5:Q$5)&lt;LQ_B+(PISLag+($E$5:Q$5&gt;LastHist)*(GPULead-1)))*($E$5:Q$5&lt;=IMPE_B))/LQ_B</f>
        <v>357.7484</v>
      </c>
      <c r="R44" s="131" t="n">
        <f aca="false">SUMPRODUCT($E$24:R$24,((R$5-$E$5:R$5)&gt;=(PISLag+($E$5:R$5&gt;LastHist)*(GPULead-1)))*((R$5-$E$5:R$5)&lt;LQ_B+(PISLag+($E$5:R$5&gt;LastHist)*(GPULead-1)))*($E$5:R$5&lt;=IMPE_B))/LQ_B</f>
        <v>510.42383</v>
      </c>
      <c r="S44" s="131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31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31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31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31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31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31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31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31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31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31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31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31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31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31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31" t="n">
        <f aca="false">SUMIF($F$7:$AG$7,AI$7,$F44:$AG44)</f>
        <v>0</v>
      </c>
      <c r="AJ44" s="131" t="n">
        <f aca="false">SUMIF($F$7:$AG$7,AJ$7,$F44:$AG44)</f>
        <v>57.7392</v>
      </c>
      <c r="AK44" s="131" t="n">
        <f aca="false">SUMIF($F$7:$AG$7,AK$7,$F44:$AG44)</f>
        <v>934.6364</v>
      </c>
      <c r="AL44" s="131" t="n">
        <f aca="false">SUMIF($F$7:$AG$7,AL$7,$F44:$AG44)</f>
        <v>3624.91611083785</v>
      </c>
      <c r="AM44" s="131" t="n">
        <f aca="false">SUMIF($F$7:$AG$7,AM$7,$F44:$AG44)</f>
        <v>6078.57971121416</v>
      </c>
      <c r="AN44" s="131" t="n">
        <f aca="false">SUMIF($F$7:$AG$7,AN$7,$F44:$AG44)</f>
        <v>6595.90756835927</v>
      </c>
      <c r="AO44" s="131" t="n">
        <f aca="false">SUMIF($F$7:$AG$7,AO$7,$F44:$AG44)</f>
        <v>6538.16836835927</v>
      </c>
    </row>
    <row r="45" customFormat="false" ht="15" hidden="false" customHeight="false" outlineLevel="0" collapsed="false">
      <c r="A45" s="112" t="s">
        <v>2414</v>
      </c>
      <c r="B45" s="24" t="s">
        <v>745</v>
      </c>
      <c r="C45" s="24" t="s">
        <v>672</v>
      </c>
      <c r="D45" s="24"/>
      <c r="F45" s="130" t="n">
        <f aca="false">SUMPRODUCT($E$24:F$24,((F$5-$E$5:F$5)&gt;=(PISLag+($E$5:F$5&gt;LastHist)*(GPULead-1)))*((F$5-$E$5:F$5)&lt;LQ_B+(PISLag+($E$5:F$5&gt;LastHist)*(GPULead-1)))*($E$5:F$5&gt;IMPE_B))/LQ_B</f>
        <v>0</v>
      </c>
      <c r="G45" s="130" t="n">
        <f aca="false">SUMPRODUCT($E$24:G$24,((G$5-$E$5:G$5)&gt;=(PISLag+($E$5:G$5&gt;LastHist)*(GPULead-1)))*((G$5-$E$5:G$5)&lt;LQ_B+(PISLag+($E$5:G$5&gt;LastHist)*(GPULead-1)))*($E$5:G$5&gt;IMPE_B))/LQ_B</f>
        <v>0</v>
      </c>
      <c r="H45" s="130" t="n">
        <f aca="false">SUMPRODUCT($E$24:H$24,((H$5-$E$5:H$5)&gt;=(PISLag+($E$5:H$5&gt;LastHist)*(GPULead-1)))*((H$5-$E$5:H$5)&lt;LQ_B+(PISLag+($E$5:H$5&gt;LastHist)*(GPULead-1)))*($E$5:H$5&gt;IMPE_B))/LQ_B</f>
        <v>0</v>
      </c>
      <c r="I45" s="130" t="n">
        <f aca="false">SUMPRODUCT($E$24:I$24,((I$5-$E$5:I$5)&gt;=(PISLag+($E$5:I$5&gt;LastHist)*(GPULead-1)))*((I$5-$E$5:I$5)&lt;LQ_B+(PISLag+($E$5:I$5&gt;LastHist)*(GPULead-1)))*($E$5:I$5&gt;IMPE_B))/LQ_B</f>
        <v>0</v>
      </c>
      <c r="J45" s="130" t="n">
        <f aca="false">SUMPRODUCT($E$24:J$24,((J$5-$E$5:J$5)&gt;=(PISLag+($E$5:J$5&gt;LastHist)*(GPULead-1)))*((J$5-$E$5:J$5)&lt;LQ_B+(PISLag+($E$5:J$5&gt;LastHist)*(GPULead-1)))*($E$5:J$5&gt;IMPE_B))/LQ_B</f>
        <v>0</v>
      </c>
      <c r="K45" s="130" t="n">
        <f aca="false">SUMPRODUCT($E$24:K$24,((K$5-$E$5:K$5)&gt;=(PISLag+($E$5:K$5&gt;LastHist)*(GPULead-1)))*((K$5-$E$5:K$5)&lt;LQ_B+(PISLag+($E$5:K$5&gt;LastHist)*(GPULead-1)))*($E$5:K$5&gt;IMPE_B))/LQ_B</f>
        <v>0</v>
      </c>
      <c r="L45" s="130" t="n">
        <f aca="false">SUMPRODUCT($E$24:L$24,((L$5-$E$5:L$5)&gt;=(PISLag+($E$5:L$5&gt;LastHist)*(GPULead-1)))*((L$5-$E$5:L$5)&lt;LQ_B+(PISLag+($E$5:L$5&gt;LastHist)*(GPULead-1)))*($E$5:L$5&gt;IMPE_B))/LQ_B</f>
        <v>0</v>
      </c>
      <c r="M45" s="130" t="n">
        <f aca="false">SUMPRODUCT($E$24:M$24,((M$5-$E$5:M$5)&gt;=(PISLag+($E$5:M$5&gt;LastHist)*(GPULead-1)))*((M$5-$E$5:M$5)&lt;LQ_B+(PISLag+($E$5:M$5&gt;LastHist)*(GPULead-1)))*($E$5:M$5&gt;IMPE_B))/LQ_B</f>
        <v>0</v>
      </c>
      <c r="N45" s="130" t="n">
        <f aca="false">SUMPRODUCT($E$24:N$24,((N$5-$E$5:N$5)&gt;=(PISLag+($E$5:N$5&gt;LastHist)*(GPULead-1)))*((N$5-$E$5:N$5)&lt;LQ_B+(PISLag+($E$5:N$5&gt;LastHist)*(GPULead-1)))*($E$5:N$5&gt;IMPE_B))/LQ_B</f>
        <v>0</v>
      </c>
      <c r="O45" s="130" t="n">
        <f aca="false">SUMPRODUCT($E$24:O$24,((O$5-$E$5:O$5)&gt;=(PISLag+($E$5:O$5&gt;LastHist)*(GPULead-1)))*((O$5-$E$5:O$5)&lt;LQ_B+(PISLag+($E$5:O$5&gt;LastHist)*(GPULead-1)))*($E$5:O$5&gt;IMPE_B))/LQ_B</f>
        <v>0</v>
      </c>
      <c r="P45" s="131" t="n">
        <f aca="false">SUMPRODUCT($E$24:P$24,((P$5-$E$5:P$5)&gt;=(PISLag+($E$5:P$5&gt;LastHist)*(GPULead-1)))*((P$5-$E$5:P$5)&lt;LQ_B+(PISLag+($E$5:P$5&gt;LastHist)*(GPULead-1)))*($E$5:P$5&gt;IMPE_B))/LQ_B</f>
        <v>0</v>
      </c>
      <c r="Q45" s="131" t="n">
        <f aca="false">SUMPRODUCT($E$24:Q$24,((Q$5-$E$5:Q$5)&gt;=(PISLag+($E$5:Q$5&gt;LastHist)*(GPULead-1)))*((Q$5-$E$5:Q$5)&lt;LQ_B+(PISLag+($E$5:Q$5&gt;LastHist)*(GPULead-1)))*($E$5:Q$5&gt;IMPE_B))/LQ_B</f>
        <v>0</v>
      </c>
      <c r="R45" s="131" t="n">
        <f aca="false">SUMPRODUCT($E$24:R$24,((R$5-$E$5:R$5)&gt;=(PISLag+($E$5:R$5&gt;LastHist)*(GPULead-1)))*((R$5-$E$5:R$5)&lt;LQ_B+(PISLag+($E$5:R$5&gt;LastHist)*(GPULead-1)))*($E$5:R$5&gt;IMPE_B))/LQ_B</f>
        <v>0</v>
      </c>
      <c r="S45" s="131" t="n">
        <f aca="false">SUMPRODUCT($E$24:S$24,((S$5-$E$5:S$5)&gt;=(PISLag+($E$5:S$5&gt;LastHist)*(GPULead-1)))*((S$5-$E$5:S$5)&lt;LQ_B+(PISLag+($E$5:S$5&gt;LastHist)*(GPULead-1)))*($E$5:S$5&gt;IMPE_B))/LQ_B</f>
        <v>0</v>
      </c>
      <c r="T45" s="131" t="n">
        <f aca="false">SUMPRODUCT($E$24:T$24,((T$5-$E$5:T$5)&gt;=(PISLag+($E$5:T$5&gt;LastHist)*(GPULead-1)))*((T$5-$E$5:T$5)&lt;LQ_B+(PISLag+($E$5:T$5&gt;LastHist)*(GPULead-1)))*($E$5:T$5&gt;IMPE_B))/LQ_B</f>
        <v>0</v>
      </c>
      <c r="U45" s="131" t="n">
        <f aca="false">SUMPRODUCT($E$24:U$24,((U$5-$E$5:U$5)&gt;=(PISLag+($E$5:U$5&gt;LastHist)*(GPULead-1)))*((U$5-$E$5:U$5)&lt;LQ_B+(PISLag+($E$5:U$5&gt;LastHist)*(GPULead-1)))*($E$5:U$5&gt;IMPE_B))/LQ_B</f>
        <v>0</v>
      </c>
      <c r="V45" s="131" t="n">
        <f aca="false">SUMPRODUCT($E$24:V$24,((V$5-$E$5:V$5)&gt;=(PISLag+($E$5:V$5&gt;LastHist)*(GPULead-1)))*((V$5-$E$5:V$5)&lt;LQ_B+(PISLag+($E$5:V$5&gt;LastHist)*(GPULead-1)))*($E$5:V$5&gt;IMPE_B))/LQ_B</f>
        <v>0</v>
      </c>
      <c r="W45" s="131" t="n">
        <f aca="false">SUMPRODUCT($E$24:W$24,((W$5-$E$5:W$5)&gt;=(PISLag+($E$5:W$5&gt;LastHist)*(GPULead-1)))*((W$5-$E$5:W$5)&lt;LQ_B+(PISLag+($E$5:W$5&gt;LastHist)*(GPULead-1)))*($E$5:W$5&gt;IMPE_B))/LQ_B</f>
        <v>0</v>
      </c>
      <c r="X45" s="131" t="n">
        <f aca="false">SUMPRODUCT($E$24:X$24,((X$5-$E$5:X$5)&gt;=(PISLag+($E$5:X$5&gt;LastHist)*(GPULead-1)))*((X$5-$E$5:X$5)&lt;LQ_B+(PISLag+($E$5:X$5&gt;LastHist)*(GPULead-1)))*($E$5:X$5&gt;IMPE_B))/LQ_B</f>
        <v>0</v>
      </c>
      <c r="Y45" s="131" t="n">
        <f aca="false">SUMPRODUCT($E$24:Y$24,((Y$5-$E$5:Y$5)&gt;=(PISLag+($E$5:Y$5&gt;LastHist)*(GPULead-1)))*((Y$5-$E$5:Y$5)&lt;LQ_B+(PISLag+($E$5:Y$5&gt;LastHist)*(GPULead-1)))*($E$5:Y$5&gt;IMPE_B))/LQ_B</f>
        <v>0</v>
      </c>
      <c r="Z45" s="131" t="n">
        <f aca="false">SUMPRODUCT($E$24:Z$24,((Z$5-$E$5:Z$5)&gt;=(PISLag+($E$5:Z$5&gt;LastHist)*(GPULead-1)))*((Z$5-$E$5:Z$5)&lt;LQ_B+(PISLag+($E$5:Z$5&gt;LastHist)*(GPULead-1)))*($E$5:Z$5&gt;IMPE_B))/LQ_B</f>
        <v>0</v>
      </c>
      <c r="AA45" s="131" t="n">
        <f aca="false">SUMPRODUCT($E$24:AA$24,((AA$5-$E$5:AA$5)&gt;=(PISLag+($E$5:AA$5&gt;LastHist)*(GPULead-1)))*((AA$5-$E$5:AA$5)&lt;LQ_B+(PISLag+($E$5:AA$5&gt;LastHist)*(GPULead-1)))*($E$5:AA$5&gt;IMPE_B))/LQ_B</f>
        <v>0</v>
      </c>
      <c r="AB45" s="131" t="n">
        <f aca="false">SUMPRODUCT($E$24:AB$24,((AB$5-$E$5:AB$5)&gt;=(PISLag+($E$5:AB$5&gt;LastHist)*(GPULead-1)))*((AB$5-$E$5:AB$5)&lt;LQ_B+(PISLag+($E$5:AB$5&gt;LastHist)*(GPULead-1)))*($E$5:AB$5&gt;IMPE_B))/LQ_B</f>
        <v>0</v>
      </c>
      <c r="AC45" s="131" t="n">
        <f aca="false">SUMPRODUCT($E$24:AC$24,((AC$5-$E$5:AC$5)&gt;=(PISLag+($E$5:AC$5&gt;LastHist)*(GPULead-1)))*((AC$5-$E$5:AC$5)&lt;LQ_B+(PISLag+($E$5:AC$5&gt;LastHist)*(GPULead-1)))*($E$5:AC$5&gt;IMPE_B))/LQ_B</f>
        <v>0</v>
      </c>
      <c r="AD45" s="131" t="n">
        <f aca="false">SUMPRODUCT($E$24:AD$24,((AD$5-$E$5:AD$5)&gt;=(PISLag+($E$5:AD$5&gt;LastHist)*(GPULead-1)))*((AD$5-$E$5:AD$5)&lt;LQ_B+(PISLag+($E$5:AD$5&gt;LastHist)*(GPULead-1)))*($E$5:AD$5&gt;IMPE_B))/LQ_B</f>
        <v>0</v>
      </c>
      <c r="AE45" s="131" t="n">
        <f aca="false">SUMPRODUCT($E$24:AE$24,((AE$5-$E$5:AE$5)&gt;=(PISLag+($E$5:AE$5&gt;LastHist)*(GPULead-1)))*((AE$5-$E$5:AE$5)&lt;LQ_B+(PISLag+($E$5:AE$5&gt;LastHist)*(GPULead-1)))*($E$5:AE$5&gt;IMPE_B))/LQ_B</f>
        <v>0</v>
      </c>
      <c r="AF45" s="131" t="n">
        <f aca="false">SUMPRODUCT($E$24:AF$24,((AF$5-$E$5:AF$5)&gt;=(PISLag+($E$5:AF$5&gt;LastHist)*(GPULead-1)))*((AF$5-$E$5:AF$5)&lt;LQ_B+(PISLag+($E$5:AF$5&gt;LastHist)*(GPULead-1)))*($E$5:AF$5&gt;IMPE_B))/LQ_B</f>
        <v>0</v>
      </c>
      <c r="AG45" s="131" t="n">
        <f aca="false">SUMPRODUCT($E$24:AG$24,((AG$5-$E$5:AG$5)&gt;=(PISLag+($E$5:AG$5&gt;LastHist)*(GPULead-1)))*((AG$5-$E$5:AG$5)&lt;LQ_B+(PISLag+($E$5:AG$5&gt;LastHist)*(GPULead-1)))*($E$5:AG$5&gt;IMPE_B))/LQ_B</f>
        <v>0</v>
      </c>
      <c r="AI45" s="131" t="n">
        <f aca="false">SUMIF($F$7:$AG$7,AI$7,$F45:$AG45)</f>
        <v>0</v>
      </c>
      <c r="AJ45" s="131" t="n">
        <f aca="false">SUMIF($F$7:$AG$7,AJ$7,$F45:$AG45)</f>
        <v>0</v>
      </c>
      <c r="AK45" s="131" t="n">
        <f aca="false">SUMIF($F$7:$AG$7,AK$7,$F45:$AG45)</f>
        <v>0</v>
      </c>
      <c r="AL45" s="131" t="n">
        <f aca="false">SUMIF($F$7:$AG$7,AL$7,$F45:$AG45)</f>
        <v>0</v>
      </c>
      <c r="AM45" s="131" t="n">
        <f aca="false">SUMIF($F$7:$AG$7,AM$7,$F45:$AG45)</f>
        <v>0</v>
      </c>
      <c r="AN45" s="131" t="n">
        <f aca="false">SUMIF($F$7:$AG$7,AN$7,$F45:$AG45)</f>
        <v>0</v>
      </c>
      <c r="AO45" s="131" t="n">
        <f aca="false">SUMIF($F$7:$AG$7,AO$7,$F45:$AG45)</f>
        <v>0</v>
      </c>
    </row>
    <row r="46" customFormat="false" ht="15" hidden="false" customHeight="false" outlineLevel="0" collapsed="false">
      <c r="A46" s="3" t="s">
        <v>2415</v>
      </c>
      <c r="B46" s="24" t="s">
        <v>745</v>
      </c>
      <c r="C46" s="24" t="s">
        <v>672</v>
      </c>
      <c r="D46" s="24"/>
      <c r="F46" s="132" t="n">
        <f aca="false">F44*(1-ImpPct_B*(F$5&gt;IMPE_B))+F45</f>
        <v>0</v>
      </c>
      <c r="G46" s="132" t="n">
        <f aca="false">G44*(1-ImpPct_B*(G$5&gt;IMPE_B))+G45</f>
        <v>0</v>
      </c>
      <c r="H46" s="132" t="n">
        <f aca="false">H44*(1-ImpPct_B*(H$5&gt;IMPE_B))+H45</f>
        <v>0</v>
      </c>
      <c r="I46" s="132" t="n">
        <f aca="false">I44*(1-ImpPct_B*(I$5&gt;IMPE_B))+I45</f>
        <v>0</v>
      </c>
      <c r="J46" s="132" t="n">
        <f aca="false">J44*(1-ImpPct_B*(J$5&gt;IMPE_B))+J45</f>
        <v>0</v>
      </c>
      <c r="K46" s="132" t="n">
        <f aca="false">K44*(1-ImpPct_B*(K$5&gt;IMPE_B))+K45</f>
        <v>8.704</v>
      </c>
      <c r="L46" s="132" t="n">
        <f aca="false">L44*(1-ImpPct_B*(L$5&gt;IMPE_B))+L45</f>
        <v>16.8736</v>
      </c>
      <c r="M46" s="132" t="n">
        <f aca="false">M44*(1-ImpPct_B*(M$5&gt;IMPE_B))+M45</f>
        <v>32.1616</v>
      </c>
      <c r="N46" s="132" t="n">
        <f aca="false">N44*(1-ImpPct_B*(N$5&gt;IMPE_B))+N45</f>
        <v>65.0576</v>
      </c>
      <c r="O46" s="132" t="n">
        <f aca="false">O44*(1-ImpPct_B*(O$5&gt;IMPE_B))+O45</f>
        <v>154.082</v>
      </c>
      <c r="P46" s="104" t="n">
        <f aca="false">P44*(1-ImpPct_B*(P$5&gt;IMPE_B))+P45</f>
        <v>357.7484</v>
      </c>
      <c r="Q46" s="104" t="n">
        <f aca="false">Q44*(1-ImpPct_B*(Q$5&gt;IMPE_B))+Q45</f>
        <v>357.7484</v>
      </c>
      <c r="R46" s="104" t="n">
        <f aca="false">R44*(1-ImpPct_B*(R$5&gt;IMPE_B))+R45</f>
        <v>510.42383</v>
      </c>
      <c r="S46" s="104" t="n">
        <f aca="false">S44*(1-ImpPct_B*(S$5&gt;IMPE_B))+S45</f>
        <v>772.623207741941</v>
      </c>
      <c r="T46" s="104" t="n">
        <f aca="false">T44*(1-ImpPct_B*(T$5&gt;IMPE_B))+T45</f>
        <v>1066.50084592655</v>
      </c>
      <c r="U46" s="104" t="n">
        <f aca="false">U44*(1-ImpPct_B*(U$5&gt;IMPE_B))+U45</f>
        <v>1275.36822716935</v>
      </c>
      <c r="V46" s="104" t="n">
        <f aca="false">V44*(1-ImpPct_B*(V$5&gt;IMPE_B))+V45</f>
        <v>1519.64492780354</v>
      </c>
      <c r="W46" s="104" t="n">
        <f aca="false">W44*(1-ImpPct_B*(W$5&gt;IMPE_B))+W45</f>
        <v>1519.64492780354</v>
      </c>
      <c r="X46" s="104" t="n">
        <f aca="false">X44*(1-ImpPct_B*(X$5&gt;IMPE_B))+X45</f>
        <v>1519.64492780354</v>
      </c>
      <c r="Y46" s="104" t="n">
        <f aca="false">Y44*(1-ImpPct_B*(Y$5&gt;IMPE_B))+Y45</f>
        <v>1519.64492780354</v>
      </c>
      <c r="Z46" s="104" t="n">
        <f aca="false">Z44*(1-ImpPct_B*(Z$5&gt;IMPE_B))+Z45</f>
        <v>1648.97689208982</v>
      </c>
      <c r="AA46" s="104" t="n">
        <f aca="false">AA44*(1-ImpPct_B*(AA$5&gt;IMPE_B))+AA45</f>
        <v>1648.97689208982</v>
      </c>
      <c r="AB46" s="104" t="n">
        <f aca="false">AB44*(1-ImpPct_B*(AB$5&gt;IMPE_B))+AB45</f>
        <v>1648.97689208982</v>
      </c>
      <c r="AC46" s="104" t="n">
        <f aca="false">AC44*(1-ImpPct_B*(AC$5&gt;IMPE_B))+AC45</f>
        <v>1648.97689208982</v>
      </c>
      <c r="AD46" s="104" t="n">
        <f aca="false">AD44*(1-ImpPct_B*(AD$5&gt;IMPE_B))+AD45</f>
        <v>1648.97689208982</v>
      </c>
      <c r="AE46" s="104" t="n">
        <f aca="false">AE44*(1-ImpPct_B*(AE$5&gt;IMPE_B))+AE45</f>
        <v>1640.27289208982</v>
      </c>
      <c r="AF46" s="104" t="n">
        <f aca="false">AF44*(1-ImpPct_B*(AF$5&gt;IMPE_B))+AF45</f>
        <v>1632.10329208982</v>
      </c>
      <c r="AG46" s="104" t="n">
        <f aca="false">AG44*(1-ImpPct_B*(AG$5&gt;IMPE_B))+AG45</f>
        <v>1616.81529208982</v>
      </c>
      <c r="AI46" s="104" t="n">
        <f aca="false">SUMIF($F$7:$AG$7,AI$7,$F46:$AG46)</f>
        <v>0</v>
      </c>
      <c r="AJ46" s="104" t="n">
        <f aca="false">SUMIF($F$7:$AG$7,AJ$7,$F46:$AG46)</f>
        <v>57.7392</v>
      </c>
      <c r="AK46" s="104" t="n">
        <f aca="false">SUMIF($F$7:$AG$7,AK$7,$F46:$AG46)</f>
        <v>934.6364</v>
      </c>
      <c r="AL46" s="104" t="n">
        <f aca="false">SUMIF($F$7:$AG$7,AL$7,$F46:$AG46)</f>
        <v>3624.91611083785</v>
      </c>
      <c r="AM46" s="104" t="n">
        <f aca="false">SUMIF($F$7:$AG$7,AM$7,$F46:$AG46)</f>
        <v>6078.57971121416</v>
      </c>
      <c r="AN46" s="104" t="n">
        <f aca="false">SUMIF($F$7:$AG$7,AN$7,$F46:$AG46)</f>
        <v>6595.90756835927</v>
      </c>
      <c r="AO46" s="104" t="n">
        <f aca="false">SUMIF($F$7:$AG$7,AO$7,$F46:$AG46)</f>
        <v>6538.16836835927</v>
      </c>
    </row>
    <row r="47" customFormat="false" ht="15" hidden="false" customHeight="false" outlineLevel="0" collapsed="false">
      <c r="A47" s="112" t="s">
        <v>2416</v>
      </c>
      <c r="B47" s="24" t="s">
        <v>745</v>
      </c>
      <c r="C47" s="24" t="s">
        <v>683</v>
      </c>
      <c r="D47" s="24"/>
      <c r="F47" s="130" t="n">
        <f aca="false">IF(F$5=IMPE_B,ImpPct_B*(SUMPRODUCT($E$24:F$24,--($E$5:F$5&lt;=IMPE_B))-SUM($F$44:F$44)),0)</f>
        <v>0</v>
      </c>
      <c r="G47" s="130" t="n">
        <f aca="false">IF(G$5=IMPE_B,ImpPct_B*(SUMPRODUCT($E$24:G$24,--($E$5:G$5&lt;=IMPE_B))-SUM($F$44:G$44)),0)</f>
        <v>0</v>
      </c>
      <c r="H47" s="130" t="n">
        <f aca="false">IF(H$5=IMPE_B,ImpPct_B*(SUMPRODUCT($E$24:H$24,--($E$5:H$5&lt;=IMPE_B))-SUM($F$44:H$44)),0)</f>
        <v>0</v>
      </c>
      <c r="I47" s="130" t="n">
        <f aca="false">IF(I$5=IMPE_B,ImpPct_B*(SUMPRODUCT($E$24:I$24,--($E$5:I$5&lt;=IMPE_B))-SUM($F$44:I$44)),0)</f>
        <v>0</v>
      </c>
      <c r="J47" s="130" t="n">
        <f aca="false">IF(J$5=IMPE_B,ImpPct_B*(SUMPRODUCT($E$24:J$24,--($E$5:J$5&lt;=IMPE_B))-SUM($F$44:J$44)),0)</f>
        <v>0</v>
      </c>
      <c r="K47" s="130" t="n">
        <f aca="false">IF(K$5=IMPE_B,ImpPct_B*(SUMPRODUCT($E$24:K$24,--($E$5:K$5&lt;=IMPE_B))-SUM($F$44:K$44)),0)</f>
        <v>0</v>
      </c>
      <c r="L47" s="130" t="n">
        <f aca="false">IF(L$5=IMPE_B,ImpPct_B*(SUMPRODUCT($E$24:L$24,--($E$5:L$5&lt;=IMPE_B))-SUM($F$44:L$44)),0)</f>
        <v>0</v>
      </c>
      <c r="M47" s="130" t="n">
        <f aca="false">IF(M$5=IMPE_B,ImpPct_B*(SUMPRODUCT($E$24:M$24,--($E$5:M$5&lt;=IMPE_B))-SUM($F$44:M$44)),0)</f>
        <v>0</v>
      </c>
      <c r="N47" s="130" t="n">
        <f aca="false">IF(N$5=IMPE_B,ImpPct_B*(SUMPRODUCT($E$24:N$24,--($E$5:N$5&lt;=IMPE_B))-SUM($F$44:N$44)),0)</f>
        <v>0</v>
      </c>
      <c r="O47" s="130" t="n">
        <f aca="false">IF(O$5=IMPE_B,ImpPct_B*(SUMPRODUCT($E$24:O$24,--($E$5:O$5&lt;=IMPE_B))-SUM($F$44:O$44)),0)</f>
        <v>0</v>
      </c>
      <c r="P47" s="131" t="n">
        <f aca="false">IF(P$5=IMPE_B,ImpPct_B*(SUMPRODUCT($E$24:P$24,--($E$5:P$5&lt;=IMPE_B))-SUM($F$44:P$44)),0)</f>
        <v>0</v>
      </c>
      <c r="Q47" s="131" t="n">
        <f aca="false">IF(Q$5=IMPE_B,ImpPct_B*(SUMPRODUCT($E$24:Q$24,--($E$5:Q$5&lt;=IMPE_B))-SUM($F$44:Q$44)),0)</f>
        <v>0</v>
      </c>
      <c r="R47" s="131" t="n">
        <f aca="false">IF(R$5=IMPE_B,ImpPct_B*(SUMPRODUCT($E$24:R$24,--($E$5:R$5&lt;=IMPE_B))-SUM($F$44:R$44)),0)</f>
        <v>0</v>
      </c>
      <c r="S47" s="131" t="n">
        <f aca="false">IF(S$5=IMPE_B,ImpPct_B*(SUMPRODUCT($E$24:S$24,--($E$5:S$5&lt;=IMPE_B))-SUM($F$44:S$44)),0)</f>
        <v>0</v>
      </c>
      <c r="T47" s="131" t="n">
        <f aca="false">IF(T$5=IMPE_B,ImpPct_B*(SUMPRODUCT($E$24:T$24,--($E$5:T$5&lt;=IMPE_B))-SUM($F$44:T$44)),0)</f>
        <v>0</v>
      </c>
      <c r="U47" s="131" t="n">
        <f aca="false">IF(U$5=IMPE_B,ImpPct_B*(SUMPRODUCT($E$24:U$24,--($E$5:U$5&lt;=IMPE_B))-SUM($F$44:U$44)),0)</f>
        <v>0</v>
      </c>
      <c r="V47" s="131" t="n">
        <f aca="false">IF(V$5=IMPE_B,ImpPct_B*(SUMPRODUCT($E$24:V$24,--($E$5:V$5&lt;=IMPE_B))-SUM($F$44:V$44)),0)</f>
        <v>0</v>
      </c>
      <c r="W47" s="131" t="n">
        <f aca="false">IF(W$5=IMPE_B,ImpPct_B*(SUMPRODUCT($E$24:W$24,--($E$5:W$5&lt;=IMPE_B))-SUM($F$44:W$44)),0)</f>
        <v>0</v>
      </c>
      <c r="X47" s="131" t="n">
        <f aca="false">IF(X$5=IMPE_B,ImpPct_B*(SUMPRODUCT($E$24:X$24,--($E$5:X$5&lt;=IMPE_B))-SUM($F$44:X$44)),0)</f>
        <v>0</v>
      </c>
      <c r="Y47" s="131" t="n">
        <f aca="false">IF(Y$5=IMPE_B,ImpPct_B*(SUMPRODUCT($E$24:Y$24,--($E$5:Y$5&lt;=IMPE_B))-SUM($F$44:Y$44)),0)</f>
        <v>0</v>
      </c>
      <c r="Z47" s="131" t="n">
        <f aca="false">IF(Z$5=IMPE_B,ImpPct_B*(SUMPRODUCT($E$24:Z$24,--($E$5:Z$5&lt;=IMPE_B))-SUM($F$44:Z$44)),0)</f>
        <v>0</v>
      </c>
      <c r="AA47" s="131" t="n">
        <f aca="false">IF(AA$5=IMPE_B,ImpPct_B*(SUMPRODUCT($E$24:AA$24,--($E$5:AA$5&lt;=IMPE_B))-SUM($F$44:AA$44)),0)</f>
        <v>0</v>
      </c>
      <c r="AB47" s="131" t="n">
        <f aca="false">IF(AB$5=IMPE_B,ImpPct_B*(SUMPRODUCT($E$24:AB$24,--($E$5:AB$5&lt;=IMPE_B))-SUM($F$44:AB$44)),0)</f>
        <v>0</v>
      </c>
      <c r="AC47" s="131" t="n">
        <f aca="false">IF(AC$5=IMPE_B,ImpPct_B*(SUMPRODUCT($E$24:AC$24,--($E$5:AC$5&lt;=IMPE_B))-SUM($F$44:AC$44)),0)</f>
        <v>0</v>
      </c>
      <c r="AD47" s="131" t="n">
        <f aca="false">IF(AD$5=IMPE_B,ImpPct_B*(SUMPRODUCT($E$24:AD$24,--($E$5:AD$5&lt;=IMPE_B))-SUM($F$44:AD$44)),0)</f>
        <v>0</v>
      </c>
      <c r="AE47" s="131" t="n">
        <f aca="false">IF(AE$5=IMPE_B,ImpPct_B*(SUMPRODUCT($E$24:AE$24,--($E$5:AE$5&lt;=IMPE_B))-SUM($F$44:AE$44)),0)</f>
        <v>0</v>
      </c>
      <c r="AF47" s="131" t="n">
        <f aca="false">IF(AF$5=IMPE_B,ImpPct_B*(SUMPRODUCT($E$24:AF$24,--($E$5:AF$5&lt;=IMPE_B))-SUM($F$44:AF$44)),0)</f>
        <v>0</v>
      </c>
      <c r="AG47" s="131" t="n">
        <f aca="false">IF(AG$5=IMPE_B,ImpPct_B*(SUMPRODUCT($E$24:AG$24,--($E$5:AG$5&lt;=IMPE_B))-SUM($F$44:AG$44)),0)</f>
        <v>0</v>
      </c>
      <c r="AI47" s="131" t="n">
        <f aca="false">SUMIF($F$7:$AG$7,AI$7,$F47:$AG47)</f>
        <v>0</v>
      </c>
      <c r="AJ47" s="131" t="n">
        <f aca="false">SUMIF($F$7:$AG$7,AJ$7,$F47:$AG47)</f>
        <v>0</v>
      </c>
      <c r="AK47" s="131" t="n">
        <f aca="false">SUMIF($F$7:$AG$7,AK$7,$F47:$AG47)</f>
        <v>0</v>
      </c>
      <c r="AL47" s="131" t="n">
        <f aca="false">SUMIF($F$7:$AG$7,AL$7,$F47:$AG47)</f>
        <v>0</v>
      </c>
      <c r="AM47" s="131" t="n">
        <f aca="false">SUMIF($F$7:$AG$7,AM$7,$F47:$AG47)</f>
        <v>0</v>
      </c>
      <c r="AN47" s="131" t="n">
        <f aca="false">SUMIF($F$7:$AG$7,AN$7,$F47:$AG47)</f>
        <v>0</v>
      </c>
      <c r="AO47" s="131" t="n">
        <f aca="false">SUMIF($F$7:$AG$7,AO$7,$F47:$AG47)</f>
        <v>0</v>
      </c>
    </row>
    <row r="48" customFormat="false" ht="15" hidden="false" customHeight="false" outlineLevel="0" collapsed="false">
      <c r="A48" s="112" t="s">
        <v>2417</v>
      </c>
      <c r="B48" s="24" t="s">
        <v>745</v>
      </c>
      <c r="C48" s="24" t="s">
        <v>672</v>
      </c>
      <c r="D48" s="24"/>
      <c r="E48" s="131" t="n">
        <f aca="false">E24</f>
        <v>0</v>
      </c>
      <c r="F48" s="130" t="n">
        <f aca="false">E48+F24-F46-F47</f>
        <v>0</v>
      </c>
      <c r="G48" s="130" t="n">
        <f aca="false">F48+G24-G46-G47</f>
        <v>0</v>
      </c>
      <c r="H48" s="130" t="n">
        <f aca="false">G48+H24-H46-H47</f>
        <v>0</v>
      </c>
      <c r="I48" s="130" t="n">
        <f aca="false">H48+I24-I46-I47</f>
        <v>0</v>
      </c>
      <c r="J48" s="130" t="n">
        <f aca="false">I48+J24-J46-J47</f>
        <v>174.08</v>
      </c>
      <c r="K48" s="130" t="n">
        <f aca="false">J48+K24-K46-K47</f>
        <v>328.768</v>
      </c>
      <c r="L48" s="130" t="n">
        <f aca="false">K48+L24-L46-L47</f>
        <v>617.6544</v>
      </c>
      <c r="M48" s="130" t="n">
        <f aca="false">L48+M24-M46-M47</f>
        <v>1243.4128</v>
      </c>
      <c r="N48" s="130" t="n">
        <f aca="false">M48+N24-N46-N47</f>
        <v>2958.8432</v>
      </c>
      <c r="O48" s="130" t="n">
        <f aca="false">N48+O24-O46-O47</f>
        <v>6878.0892</v>
      </c>
      <c r="P48" s="131" t="n">
        <f aca="false">O48+P24-P46-P47</f>
        <v>9573.8494</v>
      </c>
      <c r="Q48" s="131" t="n">
        <f aca="false">P48+Q24-Q46-Q47</f>
        <v>14460.0885548388</v>
      </c>
      <c r="R48" s="131" t="n">
        <f aca="false">Q48+R24-R46-R47</f>
        <v>19827.217488531</v>
      </c>
      <c r="S48" s="131" t="n">
        <f aca="false">R48+S24-S46-S47</f>
        <v>23231.9419056451</v>
      </c>
      <c r="T48" s="131" t="n">
        <f aca="false">S48+T24-T46-T47</f>
        <v>27050.9750724023</v>
      </c>
      <c r="U48" s="131" t="n">
        <f aca="false">T48+U24-U46-U47</f>
        <v>25775.606845233</v>
      </c>
      <c r="V48" s="131" t="n">
        <f aca="false">U48+V24-V46-V47</f>
        <v>24255.9619174294</v>
      </c>
      <c r="W48" s="131" t="n">
        <f aca="false">V48+W24-W46-W47</f>
        <v>22736.3169896259</v>
      </c>
      <c r="X48" s="131" t="n">
        <f aca="false">W48+X24-X46-X47</f>
        <v>23803.3113475479</v>
      </c>
      <c r="Y48" s="131" t="n">
        <f aca="false">X48+Y24-Y46-Y47</f>
        <v>22283.6664197443</v>
      </c>
      <c r="Z48" s="131" t="n">
        <f aca="false">Y48+Z24-Z46-Z47</f>
        <v>20634.6895276545</v>
      </c>
      <c r="AA48" s="131" t="n">
        <f aca="false">Z48+AA24-AA46-AA47</f>
        <v>18985.7126355647</v>
      </c>
      <c r="AB48" s="131" t="n">
        <f aca="false">AA48+AB24-AB46-AB47</f>
        <v>17336.7357434749</v>
      </c>
      <c r="AC48" s="131" t="n">
        <f aca="false">AB48+AC24-AC46-AC47</f>
        <v>15687.7588513851</v>
      </c>
      <c r="AD48" s="131" t="n">
        <f aca="false">AC48+AD24-AD46-AD47</f>
        <v>14038.7819592953</v>
      </c>
      <c r="AE48" s="131" t="n">
        <f aca="false">AD48+AE24-AE46-AE47</f>
        <v>12398.5090672054</v>
      </c>
      <c r="AF48" s="131" t="n">
        <f aca="false">AE48+AF24-AF46-AF47</f>
        <v>10766.4057751156</v>
      </c>
      <c r="AG48" s="131" t="n">
        <f aca="false">AF48+AG24-AG46-AG47</f>
        <v>9149.59048302581</v>
      </c>
      <c r="AI48" s="131" t="n">
        <f aca="false">INDEX($F48:$AG48,1,MATCH(AI$7,$F$7:$AG$7,1))</f>
        <v>0</v>
      </c>
      <c r="AJ48" s="131" t="n">
        <f aca="false">INDEX($F48:$AG48,1,MATCH(AJ$7,$F$7:$AG$7,1))</f>
        <v>1243.4128</v>
      </c>
      <c r="AK48" s="131" t="n">
        <f aca="false">INDEX($F48:$AG48,1,MATCH(AK$7,$F$7:$AG$7,1))</f>
        <v>14460.0885548388</v>
      </c>
      <c r="AL48" s="131" t="n">
        <f aca="false">INDEX($F48:$AG48,1,MATCH(AL$7,$F$7:$AG$7,1))</f>
        <v>25775.606845233</v>
      </c>
      <c r="AM48" s="131" t="n">
        <f aca="false">INDEX($F48:$AG48,1,MATCH(AM$7,$F$7:$AG$7,1))</f>
        <v>22283.6664197443</v>
      </c>
      <c r="AN48" s="131" t="n">
        <f aca="false">INDEX($F48:$AG48,1,MATCH(AN$7,$F$7:$AG$7,1))</f>
        <v>15687.7588513851</v>
      </c>
      <c r="AO48" s="131" t="n">
        <f aca="false">INDEX($F48:$AG48,1,MATCH(AO$7,$F$7:$AG$7,1))</f>
        <v>9149.59048302581</v>
      </c>
    </row>
    <row r="49" customFormat="false" ht="15" hidden="false" customHeight="false" outlineLevel="0" collapsed="false">
      <c r="A49" s="112" t="s">
        <v>2418</v>
      </c>
      <c r="B49" s="24" t="s">
        <v>745</v>
      </c>
      <c r="C49" s="24" t="s">
        <v>672</v>
      </c>
      <c r="D49" s="24"/>
      <c r="F49" s="130" t="n">
        <f aca="false">SUMPRODUCT($E$25:F$25,((F$5-$E$5:F$5)&gt;=(PISLag+($E$5:F$5&gt;LastHist)*(GPULead-1)))*((F$5-$E$5:F$5)&lt;LQ_N+(PISLag+($E$5:F$5&gt;LastHist)*(GPULead-1)))*($E$5:F$5&lt;=IMPE_N))/LQ_N</f>
        <v>0</v>
      </c>
      <c r="G49" s="130" t="n">
        <f aca="false">SUMPRODUCT($E$25:G$25,((G$5-$E$5:G$5)&gt;=(PISLag+($E$5:G$5&gt;LastHist)*(GPULead-1)))*((G$5-$E$5:G$5)&lt;LQ_N+(PISLag+($E$5:G$5&gt;LastHist)*(GPULead-1)))*($E$5:G$5&lt;=IMPE_N))/LQ_N</f>
        <v>0</v>
      </c>
      <c r="H49" s="130" t="n">
        <f aca="false">SUMPRODUCT($E$25:H$25,((H$5-$E$5:H$5)&gt;=(PISLag+($E$5:H$5&gt;LastHist)*(GPULead-1)))*((H$5-$E$5:H$5)&lt;LQ_N+(PISLag+($E$5:H$5&gt;LastHist)*(GPULead-1)))*($E$5:H$5&lt;=IMPE_N))/LQ_N</f>
        <v>0</v>
      </c>
      <c r="I49" s="130" t="n">
        <f aca="false">SUMPRODUCT($E$25:I$25,((I$5-$E$5:I$5)&gt;=(PISLag+($E$5:I$5&gt;LastHist)*(GPULead-1)))*((I$5-$E$5:I$5)&lt;LQ_N+(PISLag+($E$5:I$5&gt;LastHist)*(GPULead-1)))*($E$5:I$5&lt;=IMPE_N))/LQ_N</f>
        <v>0</v>
      </c>
      <c r="J49" s="130" t="n">
        <f aca="false">SUMPRODUCT($E$25:J$25,((J$5-$E$5:J$5)&gt;=(PISLag+($E$5:J$5&gt;LastHist)*(GPULead-1)))*((J$5-$E$5:J$5)&lt;LQ_N+(PISLag+($E$5:J$5&gt;LastHist)*(GPULead-1)))*($E$5:J$5&lt;=IMPE_N))/LQ_N</f>
        <v>0</v>
      </c>
      <c r="K49" s="130" t="n">
        <f aca="false">SUMPRODUCT($E$25:K$25,((K$5-$E$5:K$5)&gt;=(PISLag+($E$5:K$5&gt;LastHist)*(GPULead-1)))*((K$5-$E$5:K$5)&lt;LQ_N+(PISLag+($E$5:K$5&gt;LastHist)*(GPULead-1)))*($E$5:K$5&lt;=IMPE_N))/LQ_N</f>
        <v>0</v>
      </c>
      <c r="L49" s="130" t="n">
        <f aca="false">SUMPRODUCT($E$25:L$25,((L$5-$E$5:L$5)&gt;=(PISLag+($E$5:L$5&gt;LastHist)*(GPULead-1)))*((L$5-$E$5:L$5)&lt;LQ_N+(PISLag+($E$5:L$5&gt;LastHist)*(GPULead-1)))*($E$5:L$5&lt;=IMPE_N))/LQ_N</f>
        <v>0</v>
      </c>
      <c r="M49" s="130" t="n">
        <f aca="false">SUMPRODUCT($E$25:M$25,((M$5-$E$5:M$5)&gt;=(PISLag+($E$5:M$5&gt;LastHist)*(GPULead-1)))*((M$5-$E$5:M$5)&lt;LQ_N+(PISLag+($E$5:M$5&gt;LastHist)*(GPULead-1)))*($E$5:M$5&lt;=IMPE_N))/LQ_N</f>
        <v>0</v>
      </c>
      <c r="N49" s="130" t="n">
        <f aca="false">SUMPRODUCT($E$25:N$25,((N$5-$E$5:N$5)&gt;=(PISLag+($E$5:N$5&gt;LastHist)*(GPULead-1)))*((N$5-$E$5:N$5)&lt;LQ_N+(PISLag+($E$5:N$5&gt;LastHist)*(GPULead-1)))*($E$5:N$5&lt;=IMPE_N))/LQ_N</f>
        <v>0</v>
      </c>
      <c r="O49" s="130" t="n">
        <f aca="false">SUMPRODUCT($E$25:O$25,((O$5-$E$5:O$5)&gt;=(PISLag+($E$5:O$5&gt;LastHist)*(GPULead-1)))*((O$5-$E$5:O$5)&lt;LQ_N+(PISLag+($E$5:O$5&gt;LastHist)*(GPULead-1)))*($E$5:O$5&lt;=IMPE_N))/LQ_N</f>
        <v>0</v>
      </c>
      <c r="P49" s="131" t="n">
        <f aca="false">SUMPRODUCT($E$25:P$25,((P$5-$E$5:P$5)&gt;=(PISLag+($E$5:P$5&gt;LastHist)*(GPULead-1)))*((P$5-$E$5:P$5)&lt;LQ_N+(PISLag+($E$5:P$5&gt;LastHist)*(GPULead-1)))*($E$5:P$5&lt;=IMPE_N))/LQ_N</f>
        <v>0</v>
      </c>
      <c r="Q49" s="131" t="n">
        <f aca="false">SUMPRODUCT($E$25:Q$25,((Q$5-$E$5:Q$5)&gt;=(PISLag+($E$5:Q$5&gt;LastHist)*(GPULead-1)))*((Q$5-$E$5:Q$5)&lt;LQ_N+(PISLag+($E$5:Q$5&gt;LastHist)*(GPULead-1)))*($E$5:Q$5&lt;=IMPE_N))/LQ_N</f>
        <v>0</v>
      </c>
      <c r="R49" s="131" t="n">
        <f aca="false">SUMPRODUCT($E$25:R$25,((R$5-$E$5:R$5)&gt;=(PISLag+($E$5:R$5&gt;LastHist)*(GPULead-1)))*((R$5-$E$5:R$5)&lt;LQ_N+(PISLag+($E$5:R$5&gt;LastHist)*(GPULead-1)))*($E$5:R$5&lt;=IMPE_N))/LQ_N</f>
        <v>0</v>
      </c>
      <c r="S49" s="131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31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31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31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31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31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31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31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31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31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31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31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31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31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31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31" t="n">
        <f aca="false">SUMIF($F$7:$AG$7,AI$7,$F49:$AG49)</f>
        <v>0</v>
      </c>
      <c r="AJ49" s="131" t="n">
        <f aca="false">SUMIF($F$7:$AG$7,AJ$7,$F49:$AG49)</f>
        <v>0</v>
      </c>
      <c r="AK49" s="131" t="n">
        <f aca="false">SUMIF($F$7:$AG$7,AK$7,$F49:$AG49)</f>
        <v>0</v>
      </c>
      <c r="AL49" s="131" t="n">
        <f aca="false">SUMIF($F$7:$AG$7,AL$7,$F49:$AG49)</f>
        <v>245.749108287155</v>
      </c>
      <c r="AM49" s="131" t="n">
        <f aca="false">SUMIF($F$7:$AG$7,AM$7,$F49:$AG49)</f>
        <v>3030.46422628584</v>
      </c>
      <c r="AN49" s="131" t="n">
        <f aca="false">SUMIF($F$7:$AG$7,AN$7,$F49:$AG49)</f>
        <v>7119.70562164073</v>
      </c>
      <c r="AO49" s="131" t="n">
        <f aca="false">SUMIF($F$7:$AG$7,AO$7,$F49:$AG49)</f>
        <v>11940.5436616407</v>
      </c>
    </row>
    <row r="50" customFormat="false" ht="15" hidden="false" customHeight="false" outlineLevel="0" collapsed="false">
      <c r="A50" s="112" t="s">
        <v>2419</v>
      </c>
      <c r="B50" s="24" t="s">
        <v>745</v>
      </c>
      <c r="C50" s="24" t="s">
        <v>672</v>
      </c>
      <c r="D50" s="24"/>
      <c r="F50" s="130" t="n">
        <f aca="false">SUMPRODUCT($E$25:F$25,((F$5-$E$5:F$5)&gt;=(PISLag+($E$5:F$5&gt;LastHist)*(GPULead-1)))*((F$5-$E$5:F$5)&lt;LQ_N+(PISLag+($E$5:F$5&gt;LastHist)*(GPULead-1)))*($E$5:F$5&gt;IMPE_N))/LQ_N</f>
        <v>0</v>
      </c>
      <c r="G50" s="130" t="n">
        <f aca="false">SUMPRODUCT($E$25:G$25,((G$5-$E$5:G$5)&gt;=(PISLag+($E$5:G$5&gt;LastHist)*(GPULead-1)))*((G$5-$E$5:G$5)&lt;LQ_N+(PISLag+($E$5:G$5&gt;LastHist)*(GPULead-1)))*($E$5:G$5&gt;IMPE_N))/LQ_N</f>
        <v>0</v>
      </c>
      <c r="H50" s="130" t="n">
        <f aca="false">SUMPRODUCT($E$25:H$25,((H$5-$E$5:H$5)&gt;=(PISLag+($E$5:H$5&gt;LastHist)*(GPULead-1)))*((H$5-$E$5:H$5)&lt;LQ_N+(PISLag+($E$5:H$5&gt;LastHist)*(GPULead-1)))*($E$5:H$5&gt;IMPE_N))/LQ_N</f>
        <v>0</v>
      </c>
      <c r="I50" s="130" t="n">
        <f aca="false">SUMPRODUCT($E$25:I$25,((I$5-$E$5:I$5)&gt;=(PISLag+($E$5:I$5&gt;LastHist)*(GPULead-1)))*((I$5-$E$5:I$5)&lt;LQ_N+(PISLag+($E$5:I$5&gt;LastHist)*(GPULead-1)))*($E$5:I$5&gt;IMPE_N))/LQ_N</f>
        <v>0</v>
      </c>
      <c r="J50" s="130" t="n">
        <f aca="false">SUMPRODUCT($E$25:J$25,((J$5-$E$5:J$5)&gt;=(PISLag+($E$5:J$5&gt;LastHist)*(GPULead-1)))*((J$5-$E$5:J$5)&lt;LQ_N+(PISLag+($E$5:J$5&gt;LastHist)*(GPULead-1)))*($E$5:J$5&gt;IMPE_N))/LQ_N</f>
        <v>0</v>
      </c>
      <c r="K50" s="130" t="n">
        <f aca="false">SUMPRODUCT($E$25:K$25,((K$5-$E$5:K$5)&gt;=(PISLag+($E$5:K$5&gt;LastHist)*(GPULead-1)))*((K$5-$E$5:K$5)&lt;LQ_N+(PISLag+($E$5:K$5&gt;LastHist)*(GPULead-1)))*($E$5:K$5&gt;IMPE_N))/LQ_N</f>
        <v>0</v>
      </c>
      <c r="L50" s="130" t="n">
        <f aca="false">SUMPRODUCT($E$25:L$25,((L$5-$E$5:L$5)&gt;=(PISLag+($E$5:L$5&gt;LastHist)*(GPULead-1)))*((L$5-$E$5:L$5)&lt;LQ_N+(PISLag+($E$5:L$5&gt;LastHist)*(GPULead-1)))*($E$5:L$5&gt;IMPE_N))/LQ_N</f>
        <v>0</v>
      </c>
      <c r="M50" s="130" t="n">
        <f aca="false">SUMPRODUCT($E$25:M$25,((M$5-$E$5:M$5)&gt;=(PISLag+($E$5:M$5&gt;LastHist)*(GPULead-1)))*((M$5-$E$5:M$5)&lt;LQ_N+(PISLag+($E$5:M$5&gt;LastHist)*(GPULead-1)))*($E$5:M$5&gt;IMPE_N))/LQ_N</f>
        <v>0</v>
      </c>
      <c r="N50" s="130" t="n">
        <f aca="false">SUMPRODUCT($E$25:N$25,((N$5-$E$5:N$5)&gt;=(PISLag+($E$5:N$5&gt;LastHist)*(GPULead-1)))*((N$5-$E$5:N$5)&lt;LQ_N+(PISLag+($E$5:N$5&gt;LastHist)*(GPULead-1)))*($E$5:N$5&gt;IMPE_N))/LQ_N</f>
        <v>0</v>
      </c>
      <c r="O50" s="130" t="n">
        <f aca="false">SUMPRODUCT($E$25:O$25,((O$5-$E$5:O$5)&gt;=(PISLag+($E$5:O$5&gt;LastHist)*(GPULead-1)))*((O$5-$E$5:O$5)&lt;LQ_N+(PISLag+($E$5:O$5&gt;LastHist)*(GPULead-1)))*($E$5:O$5&gt;IMPE_N))/LQ_N</f>
        <v>0</v>
      </c>
      <c r="P50" s="131" t="n">
        <f aca="false">SUMPRODUCT($E$25:P$25,((P$5-$E$5:P$5)&gt;=(PISLag+($E$5:P$5&gt;LastHist)*(GPULead-1)))*((P$5-$E$5:P$5)&lt;LQ_N+(PISLag+($E$5:P$5&gt;LastHist)*(GPULead-1)))*($E$5:P$5&gt;IMPE_N))/LQ_N</f>
        <v>0</v>
      </c>
      <c r="Q50" s="131" t="n">
        <f aca="false">SUMPRODUCT($E$25:Q$25,((Q$5-$E$5:Q$5)&gt;=(PISLag+($E$5:Q$5&gt;LastHist)*(GPULead-1)))*((Q$5-$E$5:Q$5)&lt;LQ_N+(PISLag+($E$5:Q$5&gt;LastHist)*(GPULead-1)))*($E$5:Q$5&gt;IMPE_N))/LQ_N</f>
        <v>0</v>
      </c>
      <c r="R50" s="131" t="n">
        <f aca="false">SUMPRODUCT($E$25:R$25,((R$5-$E$5:R$5)&gt;=(PISLag+($E$5:R$5&gt;LastHist)*(GPULead-1)))*((R$5-$E$5:R$5)&lt;LQ_N+(PISLag+($E$5:R$5&gt;LastHist)*(GPULead-1)))*($E$5:R$5&gt;IMPE_N))/LQ_N</f>
        <v>0</v>
      </c>
      <c r="S50" s="131" t="n">
        <f aca="false">SUMPRODUCT($E$25:S$25,((S$5-$E$5:S$5)&gt;=(PISLag+($E$5:S$5&gt;LastHist)*(GPULead-1)))*((S$5-$E$5:S$5)&lt;LQ_N+(PISLag+($E$5:S$5&gt;LastHist)*(GPULead-1)))*($E$5:S$5&gt;IMPE_N))/LQ_N</f>
        <v>0</v>
      </c>
      <c r="T50" s="131" t="n">
        <f aca="false">SUMPRODUCT($E$25:T$25,((T$5-$E$5:T$5)&gt;=(PISLag+($E$5:T$5&gt;LastHist)*(GPULead-1)))*((T$5-$E$5:T$5)&lt;LQ_N+(PISLag+($E$5:T$5&gt;LastHist)*(GPULead-1)))*($E$5:T$5&gt;IMPE_N))/LQ_N</f>
        <v>0</v>
      </c>
      <c r="U50" s="131" t="n">
        <f aca="false">SUMPRODUCT($E$25:U$25,((U$5-$E$5:U$5)&gt;=(PISLag+($E$5:U$5&gt;LastHist)*(GPULead-1)))*((U$5-$E$5:U$5)&lt;LQ_N+(PISLag+($E$5:U$5&gt;LastHist)*(GPULead-1)))*($E$5:U$5&gt;IMPE_N))/LQ_N</f>
        <v>0</v>
      </c>
      <c r="V50" s="131" t="n">
        <f aca="false">SUMPRODUCT($E$25:V$25,((V$5-$E$5:V$5)&gt;=(PISLag+($E$5:V$5&gt;LastHist)*(GPULead-1)))*((V$5-$E$5:V$5)&lt;LQ_N+(PISLag+($E$5:V$5&gt;LastHist)*(GPULead-1)))*($E$5:V$5&gt;IMPE_N))/LQ_N</f>
        <v>0</v>
      </c>
      <c r="W50" s="131" t="n">
        <f aca="false">SUMPRODUCT($E$25:W$25,((W$5-$E$5:W$5)&gt;=(PISLag+($E$5:W$5&gt;LastHist)*(GPULead-1)))*((W$5-$E$5:W$5)&lt;LQ_N+(PISLag+($E$5:W$5&gt;LastHist)*(GPULead-1)))*($E$5:W$5&gt;IMPE_N))/LQ_N</f>
        <v>0</v>
      </c>
      <c r="X50" s="131" t="n">
        <f aca="false">SUMPRODUCT($E$25:X$25,((X$5-$E$5:X$5)&gt;=(PISLag+($E$5:X$5&gt;LastHist)*(GPULead-1)))*((X$5-$E$5:X$5)&lt;LQ_N+(PISLag+($E$5:X$5&gt;LastHist)*(GPULead-1)))*($E$5:X$5&gt;IMPE_N))/LQ_N</f>
        <v>0</v>
      </c>
      <c r="Y50" s="131" t="n">
        <f aca="false">SUMPRODUCT($E$25:Y$25,((Y$5-$E$5:Y$5)&gt;=(PISLag+($E$5:Y$5&gt;LastHist)*(GPULead-1)))*((Y$5-$E$5:Y$5)&lt;LQ_N+(PISLag+($E$5:Y$5&gt;LastHist)*(GPULead-1)))*($E$5:Y$5&gt;IMPE_N))/LQ_N</f>
        <v>0</v>
      </c>
      <c r="Z50" s="131" t="n">
        <f aca="false">SUMPRODUCT($E$25:Z$25,((Z$5-$E$5:Z$5)&gt;=(PISLag+($E$5:Z$5&gt;LastHist)*(GPULead-1)))*((Z$5-$E$5:Z$5)&lt;LQ_N+(PISLag+($E$5:Z$5&gt;LastHist)*(GPULead-1)))*($E$5:Z$5&gt;IMPE_N))/LQ_N</f>
        <v>0</v>
      </c>
      <c r="AA50" s="131" t="n">
        <f aca="false">SUMPRODUCT($E$25:AA$25,((AA$5-$E$5:AA$5)&gt;=(PISLag+($E$5:AA$5&gt;LastHist)*(GPULead-1)))*((AA$5-$E$5:AA$5)&lt;LQ_N+(PISLag+($E$5:AA$5&gt;LastHist)*(GPULead-1)))*($E$5:AA$5&gt;IMPE_N))/LQ_N</f>
        <v>0</v>
      </c>
      <c r="AB50" s="131" t="n">
        <f aca="false">SUMPRODUCT($E$25:AB$25,((AB$5-$E$5:AB$5)&gt;=(PISLag+($E$5:AB$5&gt;LastHist)*(GPULead-1)))*((AB$5-$E$5:AB$5)&lt;LQ_N+(PISLag+($E$5:AB$5&gt;LastHist)*(GPULead-1)))*($E$5:AB$5&gt;IMPE_N))/LQ_N</f>
        <v>0</v>
      </c>
      <c r="AC50" s="131" t="n">
        <f aca="false">SUMPRODUCT($E$25:AC$25,((AC$5-$E$5:AC$5)&gt;=(PISLag+($E$5:AC$5&gt;LastHist)*(GPULead-1)))*((AC$5-$E$5:AC$5)&lt;LQ_N+(PISLag+($E$5:AC$5&gt;LastHist)*(GPULead-1)))*($E$5:AC$5&gt;IMPE_N))/LQ_N</f>
        <v>0</v>
      </c>
      <c r="AD50" s="131" t="n">
        <f aca="false">SUMPRODUCT($E$25:AD$25,((AD$5-$E$5:AD$5)&gt;=(PISLag+($E$5:AD$5&gt;LastHist)*(GPULead-1)))*((AD$5-$E$5:AD$5)&lt;LQ_N+(PISLag+($E$5:AD$5&gt;LastHist)*(GPULead-1)))*($E$5:AD$5&gt;IMPE_N))/LQ_N</f>
        <v>0</v>
      </c>
      <c r="AE50" s="131" t="n">
        <f aca="false">SUMPRODUCT($E$25:AE$25,((AE$5-$E$5:AE$5)&gt;=(PISLag+($E$5:AE$5&gt;LastHist)*(GPULead-1)))*((AE$5-$E$5:AE$5)&lt;LQ_N+(PISLag+($E$5:AE$5&gt;LastHist)*(GPULead-1)))*($E$5:AE$5&gt;IMPE_N))/LQ_N</f>
        <v>0</v>
      </c>
      <c r="AF50" s="131" t="n">
        <f aca="false">SUMPRODUCT($E$25:AF$25,((AF$5-$E$5:AF$5)&gt;=(PISLag+($E$5:AF$5&gt;LastHist)*(GPULead-1)))*((AF$5-$E$5:AF$5)&lt;LQ_N+(PISLag+($E$5:AF$5&gt;LastHist)*(GPULead-1)))*($E$5:AF$5&gt;IMPE_N))/LQ_N</f>
        <v>0</v>
      </c>
      <c r="AG50" s="131" t="n">
        <f aca="false">SUMPRODUCT($E$25:AG$25,((AG$5-$E$5:AG$5)&gt;=(PISLag+($E$5:AG$5&gt;LastHist)*(GPULead-1)))*((AG$5-$E$5:AG$5)&lt;LQ_N+(PISLag+($E$5:AG$5&gt;LastHist)*(GPULead-1)))*($E$5:AG$5&gt;IMPE_N))/LQ_N</f>
        <v>0</v>
      </c>
      <c r="AI50" s="131" t="n">
        <f aca="false">SUMIF($F$7:$AG$7,AI$7,$F50:$AG50)</f>
        <v>0</v>
      </c>
      <c r="AJ50" s="131" t="n">
        <f aca="false">SUMIF($F$7:$AG$7,AJ$7,$F50:$AG50)</f>
        <v>0</v>
      </c>
      <c r="AK50" s="131" t="n">
        <f aca="false">SUMIF($F$7:$AG$7,AK$7,$F50:$AG50)</f>
        <v>0</v>
      </c>
      <c r="AL50" s="131" t="n">
        <f aca="false">SUMIF($F$7:$AG$7,AL$7,$F50:$AG50)</f>
        <v>0</v>
      </c>
      <c r="AM50" s="131" t="n">
        <f aca="false">SUMIF($F$7:$AG$7,AM$7,$F50:$AG50)</f>
        <v>0</v>
      </c>
      <c r="AN50" s="131" t="n">
        <f aca="false">SUMIF($F$7:$AG$7,AN$7,$F50:$AG50)</f>
        <v>0</v>
      </c>
      <c r="AO50" s="131" t="n">
        <f aca="false">SUMIF($F$7:$AG$7,AO$7,$F50:$AG50)</f>
        <v>0</v>
      </c>
    </row>
    <row r="51" customFormat="false" ht="15" hidden="false" customHeight="false" outlineLevel="0" collapsed="false">
      <c r="A51" s="3" t="s">
        <v>2420</v>
      </c>
      <c r="B51" s="24" t="s">
        <v>745</v>
      </c>
      <c r="C51" s="24" t="s">
        <v>672</v>
      </c>
      <c r="D51" s="24"/>
      <c r="F51" s="132" t="n">
        <f aca="false">F49*(1-ImpPct_N*(F$5&gt;IMPE_N))+F50</f>
        <v>0</v>
      </c>
      <c r="G51" s="132" t="n">
        <f aca="false">G49*(1-ImpPct_N*(G$5&gt;IMPE_N))+G50</f>
        <v>0</v>
      </c>
      <c r="H51" s="132" t="n">
        <f aca="false">H49*(1-ImpPct_N*(H$5&gt;IMPE_N))+H50</f>
        <v>0</v>
      </c>
      <c r="I51" s="132" t="n">
        <f aca="false">I49*(1-ImpPct_N*(I$5&gt;IMPE_N))+I50</f>
        <v>0</v>
      </c>
      <c r="J51" s="132" t="n">
        <f aca="false">J49*(1-ImpPct_N*(J$5&gt;IMPE_N))+J50</f>
        <v>0</v>
      </c>
      <c r="K51" s="132" t="n">
        <f aca="false">K49*(1-ImpPct_N*(K$5&gt;IMPE_N))+K50</f>
        <v>0</v>
      </c>
      <c r="L51" s="132" t="n">
        <f aca="false">L49*(1-ImpPct_N*(L$5&gt;IMPE_N))+L50</f>
        <v>0</v>
      </c>
      <c r="M51" s="132" t="n">
        <f aca="false">M49*(1-ImpPct_N*(M$5&gt;IMPE_N))+M50</f>
        <v>0</v>
      </c>
      <c r="N51" s="132" t="n">
        <f aca="false">N49*(1-ImpPct_N*(N$5&gt;IMPE_N))+N50</f>
        <v>0</v>
      </c>
      <c r="O51" s="132" t="n">
        <f aca="false">O49*(1-ImpPct_N*(O$5&gt;IMPE_N))+O50</f>
        <v>0</v>
      </c>
      <c r="P51" s="104" t="n">
        <f aca="false">P49*(1-ImpPct_N*(P$5&gt;IMPE_N))+P50</f>
        <v>0</v>
      </c>
      <c r="Q51" s="104" t="n">
        <f aca="false">Q49*(1-ImpPct_N*(Q$5&gt;IMPE_N))+Q50</f>
        <v>0</v>
      </c>
      <c r="R51" s="104" t="n">
        <f aca="false">R49*(1-ImpPct_N*(R$5&gt;IMPE_N))+R50</f>
        <v>0</v>
      </c>
      <c r="S51" s="104" t="n">
        <f aca="false">S49*(1-ImpPct_N*(S$5&gt;IMPE_N))+S50</f>
        <v>13.4010338830592</v>
      </c>
      <c r="T51" s="104" t="n">
        <f aca="false">T49*(1-ImpPct_N*(T$5&gt;IMPE_N))+T50</f>
        <v>46.8374890734503</v>
      </c>
      <c r="U51" s="104" t="n">
        <f aca="false">U49*(1-ImpPct_N*(U$5&gt;IMPE_N))+U50</f>
        <v>185.510585330646</v>
      </c>
      <c r="V51" s="104" t="n">
        <f aca="false">V49*(1-ImpPct_N*(V$5&gt;IMPE_N))+V50</f>
        <v>460.54347719646</v>
      </c>
      <c r="W51" s="104" t="n">
        <f aca="false">W49*(1-ImpPct_N*(W$5&gt;IMPE_N))+W50</f>
        <v>643.16188469646</v>
      </c>
      <c r="X51" s="104" t="n">
        <f aca="false">X49*(1-ImpPct_N*(X$5&gt;IMPE_N))+X50</f>
        <v>950.848182196459</v>
      </c>
      <c r="Y51" s="104" t="n">
        <f aca="false">Y49*(1-ImpPct_N*(Y$5&gt;IMPE_N))+Y50</f>
        <v>975.910682196459</v>
      </c>
      <c r="Z51" s="104" t="n">
        <f aca="false">Z49*(1-ImpPct_N*(Z$5&gt;IMPE_N))+Z50</f>
        <v>1468.05467041018</v>
      </c>
      <c r="AA51" s="104" t="n">
        <f aca="false">AA49*(1-ImpPct_N*(AA$5&gt;IMPE_N))+AA50</f>
        <v>1468.05467041018</v>
      </c>
      <c r="AB51" s="104" t="n">
        <f aca="false">AB49*(1-ImpPct_N*(AB$5&gt;IMPE_N))+AB50</f>
        <v>2091.79814041018</v>
      </c>
      <c r="AC51" s="104" t="n">
        <f aca="false">AC49*(1-ImpPct_N*(AC$5&gt;IMPE_N))+AC50</f>
        <v>2091.79814041018</v>
      </c>
      <c r="AD51" s="104" t="n">
        <f aca="false">AD49*(1-ImpPct_N*(AD$5&gt;IMPE_N))+AD50</f>
        <v>2985.13591541018</v>
      </c>
      <c r="AE51" s="104" t="n">
        <f aca="false">AE49*(1-ImpPct_N*(AE$5&gt;IMPE_N))+AE50</f>
        <v>2985.13591541018</v>
      </c>
      <c r="AF51" s="104" t="n">
        <f aca="false">AF49*(1-ImpPct_N*(AF$5&gt;IMPE_N))+AF50</f>
        <v>2985.13591541018</v>
      </c>
      <c r="AG51" s="104" t="n">
        <f aca="false">AG49*(1-ImpPct_N*(AG$5&gt;IMPE_N))+AG50</f>
        <v>2985.13591541018</v>
      </c>
      <c r="AI51" s="104" t="n">
        <f aca="false">SUMIF($F$7:$AG$7,AI$7,$F51:$AG51)</f>
        <v>0</v>
      </c>
      <c r="AJ51" s="104" t="n">
        <f aca="false">SUMIF($F$7:$AG$7,AJ$7,$F51:$AG51)</f>
        <v>0</v>
      </c>
      <c r="AK51" s="104" t="n">
        <f aca="false">SUMIF($F$7:$AG$7,AK$7,$F51:$AG51)</f>
        <v>0</v>
      </c>
      <c r="AL51" s="104" t="n">
        <f aca="false">SUMIF($F$7:$AG$7,AL$7,$F51:$AG51)</f>
        <v>245.749108287155</v>
      </c>
      <c r="AM51" s="104" t="n">
        <f aca="false">SUMIF($F$7:$AG$7,AM$7,$F51:$AG51)</f>
        <v>3030.46422628584</v>
      </c>
      <c r="AN51" s="104" t="n">
        <f aca="false">SUMIF($F$7:$AG$7,AN$7,$F51:$AG51)</f>
        <v>7119.70562164073</v>
      </c>
      <c r="AO51" s="104" t="n">
        <f aca="false">SUMIF($F$7:$AG$7,AO$7,$F51:$AG51)</f>
        <v>11940.5436616407</v>
      </c>
    </row>
    <row r="52" customFormat="false" ht="15" hidden="false" customHeight="false" outlineLevel="0" collapsed="false">
      <c r="A52" s="112" t="s">
        <v>2421</v>
      </c>
      <c r="B52" s="24" t="s">
        <v>745</v>
      </c>
      <c r="C52" s="24" t="s">
        <v>683</v>
      </c>
      <c r="D52" s="24"/>
      <c r="F52" s="130" t="n">
        <f aca="false">IF(F$5=IMPE_N,ImpPct_N*(SUMPRODUCT($E$25:F$25,--($E$5:F$5&lt;=IMPE_N))-SUM($F$49:F$49)),0)</f>
        <v>0</v>
      </c>
      <c r="G52" s="130" t="n">
        <f aca="false">IF(G$5=IMPE_N,ImpPct_N*(SUMPRODUCT($E$25:G$25,--($E$5:G$5&lt;=IMPE_N))-SUM($F$49:G$49)),0)</f>
        <v>0</v>
      </c>
      <c r="H52" s="130" t="n">
        <f aca="false">IF(H$5=IMPE_N,ImpPct_N*(SUMPRODUCT($E$25:H$25,--($E$5:H$5&lt;=IMPE_N))-SUM($F$49:H$49)),0)</f>
        <v>0</v>
      </c>
      <c r="I52" s="130" t="n">
        <f aca="false">IF(I$5=IMPE_N,ImpPct_N*(SUMPRODUCT($E$25:I$25,--($E$5:I$5&lt;=IMPE_N))-SUM($F$49:I$49)),0)</f>
        <v>0</v>
      </c>
      <c r="J52" s="130" t="n">
        <f aca="false">IF(J$5=IMPE_N,ImpPct_N*(SUMPRODUCT($E$25:J$25,--($E$5:J$5&lt;=IMPE_N))-SUM($F$49:J$49)),0)</f>
        <v>0</v>
      </c>
      <c r="K52" s="130" t="n">
        <f aca="false">IF(K$5=IMPE_N,ImpPct_N*(SUMPRODUCT($E$25:K$25,--($E$5:K$5&lt;=IMPE_N))-SUM($F$49:K$49)),0)</f>
        <v>0</v>
      </c>
      <c r="L52" s="130" t="n">
        <f aca="false">IF(L$5=IMPE_N,ImpPct_N*(SUMPRODUCT($E$25:L$25,--($E$5:L$5&lt;=IMPE_N))-SUM($F$49:L$49)),0)</f>
        <v>0</v>
      </c>
      <c r="M52" s="130" t="n">
        <f aca="false">IF(M$5=IMPE_N,ImpPct_N*(SUMPRODUCT($E$25:M$25,--($E$5:M$5&lt;=IMPE_N))-SUM($F$49:M$49)),0)</f>
        <v>0</v>
      </c>
      <c r="N52" s="130" t="n">
        <f aca="false">IF(N$5=IMPE_N,ImpPct_N*(SUMPRODUCT($E$25:N$25,--($E$5:N$5&lt;=IMPE_N))-SUM($F$49:N$49)),0)</f>
        <v>0</v>
      </c>
      <c r="O52" s="130" t="n">
        <f aca="false">IF(O$5=IMPE_N,ImpPct_N*(SUMPRODUCT($E$25:O$25,--($E$5:O$5&lt;=IMPE_N))-SUM($F$49:O$49)),0)</f>
        <v>0</v>
      </c>
      <c r="P52" s="131" t="n">
        <f aca="false">IF(P$5=IMPE_N,ImpPct_N*(SUMPRODUCT($E$25:P$25,--($E$5:P$5&lt;=IMPE_N))-SUM($F$49:P$49)),0)</f>
        <v>0</v>
      </c>
      <c r="Q52" s="131" t="n">
        <f aca="false">IF(Q$5=IMPE_N,ImpPct_N*(SUMPRODUCT($E$25:Q$25,--($E$5:Q$5&lt;=IMPE_N))-SUM($F$49:Q$49)),0)</f>
        <v>0</v>
      </c>
      <c r="R52" s="131" t="n">
        <f aca="false">IF(R$5=IMPE_N,ImpPct_N*(SUMPRODUCT($E$25:R$25,--($E$5:R$5&lt;=IMPE_N))-SUM($F$49:R$49)),0)</f>
        <v>0</v>
      </c>
      <c r="S52" s="131" t="n">
        <f aca="false">IF(S$5=IMPE_N,ImpPct_N*(SUMPRODUCT($E$25:S$25,--($E$5:S$5&lt;=IMPE_N))-SUM($F$49:S$49)),0)</f>
        <v>0</v>
      </c>
      <c r="T52" s="131" t="n">
        <f aca="false">IF(T$5=IMPE_N,ImpPct_N*(SUMPRODUCT($E$25:T$25,--($E$5:T$5&lt;=IMPE_N))-SUM($F$49:T$49)),0)</f>
        <v>0</v>
      </c>
      <c r="U52" s="131" t="n">
        <f aca="false">IF(U$5=IMPE_N,ImpPct_N*(SUMPRODUCT($E$25:U$25,--($E$5:U$5&lt;=IMPE_N))-SUM($F$49:U$49)),0)</f>
        <v>0</v>
      </c>
      <c r="V52" s="131" t="n">
        <f aca="false">IF(V$5=IMPE_N,ImpPct_N*(SUMPRODUCT($E$25:V$25,--($E$5:V$5&lt;=IMPE_N))-SUM($F$49:V$49)),0)</f>
        <v>0</v>
      </c>
      <c r="W52" s="131" t="n">
        <f aca="false">IF(W$5=IMPE_N,ImpPct_N*(SUMPRODUCT($E$25:W$25,--($E$5:W$5&lt;=IMPE_N))-SUM($F$49:W$49)),0)</f>
        <v>0</v>
      </c>
      <c r="X52" s="131" t="n">
        <f aca="false">IF(X$5=IMPE_N,ImpPct_N*(SUMPRODUCT($E$25:X$25,--($E$5:X$5&lt;=IMPE_N))-SUM($F$49:X$49)),0)</f>
        <v>0</v>
      </c>
      <c r="Y52" s="131" t="n">
        <f aca="false">IF(Y$5=IMPE_N,ImpPct_N*(SUMPRODUCT($E$25:Y$25,--($E$5:Y$5&lt;=IMPE_N))-SUM($F$49:Y$49)),0)</f>
        <v>0</v>
      </c>
      <c r="Z52" s="131" t="n">
        <f aca="false">IF(Z$5=IMPE_N,ImpPct_N*(SUMPRODUCT($E$25:Z$25,--($E$5:Z$5&lt;=IMPE_N))-SUM($F$49:Z$49)),0)</f>
        <v>0</v>
      </c>
      <c r="AA52" s="131" t="n">
        <f aca="false">IF(AA$5=IMPE_N,ImpPct_N*(SUMPRODUCT($E$25:AA$25,--($E$5:AA$5&lt;=IMPE_N))-SUM($F$49:AA$49)),0)</f>
        <v>0</v>
      </c>
      <c r="AB52" s="131" t="n">
        <f aca="false">IF(AB$5=IMPE_N,ImpPct_N*(SUMPRODUCT($E$25:AB$25,--($E$5:AB$5&lt;=IMPE_N))-SUM($F$49:AB$49)),0)</f>
        <v>0</v>
      </c>
      <c r="AC52" s="131" t="n">
        <f aca="false">IF(AC$5=IMPE_N,ImpPct_N*(SUMPRODUCT($E$25:AC$25,--($E$5:AC$5&lt;=IMPE_N))-SUM($F$49:AC$49)),0)</f>
        <v>0</v>
      </c>
      <c r="AD52" s="131" t="n">
        <f aca="false">IF(AD$5=IMPE_N,ImpPct_N*(SUMPRODUCT($E$25:AD$25,--($E$5:AD$5&lt;=IMPE_N))-SUM($F$49:AD$49)),0)</f>
        <v>0</v>
      </c>
      <c r="AE52" s="131" t="n">
        <f aca="false">IF(AE$5=IMPE_N,ImpPct_N*(SUMPRODUCT($E$25:AE$25,--($E$5:AE$5&lt;=IMPE_N))-SUM($F$49:AE$49)),0)</f>
        <v>0</v>
      </c>
      <c r="AF52" s="131" t="n">
        <f aca="false">IF(AF$5=IMPE_N,ImpPct_N*(SUMPRODUCT($E$25:AF$25,--($E$5:AF$5&lt;=IMPE_N))-SUM($F$49:AF$49)),0)</f>
        <v>0</v>
      </c>
      <c r="AG52" s="131" t="n">
        <f aca="false">IF(AG$5=IMPE_N,ImpPct_N*(SUMPRODUCT($E$25:AG$25,--($E$5:AG$5&lt;=IMPE_N))-SUM($F$49:AG$49)),0)</f>
        <v>0</v>
      </c>
      <c r="AI52" s="131" t="n">
        <f aca="false">SUMIF($F$7:$AG$7,AI$7,$F52:$AG52)</f>
        <v>0</v>
      </c>
      <c r="AJ52" s="131" t="n">
        <f aca="false">SUMIF($F$7:$AG$7,AJ$7,$F52:$AG52)</f>
        <v>0</v>
      </c>
      <c r="AK52" s="131" t="n">
        <f aca="false">SUMIF($F$7:$AG$7,AK$7,$F52:$AG52)</f>
        <v>0</v>
      </c>
      <c r="AL52" s="131" t="n">
        <f aca="false">SUMIF($F$7:$AG$7,AL$7,$F52:$AG52)</f>
        <v>0</v>
      </c>
      <c r="AM52" s="131" t="n">
        <f aca="false">SUMIF($F$7:$AG$7,AM$7,$F52:$AG52)</f>
        <v>0</v>
      </c>
      <c r="AN52" s="131" t="n">
        <f aca="false">SUMIF($F$7:$AG$7,AN$7,$F52:$AG52)</f>
        <v>0</v>
      </c>
      <c r="AO52" s="131" t="n">
        <f aca="false">SUMIF($F$7:$AG$7,AO$7,$F52:$AG52)</f>
        <v>0</v>
      </c>
    </row>
    <row r="53" customFormat="false" ht="15" hidden="false" customHeight="false" outlineLevel="0" collapsed="false">
      <c r="A53" s="112" t="s">
        <v>2422</v>
      </c>
      <c r="B53" s="24" t="s">
        <v>745</v>
      </c>
      <c r="C53" s="24" t="s">
        <v>672</v>
      </c>
      <c r="D53" s="24"/>
      <c r="E53" s="131" t="n">
        <f aca="false">E25</f>
        <v>0</v>
      </c>
      <c r="F53" s="130" t="n">
        <f aca="false">E53+F25-F51-F52</f>
        <v>0</v>
      </c>
      <c r="G53" s="130" t="n">
        <f aca="false">F53+G25-G51-G52</f>
        <v>0</v>
      </c>
      <c r="H53" s="130" t="n">
        <f aca="false">G53+H25-H51-H52</f>
        <v>0</v>
      </c>
      <c r="I53" s="130" t="n">
        <f aca="false">H53+I25-I51-I52</f>
        <v>0</v>
      </c>
      <c r="J53" s="130" t="n">
        <f aca="false">I53+J25-J51-J52</f>
        <v>0</v>
      </c>
      <c r="K53" s="130" t="n">
        <f aca="false">J53+K25-K51-K52</f>
        <v>0</v>
      </c>
      <c r="L53" s="130" t="n">
        <f aca="false">K53+L25-L51-L52</f>
        <v>0</v>
      </c>
      <c r="M53" s="130" t="n">
        <f aca="false">L53+M25-M51-M52</f>
        <v>0</v>
      </c>
      <c r="N53" s="130" t="n">
        <f aca="false">M53+N25-N51-N52</f>
        <v>0</v>
      </c>
      <c r="O53" s="130" t="n">
        <f aca="false">N53+O25-O51-O52</f>
        <v>0</v>
      </c>
      <c r="P53" s="131" t="n">
        <f aca="false">O53+P25-P51-P52</f>
        <v>0</v>
      </c>
      <c r="Q53" s="131" t="n">
        <f aca="false">P53+Q25-Q51-Q52</f>
        <v>268.020677661185</v>
      </c>
      <c r="R53" s="131" t="n">
        <f aca="false">Q53+R25-R51-R52</f>
        <v>936.749781469005</v>
      </c>
      <c r="S53" s="131" t="n">
        <f aca="false">R53+S25-S51-S52</f>
        <v>3696.81067272985</v>
      </c>
      <c r="T53" s="131" t="n">
        <f aca="false">S53+T25-T51-T52</f>
        <v>9150.63102097268</v>
      </c>
      <c r="U53" s="131" t="n">
        <f aca="false">T53+U25-U51-U52</f>
        <v>12617.488585642</v>
      </c>
      <c r="V53" s="131" t="n">
        <f aca="false">U53+V25-V51-V52</f>
        <v>18310.6710584456</v>
      </c>
      <c r="W53" s="131" t="n">
        <f aca="false">V53+W25-W51-W52</f>
        <v>18168.7591737491</v>
      </c>
      <c r="X53" s="131" t="n">
        <f aca="false">W53+X25-X51-X52</f>
        <v>27060.7907558271</v>
      </c>
      <c r="Y53" s="131" t="n">
        <f aca="false">X53+Y25-Y51-Y52</f>
        <v>26084.8800736307</v>
      </c>
      <c r="Z53" s="131" t="n">
        <f aca="false">Y53+Z25-Z51-Z52</f>
        <v>37091.6948032205</v>
      </c>
      <c r="AA53" s="131" t="n">
        <f aca="false">Z53+AA25-AA51-AA52</f>
        <v>35623.6401328103</v>
      </c>
      <c r="AB53" s="131" t="n">
        <f aca="false">AA53+AB25-AB51-AB52</f>
        <v>51398.5974924001</v>
      </c>
      <c r="AC53" s="131" t="n">
        <f aca="false">AB53+AC25-AC51-AC52</f>
        <v>49306.7993519899</v>
      </c>
      <c r="AD53" s="131" t="n">
        <f aca="false">AC53+AD25-AD51-AD52</f>
        <v>46321.6634365798</v>
      </c>
      <c r="AE53" s="131" t="n">
        <f aca="false">AD53+AE25-AE51-AE52</f>
        <v>43336.5275211696</v>
      </c>
      <c r="AF53" s="131" t="n">
        <f aca="false">AE53+AF25-AF51-AF52</f>
        <v>40351.3916057594</v>
      </c>
      <c r="AG53" s="131" t="n">
        <f aca="false">AF53+AG25-AG51-AG52</f>
        <v>37366.2556903492</v>
      </c>
      <c r="AI53" s="131" t="n">
        <f aca="false">INDEX($F53:$AG53,1,MATCH(AI$7,$F$7:$AG$7,1))</f>
        <v>0</v>
      </c>
      <c r="AJ53" s="131" t="n">
        <f aca="false">INDEX($F53:$AG53,1,MATCH(AJ$7,$F$7:$AG$7,1))</f>
        <v>0</v>
      </c>
      <c r="AK53" s="131" t="n">
        <f aca="false">INDEX($F53:$AG53,1,MATCH(AK$7,$F$7:$AG$7,1))</f>
        <v>268.020677661185</v>
      </c>
      <c r="AL53" s="131" t="n">
        <f aca="false">INDEX($F53:$AG53,1,MATCH(AL$7,$F$7:$AG$7,1))</f>
        <v>12617.488585642</v>
      </c>
      <c r="AM53" s="131" t="n">
        <f aca="false">INDEX($F53:$AG53,1,MATCH(AM$7,$F$7:$AG$7,1))</f>
        <v>26084.8800736307</v>
      </c>
      <c r="AN53" s="131" t="n">
        <f aca="false">INDEX($F53:$AG53,1,MATCH(AN$7,$F$7:$AG$7,1))</f>
        <v>49306.7993519899</v>
      </c>
      <c r="AO53" s="131" t="n">
        <f aca="false">INDEX($F53:$AG53,1,MATCH(AO$7,$F$7:$AG$7,1))</f>
        <v>37366.2556903492</v>
      </c>
    </row>
    <row r="55" customFormat="false" ht="15" hidden="false" customHeight="false" outlineLevel="0" collapsed="false">
      <c r="A55" s="64" t="s">
        <v>2423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</row>
    <row r="56" customFormat="false" ht="15" hidden="false" customHeight="false" outlineLevel="0" collapsed="false">
      <c r="A56" s="112" t="s">
        <v>2424</v>
      </c>
      <c r="B56" s="24" t="s">
        <v>745</v>
      </c>
      <c r="C56" s="24" t="s">
        <v>672</v>
      </c>
      <c r="D56" s="24"/>
      <c r="F56" s="130" t="n">
        <f aca="false">SUMPRODUCT($E$26:F$26,((F$5-$E$5:F$5)&gt;=(PISLag+($E$5:F$5&gt;LastHist)*MAX(0,DCLead-2)))*((F$5-$E$5:F$5)&lt;LQ_Shell+(PISLag+($E$5:F$5&gt;LastHist)*MAX(0,DCLead-2))))/LQ_Shell</f>
        <v>0</v>
      </c>
      <c r="G56" s="130" t="n">
        <f aca="false">SUMPRODUCT($E$26:G$26,((G$5-$E$5:G$5)&gt;=(PISLag+($E$5:G$5&gt;LastHist)*MAX(0,DCLead-2)))*((G$5-$E$5:G$5)&lt;LQ_Shell+(PISLag+($E$5:G$5&gt;LastHist)*MAX(0,DCLead-2))))/LQ_Shell</f>
        <v>0.13</v>
      </c>
      <c r="H56" s="130" t="n">
        <f aca="false">SUMPRODUCT($E$26:H$26,((H$5-$E$5:H$5)&gt;=(PISLag+($E$5:H$5&gt;LastHist)*MAX(0,DCLead-2)))*((H$5-$E$5:H$5)&lt;LQ_Shell+(PISLag+($E$5:H$5&gt;LastHist)*MAX(0,DCLead-2))))/LQ_Shell</f>
        <v>0.26</v>
      </c>
      <c r="I56" s="130" t="n">
        <f aca="false">SUMPRODUCT($E$26:I$26,((I$5-$E$5:I$5)&gt;=(PISLag+($E$5:I$5&gt;LastHist)*MAX(0,DCLead-2)))*((I$5-$E$5:I$5)&lt;LQ_Shell+(PISLag+($E$5:I$5&gt;LastHist)*MAX(0,DCLead-2))))/LQ_Shell</f>
        <v>0.3899</v>
      </c>
      <c r="J56" s="130" t="n">
        <f aca="false">SUMPRODUCT($E$26:J$26,((J$5-$E$5:J$5)&gt;=(PISLag+($E$5:J$5&gt;LastHist)*MAX(0,DCLead-2)))*((J$5-$E$5:J$5)&lt;LQ_Shell+(PISLag+($E$5:J$5&gt;LastHist)*MAX(0,DCLead-2))))/LQ_Shell</f>
        <v>0.8075</v>
      </c>
      <c r="K56" s="130" t="n">
        <f aca="false">SUMPRODUCT($E$26:K$26,((K$5-$E$5:K$5)&gt;=(PISLag+($E$5:K$5&gt;LastHist)*MAX(0,DCLead-2)))*((K$5-$E$5:K$5)&lt;LQ_Shell+(PISLag+($E$5:K$5&gt;LastHist)*MAX(0,DCLead-2))))/LQ_Shell</f>
        <v>1.3515</v>
      </c>
      <c r="L56" s="130" t="n">
        <f aca="false">SUMPRODUCT($E$26:L$26,((L$5-$E$5:L$5)&gt;=(PISLag+($E$5:L$5&gt;LastHist)*MAX(0,DCLead-2)))*((L$5-$E$5:L$5)&lt;LQ_Shell+(PISLag+($E$5:L$5&gt;LastHist)*MAX(0,DCLead-2))))/LQ_Shell</f>
        <v>1.8621</v>
      </c>
      <c r="M56" s="130" t="n">
        <f aca="false">SUMPRODUCT($E$26:M$26,((M$5-$E$5:M$5)&gt;=(PISLag+($E$5:M$5&gt;LastHist)*MAX(0,DCLead-2)))*((M$5-$E$5:M$5)&lt;LQ_Shell+(PISLag+($E$5:M$5&gt;LastHist)*MAX(0,DCLead-2))))/LQ_Shell</f>
        <v>2.8176</v>
      </c>
      <c r="N56" s="130" t="n">
        <f aca="false">SUMPRODUCT($E$26:N$26,((N$5-$E$5:N$5)&gt;=(PISLag+($E$5:N$5&gt;LastHist)*MAX(0,DCLead-2)))*((N$5-$E$5:N$5)&lt;LQ_Shell+(PISLag+($E$5:N$5&gt;LastHist)*MAX(0,DCLead-2))))/LQ_Shell</f>
        <v>4.8736</v>
      </c>
      <c r="O56" s="130" t="n">
        <f aca="false">SUMPRODUCT($E$26:O$26,((O$5-$E$5:O$5)&gt;=(PISLag+($E$5:O$5&gt;LastHist)*MAX(0,DCLead-2)))*((O$5-$E$5:O$5)&lt;LQ_Shell+(PISLag+($E$5:O$5&gt;LastHist)*MAX(0,DCLead-2))))/LQ_Shell</f>
        <v>7.3465</v>
      </c>
      <c r="P56" s="131" t="n">
        <f aca="false">SUMPRODUCT($E$26:P$26,((P$5-$E$5:P$5)&gt;=(PISLag+($E$5:P$5&gt;LastHist)*MAX(0,DCLead-2)))*((P$5-$E$5:P$5)&lt;LQ_Shell+(PISLag+($E$5:P$5&gt;LastHist)*MAX(0,DCLead-2))))/LQ_Shell</f>
        <v>13.0039</v>
      </c>
      <c r="Q56" s="131" t="n">
        <f aca="false">SUMPRODUCT($E$26:Q$26,((Q$5-$E$5:Q$5)&gt;=(PISLag+($E$5:Q$5&gt;LastHist)*MAX(0,DCLead-2)))*((Q$5-$E$5:Q$5)&lt;LQ_Shell+(PISLag+($E$5:Q$5&gt;LastHist)*MAX(0,DCLead-2))))/LQ_Shell</f>
        <v>13.0039</v>
      </c>
      <c r="R56" s="131" t="n">
        <f aca="false">SUMPRODUCT($E$26:R$26,((R$5-$E$5:R$5)&gt;=(PISLag+($E$5:R$5&gt;LastHist)*MAX(0,DCLead-2)))*((R$5-$E$5:R$5)&lt;LQ_Shell+(PISLag+($E$5:R$5&gt;LastHist)*MAX(0,DCLead-2))))/LQ_Shell</f>
        <v>13.43790390625</v>
      </c>
      <c r="S56" s="131" t="n">
        <f aca="false">SUMPRODUCT($E$26:S$26,((S$5-$E$5:S$5)&gt;=(PISLag+($E$5:S$5&gt;LastHist)*MAX(0,DCLead-2)))*((S$5-$E$5:S$5)&lt;LQ_Shell+(PISLag+($E$5:S$5&gt;LastHist)*MAX(0,DCLead-2))))/LQ_Shell</f>
        <v>14.5852515625</v>
      </c>
      <c r="T56" s="131" t="n">
        <f aca="false">SUMPRODUCT($E$26:T$26,((T$5-$E$5:T$5)&gt;=(PISLag+($E$5:T$5&gt;LastHist)*MAX(0,DCLead-2)))*((T$5-$E$5:T$5)&lt;LQ_Shell+(PISLag+($E$5:T$5&gt;LastHist)*MAX(0,DCLead-2))))/LQ_Shell</f>
        <v>17.90261875</v>
      </c>
      <c r="U56" s="131" t="n">
        <f aca="false">SUMPRODUCT($E$26:U$26,((U$5-$E$5:U$5)&gt;=(PISLag+($E$5:U$5&gt;LastHist)*MAX(0,DCLead-2)))*((U$5-$E$5:U$5)&lt;LQ_Shell+(PISLag+($E$5:U$5&gt;LastHist)*MAX(0,DCLead-2))))/LQ_Shell</f>
        <v>25.0581578125</v>
      </c>
      <c r="V56" s="131" t="n">
        <f aca="false">SUMPRODUCT($E$26:V$26,((V$5-$E$5:V$5)&gt;=(PISLag+($E$5:V$5&gt;LastHist)*MAX(0,DCLead-2)))*((V$5-$E$5:V$5)&lt;LQ_Shell+(PISLag+($E$5:V$5&gt;LastHist)*MAX(0,DCLead-2))))/LQ_Shell</f>
        <v>28.741665625</v>
      </c>
      <c r="W56" s="131" t="n">
        <f aca="false">SUMPRODUCT($E$26:W$26,((W$5-$E$5:W$5)&gt;=(PISLag+($E$5:W$5&gt;LastHist)*MAX(0,DCLead-2)))*((W$5-$E$5:W$5)&lt;LQ_Shell+(PISLag+($E$5:W$5&gt;LastHist)*MAX(0,DCLead-2))))/LQ_Shell</f>
        <v>35.9350796875</v>
      </c>
      <c r="X56" s="131" t="n">
        <f aca="false">SUMPRODUCT($E$26:X$26,((X$5-$E$5:X$5)&gt;=(PISLag+($E$5:X$5&gt;LastHist)*MAX(0,DCLead-2)))*((X$5-$E$5:X$5)&lt;LQ_Shell+(PISLag+($E$5:X$5&gt;LastHist)*MAX(0,DCLead-2))))/LQ_Shell</f>
        <v>35.9350796875</v>
      </c>
      <c r="Y56" s="131" t="n">
        <f aca="false">SUMPRODUCT($E$26:Y$26,((Y$5-$E$5:Y$5)&gt;=(PISLag+($E$5:Y$5&gt;LastHist)*MAX(0,DCLead-2)))*((Y$5-$E$5:Y$5)&lt;LQ_Shell+(PISLag+($E$5:Y$5&gt;LastHist)*MAX(0,DCLead-2))))/LQ_Shell</f>
        <v>48.47993125</v>
      </c>
      <c r="Z56" s="131" t="n">
        <f aca="false">SUMPRODUCT($E$26:Z$26,((Z$5-$E$5:Z$5)&gt;=(PISLag+($E$5:Z$5&gt;LastHist)*MAX(0,DCLead-2)))*((Z$5-$E$5:Z$5)&lt;LQ_Shell+(PISLag+($E$5:Z$5&gt;LastHist)*MAX(0,DCLead-2))))/LQ_Shell</f>
        <v>48.47993125</v>
      </c>
      <c r="AA56" s="131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31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31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31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31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31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31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31" t="n">
        <f aca="false">SUMIF($F$7:$AG$7,AI$7,$F56:$AG56)</f>
        <v>0.7799</v>
      </c>
      <c r="AJ56" s="131" t="n">
        <f aca="false">SUMIF($F$7:$AG$7,AJ$7,$F56:$AG56)</f>
        <v>6.8387</v>
      </c>
      <c r="AK56" s="131" t="n">
        <f aca="false">SUMIF($F$7:$AG$7,AK$7,$F56:$AG56)</f>
        <v>38.2279</v>
      </c>
      <c r="AL56" s="131" t="n">
        <f aca="false">SUMIF($F$7:$AG$7,AL$7,$F56:$AG56)</f>
        <v>70.98393203125</v>
      </c>
      <c r="AM56" s="131" t="n">
        <f aca="false">SUMIF($F$7:$AG$7,AM$7,$F56:$AG56)</f>
        <v>149.09175625</v>
      </c>
      <c r="AN56" s="131" t="n">
        <f aca="false">SUMIF($F$7:$AG$7,AN$7,$F56:$AG56)</f>
        <v>258.552709375</v>
      </c>
      <c r="AO56" s="131" t="n">
        <f aca="false">SUMIF($F$7:$AG$7,AO$7,$F56:$AG56)</f>
        <v>335.7914125</v>
      </c>
    </row>
    <row r="57" customFormat="false" ht="15" hidden="false" customHeight="false" outlineLevel="0" collapsed="false">
      <c r="A57" s="112" t="s">
        <v>2425</v>
      </c>
      <c r="B57" s="24" t="s">
        <v>745</v>
      </c>
      <c r="C57" s="24" t="s">
        <v>672</v>
      </c>
      <c r="D57" s="24"/>
      <c r="F57" s="130" t="n">
        <f aca="false">SUMPRODUCT($E$27:F$27,((F$5-$E$5:F$5)&gt;=(PISLag+($E$5:F$5&gt;LastHist)*MAX(0,DCLead-2)))*((F$5-$E$5:F$5)&lt;LQ_Pow+(PISLag+($E$5:F$5&gt;LastHist)*MAX(0,DCLead-2))))/LQ_Pow</f>
        <v>0</v>
      </c>
      <c r="G57" s="130" t="n">
        <f aca="false">SUMPRODUCT($E$27:G$27,((G$5-$E$5:G$5)&gt;=(PISLag+($E$5:G$5&gt;LastHist)*MAX(0,DCLead-2)))*((G$5-$E$5:G$5)&lt;LQ_Pow+(PISLag+($E$5:G$5&gt;LastHist)*MAX(0,DCLead-2))))/LQ_Pow</f>
        <v>0.39</v>
      </c>
      <c r="H57" s="130" t="n">
        <f aca="false">SUMPRODUCT($E$27:H$27,((H$5-$E$5:H$5)&gt;=(PISLag+($E$5:H$5&gt;LastHist)*MAX(0,DCLead-2)))*((H$5-$E$5:H$5)&lt;LQ_Pow+(PISLag+($E$5:H$5&gt;LastHist)*MAX(0,DCLead-2))))/LQ_Pow</f>
        <v>0.78</v>
      </c>
      <c r="I57" s="130" t="n">
        <f aca="false">SUMPRODUCT($E$27:I$27,((I$5-$E$5:I$5)&gt;=(PISLag+($E$5:I$5&gt;LastHist)*MAX(0,DCLead-2)))*((I$5-$E$5:I$5)&lt;LQ_Pow+(PISLag+($E$5:I$5&gt;LastHist)*MAX(0,DCLead-2))))/LQ_Pow</f>
        <v>1.1697</v>
      </c>
      <c r="J57" s="130" t="n">
        <f aca="false">SUMPRODUCT($E$27:J$27,((J$5-$E$5:J$5)&gt;=(PISLag+($E$5:J$5&gt;LastHist)*MAX(0,DCLead-2)))*((J$5-$E$5:J$5)&lt;LQ_Pow+(PISLag+($E$5:J$5&gt;LastHist)*MAX(0,DCLead-2))))/LQ_Pow</f>
        <v>2.4225</v>
      </c>
      <c r="K57" s="130" t="n">
        <f aca="false">SUMPRODUCT($E$27:K$27,((K$5-$E$5:K$5)&gt;=(PISLag+($E$5:K$5&gt;LastHist)*MAX(0,DCLead-2)))*((K$5-$E$5:K$5)&lt;LQ_Pow+(PISLag+($E$5:K$5&gt;LastHist)*MAX(0,DCLead-2))))/LQ_Pow</f>
        <v>4.0545</v>
      </c>
      <c r="L57" s="130" t="n">
        <f aca="false">SUMPRODUCT($E$27:L$27,((L$5-$E$5:L$5)&gt;=(PISLag+($E$5:L$5&gt;LastHist)*MAX(0,DCLead-2)))*((L$5-$E$5:L$5)&lt;LQ_Pow+(PISLag+($E$5:L$5&gt;LastHist)*MAX(0,DCLead-2))))/LQ_Pow</f>
        <v>5.5863</v>
      </c>
      <c r="M57" s="130" t="n">
        <f aca="false">SUMPRODUCT($E$27:M$27,((M$5-$E$5:M$5)&gt;=(PISLag+($E$5:M$5&gt;LastHist)*MAX(0,DCLead-2)))*((M$5-$E$5:M$5)&lt;LQ_Pow+(PISLag+($E$5:M$5&gt;LastHist)*MAX(0,DCLead-2))))/LQ_Pow</f>
        <v>8.4528</v>
      </c>
      <c r="N57" s="130" t="n">
        <f aca="false">SUMPRODUCT($E$27:N$27,((N$5-$E$5:N$5)&gt;=(PISLag+($E$5:N$5&gt;LastHist)*MAX(0,DCLead-2)))*((N$5-$E$5:N$5)&lt;LQ_Pow+(PISLag+($E$5:N$5&gt;LastHist)*MAX(0,DCLead-2))))/LQ_Pow</f>
        <v>14.6208</v>
      </c>
      <c r="O57" s="130" t="n">
        <f aca="false">SUMPRODUCT($E$27:O$27,((O$5-$E$5:O$5)&gt;=(PISLag+($E$5:O$5&gt;LastHist)*MAX(0,DCLead-2)))*((O$5-$E$5:O$5)&lt;LQ_Pow+(PISLag+($E$5:O$5&gt;LastHist)*MAX(0,DCLead-2))))/LQ_Pow</f>
        <v>22.0395</v>
      </c>
      <c r="P57" s="131" t="n">
        <f aca="false">SUMPRODUCT($E$27:P$27,((P$5-$E$5:P$5)&gt;=(PISLag+($E$5:P$5&gt;LastHist)*MAX(0,DCLead-2)))*((P$5-$E$5:P$5)&lt;LQ_Pow+(PISLag+($E$5:P$5&gt;LastHist)*MAX(0,DCLead-2))))/LQ_Pow</f>
        <v>39.0117</v>
      </c>
      <c r="Q57" s="131" t="n">
        <f aca="false">SUMPRODUCT($E$27:Q$27,((Q$5-$E$5:Q$5)&gt;=(PISLag+($E$5:Q$5&gt;LastHist)*MAX(0,DCLead-2)))*((Q$5-$E$5:Q$5)&lt;LQ_Pow+(PISLag+($E$5:Q$5&gt;LastHist)*MAX(0,DCLead-2))))/LQ_Pow</f>
        <v>39.0117</v>
      </c>
      <c r="R57" s="131" t="n">
        <f aca="false">SUMPRODUCT($E$27:R$27,((R$5-$E$5:R$5)&gt;=(PISLag+($E$5:R$5&gt;LastHist)*MAX(0,DCLead-2)))*((R$5-$E$5:R$5)&lt;LQ_Pow+(PISLag+($E$5:R$5&gt;LastHist)*MAX(0,DCLead-2))))/LQ_Pow</f>
        <v>41.0370515625</v>
      </c>
      <c r="S57" s="131" t="n">
        <f aca="false">SUMPRODUCT($E$27:S$27,((S$5-$E$5:S$5)&gt;=(PISLag+($E$5:S$5&gt;LastHist)*MAX(0,DCLead-2)))*((S$5-$E$5:S$5)&lt;LQ_Pow+(PISLag+($E$5:S$5&gt;LastHist)*MAX(0,DCLead-2))))/LQ_Pow</f>
        <v>46.391340625</v>
      </c>
      <c r="T57" s="131" t="n">
        <f aca="false">SUMPRODUCT($E$27:T$27,((T$5-$E$5:T$5)&gt;=(PISLag+($E$5:T$5&gt;LastHist)*MAX(0,DCLead-2)))*((T$5-$E$5:T$5)&lt;LQ_Pow+(PISLag+($E$5:T$5&gt;LastHist)*MAX(0,DCLead-2))))/LQ_Pow</f>
        <v>61.8723875</v>
      </c>
      <c r="U57" s="131" t="n">
        <f aca="false">SUMPRODUCT($E$27:U$27,((U$5-$E$5:U$5)&gt;=(PISLag+($E$5:U$5&gt;LastHist)*MAX(0,DCLead-2)))*((U$5-$E$5:U$5)&lt;LQ_Pow+(PISLag+($E$5:U$5&gt;LastHist)*MAX(0,DCLead-2))))/LQ_Pow</f>
        <v>95.264903125</v>
      </c>
      <c r="V57" s="131" t="n">
        <f aca="false">SUMPRODUCT($E$27:V$27,((V$5-$E$5:V$5)&gt;=(PISLag+($E$5:V$5&gt;LastHist)*MAX(0,DCLead-2)))*((V$5-$E$5:V$5)&lt;LQ_Pow+(PISLag+($E$5:V$5&gt;LastHist)*MAX(0,DCLead-2))))/LQ_Pow</f>
        <v>112.45460625</v>
      </c>
      <c r="W57" s="131" t="n">
        <f aca="false">SUMPRODUCT($E$27:W$27,((W$5-$E$5:W$5)&gt;=(PISLag+($E$5:W$5&gt;LastHist)*MAX(0,DCLead-2)))*((W$5-$E$5:W$5)&lt;LQ_Pow+(PISLag+($E$5:W$5&gt;LastHist)*MAX(0,DCLead-2))))/LQ_Pow</f>
        <v>146.023871875</v>
      </c>
      <c r="X57" s="131" t="n">
        <f aca="false">SUMPRODUCT($E$27:X$27,((X$5-$E$5:X$5)&gt;=(PISLag+($E$5:X$5&gt;LastHist)*MAX(0,DCLead-2)))*((X$5-$E$5:X$5)&lt;LQ_Pow+(PISLag+($E$5:X$5&gt;LastHist)*MAX(0,DCLead-2))))/LQ_Pow</f>
        <v>146.023871875</v>
      </c>
      <c r="Y57" s="131" t="n">
        <f aca="false">SUMPRODUCT($E$27:Y$27,((Y$5-$E$5:Y$5)&gt;=(PISLag+($E$5:Y$5&gt;LastHist)*MAX(0,DCLead-2)))*((Y$5-$E$5:Y$5)&lt;LQ_Pow+(PISLag+($E$5:Y$5&gt;LastHist)*MAX(0,DCLead-2))))/LQ_Pow</f>
        <v>204.5665125</v>
      </c>
      <c r="Z57" s="131" t="n">
        <f aca="false">SUMPRODUCT($E$27:Z$27,((Z$5-$E$5:Z$5)&gt;=(PISLag+($E$5:Z$5&gt;LastHist)*MAX(0,DCLead-2)))*((Z$5-$E$5:Z$5)&lt;LQ_Pow+(PISLag+($E$5:Z$5&gt;LastHist)*MAX(0,DCLead-2))))/LQ_Pow</f>
        <v>204.5665125</v>
      </c>
      <c r="AA57" s="131" t="n">
        <f aca="false">SUMPRODUCT($E$27:AA$27,((AA$5-$E$5:AA$5)&gt;=(PISLag+($E$5:AA$5&gt;LastHist)*MAX(0,DCLead-2)))*((AA$5-$E$5:AA$5)&lt;LQ_Pow+(PISLag+($E$5:AA$5&gt;LastHist)*MAX(0,DCLead-2))))/LQ_Pow</f>
        <v>272.618325</v>
      </c>
      <c r="AB57" s="131" t="n">
        <f aca="false">SUMPRODUCT($E$27:AB$27,((AB$5-$E$5:AB$5)&gt;=(PISLag+($E$5:AB$5&gt;LastHist)*MAX(0,DCLead-2)))*((AB$5-$E$5:AB$5)&lt;LQ_Pow+(PISLag+($E$5:AB$5&gt;LastHist)*MAX(0,DCLead-2))))/LQ_Pow</f>
        <v>272.618325</v>
      </c>
      <c r="AC57" s="131" t="n">
        <f aca="false">SUMPRODUCT($E$27:AC$27,((AC$5-$E$5:AC$5)&gt;=(PISLag+($E$5:AC$5&gt;LastHist)*MAX(0,DCLead-2)))*((AC$5-$E$5:AC$5)&lt;LQ_Pow+(PISLag+($E$5:AC$5&gt;LastHist)*MAX(0,DCLead-2))))/LQ_Pow</f>
        <v>370.08348125</v>
      </c>
      <c r="AD57" s="131" t="n">
        <f aca="false">SUMPRODUCT($E$27:AD$27,((AD$5-$E$5:AD$5)&gt;=(PISLag+($E$5:AD$5&gt;LastHist)*MAX(0,DCLead-2)))*((AD$5-$E$5:AD$5)&lt;LQ_Pow+(PISLag+($E$5:AD$5&gt;LastHist)*MAX(0,DCLead-2))))/LQ_Pow</f>
        <v>370.08348125</v>
      </c>
      <c r="AE57" s="131" t="n">
        <f aca="false">SUMPRODUCT($E$27:AE$27,((AE$5-$E$5:AE$5)&gt;=(PISLag+($E$5:AE$5&gt;LastHist)*MAX(0,DCLead-2)))*((AE$5-$E$5:AE$5)&lt;LQ_Pow+(PISLag+($E$5:AE$5&gt;LastHist)*MAX(0,DCLead-2))))/LQ_Pow</f>
        <v>370.08348125</v>
      </c>
      <c r="AF57" s="131" t="n">
        <f aca="false">SUMPRODUCT($E$27:AF$27,((AF$5-$E$5:AF$5)&gt;=(PISLag+($E$5:AF$5&gt;LastHist)*MAX(0,DCLead-2)))*((AF$5-$E$5:AF$5)&lt;LQ_Pow+(PISLag+($E$5:AF$5&gt;LastHist)*MAX(0,DCLead-2))))/LQ_Pow</f>
        <v>370.08348125</v>
      </c>
      <c r="AG57" s="131" t="n">
        <f aca="false">SUMPRODUCT($E$27:AG$27,((AG$5-$E$5:AG$5)&gt;=(PISLag+($E$5:AG$5&gt;LastHist)*MAX(0,DCLead-2)))*((AG$5-$E$5:AG$5)&lt;LQ_Pow+(PISLag+($E$5:AG$5&gt;LastHist)*MAX(0,DCLead-2))))/LQ_Pow</f>
        <v>370.08348125</v>
      </c>
      <c r="AI57" s="131" t="n">
        <f aca="false">SUMIF($F$7:$AG$7,AI$7,$F57:$AG57)</f>
        <v>2.3397</v>
      </c>
      <c r="AJ57" s="131" t="n">
        <f aca="false">SUMIF($F$7:$AG$7,AJ$7,$F57:$AG57)</f>
        <v>20.5161</v>
      </c>
      <c r="AK57" s="131" t="n">
        <f aca="false">SUMIF($F$7:$AG$7,AK$7,$F57:$AG57)</f>
        <v>114.6837</v>
      </c>
      <c r="AL57" s="131" t="n">
        <f aca="false">SUMIF($F$7:$AG$7,AL$7,$F57:$AG57)</f>
        <v>244.5656828125</v>
      </c>
      <c r="AM57" s="131" t="n">
        <f aca="false">SUMIF($F$7:$AG$7,AM$7,$F57:$AG57)</f>
        <v>609.0688625</v>
      </c>
      <c r="AN57" s="131" t="n">
        <f aca="false">SUMIF($F$7:$AG$7,AN$7,$F57:$AG57)</f>
        <v>1119.88664375</v>
      </c>
      <c r="AO57" s="131" t="n">
        <f aca="false">SUMIF($F$7:$AG$7,AO$7,$F57:$AG57)</f>
        <v>1480.333925</v>
      </c>
    </row>
    <row r="58" customFormat="false" ht="15" hidden="false" customHeight="false" outlineLevel="0" collapsed="false">
      <c r="A58" s="112" t="s">
        <v>2426</v>
      </c>
      <c r="B58" s="24" t="s">
        <v>745</v>
      </c>
      <c r="C58" s="24" t="s">
        <v>672</v>
      </c>
      <c r="D58" s="24"/>
      <c r="F58" s="130" t="n">
        <f aca="false">SUMPRODUCT($E$28:F$28,((F$5-$E$5:F$5)&gt;=PISLag)*((F$5-$E$5:F$5)&lt;LQ_Maint+PISLag))/LQ_Maint</f>
        <v>0</v>
      </c>
      <c r="G58" s="130" t="n">
        <f aca="false">SUMPRODUCT($E$28:G$28,((G$5-$E$5:G$5)&gt;=PISLag)*((G$5-$E$5:G$5)&lt;LQ_Maint+PISLag))/LQ_Maint</f>
        <v>0</v>
      </c>
      <c r="H58" s="130" t="n">
        <f aca="false">SUMPRODUCT($E$28:H$28,((H$5-$E$5:H$5)&gt;=PISLag)*((H$5-$E$5:H$5)&lt;LQ_Maint+PISLag))/LQ_Maint</f>
        <v>0</v>
      </c>
      <c r="I58" s="130" t="n">
        <f aca="false">SUMPRODUCT($E$28:I$28,((I$5-$E$5:I$5)&gt;=PISLag)*((I$5-$E$5:I$5)&lt;LQ_Maint+PISLag))/LQ_Maint</f>
        <v>0</v>
      </c>
      <c r="J58" s="130" t="n">
        <f aca="false">SUMPRODUCT($E$28:J$28,((J$5-$E$5:J$5)&gt;=PISLag)*((J$5-$E$5:J$5)&lt;LQ_Maint+PISLag))/LQ_Maint</f>
        <v>0</v>
      </c>
      <c r="K58" s="130" t="n">
        <f aca="false">SUMPRODUCT($E$28:K$28,((K$5-$E$5:K$5)&gt;=PISLag)*((K$5-$E$5:K$5)&lt;LQ_Maint+PISLag))/LQ_Maint</f>
        <v>0</v>
      </c>
      <c r="L58" s="130" t="n">
        <f aca="false">SUMPRODUCT($E$28:L$28,((L$5-$E$5:L$5)&gt;=PISLag)*((L$5-$E$5:L$5)&lt;LQ_Maint+PISLag))/LQ_Maint</f>
        <v>0</v>
      </c>
      <c r="M58" s="130" t="n">
        <f aca="false">SUMPRODUCT($E$28:M$28,((M$5-$E$5:M$5)&gt;=PISLag)*((M$5-$E$5:M$5)&lt;LQ_Maint+PISLag))/LQ_Maint</f>
        <v>0</v>
      </c>
      <c r="N58" s="130" t="n">
        <f aca="false">SUMPRODUCT($E$28:N$28,((N$5-$E$5:N$5)&gt;=PISLag)*((N$5-$E$5:N$5)&lt;LQ_Maint+PISLag))/LQ_Maint</f>
        <v>0</v>
      </c>
      <c r="O58" s="130" t="n">
        <f aca="false">SUMPRODUCT($E$28:O$28,((O$5-$E$5:O$5)&gt;=PISLag)*((O$5-$E$5:O$5)&lt;LQ_Maint+PISLag))/LQ_Maint</f>
        <v>0</v>
      </c>
      <c r="P58" s="131" t="n">
        <f aca="false">SUMPRODUCT($E$28:P$28,((P$5-$E$5:P$5)&gt;=PISLag)*((P$5-$E$5:P$5)&lt;LQ_Maint+PISLag))/LQ_Maint</f>
        <v>0</v>
      </c>
      <c r="Q58" s="131" t="n">
        <f aca="false">SUMPRODUCT($E$28:Q$28,((Q$5-$E$5:Q$5)&gt;=PISLag)*((Q$5-$E$5:Q$5)&lt;LQ_Maint+PISLag))/LQ_Maint</f>
        <v>0.674686407680941</v>
      </c>
      <c r="R58" s="131" t="n">
        <f aca="false">SUMPRODUCT($E$28:R$28,((R$5-$E$5:R$5)&gt;=PISLag)*((R$5-$E$5:R$5)&lt;LQ_Maint+PISLag))/LQ_Maint</f>
        <v>1.48377954157611</v>
      </c>
      <c r="S58" s="131" t="n">
        <f aca="false">SUMPRODUCT($E$28:S$28,((S$5-$E$5:S$5)&gt;=PISLag)*((S$5-$E$5:S$5)&lt;LQ_Maint+PISLag))/LQ_Maint</f>
        <v>2.51142683254126</v>
      </c>
      <c r="T58" s="131" t="n">
        <f aca="false">SUMPRODUCT($E$28:T$28,((T$5-$E$5:T$5)&gt;=PISLag)*((T$5-$E$5:T$5)&lt;LQ_Maint+PISLag))/LQ_Maint</f>
        <v>4.14455734126634</v>
      </c>
      <c r="U58" s="131" t="n">
        <f aca="false">SUMPRODUCT($E$28:U$28,((U$5-$E$5:U$5)&gt;=PISLag)*((U$5-$E$5:U$5)&lt;LQ_Maint+PISLag))/LQ_Maint</f>
        <v>6.60676905134619</v>
      </c>
      <c r="V58" s="131" t="n">
        <f aca="false">SUMPRODUCT($E$28:V$28,((V$5-$E$5:V$5)&gt;=PISLag)*((V$5-$E$5:V$5)&lt;LQ_Maint+PISLag))/LQ_Maint</f>
        <v>9.69301993383617</v>
      </c>
      <c r="W58" s="131" t="n">
        <f aca="false">SUMPRODUCT($E$28:W$28,((W$5-$E$5:W$5)&gt;=PISLag)*((W$5-$E$5:W$5)&lt;LQ_Maint+PISLag))/LQ_Maint</f>
        <v>13.7069105336465</v>
      </c>
      <c r="X58" s="131" t="n">
        <f aca="false">SUMPRODUCT($E$28:X$28,((X$5-$E$5:X$5)&gt;=PISLag)*((X$5-$E$5:X$5)&lt;LQ_Maint+PISLag))/LQ_Maint</f>
        <v>18.4549800621427</v>
      </c>
      <c r="Y58" s="131" t="n">
        <f aca="false">SUMPRODUCT($E$28:Y$28,((Y$5-$E$5:Y$5)&gt;=PISLag)*((Y$5-$E$5:Y$5)&lt;LQ_Maint+PISLag))/LQ_Maint</f>
        <v>23.747309937491</v>
      </c>
      <c r="Z58" s="131" t="n">
        <f aca="false">SUMPRODUCT($E$28:Z$28,((Z$5-$E$5:Z$5)&gt;=PISLag)*((Z$5-$E$5:Z$5)&lt;LQ_Maint+PISLag))/LQ_Maint</f>
        <v>29.4098165656255</v>
      </c>
      <c r="AA58" s="131" t="n">
        <f aca="false">SUMPRODUCT($E$28:AA$28,((AA$5-$E$5:AA$5)&gt;=PISLag)*((AA$5-$E$5:AA$5)&lt;LQ_Maint+PISLag))/LQ_Maint</f>
        <v>35.7922369235372</v>
      </c>
      <c r="AB58" s="131" t="n">
        <f aca="false">SUMPRODUCT($E$28:AB$28,((AB$5-$E$5:AB$5)&gt;=PISLag)*((AB$5-$E$5:AB$5)&lt;LQ_Maint+PISLag))/LQ_Maint</f>
        <v>42.890929723615</v>
      </c>
      <c r="AC58" s="131" t="n">
        <f aca="false">SUMPRODUCT($E$28:AC$28,((AC$5-$E$5:AC$5)&gt;=PISLag)*((AC$5-$E$5:AC$5)&lt;LQ_Maint+PISLag))/LQ_Maint</f>
        <v>50.6949745596128</v>
      </c>
      <c r="AD58" s="131" t="n">
        <f aca="false">SUMPRODUCT($E$28:AD$28,((AD$5-$E$5:AD$5)&gt;=PISLag)*((AD$5-$E$5:AD$5)&lt;LQ_Maint+PISLag))/LQ_Maint</f>
        <v>59.2197622258945</v>
      </c>
      <c r="AE58" s="131" t="n">
        <f aca="false">SUMPRODUCT($E$28:AE$28,((AE$5-$E$5:AE$5)&gt;=PISLag)*((AE$5-$E$5:AE$5)&lt;LQ_Maint+PISLag))/LQ_Maint</f>
        <v>68.7111932945928</v>
      </c>
      <c r="AF58" s="131" t="n">
        <f aca="false">SUMPRODUCT($E$28:AF$28,((AF$5-$E$5:AF$5)&gt;=PISLag)*((AF$5-$E$5:AF$5)&lt;LQ_Maint+PISLag))/LQ_Maint</f>
        <v>79.1963339701037</v>
      </c>
      <c r="AG58" s="131" t="n">
        <f aca="false">SUMPRODUCT($E$28:AG$28,((AG$5-$E$5:AG$5)&gt;=PISLag)*((AG$5-$E$5:AG$5)&lt;LQ_Maint+PISLag))/LQ_Maint</f>
        <v>89.6473012330652</v>
      </c>
      <c r="AI58" s="131" t="n">
        <f aca="false">SUMIF($F$7:$AG$7,AI$7,$F58:$AG58)</f>
        <v>0</v>
      </c>
      <c r="AJ58" s="131" t="n">
        <f aca="false">SUMIF($F$7:$AG$7,AJ$7,$F58:$AG58)</f>
        <v>0</v>
      </c>
      <c r="AK58" s="131" t="n">
        <f aca="false">SUMIF($F$7:$AG$7,AK$7,$F58:$AG58)</f>
        <v>0.674686407680941</v>
      </c>
      <c r="AL58" s="131" t="n">
        <f aca="false">SUMIF($F$7:$AG$7,AL$7,$F58:$AG58)</f>
        <v>14.7465327667299</v>
      </c>
      <c r="AM58" s="131" t="n">
        <f aca="false">SUMIF($F$7:$AG$7,AM$7,$F58:$AG58)</f>
        <v>65.6022204671163</v>
      </c>
      <c r="AN58" s="131" t="n">
        <f aca="false">SUMIF($F$7:$AG$7,AN$7,$F58:$AG58)</f>
        <v>158.787957772391</v>
      </c>
      <c r="AO58" s="131" t="n">
        <f aca="false">SUMIF($F$7:$AG$7,AO$7,$F58:$AG58)</f>
        <v>296.774590723656</v>
      </c>
    </row>
    <row r="59" customFormat="false" ht="15" hidden="false" customHeight="false" outlineLevel="0" collapsed="false">
      <c r="A59" s="112" t="s">
        <v>2427</v>
      </c>
      <c r="B59" s="24" t="s">
        <v>745</v>
      </c>
      <c r="C59" s="24" t="s">
        <v>672</v>
      </c>
      <c r="D59" s="24"/>
      <c r="F59" s="130" t="n">
        <f aca="false">SUMPRODUCT($E$29:F$29,((F$5-$E$5:F$5)&gt;=(PISLag+($E$5:F$5&gt;LastHist)*MAX(0,DCLead-2)))*((F$5-$E$5:F$5)&lt;LQ_Pow+(PISLag+($E$5:F$5&gt;LastHist)*MAX(0,DCLead-2))))/LQ_Pow</f>
        <v>0</v>
      </c>
      <c r="G59" s="130" t="n">
        <f aca="false">SUMPRODUCT($E$29:G$29,((G$5-$E$5:G$5)&gt;=(PISLag+($E$5:G$5&gt;LastHist)*MAX(0,DCLead-2)))*((G$5-$E$5:G$5)&lt;LQ_Pow+(PISLag+($E$5:G$5&gt;LastHist)*MAX(0,DCLead-2))))/LQ_Pow</f>
        <v>0</v>
      </c>
      <c r="H59" s="130" t="n">
        <f aca="false">SUMPRODUCT($E$29:H$29,((H$5-$E$5:H$5)&gt;=(PISLag+($E$5:H$5&gt;LastHist)*MAX(0,DCLead-2)))*((H$5-$E$5:H$5)&lt;LQ_Pow+(PISLag+($E$5:H$5&gt;LastHist)*MAX(0,DCLead-2))))/LQ_Pow</f>
        <v>0</v>
      </c>
      <c r="I59" s="130" t="n">
        <f aca="false">SUMPRODUCT($E$29:I$29,((I$5-$E$5:I$5)&gt;=(PISLag+($E$5:I$5&gt;LastHist)*MAX(0,DCLead-2)))*((I$5-$E$5:I$5)&lt;LQ_Pow+(PISLag+($E$5:I$5&gt;LastHist)*MAX(0,DCLead-2))))/LQ_Pow</f>
        <v>0</v>
      </c>
      <c r="J59" s="130" t="n">
        <f aca="false">SUMPRODUCT($E$29:J$29,((J$5-$E$5:J$5)&gt;=(PISLag+($E$5:J$5&gt;LastHist)*MAX(0,DCLead-2)))*((J$5-$E$5:J$5)&lt;LQ_Pow+(PISLag+($E$5:J$5&gt;LastHist)*MAX(0,DCLead-2))))/LQ_Pow</f>
        <v>0</v>
      </c>
      <c r="K59" s="130" t="n">
        <f aca="false">SUMPRODUCT($E$29:K$29,((K$5-$E$5:K$5)&gt;=(PISLag+($E$5:K$5&gt;LastHist)*MAX(0,DCLead-2)))*((K$5-$E$5:K$5)&lt;LQ_Pow+(PISLag+($E$5:K$5&gt;LastHist)*MAX(0,DCLead-2))))/LQ_Pow</f>
        <v>0</v>
      </c>
      <c r="L59" s="130" t="n">
        <f aca="false">SUMPRODUCT($E$29:L$29,((L$5-$E$5:L$5)&gt;=(PISLag+($E$5:L$5&gt;LastHist)*MAX(0,DCLead-2)))*((L$5-$E$5:L$5)&lt;LQ_Pow+(PISLag+($E$5:L$5&gt;LastHist)*MAX(0,DCLead-2))))/LQ_Pow</f>
        <v>0</v>
      </c>
      <c r="M59" s="130" t="n">
        <f aca="false">SUMPRODUCT($E$29:M$29,((M$5-$E$5:M$5)&gt;=(PISLag+($E$5:M$5&gt;LastHist)*MAX(0,DCLead-2)))*((M$5-$E$5:M$5)&lt;LQ_Pow+(PISLag+($E$5:M$5&gt;LastHist)*MAX(0,DCLead-2))))/LQ_Pow</f>
        <v>0</v>
      </c>
      <c r="N59" s="130" t="n">
        <f aca="false">SUMPRODUCT($E$29:N$29,((N$5-$E$5:N$5)&gt;=(PISLag+($E$5:N$5&gt;LastHist)*MAX(0,DCLead-2)))*((N$5-$E$5:N$5)&lt;LQ_Pow+(PISLag+($E$5:N$5&gt;LastHist)*MAX(0,DCLead-2))))/LQ_Pow</f>
        <v>0</v>
      </c>
      <c r="O59" s="130" t="n">
        <f aca="false">SUMPRODUCT($E$29:O$29,((O$5-$E$5:O$5)&gt;=(PISLag+($E$5:O$5&gt;LastHist)*MAX(0,DCLead-2)))*((O$5-$E$5:O$5)&lt;LQ_Pow+(PISLag+($E$5:O$5&gt;LastHist)*MAX(0,DCLead-2))))/LQ_Pow</f>
        <v>0</v>
      </c>
      <c r="P59" s="131" t="n">
        <f aca="false">SUMPRODUCT($E$29:P$29,((P$5-$E$5:P$5)&gt;=(PISLag+($E$5:P$5&gt;LastHist)*MAX(0,DCLead-2)))*((P$5-$E$5:P$5)&lt;LQ_Pow+(PISLag+($E$5:P$5&gt;LastHist)*MAX(0,DCLead-2))))/LQ_Pow</f>
        <v>0</v>
      </c>
      <c r="Q59" s="131" t="n">
        <f aca="false">SUMPRODUCT($E$29:Q$29,((Q$5-$E$5:Q$5)&gt;=(PISLag+($E$5:Q$5&gt;LastHist)*MAX(0,DCLead-2)))*((Q$5-$E$5:Q$5)&lt;LQ_Pow+(PISLag+($E$5:Q$5&gt;LastHist)*MAX(0,DCLead-2))))/LQ_Pow</f>
        <v>0</v>
      </c>
      <c r="R59" s="131" t="n">
        <f aca="false">SUMPRODUCT($E$29:R$29,((R$5-$E$5:R$5)&gt;=(PISLag+($E$5:R$5&gt;LastHist)*MAX(0,DCLead-2)))*((R$5-$E$5:R$5)&lt;LQ_Pow+(PISLag+($E$5:R$5&gt;LastHist)*MAX(0,DCLead-2))))/LQ_Pow</f>
        <v>5.71256</v>
      </c>
      <c r="S59" s="131" t="n">
        <f aca="false">SUMPRODUCT($E$29:S$29,((S$5-$E$5:S$5)&gt;=(PISLag+($E$5:S$5&gt;LastHist)*MAX(0,DCLead-2)))*((S$5-$E$5:S$5)&lt;LQ_Pow+(PISLag+($E$5:S$5&gt;LastHist)*MAX(0,DCLead-2))))/LQ_Pow</f>
        <v>11.763272</v>
      </c>
      <c r="T59" s="131" t="n">
        <f aca="false">SUMPRODUCT($E$29:T$29,((T$5-$E$5:T$5)&gt;=(PISLag+($E$5:T$5&gt;LastHist)*MAX(0,DCLead-2)))*((T$5-$E$5:T$5)&lt;LQ_Pow+(PISLag+($E$5:T$5&gt;LastHist)*MAX(0,DCLead-2))))/LQ_Pow</f>
        <v>16.255272</v>
      </c>
      <c r="U59" s="131" t="n">
        <f aca="false">SUMPRODUCT($E$29:U$29,((U$5-$E$5:U$5)&gt;=(PISLag+($E$5:U$5&gt;LastHist)*MAX(0,DCLead-2)))*((U$5-$E$5:U$5)&lt;LQ_Pow+(PISLag+($E$5:U$5&gt;LastHist)*MAX(0,DCLead-2))))/LQ_Pow</f>
        <v>20.921352</v>
      </c>
      <c r="V59" s="131" t="n">
        <f aca="false">SUMPRODUCT($E$29:V$29,((V$5-$E$5:V$5)&gt;=(PISLag+($E$5:V$5&gt;LastHist)*MAX(0,DCLead-2)))*((V$5-$E$5:V$5)&lt;LQ_Pow+(PISLag+($E$5:V$5&gt;LastHist)*MAX(0,DCLead-2))))/LQ_Pow</f>
        <v>21.421352</v>
      </c>
      <c r="W59" s="131" t="n">
        <f aca="false">SUMPRODUCT($E$29:W$29,((W$5-$E$5:W$5)&gt;=(PISLag+($E$5:W$5&gt;LastHist)*MAX(0,DCLead-2)))*((W$5-$E$5:W$5)&lt;LQ_Pow+(PISLag+($E$5:W$5&gt;LastHist)*MAX(0,DCLead-2))))/LQ_Pow</f>
        <v>21.421352</v>
      </c>
      <c r="X59" s="131" t="n">
        <f aca="false">SUMPRODUCT($E$29:X$29,((X$5-$E$5:X$5)&gt;=(PISLag+($E$5:X$5&gt;LastHist)*MAX(0,DCLead-2)))*((X$5-$E$5:X$5)&lt;LQ_Pow+(PISLag+($E$5:X$5&gt;LastHist)*MAX(0,DCLead-2))))/LQ_Pow</f>
        <v>21.921352</v>
      </c>
      <c r="Y59" s="131" t="n">
        <f aca="false">SUMPRODUCT($E$29:Y$29,((Y$5-$E$5:Y$5)&gt;=(PISLag+($E$5:Y$5&gt;LastHist)*MAX(0,DCLead-2)))*((Y$5-$E$5:Y$5)&lt;LQ_Pow+(PISLag+($E$5:Y$5&gt;LastHist)*MAX(0,DCLead-2))))/LQ_Pow</f>
        <v>23.767432</v>
      </c>
      <c r="Z59" s="131" t="n">
        <f aca="false">SUMPRODUCT($E$29:Z$29,((Z$5-$E$5:Z$5)&gt;=(PISLag+($E$5:Z$5&gt;LastHist)*MAX(0,DCLead-2)))*((Z$5-$E$5:Z$5)&lt;LQ_Pow+(PISLag+($E$5:Z$5&gt;LastHist)*MAX(0,DCLead-2))))/LQ_Pow</f>
        <v>23.767432</v>
      </c>
      <c r="AA59" s="131" t="n">
        <f aca="false">SUMPRODUCT($E$29:AA$29,((AA$5-$E$5:AA$5)&gt;=(PISLag+($E$5:AA$5&gt;LastHist)*MAX(0,DCLead-2)))*((AA$5-$E$5:AA$5)&lt;LQ_Pow+(PISLag+($E$5:AA$5&gt;LastHist)*MAX(0,DCLead-2))))/LQ_Pow</f>
        <v>23.767432</v>
      </c>
      <c r="AB59" s="131" t="n">
        <f aca="false">SUMPRODUCT($E$29:AB$29,((AB$5-$E$5:AB$5)&gt;=(PISLag+($E$5:AB$5&gt;LastHist)*MAX(0,DCLead-2)))*((AB$5-$E$5:AB$5)&lt;LQ_Pow+(PISLag+($E$5:AB$5&gt;LastHist)*MAX(0,DCLead-2))))/LQ_Pow</f>
        <v>23.767432</v>
      </c>
      <c r="AC59" s="131" t="n">
        <f aca="false">SUMPRODUCT($E$29:AC$29,((AC$5-$E$5:AC$5)&gt;=(PISLag+($E$5:AC$5&gt;LastHist)*MAX(0,DCLead-2)))*((AC$5-$E$5:AC$5)&lt;LQ_Pow+(PISLag+($E$5:AC$5&gt;LastHist)*MAX(0,DCLead-2))))/LQ_Pow</f>
        <v>23.767432</v>
      </c>
      <c r="AD59" s="131" t="n">
        <f aca="false">SUMPRODUCT($E$29:AD$29,((AD$5-$E$5:AD$5)&gt;=(PISLag+($E$5:AD$5&gt;LastHist)*MAX(0,DCLead-2)))*((AD$5-$E$5:AD$5)&lt;LQ_Pow+(PISLag+($E$5:AD$5&gt;LastHist)*MAX(0,DCLead-2))))/LQ_Pow</f>
        <v>23.767432</v>
      </c>
      <c r="AE59" s="131" t="n">
        <f aca="false">SUMPRODUCT($E$29:AE$29,((AE$5-$E$5:AE$5)&gt;=(PISLag+($E$5:AE$5&gt;LastHist)*MAX(0,DCLead-2)))*((AE$5-$E$5:AE$5)&lt;LQ_Pow+(PISLag+($E$5:AE$5&gt;LastHist)*MAX(0,DCLead-2))))/LQ_Pow</f>
        <v>23.767432</v>
      </c>
      <c r="AF59" s="131" t="n">
        <f aca="false">SUMPRODUCT($E$29:AF$29,((AF$5-$E$5:AF$5)&gt;=(PISLag+($E$5:AF$5&gt;LastHist)*MAX(0,DCLead-2)))*((AF$5-$E$5:AF$5)&lt;LQ_Pow+(PISLag+($E$5:AF$5&gt;LastHist)*MAX(0,DCLead-2))))/LQ_Pow</f>
        <v>23.767432</v>
      </c>
      <c r="AG59" s="131" t="n">
        <f aca="false">SUMPRODUCT($E$29:AG$29,((AG$5-$E$5:AG$5)&gt;=(PISLag+($E$5:AG$5&gt;LastHist)*MAX(0,DCLead-2)))*((AG$5-$E$5:AG$5)&lt;LQ_Pow+(PISLag+($E$5:AG$5&gt;LastHist)*MAX(0,DCLead-2))))/LQ_Pow</f>
        <v>23.767432</v>
      </c>
      <c r="AI59" s="131" t="n">
        <f aca="false">SUMIF($F$7:$AG$7,AI$7,$F59:$AG59)</f>
        <v>0</v>
      </c>
      <c r="AJ59" s="131" t="n">
        <f aca="false">SUMIF($F$7:$AG$7,AJ$7,$F59:$AG59)</f>
        <v>0</v>
      </c>
      <c r="AK59" s="131" t="n">
        <f aca="false">SUMIF($F$7:$AG$7,AK$7,$F59:$AG59)</f>
        <v>0</v>
      </c>
      <c r="AL59" s="131" t="n">
        <f aca="false">SUMIF($F$7:$AG$7,AL$7,$F59:$AG59)</f>
        <v>54.652456</v>
      </c>
      <c r="AM59" s="131" t="n">
        <f aca="false">SUMIF($F$7:$AG$7,AM$7,$F59:$AG59)</f>
        <v>88.531488</v>
      </c>
      <c r="AN59" s="131" t="n">
        <f aca="false">SUMIF($F$7:$AG$7,AN$7,$F59:$AG59)</f>
        <v>95.069728</v>
      </c>
      <c r="AO59" s="131" t="n">
        <f aca="false">SUMIF($F$7:$AG$7,AO$7,$F59:$AG59)</f>
        <v>95.069728</v>
      </c>
    </row>
    <row r="60" customFormat="false" ht="15" hidden="false" customHeight="false" outlineLevel="0" collapsed="false">
      <c r="A60" s="112" t="s">
        <v>2428</v>
      </c>
      <c r="B60" s="24" t="s">
        <v>745</v>
      </c>
      <c r="C60" s="24" t="s">
        <v>672</v>
      </c>
      <c r="D60" s="24"/>
      <c r="F60" s="130" t="n">
        <f aca="false">SUMPRODUCT($E$30:F$30,((F$5-$E$5:F$5)&gt;=PISLag)*((F$5-$E$5:F$5)&lt;LQ_N+PISLag))/LQ_N</f>
        <v>0</v>
      </c>
      <c r="G60" s="130" t="n">
        <f aca="false">SUMPRODUCT($E$30:G$30,((G$5-$E$5:G$5)&gt;=PISLag)*((G$5-$E$5:G$5)&lt;LQ_N+PISLag))/LQ_N</f>
        <v>0</v>
      </c>
      <c r="H60" s="130" t="n">
        <f aca="false">SUMPRODUCT($E$30:H$30,((H$5-$E$5:H$5)&gt;=PISLag)*((H$5-$E$5:H$5)&lt;LQ_N+PISLag))/LQ_N</f>
        <v>0</v>
      </c>
      <c r="I60" s="130" t="n">
        <f aca="false">SUMPRODUCT($E$30:I$30,((I$5-$E$5:I$5)&gt;=PISLag)*((I$5-$E$5:I$5)&lt;LQ_N+PISLag))/LQ_N</f>
        <v>0</v>
      </c>
      <c r="J60" s="130" t="n">
        <f aca="false">SUMPRODUCT($E$30:J$30,((J$5-$E$5:J$5)&gt;=PISLag)*((J$5-$E$5:J$5)&lt;LQ_N+PISLag))/LQ_N</f>
        <v>0</v>
      </c>
      <c r="K60" s="130" t="n">
        <f aca="false">SUMPRODUCT($E$30:K$30,((K$5-$E$5:K$5)&gt;=PISLag)*((K$5-$E$5:K$5)&lt;LQ_N+PISLag))/LQ_N</f>
        <v>0</v>
      </c>
      <c r="L60" s="130" t="n">
        <f aca="false">SUMPRODUCT($E$30:L$30,((L$5-$E$5:L$5)&gt;=PISLag)*((L$5-$E$5:L$5)&lt;LQ_N+PISLag))/LQ_N</f>
        <v>0</v>
      </c>
      <c r="M60" s="130" t="n">
        <f aca="false">SUMPRODUCT($E$30:M$30,((M$5-$E$5:M$5)&gt;=PISLag)*((M$5-$E$5:M$5)&lt;LQ_N+PISLag))/LQ_N</f>
        <v>0</v>
      </c>
      <c r="N60" s="130" t="n">
        <f aca="false">SUMPRODUCT($E$30:N$30,((N$5-$E$5:N$5)&gt;=PISLag)*((N$5-$E$5:N$5)&lt;LQ_N+PISLag))/LQ_N</f>
        <v>0</v>
      </c>
      <c r="O60" s="130" t="n">
        <f aca="false">SUMPRODUCT($E$30:O$30,((O$5-$E$5:O$5)&gt;=PISLag)*((O$5-$E$5:O$5)&lt;LQ_N+PISLag))/LQ_N</f>
        <v>0</v>
      </c>
      <c r="P60" s="131" t="n">
        <f aca="false">SUMPRODUCT($E$30:P$30,((P$5-$E$5:P$5)&gt;=PISLag)*((P$5-$E$5:P$5)&lt;LQ_N+PISLag))/LQ_N</f>
        <v>0</v>
      </c>
      <c r="Q60" s="131" t="n">
        <f aca="false">SUMPRODUCT($E$30:Q$30,((Q$5-$E$5:Q$5)&gt;=PISLag)*((Q$5-$E$5:Q$5)&lt;LQ_N+PISLag))/LQ_N</f>
        <v>0</v>
      </c>
      <c r="R60" s="131" t="n">
        <f aca="false">SUMPRODUCT($E$30:R$30,((R$5-$E$5:R$5)&gt;=PISLag)*((R$5-$E$5:R$5)&lt;LQ_N+PISLag))/LQ_N</f>
        <v>0</v>
      </c>
      <c r="S60" s="131" t="n">
        <f aca="false">SUMPRODUCT($E$30:S$30,((S$5-$E$5:S$5)&gt;=PISLag)*((S$5-$E$5:S$5)&lt;LQ_N+PISLag))/LQ_N</f>
        <v>0</v>
      </c>
      <c r="T60" s="131" t="n">
        <f aca="false">SUMPRODUCT($E$30:T$30,((T$5-$E$5:T$5)&gt;=PISLag)*((T$5-$E$5:T$5)&lt;LQ_N+PISLag))/LQ_N</f>
        <v>0</v>
      </c>
      <c r="U60" s="131" t="n">
        <f aca="false">SUMPRODUCT($E$30:U$30,((U$5-$E$5:U$5)&gt;=PISLag)*((U$5-$E$5:U$5)&lt;LQ_N+PISLag))/LQ_N</f>
        <v>0</v>
      </c>
      <c r="V60" s="131" t="n">
        <f aca="false">SUMPRODUCT($E$30:V$30,((V$5-$E$5:V$5)&gt;=PISLag)*((V$5-$E$5:V$5)&lt;LQ_N+PISLag))/LQ_N</f>
        <v>0</v>
      </c>
      <c r="W60" s="131" t="n">
        <f aca="false">SUMPRODUCT($E$30:W$30,((W$5-$E$5:W$5)&gt;=PISLag)*((W$5-$E$5:W$5)&lt;LQ_N+PISLag))/LQ_N</f>
        <v>0</v>
      </c>
      <c r="X60" s="131" t="n">
        <f aca="false">SUMPRODUCT($E$30:X$30,((X$5-$E$5:X$5)&gt;=PISLag)*((X$5-$E$5:X$5)&lt;LQ_N+PISLag))/LQ_N</f>
        <v>0</v>
      </c>
      <c r="Y60" s="131" t="n">
        <f aca="false">SUMPRODUCT($E$30:Y$30,((Y$5-$E$5:Y$5)&gt;=PISLag)*((Y$5-$E$5:Y$5)&lt;LQ_N+PISLag))/LQ_N</f>
        <v>0</v>
      </c>
      <c r="Z60" s="131" t="n">
        <f aca="false">SUMPRODUCT($E$30:Z$30,((Z$5-$E$5:Z$5)&gt;=PISLag)*((Z$5-$E$5:Z$5)&lt;LQ_N+PISLag))/LQ_N</f>
        <v>7.12</v>
      </c>
      <c r="AA60" s="131" t="n">
        <f aca="false">SUMPRODUCT($E$30:AA$30,((AA$5-$E$5:AA$5)&gt;=PISLag)*((AA$5-$E$5:AA$5)&lt;LQ_N+PISLag))/LQ_N</f>
        <v>12.32</v>
      </c>
      <c r="AB60" s="131" t="n">
        <f aca="false">SUMPRODUCT($E$30:AB$30,((AB$5-$E$5:AB$5)&gt;=PISLag)*((AB$5-$E$5:AB$5)&lt;LQ_N+PISLag))/LQ_N</f>
        <v>17.52</v>
      </c>
      <c r="AC60" s="131" t="n">
        <f aca="false">SUMPRODUCT($E$30:AC$30,((AC$5-$E$5:AC$5)&gt;=PISLag)*((AC$5-$E$5:AC$5)&lt;LQ_N+PISLag))/LQ_N</f>
        <v>22.716</v>
      </c>
      <c r="AD60" s="131" t="n">
        <f aca="false">SUMPRODUCT($E$30:AD$30,((AD$5-$E$5:AD$5)&gt;=PISLag)*((AD$5-$E$5:AD$5)&lt;LQ_N+PISLag))/LQ_N</f>
        <v>39.42</v>
      </c>
      <c r="AE60" s="131" t="n">
        <f aca="false">SUMPRODUCT($E$30:AE$30,((AE$5-$E$5:AE$5)&gt;=PISLag)*((AE$5-$E$5:AE$5)&lt;LQ_N+PISLag))/LQ_N</f>
        <v>61.18</v>
      </c>
      <c r="AF60" s="131" t="n">
        <f aca="false">SUMPRODUCT($E$30:AF$30,((AF$5-$E$5:AF$5)&gt;=PISLag)*((AF$5-$E$5:AF$5)&lt;LQ_N+PISLag))/LQ_N</f>
        <v>81.604</v>
      </c>
      <c r="AG60" s="131" t="n">
        <f aca="false">SUMPRODUCT($E$30:AG$30,((AG$5-$E$5:AG$5)&gt;=PISLag)*((AG$5-$E$5:AG$5)&lt;LQ_N+PISLag))/LQ_N</f>
        <v>119.824</v>
      </c>
      <c r="AI60" s="131" t="n">
        <f aca="false">SUMIF($F$7:$AG$7,AI$7,$F60:$AG60)</f>
        <v>0</v>
      </c>
      <c r="AJ60" s="131" t="n">
        <f aca="false">SUMIF($F$7:$AG$7,AJ$7,$F60:$AG60)</f>
        <v>0</v>
      </c>
      <c r="AK60" s="131" t="n">
        <f aca="false">SUMIF($F$7:$AG$7,AK$7,$F60:$AG60)</f>
        <v>0</v>
      </c>
      <c r="AL60" s="131" t="n">
        <f aca="false">SUMIF($F$7:$AG$7,AL$7,$F60:$AG60)</f>
        <v>0</v>
      </c>
      <c r="AM60" s="131" t="n">
        <f aca="false">SUMIF($F$7:$AG$7,AM$7,$F60:$AG60)</f>
        <v>0</v>
      </c>
      <c r="AN60" s="131" t="n">
        <f aca="false">SUMIF($F$7:$AG$7,AN$7,$F60:$AG60)</f>
        <v>59.676</v>
      </c>
      <c r="AO60" s="131" t="n">
        <f aca="false">SUMIF($F$7:$AG$7,AO$7,$F60:$AG60)</f>
        <v>302.028</v>
      </c>
    </row>
    <row r="61" customFormat="false" ht="15" hidden="false" customHeight="false" outlineLevel="0" collapsed="false">
      <c r="A61" s="112" t="s">
        <v>2429</v>
      </c>
      <c r="B61" s="24" t="s">
        <v>745</v>
      </c>
      <c r="C61" s="24" t="s">
        <v>736</v>
      </c>
      <c r="D61" s="24"/>
      <c r="F61" s="130" t="n">
        <f aca="false">OtherDA</f>
        <v>5</v>
      </c>
      <c r="G61" s="130" t="n">
        <f aca="false">OtherDA</f>
        <v>5</v>
      </c>
      <c r="H61" s="130" t="n">
        <f aca="false">OtherDA</f>
        <v>5</v>
      </c>
      <c r="I61" s="130" t="n">
        <f aca="false">OtherDA</f>
        <v>5</v>
      </c>
      <c r="J61" s="130" t="n">
        <f aca="false">OtherDA</f>
        <v>5</v>
      </c>
      <c r="K61" s="130" t="n">
        <f aca="false">OtherDA</f>
        <v>5</v>
      </c>
      <c r="L61" s="130" t="n">
        <f aca="false">OtherDA</f>
        <v>5</v>
      </c>
      <c r="M61" s="130" t="n">
        <f aca="false">OtherDA</f>
        <v>5</v>
      </c>
      <c r="N61" s="130" t="n">
        <f aca="false">OtherDA</f>
        <v>5</v>
      </c>
      <c r="O61" s="130" t="n">
        <f aca="false">OtherDA</f>
        <v>5</v>
      </c>
      <c r="P61" s="131" t="n">
        <f aca="false">OtherDA</f>
        <v>5</v>
      </c>
      <c r="Q61" s="131" t="n">
        <f aca="false">OtherDA</f>
        <v>5</v>
      </c>
      <c r="R61" s="131" t="n">
        <f aca="false">OtherDA</f>
        <v>5</v>
      </c>
      <c r="S61" s="131" t="n">
        <f aca="false">OtherDA</f>
        <v>5</v>
      </c>
      <c r="T61" s="131" t="n">
        <f aca="false">OtherDA</f>
        <v>5</v>
      </c>
      <c r="U61" s="131" t="n">
        <f aca="false">OtherDA</f>
        <v>5</v>
      </c>
      <c r="V61" s="131" t="n">
        <f aca="false">OtherDA</f>
        <v>5</v>
      </c>
      <c r="W61" s="131" t="n">
        <f aca="false">OtherDA</f>
        <v>5</v>
      </c>
      <c r="X61" s="131" t="n">
        <f aca="false">OtherDA</f>
        <v>5</v>
      </c>
      <c r="Y61" s="131" t="n">
        <f aca="false">OtherDA</f>
        <v>5</v>
      </c>
      <c r="Z61" s="131" t="n">
        <f aca="false">OtherDA</f>
        <v>5</v>
      </c>
      <c r="AA61" s="131" t="n">
        <f aca="false">OtherDA</f>
        <v>5</v>
      </c>
      <c r="AB61" s="131" t="n">
        <f aca="false">OtherDA</f>
        <v>5</v>
      </c>
      <c r="AC61" s="131" t="n">
        <f aca="false">OtherDA</f>
        <v>5</v>
      </c>
      <c r="AD61" s="131" t="n">
        <f aca="false">OtherDA</f>
        <v>5</v>
      </c>
      <c r="AE61" s="131" t="n">
        <f aca="false">OtherDA</f>
        <v>5</v>
      </c>
      <c r="AF61" s="131" t="n">
        <f aca="false">OtherDA</f>
        <v>5</v>
      </c>
      <c r="AG61" s="131" t="n">
        <f aca="false">OtherDA</f>
        <v>5</v>
      </c>
      <c r="AI61" s="131" t="n">
        <f aca="false">SUMIF($F$7:$AG$7,AI$7,$F61:$AG61)</f>
        <v>20</v>
      </c>
      <c r="AJ61" s="131" t="n">
        <f aca="false">SUMIF($F$7:$AG$7,AJ$7,$F61:$AG61)</f>
        <v>20</v>
      </c>
      <c r="AK61" s="131" t="n">
        <f aca="false">SUMIF($F$7:$AG$7,AK$7,$F61:$AG61)</f>
        <v>20</v>
      </c>
      <c r="AL61" s="131" t="n">
        <f aca="false">SUMIF($F$7:$AG$7,AL$7,$F61:$AG61)</f>
        <v>20</v>
      </c>
      <c r="AM61" s="131" t="n">
        <f aca="false">SUMIF($F$7:$AG$7,AM$7,$F61:$AG61)</f>
        <v>20</v>
      </c>
      <c r="AN61" s="131" t="n">
        <f aca="false">SUMIF($F$7:$AG$7,AN$7,$F61:$AG61)</f>
        <v>20</v>
      </c>
      <c r="AO61" s="131" t="n">
        <f aca="false">SUMIF($F$7:$AG$7,AO$7,$F61:$AG61)</f>
        <v>20</v>
      </c>
    </row>
    <row r="62" customFormat="false" ht="15" hidden="false" customHeight="false" outlineLevel="0" collapsed="false">
      <c r="A62" s="112" t="s">
        <v>2430</v>
      </c>
      <c r="B62" s="24" t="s">
        <v>745</v>
      </c>
      <c r="C62" s="24" t="s">
        <v>736</v>
      </c>
      <c r="D62" s="24" t="s">
        <v>2431</v>
      </c>
      <c r="F62" s="130" t="n">
        <f aca="false">IF(F$5&lt;=LastHist,INDEX(H_CapInt,1,F$5),CapIntPct*(INDEX(CV_cpn,1,1)+INDEX(CV_acc,1,1)+INDEX(Sec_Int,1,1)))</f>
        <v>0</v>
      </c>
      <c r="G62" s="130" t="n">
        <f aca="false">IF(G$5&lt;=LastHist,INDEX(H_CapInt,1,G$5),CapIntPct*(INDEX(CV_cpn,1,2)+INDEX(CV_acc,1,2)+INDEX(Sec_Int,1,2)))</f>
        <v>0</v>
      </c>
      <c r="H62" s="130" t="n">
        <f aca="false">IF(H$5&lt;=LastHist,INDEX(H_CapInt,1,H$5),CapIntPct*(INDEX(CV_cpn,1,3)+INDEX(CV_acc,1,3)+INDEX(Sec_Int,1,3)))</f>
        <v>0</v>
      </c>
      <c r="I62" s="130" t="n">
        <f aca="false">IF(I$5&lt;=LastHist,INDEX(H_CapInt,1,I$5),CapIntPct*(INDEX(CV_cpn,1,4)+INDEX(CV_acc,1,4)+INDEX(Sec_Int,1,4)))</f>
        <v>0</v>
      </c>
      <c r="J62" s="130" t="n">
        <f aca="false">IF(J$5&lt;=LastHist,INDEX(H_CapInt,1,J$5),CapIntPct*(INDEX(CV_cpn,1,5)+INDEX(CV_acc,1,5)+INDEX(Sec_Int,1,5)))</f>
        <v>0</v>
      </c>
      <c r="K62" s="130" t="n">
        <f aca="false">IF(K$5&lt;=LastHist,INDEX(H_CapInt,1,K$5),CapIntPct*(INDEX(CV_cpn,1,6)+INDEX(CV_acc,1,6)+INDEX(Sec_Int,1,6)))</f>
        <v>0</v>
      </c>
      <c r="L62" s="130" t="n">
        <f aca="false">IF(L$5&lt;=LastHist,INDEX(H_CapInt,1,L$5),CapIntPct*(INDEX(CV_cpn,1,7)+INDEX(CV_acc,1,7)+INDEX(Sec_Int,1,7)))</f>
        <v>0</v>
      </c>
      <c r="M62" s="130" t="n">
        <f aca="false">IF(M$5&lt;=LastHist,INDEX(H_CapInt,1,M$5),CapIntPct*(INDEX(CV_cpn,1,8)+INDEX(CV_acc,1,8)+INDEX(Sec_Int,1,8)))</f>
        <v>0</v>
      </c>
      <c r="N62" s="130" t="n">
        <f aca="false">IF(N$5&lt;=LastHist,INDEX(H_CapInt,1,N$5),CapIntPct*(INDEX(CV_cpn,1,9)+INDEX(CV_acc,1,9)+INDEX(Sec_Int,1,9)))</f>
        <v>15.7</v>
      </c>
      <c r="O62" s="130" t="n">
        <f aca="false">IF(O$5&lt;=LastHist,INDEX(H_CapInt,1,O$5),CapIntPct*(INDEX(CV_cpn,1,10)+INDEX(CV_acc,1,10)+INDEX(Sec_Int,1,10)))</f>
        <v>40.2</v>
      </c>
      <c r="P62" s="131" t="n">
        <f aca="false">IF(P$5&lt;=LastHist,INDEX(H_CapInt,1,P$5),CapIntPct*(INDEX(CV_cpn,1,11)+INDEX(CV_acc,1,11)+INDEX(Sec_Int,1,11)))</f>
        <v>63.6793762885238</v>
      </c>
      <c r="Q62" s="131" t="n">
        <f aca="false">IF(Q$5&lt;=LastHist,INDEX(H_CapInt,1,Q$5),CapIntPct*(INDEX(CV_cpn,1,12)+INDEX(CV_acc,1,12)+INDEX(Sec_Int,1,12)))</f>
        <v>63.6793762885238</v>
      </c>
      <c r="R62" s="131" t="n">
        <f aca="false">IF(R$5&lt;=LastHist,INDEX(H_CapInt,1,R$5),CapIntPct*(INDEX(CV_cpn,1,13)+INDEX(CV_acc,1,13)+INDEX(Sec_Int,1,13)))</f>
        <v>94.4977810179247</v>
      </c>
      <c r="S62" s="131" t="n">
        <f aca="false">IF(S$5&lt;=LastHist,INDEX(H_CapInt,1,S$5),CapIntPct*(INDEX(CV_cpn,1,14)+INDEX(CV_acc,1,14)+INDEX(Sec_Int,1,14)))</f>
        <v>94.4977810179247</v>
      </c>
      <c r="T62" s="131" t="n">
        <f aca="false">IF(T$5&lt;=LastHist,INDEX(H_CapInt,1,T$5),CapIntPct*(INDEX(CV_cpn,1,15)+INDEX(CV_acc,1,15)+INDEX(Sec_Int,1,15)))</f>
        <v>125.283380037443</v>
      </c>
      <c r="U62" s="131" t="n">
        <f aca="false">IF(U$5&lt;=LastHist,INDEX(H_CapInt,1,U$5),CapIntPct*(INDEX(CV_cpn,1,16)+INDEX(CV_acc,1,16)+INDEX(Sec_Int,1,16)))</f>
        <v>125.283380037443</v>
      </c>
      <c r="V62" s="131" t="n">
        <f aca="false">IF(V$5&lt;=LastHist,INDEX(H_CapInt,1,V$5),CapIntPct*(INDEX(CV_cpn,1,17)+INDEX(CV_acc,1,17)+INDEX(Sec_Int,1,17)))</f>
        <v>125.283380037443</v>
      </c>
      <c r="W62" s="131" t="n">
        <f aca="false">IF(W$5&lt;=LastHist,INDEX(H_CapInt,1,W$5),CapIntPct*(INDEX(CV_cpn,1,18)+INDEX(CV_acc,1,18)+INDEX(Sec_Int,1,18)))</f>
        <v>125.283380037443</v>
      </c>
      <c r="X62" s="131" t="n">
        <f aca="false">IF(X$5&lt;=LastHist,INDEX(H_CapInt,1,X$5),CapIntPct*(INDEX(CV_cpn,1,19)+INDEX(CV_acc,1,19)+INDEX(Sec_Int,1,19)))</f>
        <v>125.283380037443</v>
      </c>
      <c r="Y62" s="131" t="n">
        <f aca="false">IF(Y$5&lt;=LastHist,INDEX(H_CapInt,1,Y$5),CapIntPct*(INDEX(CV_cpn,1,20)+INDEX(CV_acc,1,20)+INDEX(Sec_Int,1,20)))</f>
        <v>125.283380037443</v>
      </c>
      <c r="Z62" s="131" t="n">
        <f aca="false">IF(Z$5&lt;=LastHist,INDEX(H_CapInt,1,Z$5),CapIntPct*(INDEX(CV_cpn,1,21)+INDEX(CV_acc,1,21)+INDEX(Sec_Int,1,21)))</f>
        <v>125.283380037443</v>
      </c>
      <c r="AA62" s="131" t="n">
        <f aca="false">IF(AA$5&lt;=LastHist,INDEX(H_CapInt,1,AA$5),CapIntPct*(INDEX(CV_cpn,1,22)+INDEX(CV_acc,1,22)+INDEX(Sec_Int,1,22)))</f>
        <v>124.760842701522</v>
      </c>
      <c r="AB62" s="131" t="n">
        <f aca="false">IF(AB$5&lt;=LastHist,INDEX(H_CapInt,1,AB$5),CapIntPct*(INDEX(CV_cpn,1,23)+INDEX(CV_acc,1,23)+INDEX(Sec_Int,1,23)))</f>
        <v>124.760842701522</v>
      </c>
      <c r="AC62" s="131" t="n">
        <f aca="false">IF(AC$5&lt;=LastHist,INDEX(H_CapInt,1,AC$5),CapIntPct*(INDEX(CV_cpn,1,24)+INDEX(CV_acc,1,24)+INDEX(Sec_Int,1,24)))</f>
        <v>124.760842701522</v>
      </c>
      <c r="AD62" s="131" t="n">
        <f aca="false">IF(AD$5&lt;=LastHist,INDEX(H_CapInt,1,AD$5),CapIntPct*(INDEX(CV_cpn,1,25)+INDEX(CV_acc,1,25)+INDEX(Sec_Int,1,25)))</f>
        <v>113.878060640153</v>
      </c>
      <c r="AE62" s="131" t="n">
        <f aca="false">IF(AE$5&lt;=LastHist,INDEX(H_CapInt,1,AE$5),CapIntPct*(INDEX(CV_cpn,1,26)+INDEX(CV_acc,1,26)+INDEX(Sec_Int,1,26)))</f>
        <v>113.878060640153</v>
      </c>
      <c r="AF62" s="131" t="n">
        <f aca="false">IF(AF$5&lt;=LastHist,INDEX(H_CapInt,1,AF$5),CapIntPct*(INDEX(CV_cpn,1,27)+INDEX(CV_acc,1,27)+INDEX(Sec_Int,1,27)))</f>
        <v>95.8990471378933</v>
      </c>
      <c r="AG62" s="131" t="n">
        <f aca="false">IF(AG$5&lt;=LastHist,INDEX(H_CapInt,1,AG$5),CapIntPct*(INDEX(CV_cpn,1,28)+INDEX(CV_acc,1,28)+INDEX(Sec_Int,1,28)))</f>
        <v>95.8990471378933</v>
      </c>
      <c r="AI62" s="131" t="n">
        <f aca="false">SUMIF($F$7:$AG$7,AI$7,$F62:$AG62)</f>
        <v>0</v>
      </c>
      <c r="AJ62" s="131" t="n">
        <f aca="false">SUMIF($F$7:$AG$7,AJ$7,$F62:$AG62)</f>
        <v>0</v>
      </c>
      <c r="AK62" s="131" t="n">
        <f aca="false">SUMIF($F$7:$AG$7,AK$7,$F62:$AG62)</f>
        <v>183.258752577048</v>
      </c>
      <c r="AL62" s="131" t="n">
        <f aca="false">SUMIF($F$7:$AG$7,AL$7,$F62:$AG62)</f>
        <v>439.562322110736</v>
      </c>
      <c r="AM62" s="131" t="n">
        <f aca="false">SUMIF($F$7:$AG$7,AM$7,$F62:$AG62)</f>
        <v>501.133520149772</v>
      </c>
      <c r="AN62" s="131" t="n">
        <f aca="false">SUMIF($F$7:$AG$7,AN$7,$F62:$AG62)</f>
        <v>499.565908142008</v>
      </c>
      <c r="AO62" s="131" t="n">
        <f aca="false">SUMIF($F$7:$AG$7,AO$7,$F62:$AG62)</f>
        <v>419.554215556092</v>
      </c>
    </row>
    <row r="63" customFormat="false" ht="15" hidden="false" customHeight="false" outlineLevel="0" collapsed="false">
      <c r="A63" s="112" t="s">
        <v>2432</v>
      </c>
      <c r="B63" s="24" t="s">
        <v>745</v>
      </c>
      <c r="C63" s="24" t="s">
        <v>672</v>
      </c>
      <c r="D63" s="24"/>
      <c r="F63" s="130" t="n">
        <f aca="false">SUMPRODUCT($E$62:F$62,((F$5-$E$5:F$5)&gt;=PISLag)*((F$5-$E$5:F$5)&lt;LQ_CapInt+PISLag))/LQ_CapInt</f>
        <v>0</v>
      </c>
      <c r="G63" s="130" t="n">
        <f aca="false">SUMPRODUCT($E$62:G$62,((G$5-$E$5:G$5)&gt;=PISLag)*((G$5-$E$5:G$5)&lt;LQ_CapInt+PISLag))/LQ_CapInt</f>
        <v>0</v>
      </c>
      <c r="H63" s="130" t="n">
        <f aca="false">SUMPRODUCT($E$62:H$62,((H$5-$E$5:H$5)&gt;=PISLag)*((H$5-$E$5:H$5)&lt;LQ_CapInt+PISLag))/LQ_CapInt</f>
        <v>0</v>
      </c>
      <c r="I63" s="130" t="n">
        <f aca="false">SUMPRODUCT($E$62:I$62,((I$5-$E$5:I$5)&gt;=PISLag)*((I$5-$E$5:I$5)&lt;LQ_CapInt+PISLag))/LQ_CapInt</f>
        <v>0</v>
      </c>
      <c r="J63" s="130" t="n">
        <f aca="false">SUMPRODUCT($E$62:J$62,((J$5-$E$5:J$5)&gt;=PISLag)*((J$5-$E$5:J$5)&lt;LQ_CapInt+PISLag))/LQ_CapInt</f>
        <v>0</v>
      </c>
      <c r="K63" s="130" t="n">
        <f aca="false">SUMPRODUCT($E$62:K$62,((K$5-$E$5:K$5)&gt;=PISLag)*((K$5-$E$5:K$5)&lt;LQ_CapInt+PISLag))/LQ_CapInt</f>
        <v>0</v>
      </c>
      <c r="L63" s="130" t="n">
        <f aca="false">SUMPRODUCT($E$62:L$62,((L$5-$E$5:L$5)&gt;=PISLag)*((L$5-$E$5:L$5)&lt;LQ_CapInt+PISLag))/LQ_CapInt</f>
        <v>0</v>
      </c>
      <c r="M63" s="130" t="n">
        <f aca="false">SUMPRODUCT($E$62:M$62,((M$5-$E$5:M$5)&gt;=PISLag)*((M$5-$E$5:M$5)&lt;LQ_CapInt+PISLag))/LQ_CapInt</f>
        <v>0</v>
      </c>
      <c r="N63" s="130" t="n">
        <f aca="false">SUMPRODUCT($E$62:N$62,((N$5-$E$5:N$5)&gt;=PISLag)*((N$5-$E$5:N$5)&lt;LQ_CapInt+PISLag))/LQ_CapInt</f>
        <v>0</v>
      </c>
      <c r="O63" s="130" t="n">
        <f aca="false">SUMPRODUCT($E$62:O$62,((O$5-$E$5:O$5)&gt;=PISLag)*((O$5-$E$5:O$5)&lt;LQ_CapInt+PISLag))/LQ_CapInt</f>
        <v>0.785</v>
      </c>
      <c r="P63" s="131" t="n">
        <f aca="false">SUMPRODUCT($E$62:P$62,((P$5-$E$5:P$5)&gt;=PISLag)*((P$5-$E$5:P$5)&lt;LQ_CapInt+PISLag))/LQ_CapInt</f>
        <v>2.795</v>
      </c>
      <c r="Q63" s="131" t="n">
        <f aca="false">SUMPRODUCT($E$62:Q$62,((Q$5-$E$5:Q$5)&gt;=PISLag)*((Q$5-$E$5:Q$5)&lt;LQ_CapInt+PISLag))/LQ_CapInt</f>
        <v>5.97896881442619</v>
      </c>
      <c r="R63" s="131" t="n">
        <f aca="false">SUMPRODUCT($E$62:R$62,((R$5-$E$5:R$5)&gt;=PISLag)*((R$5-$E$5:R$5)&lt;LQ_CapInt+PISLag))/LQ_CapInt</f>
        <v>9.16293762885238</v>
      </c>
      <c r="S63" s="131" t="n">
        <f aca="false">SUMPRODUCT($E$62:S$62,((S$5-$E$5:S$5)&gt;=PISLag)*((S$5-$E$5:S$5)&lt;LQ_CapInt+PISLag))/LQ_CapInt</f>
        <v>13.8878266797486</v>
      </c>
      <c r="T63" s="131" t="n">
        <f aca="false">SUMPRODUCT($E$62:T$62,((T$5-$E$5:T$5)&gt;=PISLag)*((T$5-$E$5:T$5)&lt;LQ_CapInt+PISLag))/LQ_CapInt</f>
        <v>18.6127157306449</v>
      </c>
      <c r="U63" s="131" t="n">
        <f aca="false">SUMPRODUCT($E$62:U$62,((U$5-$E$5:U$5)&gt;=PISLag)*((U$5-$E$5:U$5)&lt;LQ_CapInt+PISLag))/LQ_CapInt</f>
        <v>24.876884732517</v>
      </c>
      <c r="V63" s="131" t="n">
        <f aca="false">SUMPRODUCT($E$62:V$62,((V$5-$E$5:V$5)&gt;=PISLag)*((V$5-$E$5:V$5)&lt;LQ_CapInt+PISLag))/LQ_CapInt</f>
        <v>31.1410537343892</v>
      </c>
      <c r="W63" s="131" t="n">
        <f aca="false">SUMPRODUCT($E$62:W$62,((W$5-$E$5:W$5)&gt;=PISLag)*((W$5-$E$5:W$5)&lt;LQ_CapInt+PISLag))/LQ_CapInt</f>
        <v>37.4052227362613</v>
      </c>
      <c r="X63" s="131" t="n">
        <f aca="false">SUMPRODUCT($E$62:X$62,((X$5-$E$5:X$5)&gt;=PISLag)*((X$5-$E$5:X$5)&lt;LQ_CapInt+PISLag))/LQ_CapInt</f>
        <v>43.6693917381335</v>
      </c>
      <c r="Y63" s="131" t="n">
        <f aca="false">SUMPRODUCT($E$62:Y$62,((Y$5-$E$5:Y$5)&gt;=PISLag)*((Y$5-$E$5:Y$5)&lt;LQ_CapInt+PISLag))/LQ_CapInt</f>
        <v>49.9335607400056</v>
      </c>
      <c r="Z63" s="131" t="n">
        <f aca="false">SUMPRODUCT($E$62:Z$62,((Z$5-$E$5:Z$5)&gt;=PISLag)*((Z$5-$E$5:Z$5)&lt;LQ_CapInt+PISLag))/LQ_CapInt</f>
        <v>56.1977297418778</v>
      </c>
      <c r="AA63" s="131" t="n">
        <f aca="false">SUMPRODUCT($E$62:AA$62,((AA$5-$E$5:AA$5)&gt;=PISLag)*((AA$5-$E$5:AA$5)&lt;LQ_CapInt+PISLag))/LQ_CapInt</f>
        <v>62.4618987437499</v>
      </c>
      <c r="AB63" s="131" t="n">
        <f aca="false">SUMPRODUCT($E$62:AB$62,((AB$5-$E$5:AB$5)&gt;=PISLag)*((AB$5-$E$5:AB$5)&lt;LQ_CapInt+PISLag))/LQ_CapInt</f>
        <v>68.699940878826</v>
      </c>
      <c r="AC63" s="131" t="n">
        <f aca="false">SUMPRODUCT($E$62:AC$62,((AC$5-$E$5:AC$5)&gt;=PISLag)*((AC$5-$E$5:AC$5)&lt;LQ_CapInt+PISLag))/LQ_CapInt</f>
        <v>74.9379830139021</v>
      </c>
      <c r="AD63" s="131" t="n">
        <f aca="false">SUMPRODUCT($E$62:AD$62,((AD$5-$E$5:AD$5)&gt;=PISLag)*((AD$5-$E$5:AD$5)&lt;LQ_CapInt+PISLag))/LQ_CapInt</f>
        <v>81.1760251489782</v>
      </c>
      <c r="AE63" s="131" t="n">
        <f aca="false">SUMPRODUCT($E$62:AE$62,((AE$5-$E$5:AE$5)&gt;=PISLag)*((AE$5-$E$5:AE$5)&lt;LQ_CapInt+PISLag))/LQ_CapInt</f>
        <v>86.8699281809858</v>
      </c>
      <c r="AF63" s="131" t="n">
        <f aca="false">SUMPRODUCT($E$62:AF$62,((AF$5-$E$5:AF$5)&gt;=PISLag)*((AF$5-$E$5:AF$5)&lt;LQ_CapInt+PISLag))/LQ_CapInt</f>
        <v>92.5638312129935</v>
      </c>
      <c r="AG63" s="131" t="n">
        <f aca="false">SUMPRODUCT($E$62:AG$62,((AG$5-$E$5:AG$5)&gt;=PISLag)*((AG$5-$E$5:AG$5)&lt;LQ_CapInt+PISLag))/LQ_CapInt</f>
        <v>97.3587835698881</v>
      </c>
      <c r="AI63" s="131" t="n">
        <f aca="false">SUMIF($F$7:$AG$7,AI$7,$F63:$AG63)</f>
        <v>0</v>
      </c>
      <c r="AJ63" s="131" t="n">
        <f aca="false">SUMIF($F$7:$AG$7,AJ$7,$F63:$AG63)</f>
        <v>0</v>
      </c>
      <c r="AK63" s="131" t="n">
        <f aca="false">SUMIF($F$7:$AG$7,AK$7,$F63:$AG63)</f>
        <v>9.55896881442619</v>
      </c>
      <c r="AL63" s="131" t="n">
        <f aca="false">SUMIF($F$7:$AG$7,AL$7,$F63:$AG63)</f>
        <v>66.5403647717629</v>
      </c>
      <c r="AM63" s="131" t="n">
        <f aca="false">SUMIF($F$7:$AG$7,AM$7,$F63:$AG63)</f>
        <v>162.14922894879</v>
      </c>
      <c r="AN63" s="131" t="n">
        <f aca="false">SUMIF($F$7:$AG$7,AN$7,$F63:$AG63)</f>
        <v>262.297552378356</v>
      </c>
      <c r="AO63" s="131" t="n">
        <f aca="false">SUMIF($F$7:$AG$7,AO$7,$F63:$AG63)</f>
        <v>357.968568112846</v>
      </c>
    </row>
    <row r="64" customFormat="false" ht="15" hidden="false" customHeight="false" outlineLevel="0" collapsed="false">
      <c r="A64" s="112" t="s">
        <v>2433</v>
      </c>
      <c r="B64" s="24" t="s">
        <v>745</v>
      </c>
      <c r="C64" s="24" t="s">
        <v>672</v>
      </c>
      <c r="D64" s="24"/>
      <c r="F64" s="130" t="n">
        <f aca="false">SUMPRODUCT($E$33:F$33,((F$5-$E$5:F$5)&gt;=PISLag)*((F$5-$E$5:F$5)&lt;LQ_B+PISLag))/LQ_B</f>
        <v>0</v>
      </c>
      <c r="G64" s="130" t="n">
        <f aca="false">SUMPRODUCT($E$33:G$33,((G$5-$E$5:G$5)&gt;=PISLag)*((G$5-$E$5:G$5)&lt;LQ_B+PISLag))/LQ_B</f>
        <v>0</v>
      </c>
      <c r="H64" s="130" t="n">
        <f aca="false">SUMPRODUCT($E$33:H$33,((H$5-$E$5:H$5)&gt;=PISLag)*((H$5-$E$5:H$5)&lt;LQ_B+PISLag))/LQ_B</f>
        <v>0</v>
      </c>
      <c r="I64" s="130" t="n">
        <f aca="false">SUMPRODUCT($E$33:I$33,((I$5-$E$5:I$5)&gt;=PISLag)*((I$5-$E$5:I$5)&lt;LQ_B+PISLag))/LQ_B</f>
        <v>0</v>
      </c>
      <c r="J64" s="130" t="n">
        <f aca="false">SUMPRODUCT($E$33:J$33,((J$5-$E$5:J$5)&gt;=PISLag)*((J$5-$E$5:J$5)&lt;LQ_B+PISLag))/LQ_B</f>
        <v>0</v>
      </c>
      <c r="K64" s="130" t="n">
        <f aca="false">SUMPRODUCT($E$33:K$33,((K$5-$E$5:K$5)&gt;=PISLag)*((K$5-$E$5:K$5)&lt;LQ_B+PISLag))/LQ_B</f>
        <v>0</v>
      </c>
      <c r="L64" s="130" t="n">
        <f aca="false">SUMPRODUCT($E$33:L$33,((L$5-$E$5:L$5)&gt;=PISLag)*((L$5-$E$5:L$5)&lt;LQ_B+PISLag))/LQ_B</f>
        <v>0</v>
      </c>
      <c r="M64" s="130" t="n">
        <f aca="false">SUMPRODUCT($E$33:M$33,((M$5-$E$5:M$5)&gt;=PISLag)*((M$5-$E$5:M$5)&lt;LQ_B+PISLag))/LQ_B</f>
        <v>0</v>
      </c>
      <c r="N64" s="130" t="n">
        <f aca="false">SUMPRODUCT($E$33:N$33,((N$5-$E$5:N$5)&gt;=PISLag)*((N$5-$E$5:N$5)&lt;LQ_B+PISLag))/LQ_B</f>
        <v>0</v>
      </c>
      <c r="O64" s="130" t="n">
        <f aca="false">SUMPRODUCT($E$33:O$33,((O$5-$E$5:O$5)&gt;=PISLag)*((O$5-$E$5:O$5)&lt;LQ_B+PISLag))/LQ_B</f>
        <v>0</v>
      </c>
      <c r="P64" s="131" t="n">
        <f aca="false">SUMPRODUCT($E$33:P$33,((P$5-$E$5:P$5)&gt;=PISLag)*((P$5-$E$5:P$5)&lt;LQ_B+PISLag))/LQ_B</f>
        <v>0</v>
      </c>
      <c r="Q64" s="131" t="n">
        <f aca="false">SUMPRODUCT($E$33:Q$33,((Q$5-$E$5:Q$5)&gt;=PISLag)*((Q$5-$E$5:Q$5)&lt;LQ_B+PISLag))/LQ_B</f>
        <v>0</v>
      </c>
      <c r="R64" s="131" t="n">
        <f aca="false">SUMPRODUCT($E$33:R$33,((R$5-$E$5:R$5)&gt;=PISLag)*((R$5-$E$5:R$5)&lt;LQ_B+PISLag))/LQ_B</f>
        <v>0</v>
      </c>
      <c r="S64" s="131" t="n">
        <f aca="false">SUMPRODUCT($E$33:S$33,((S$5-$E$5:S$5)&gt;=PISLag)*((S$5-$E$5:S$5)&lt;LQ_B+PISLag))/LQ_B</f>
        <v>0</v>
      </c>
      <c r="T64" s="131" t="n">
        <f aca="false">SUMPRODUCT($E$33:T$33,((T$5-$E$5:T$5)&gt;=PISLag)*((T$5-$E$5:T$5)&lt;LQ_B+PISLag))/LQ_B</f>
        <v>0</v>
      </c>
      <c r="U64" s="131" t="n">
        <f aca="false">SUMPRODUCT($E$33:U$33,((U$5-$E$5:U$5)&gt;=PISLag)*((U$5-$E$5:U$5)&lt;LQ_B+PISLag))/LQ_B</f>
        <v>0</v>
      </c>
      <c r="V64" s="131" t="n">
        <f aca="false">SUMPRODUCT($E$33:V$33,((V$5-$E$5:V$5)&gt;=PISLag)*((V$5-$E$5:V$5)&lt;LQ_B+PISLag))/LQ_B</f>
        <v>0</v>
      </c>
      <c r="W64" s="131" t="n">
        <f aca="false">SUMPRODUCT($E$33:W$33,((W$5-$E$5:W$5)&gt;=PISLag)*((W$5-$E$5:W$5)&lt;LQ_B+PISLag))/LQ_B</f>
        <v>0</v>
      </c>
      <c r="X64" s="131" t="n">
        <f aca="false">SUMPRODUCT($E$33:X$33,((X$5-$E$5:X$5)&gt;=PISLag)*((X$5-$E$5:X$5)&lt;LQ_B+PISLag))/LQ_B</f>
        <v>0</v>
      </c>
      <c r="Y64" s="131" t="n">
        <f aca="false">SUMPRODUCT($E$33:Y$33,((Y$5-$E$5:Y$5)&gt;=PISLag)*((Y$5-$E$5:Y$5)&lt;LQ_B+PISLag))/LQ_B</f>
        <v>0</v>
      </c>
      <c r="Z64" s="131" t="n">
        <f aca="false">SUMPRODUCT($E$33:Z$33,((Z$5-$E$5:Z$5)&gt;=PISLag)*((Z$5-$E$5:Z$5)&lt;LQ_B+PISLag))/LQ_B</f>
        <v>0</v>
      </c>
      <c r="AA64" s="131" t="n">
        <f aca="false">SUMPRODUCT($E$33:AA$33,((AA$5-$E$5:AA$5)&gt;=PISLag)*((AA$5-$E$5:AA$5)&lt;LQ_B+PISLag))/LQ_B</f>
        <v>0</v>
      </c>
      <c r="AB64" s="131" t="n">
        <f aca="false">SUMPRODUCT($E$33:AB$33,((AB$5-$E$5:AB$5)&gt;=PISLag)*((AB$5-$E$5:AB$5)&lt;LQ_B+PISLag))/LQ_B</f>
        <v>0</v>
      </c>
      <c r="AC64" s="131" t="n">
        <f aca="false">SUMPRODUCT($E$33:AC$33,((AC$5-$E$5:AC$5)&gt;=PISLag)*((AC$5-$E$5:AC$5)&lt;LQ_B+PISLag))/LQ_B</f>
        <v>0</v>
      </c>
      <c r="AD64" s="131" t="n">
        <f aca="false">SUMPRODUCT($E$33:AD$33,((AD$5-$E$5:AD$5)&gt;=PISLag)*((AD$5-$E$5:AD$5)&lt;LQ_B+PISLag))/LQ_B</f>
        <v>0</v>
      </c>
      <c r="AE64" s="131" t="n">
        <f aca="false">SUMPRODUCT($E$33:AE$33,((AE$5-$E$5:AE$5)&gt;=PISLag)*((AE$5-$E$5:AE$5)&lt;LQ_B+PISLag))/LQ_B</f>
        <v>0</v>
      </c>
      <c r="AF64" s="131" t="n">
        <f aca="false">SUMPRODUCT($E$33:AF$33,((AF$5-$E$5:AF$5)&gt;=PISLag)*((AF$5-$E$5:AF$5)&lt;LQ_B+PISLag))/LQ_B</f>
        <v>0</v>
      </c>
      <c r="AG64" s="131" t="n">
        <f aca="false">SUMPRODUCT($E$33:AG$33,((AG$5-$E$5:AG$5)&gt;=PISLag)*((AG$5-$E$5:AG$5)&lt;LQ_B+PISLag))/LQ_B</f>
        <v>0</v>
      </c>
      <c r="AI64" s="131" t="n">
        <f aca="false">SUMIF($F$7:$AG$7,AI$7,$F64:$AG64)</f>
        <v>0</v>
      </c>
      <c r="AJ64" s="131" t="n">
        <f aca="false">SUMIF($F$7:$AG$7,AJ$7,$F64:$AG64)</f>
        <v>0</v>
      </c>
      <c r="AK64" s="131" t="n">
        <f aca="false">SUMIF($F$7:$AG$7,AK$7,$F64:$AG64)</f>
        <v>0</v>
      </c>
      <c r="AL64" s="131" t="n">
        <f aca="false">SUMIF($F$7:$AG$7,AL$7,$F64:$AG64)</f>
        <v>0</v>
      </c>
      <c r="AM64" s="131" t="n">
        <f aca="false">SUMIF($F$7:$AG$7,AM$7,$F64:$AG64)</f>
        <v>0</v>
      </c>
      <c r="AN64" s="131" t="n">
        <f aca="false">SUMIF($F$7:$AG$7,AN$7,$F64:$AG64)</f>
        <v>0</v>
      </c>
      <c r="AO64" s="131" t="n">
        <f aca="false">SUMIF($F$7:$AG$7,AO$7,$F64:$AG64)</f>
        <v>0</v>
      </c>
    </row>
    <row r="66" customFormat="false" ht="15" hidden="false" customHeight="false" outlineLevel="0" collapsed="false">
      <c r="A66" s="64" t="s">
        <v>2434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customFormat="false" ht="15" hidden="false" customHeight="false" outlineLevel="0" collapsed="false">
      <c r="A67" s="112" t="s">
        <v>2435</v>
      </c>
      <c r="B67" s="24" t="s">
        <v>745</v>
      </c>
      <c r="C67" s="24" t="s">
        <v>672</v>
      </c>
      <c r="D67" s="24"/>
      <c r="F67" s="130" t="n">
        <f aca="false">F41+F46+F51</f>
        <v>7.12</v>
      </c>
      <c r="G67" s="130" t="n">
        <f aca="false">G41+G46+G51</f>
        <v>12.32</v>
      </c>
      <c r="H67" s="130" t="n">
        <f aca="false">H41+H46+H51</f>
        <v>17.52</v>
      </c>
      <c r="I67" s="130" t="n">
        <f aca="false">I41+I46+I51</f>
        <v>22.716</v>
      </c>
      <c r="J67" s="130" t="n">
        <f aca="false">J41+J46+J51</f>
        <v>39.42</v>
      </c>
      <c r="K67" s="130" t="n">
        <f aca="false">K41+K46+K51</f>
        <v>61.18</v>
      </c>
      <c r="L67" s="130" t="n">
        <f aca="false">L41+L46+L51</f>
        <v>81.604</v>
      </c>
      <c r="M67" s="130" t="n">
        <f aca="false">M41+M46+M51</f>
        <v>119.824</v>
      </c>
      <c r="N67" s="130" t="n">
        <f aca="false">N41+N46+N51</f>
        <v>202.064</v>
      </c>
      <c r="O67" s="130" t="n">
        <f aca="false">O41+O46+O51</f>
        <v>300.98</v>
      </c>
      <c r="P67" s="131" t="n">
        <f aca="false">P41+P46+P51</f>
        <v>527.276</v>
      </c>
      <c r="Q67" s="131" t="n">
        <f aca="false">Q41+Q46+Q51</f>
        <v>527.276</v>
      </c>
      <c r="R67" s="131" t="n">
        <f aca="false">R41+R46+R51</f>
        <v>679.95143</v>
      </c>
      <c r="S67" s="131" t="n">
        <f aca="false">S41+S46+S51</f>
        <v>955.551841625</v>
      </c>
      <c r="T67" s="131" t="n">
        <f aca="false">T41+T46+T51</f>
        <v>1282.865935</v>
      </c>
      <c r="U67" s="131" t="n">
        <f aca="false">U41+U46+U51</f>
        <v>1630.4064125</v>
      </c>
      <c r="V67" s="131" t="n">
        <f aca="false">V41+V46+V51</f>
        <v>2149.716005</v>
      </c>
      <c r="W67" s="131" t="n">
        <f aca="false">W41+W46+W51</f>
        <v>2332.3344125</v>
      </c>
      <c r="X67" s="131" t="n">
        <f aca="false">X41+X46+X51</f>
        <v>2640.02071</v>
      </c>
      <c r="Y67" s="131" t="n">
        <f aca="false">Y41+Y46+Y51</f>
        <v>2665.08321</v>
      </c>
      <c r="Z67" s="131" t="n">
        <f aca="false">Z41+Z46+Z51</f>
        <v>3279.4391625</v>
      </c>
      <c r="AA67" s="131" t="n">
        <f aca="false">AA41+AA46+AA51</f>
        <v>3274.2391625</v>
      </c>
      <c r="AB67" s="131" t="n">
        <f aca="false">AB41+AB46+AB51</f>
        <v>3892.7826325</v>
      </c>
      <c r="AC67" s="131" t="n">
        <f aca="false">AC41+AC46+AC51</f>
        <v>3887.5866325</v>
      </c>
      <c r="AD67" s="131" t="n">
        <f aca="false">AD41+AD46+AD51</f>
        <v>4764.2204075</v>
      </c>
      <c r="AE67" s="131" t="n">
        <f aca="false">AE41+AE46+AE51</f>
        <v>4742.4604075</v>
      </c>
      <c r="AF67" s="131" t="n">
        <f aca="false">AF41+AF46+AF51</f>
        <v>4722.0364075</v>
      </c>
      <c r="AG67" s="131" t="n">
        <f aca="false">AG41+AG46+AG51</f>
        <v>4683.8164075</v>
      </c>
      <c r="AI67" s="131" t="n">
        <f aca="false">SUMIF($F$7:$AG$7,AI$7,$F67:$AG67)</f>
        <v>59.676</v>
      </c>
      <c r="AJ67" s="131" t="n">
        <f aca="false">SUMIF($F$7:$AG$7,AJ$7,$F67:$AG67)</f>
        <v>302.028</v>
      </c>
      <c r="AK67" s="131" t="n">
        <f aca="false">SUMIF($F$7:$AG$7,AK$7,$F67:$AG67)</f>
        <v>1557.596</v>
      </c>
      <c r="AL67" s="131" t="n">
        <f aca="false">SUMIF($F$7:$AG$7,AL$7,$F67:$AG67)</f>
        <v>4548.775619125</v>
      </c>
      <c r="AM67" s="131" t="n">
        <f aca="false">SUMIF($F$7:$AG$7,AM$7,$F67:$AG67)</f>
        <v>9787.1543375</v>
      </c>
      <c r="AN67" s="131" t="n">
        <f aca="false">SUMIF($F$7:$AG$7,AN$7,$F67:$AG67)</f>
        <v>14334.04759</v>
      </c>
      <c r="AO67" s="131" t="n">
        <f aca="false">SUMIF($F$7:$AG$7,AO$7,$F67:$AG67)</f>
        <v>18912.53363</v>
      </c>
    </row>
    <row r="68" customFormat="false" ht="15" hidden="false" customHeight="false" outlineLevel="0" collapsed="false">
      <c r="A68" s="3" t="s">
        <v>2436</v>
      </c>
      <c r="B68" s="24" t="s">
        <v>745</v>
      </c>
      <c r="C68" s="24" t="s">
        <v>672</v>
      </c>
      <c r="D68" s="24"/>
      <c r="F68" s="132" t="n">
        <f aca="false">F67+F56+F57+F58+F61+F63+F64+F60+F59</f>
        <v>12.12</v>
      </c>
      <c r="G68" s="132" t="n">
        <f aca="false">G67+G56+G57+G58+G61+G63+G64+G60+G59</f>
        <v>17.84</v>
      </c>
      <c r="H68" s="132" t="n">
        <f aca="false">H67+H56+H57+H58+H61+H63+H64+H60+H59</f>
        <v>23.56</v>
      </c>
      <c r="I68" s="132" t="n">
        <f aca="false">I67+I56+I57+I58+I61+I63+I64+I60+I59</f>
        <v>29.2756</v>
      </c>
      <c r="J68" s="132" t="n">
        <f aca="false">J67+J56+J57+J58+J61+J63+J64+J60+J59</f>
        <v>47.65</v>
      </c>
      <c r="K68" s="132" t="n">
        <f aca="false">K67+K56+K57+K58+K61+K63+K64+K60+K59</f>
        <v>71.586</v>
      </c>
      <c r="L68" s="132" t="n">
        <f aca="false">L67+L56+L57+L58+L61+L63+L64+L60+L59</f>
        <v>94.0524</v>
      </c>
      <c r="M68" s="132" t="n">
        <f aca="false">M67+M56+M57+M58+M61+M63+M64+M60+M59</f>
        <v>136.0944</v>
      </c>
      <c r="N68" s="132" t="n">
        <f aca="false">N67+N56+N57+N58+N61+N63+N64+N60+N59</f>
        <v>226.5584</v>
      </c>
      <c r="O68" s="132" t="n">
        <f aca="false">O67+O56+O57+O58+O61+O63+O64+O60+O59</f>
        <v>336.151</v>
      </c>
      <c r="P68" s="104" t="n">
        <f aca="false">P67+P56+P57+P58+P61+P63+P64+P60+P59</f>
        <v>587.0866</v>
      </c>
      <c r="Q68" s="104" t="n">
        <f aca="false">Q67+Q56+Q57+Q58+Q61+Q63+Q64+Q60+Q59</f>
        <v>590.945255222107</v>
      </c>
      <c r="R68" s="104" t="n">
        <f aca="false">R67+R56+R57+R58+R61+R63+R64+R60+R59</f>
        <v>755.785662639179</v>
      </c>
      <c r="S68" s="104" t="n">
        <f aca="false">S67+S56+S57+S58+S61+S63+S64+S60+S59</f>
        <v>1049.69095932479</v>
      </c>
      <c r="T68" s="104" t="n">
        <f aca="false">T67+T56+T57+T58+T61+T63+T64+T60+T59</f>
        <v>1406.65348632191</v>
      </c>
      <c r="U68" s="104" t="n">
        <f aca="false">U67+U56+U57+U58+U61+U63+U64+U60+U59</f>
        <v>1808.13447922136</v>
      </c>
      <c r="V68" s="104" t="n">
        <f aca="false">V67+V56+V57+V58+V61+V63+V64+V60+V59</f>
        <v>2358.16770254323</v>
      </c>
      <c r="W68" s="104" t="n">
        <f aca="false">W67+W56+W57+W58+W61+W63+W64+W60+W59</f>
        <v>2591.82684933241</v>
      </c>
      <c r="X68" s="104" t="n">
        <f aca="false">X67+X56+X57+X58+X61+X63+X64+X60+X59</f>
        <v>2911.02538536278</v>
      </c>
      <c r="Y68" s="104" t="n">
        <f aca="false">Y67+Y56+Y57+Y58+Y61+Y63+Y64+Y60+Y59</f>
        <v>3020.5779564275</v>
      </c>
      <c r="Z68" s="104" t="n">
        <f aca="false">Z67+Z56+Z57+Z58+Z61+Z63+Z64+Z60+Z59</f>
        <v>3653.9805845575</v>
      </c>
      <c r="AA68" s="104" t="n">
        <f aca="false">AA67+AA56+AA57+AA58+AA61+AA63+AA64+AA60+AA59</f>
        <v>3749.26151766729</v>
      </c>
      <c r="AB68" s="104" t="n">
        <f aca="false">AB67+AB56+AB57+AB58+AB61+AB63+AB64+AB60+AB59</f>
        <v>4386.34172260244</v>
      </c>
      <c r="AC68" s="104" t="n">
        <f aca="false">AC67+AC56+AC57+AC58+AC61+AC63+AC64+AC60+AC59</f>
        <v>4518.73435644852</v>
      </c>
      <c r="AD68" s="104" t="n">
        <f aca="false">AD67+AD56+AD57+AD58+AD61+AD63+AD64+AD60+AD59</f>
        <v>5426.83496124987</v>
      </c>
      <c r="AE68" s="104" t="n">
        <f aca="false">AE67+AE56+AE57+AE58+AE61+AE63+AE64+AE60+AE59</f>
        <v>5442.02029535058</v>
      </c>
      <c r="AF68" s="104" t="n">
        <f aca="false">AF67+AF56+AF57+AF58+AF61+AF63+AF64+AF60+AF59</f>
        <v>5458.1993390581</v>
      </c>
      <c r="AG68" s="104" t="n">
        <f aca="false">AG67+AG56+AG57+AG58+AG61+AG63+AG64+AG60+AG59</f>
        <v>5473.44525867795</v>
      </c>
      <c r="AI68" s="104" t="n">
        <f aca="false">SUMIF($F$7:$AG$7,AI$7,$F68:$AG68)</f>
        <v>82.7956</v>
      </c>
      <c r="AJ68" s="104" t="n">
        <f aca="false">SUMIF($F$7:$AG$7,AJ$7,$F68:$AG68)</f>
        <v>349.3828</v>
      </c>
      <c r="AK68" s="104" t="n">
        <f aca="false">SUMIF($F$7:$AG$7,AK$7,$F68:$AG68)</f>
        <v>1740.74125522211</v>
      </c>
      <c r="AL68" s="104" t="n">
        <f aca="false">SUMIF($F$7:$AG$7,AL$7,$F68:$AG68)</f>
        <v>5020.26458750724</v>
      </c>
      <c r="AM68" s="104" t="n">
        <f aca="false">SUMIF($F$7:$AG$7,AM$7,$F68:$AG68)</f>
        <v>10881.5978936659</v>
      </c>
      <c r="AN68" s="104" t="n">
        <f aca="false">SUMIF($F$7:$AG$7,AN$7,$F68:$AG68)</f>
        <v>16308.3181812757</v>
      </c>
      <c r="AO68" s="104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2437</v>
      </c>
      <c r="B69" s="24" t="s">
        <v>745</v>
      </c>
      <c r="C69" s="24" t="s">
        <v>672</v>
      </c>
      <c r="D69" s="24"/>
      <c r="F69" s="132" t="n">
        <f aca="false">IF(F$5&lt;=LastHist,INDEX(H_DA,1,F$5),F68)</f>
        <v>8.9</v>
      </c>
      <c r="G69" s="132" t="n">
        <f aca="false">IF(G$5&lt;=LastHist,INDEX(H_DA,1,G$5),G68)</f>
        <v>11.4</v>
      </c>
      <c r="H69" s="132" t="n">
        <f aca="false">IF(H$5&lt;=LastHist,INDEX(H_DA,1,H$5),H68)</f>
        <v>23.5</v>
      </c>
      <c r="I69" s="132" t="n">
        <f aca="false">IF(I$5&lt;=LastHist,INDEX(H_DA,1,I$5),I68)</f>
        <v>33.3</v>
      </c>
      <c r="J69" s="132" t="n">
        <f aca="false">IF(J$5&lt;=LastHist,INDEX(H_DA,1,J$5),J68)</f>
        <v>49.1</v>
      </c>
      <c r="K69" s="132" t="n">
        <f aca="false">IF(K$5&lt;=LastHist,INDEX(H_DA,1,K$5),K68)</f>
        <v>75.2</v>
      </c>
      <c r="L69" s="132" t="n">
        <f aca="false">IF(L$5&lt;=LastHist,INDEX(H_DA,1,L$5),L68)</f>
        <v>99</v>
      </c>
      <c r="M69" s="132" t="n">
        <f aca="false">IF(M$5&lt;=LastHist,INDEX(H_DA,1,M$5),M68)</f>
        <v>180.7</v>
      </c>
      <c r="N69" s="132" t="n">
        <f aca="false">IF(N$5&lt;=LastHist,INDEX(H_DA,1,N$5),N68)</f>
        <v>212</v>
      </c>
      <c r="O69" s="132" t="n">
        <f aca="false">IF(O$5&lt;=LastHist,INDEX(H_DA,1,O$5),O68)</f>
        <v>259.7</v>
      </c>
      <c r="P69" s="104" t="n">
        <f aca="false">IF(P$5&lt;=LastHist,INDEX(H_DA,1,P$5),P68)</f>
        <v>587.0866</v>
      </c>
      <c r="Q69" s="104" t="n">
        <f aca="false">IF(Q$5&lt;=LastHist,INDEX(H_DA,1,Q$5),Q68)</f>
        <v>590.945255222107</v>
      </c>
      <c r="R69" s="104" t="n">
        <f aca="false">IF(R$5&lt;=LastHist,INDEX(H_DA,1,R$5),R68)</f>
        <v>755.785662639179</v>
      </c>
      <c r="S69" s="104" t="n">
        <f aca="false">IF(S$5&lt;=LastHist,INDEX(H_DA,1,S$5),S68)</f>
        <v>1049.69095932479</v>
      </c>
      <c r="T69" s="104" t="n">
        <f aca="false">IF(T$5&lt;=LastHist,INDEX(H_DA,1,T$5),T68)</f>
        <v>1406.65348632191</v>
      </c>
      <c r="U69" s="104" t="n">
        <f aca="false">IF(U$5&lt;=LastHist,INDEX(H_DA,1,U$5),U68)</f>
        <v>1808.13447922136</v>
      </c>
      <c r="V69" s="104" t="n">
        <f aca="false">IF(V$5&lt;=LastHist,INDEX(H_DA,1,V$5),V68)</f>
        <v>2358.16770254323</v>
      </c>
      <c r="W69" s="104" t="n">
        <f aca="false">IF(W$5&lt;=LastHist,INDEX(H_DA,1,W$5),W68)</f>
        <v>2591.82684933241</v>
      </c>
      <c r="X69" s="104" t="n">
        <f aca="false">IF(X$5&lt;=LastHist,INDEX(H_DA,1,X$5),X68)</f>
        <v>2911.02538536278</v>
      </c>
      <c r="Y69" s="104" t="n">
        <f aca="false">IF(Y$5&lt;=LastHist,INDEX(H_DA,1,Y$5),Y68)</f>
        <v>3020.5779564275</v>
      </c>
      <c r="Z69" s="104" t="n">
        <f aca="false">IF(Z$5&lt;=LastHist,INDEX(H_DA,1,Z$5),Z68)</f>
        <v>3653.9805845575</v>
      </c>
      <c r="AA69" s="104" t="n">
        <f aca="false">IF(AA$5&lt;=LastHist,INDEX(H_DA,1,AA$5),AA68)</f>
        <v>3749.26151766729</v>
      </c>
      <c r="AB69" s="104" t="n">
        <f aca="false">IF(AB$5&lt;=LastHist,INDEX(H_DA,1,AB$5),AB68)</f>
        <v>4386.34172260244</v>
      </c>
      <c r="AC69" s="104" t="n">
        <f aca="false">IF(AC$5&lt;=LastHist,INDEX(H_DA,1,AC$5),AC68)</f>
        <v>4518.73435644852</v>
      </c>
      <c r="AD69" s="104" t="n">
        <f aca="false">IF(AD$5&lt;=LastHist,INDEX(H_DA,1,AD$5),AD68)</f>
        <v>5426.83496124987</v>
      </c>
      <c r="AE69" s="104" t="n">
        <f aca="false">IF(AE$5&lt;=LastHist,INDEX(H_DA,1,AE$5),AE68)</f>
        <v>5442.02029535058</v>
      </c>
      <c r="AF69" s="104" t="n">
        <f aca="false">IF(AF$5&lt;=LastHist,INDEX(H_DA,1,AF$5),AF68)</f>
        <v>5458.1993390581</v>
      </c>
      <c r="AG69" s="104" t="n">
        <f aca="false">IF(AG$5&lt;=LastHist,INDEX(H_DA,1,AG$5),AG68)</f>
        <v>5473.44525867795</v>
      </c>
      <c r="AI69" s="104" t="n">
        <f aca="false">SUMIF($F$7:$AG$7,AI$7,$F69:$AG69)</f>
        <v>77.1</v>
      </c>
      <c r="AJ69" s="104" t="n">
        <f aca="false">SUMIF($F$7:$AG$7,AJ$7,$F69:$AG69)</f>
        <v>404</v>
      </c>
      <c r="AK69" s="104" t="n">
        <f aca="false">SUMIF($F$7:$AG$7,AK$7,$F69:$AG69)</f>
        <v>1649.73185522211</v>
      </c>
      <c r="AL69" s="104" t="n">
        <f aca="false">SUMIF($F$7:$AG$7,AL$7,$F69:$AG69)</f>
        <v>5020.26458750724</v>
      </c>
      <c r="AM69" s="104" t="n">
        <f aca="false">SUMIF($F$7:$AG$7,AM$7,$F69:$AG69)</f>
        <v>10881.5978936659</v>
      </c>
      <c r="AN69" s="104" t="n">
        <f aca="false">SUMIF($F$7:$AG$7,AN$7,$F69:$AG69)</f>
        <v>16308.3181812757</v>
      </c>
      <c r="AO69" s="104" t="n">
        <f aca="false">SUMIF($F$7:$AG$7,AO$7,$F69:$AG69)</f>
        <v>21800.4998543365</v>
      </c>
    </row>
    <row r="70" customFormat="false" ht="15" hidden="false" customHeight="false" outlineLevel="0" collapsed="false">
      <c r="A70" s="112" t="s">
        <v>2438</v>
      </c>
      <c r="B70" s="24" t="s">
        <v>751</v>
      </c>
      <c r="C70" s="24" t="s">
        <v>672</v>
      </c>
      <c r="D70" s="24"/>
      <c r="F70" s="135" t="n">
        <f aca="false">IF(F$5&lt;=LastHist,F68/INDEX(H_DA,1,F$5)-1,"")</f>
        <v>0.361797752808989</v>
      </c>
      <c r="G70" s="135" t="n">
        <f aca="false">IF(G$5&lt;=LastHist,G68/INDEX(H_DA,1,G$5)-1,"")</f>
        <v>0.564912280701755</v>
      </c>
      <c r="H70" s="135" t="n">
        <f aca="false">IF(H$5&lt;=LastHist,H68/INDEX(H_DA,1,H$5)-1,"")</f>
        <v>0.00255319148936173</v>
      </c>
      <c r="I70" s="135" t="n">
        <f aca="false">IF(I$5&lt;=LastHist,I68/INDEX(H_DA,1,I$5)-1,"")</f>
        <v>-0.120852852852853</v>
      </c>
      <c r="J70" s="135" t="n">
        <f aca="false">IF(J$5&lt;=LastHist,J68/INDEX(H_DA,1,J$5)-1,"")</f>
        <v>-0.029531568228106</v>
      </c>
      <c r="K70" s="135" t="n">
        <f aca="false">IF(K$5&lt;=LastHist,K68/INDEX(H_DA,1,K$5)-1,"")</f>
        <v>-0.0480585106382979</v>
      </c>
      <c r="L70" s="135" t="n">
        <f aca="false">IF(L$5&lt;=LastHist,L68/INDEX(H_DA,1,L$5)-1,"")</f>
        <v>-0.0499757575757576</v>
      </c>
      <c r="M70" s="135" t="n">
        <f aca="false">IF(M$5&lt;=LastHist,M68/INDEX(H_DA,1,M$5)-1,"")</f>
        <v>-0.246848920863309</v>
      </c>
      <c r="N70" s="135" t="n">
        <f aca="false">IF(N$5&lt;=LastHist,N68/INDEX(H_DA,1,N$5)-1,"")</f>
        <v>0.0686716981132076</v>
      </c>
      <c r="O70" s="135" t="n">
        <f aca="false">IF(O$5&lt;=LastHist,O68/INDEX(H_DA,1,O$5)-1,"")</f>
        <v>0.294381979206777</v>
      </c>
      <c r="P70" s="136" t="str">
        <f aca="false">IF(P$5&lt;=LastHist,P68/INDEX(H_DA,1,P$5)-1,"")</f>
        <v/>
      </c>
      <c r="Q70" s="136" t="str">
        <f aca="false">IF(Q$5&lt;=LastHist,Q68/INDEX(H_DA,1,Q$5)-1,"")</f>
        <v/>
      </c>
      <c r="R70" s="136" t="str">
        <f aca="false">IF(R$5&lt;=LastHist,R68/INDEX(H_DA,1,R$5)-1,"")</f>
        <v/>
      </c>
      <c r="S70" s="136" t="str">
        <f aca="false">IF(S$5&lt;=LastHist,S68/INDEX(H_DA,1,S$5)-1,"")</f>
        <v/>
      </c>
      <c r="T70" s="136" t="str">
        <f aca="false">IF(T$5&lt;=LastHist,T68/INDEX(H_DA,1,T$5)-1,"")</f>
        <v/>
      </c>
      <c r="U70" s="136" t="str">
        <f aca="false">IF(U$5&lt;=LastHist,U68/INDEX(H_DA,1,U$5)-1,"")</f>
        <v/>
      </c>
      <c r="V70" s="136" t="str">
        <f aca="false">IF(V$5&lt;=LastHist,V68/INDEX(H_DA,1,V$5)-1,"")</f>
        <v/>
      </c>
      <c r="W70" s="136" t="str">
        <f aca="false">IF(W$5&lt;=LastHist,W68/INDEX(H_DA,1,W$5)-1,"")</f>
        <v/>
      </c>
      <c r="X70" s="136" t="str">
        <f aca="false">IF(X$5&lt;=LastHist,X68/INDEX(H_DA,1,X$5)-1,"")</f>
        <v/>
      </c>
      <c r="Y70" s="136" t="str">
        <f aca="false">IF(Y$5&lt;=LastHist,Y68/INDEX(H_DA,1,Y$5)-1,"")</f>
        <v/>
      </c>
      <c r="Z70" s="136" t="str">
        <f aca="false">IF(Z$5&lt;=LastHist,Z68/INDEX(H_DA,1,Z$5)-1,"")</f>
        <v/>
      </c>
      <c r="AA70" s="136" t="str">
        <f aca="false">IF(AA$5&lt;=LastHist,AA68/INDEX(H_DA,1,AA$5)-1,"")</f>
        <v/>
      </c>
      <c r="AB70" s="136" t="str">
        <f aca="false">IF(AB$5&lt;=LastHist,AB68/INDEX(H_DA,1,AB$5)-1,"")</f>
        <v/>
      </c>
      <c r="AC70" s="136" t="str">
        <f aca="false">IF(AC$5&lt;=LastHist,AC68/INDEX(H_DA,1,AC$5)-1,"")</f>
        <v/>
      </c>
      <c r="AD70" s="136" t="str">
        <f aca="false">IF(AD$5&lt;=LastHist,AD68/INDEX(H_DA,1,AD$5)-1,"")</f>
        <v/>
      </c>
      <c r="AE70" s="136" t="str">
        <f aca="false">IF(AE$5&lt;=LastHist,AE68/INDEX(H_DA,1,AE$5)-1,"")</f>
        <v/>
      </c>
      <c r="AF70" s="136" t="str">
        <f aca="false">IF(AF$5&lt;=LastHist,AF68/INDEX(H_DA,1,AF$5)-1,"")</f>
        <v/>
      </c>
      <c r="AG70" s="136" t="str">
        <f aca="false">IF(AG$5&lt;=LastHist,AG68/INDEX(H_DA,1,AG$5)-1,"")</f>
        <v/>
      </c>
    </row>
    <row r="71" customFormat="false" ht="15" hidden="false" customHeight="false" outlineLevel="0" collapsed="false">
      <c r="A71" s="112" t="s">
        <v>2439</v>
      </c>
      <c r="B71" s="24" t="s">
        <v>745</v>
      </c>
      <c r="C71" s="24" t="s">
        <v>683</v>
      </c>
      <c r="D71" s="24"/>
      <c r="F71" s="130" t="n">
        <f aca="false">IF(F$5&lt;=LastHist,0,F42+F47+F52)</f>
        <v>0</v>
      </c>
      <c r="G71" s="130" t="n">
        <f aca="false">IF(G$5&lt;=LastHist,0,G42+G47+G52)</f>
        <v>0</v>
      </c>
      <c r="H71" s="130" t="n">
        <f aca="false">IF(H$5&lt;=LastHist,0,H42+H47+H52)</f>
        <v>0</v>
      </c>
      <c r="I71" s="130" t="n">
        <f aca="false">IF(I$5&lt;=LastHist,0,I42+I47+I52)</f>
        <v>0</v>
      </c>
      <c r="J71" s="130" t="n">
        <f aca="false">IF(J$5&lt;=LastHist,0,J42+J47+J52)</f>
        <v>0</v>
      </c>
      <c r="K71" s="130" t="n">
        <f aca="false">IF(K$5&lt;=LastHist,0,K42+K47+K52)</f>
        <v>0</v>
      </c>
      <c r="L71" s="130" t="n">
        <f aca="false">IF(L$5&lt;=LastHist,0,L42+L47+L52)</f>
        <v>0</v>
      </c>
      <c r="M71" s="130" t="n">
        <f aca="false">IF(M$5&lt;=LastHist,0,M42+M47+M52)</f>
        <v>0</v>
      </c>
      <c r="N71" s="130" t="n">
        <f aca="false">IF(N$5&lt;=LastHist,0,N42+N47+N52)</f>
        <v>0</v>
      </c>
      <c r="O71" s="130" t="n">
        <f aca="false">IF(O$5&lt;=LastHist,0,O42+O47+O52)</f>
        <v>0</v>
      </c>
      <c r="P71" s="131" t="n">
        <f aca="false">IF(P$5&lt;=LastHist,0,P42+P47+P52)</f>
        <v>0</v>
      </c>
      <c r="Q71" s="131" t="n">
        <f aca="false">IF(Q$5&lt;=LastHist,0,Q42+Q47+Q52)</f>
        <v>0</v>
      </c>
      <c r="R71" s="131" t="n">
        <f aca="false">IF(R$5&lt;=LastHist,0,R42+R47+R52)</f>
        <v>0</v>
      </c>
      <c r="S71" s="131" t="n">
        <f aca="false">IF(S$5&lt;=LastHist,0,S42+S47+S52)</f>
        <v>0</v>
      </c>
      <c r="T71" s="131" t="n">
        <f aca="false">IF(T$5&lt;=LastHist,0,T42+T47+T52)</f>
        <v>0</v>
      </c>
      <c r="U71" s="131" t="n">
        <f aca="false">IF(U$5&lt;=LastHist,0,U42+U47+U52)</f>
        <v>0</v>
      </c>
      <c r="V71" s="131" t="n">
        <f aca="false">IF(V$5&lt;=LastHist,0,V42+V47+V52)</f>
        <v>0</v>
      </c>
      <c r="W71" s="131" t="n">
        <f aca="false">IF(W$5&lt;=LastHist,0,W42+W47+W52)</f>
        <v>0</v>
      </c>
      <c r="X71" s="131" t="n">
        <f aca="false">IF(X$5&lt;=LastHist,0,X42+X47+X52)</f>
        <v>0</v>
      </c>
      <c r="Y71" s="131" t="n">
        <f aca="false">IF(Y$5&lt;=LastHist,0,Y42+Y47+Y52)</f>
        <v>0</v>
      </c>
      <c r="Z71" s="131" t="n">
        <f aca="false">IF(Z$5&lt;=LastHist,0,Z42+Z47+Z52)</f>
        <v>0</v>
      </c>
      <c r="AA71" s="131" t="n">
        <f aca="false">IF(AA$5&lt;=LastHist,0,AA42+AA47+AA52)</f>
        <v>0</v>
      </c>
      <c r="AB71" s="131" t="n">
        <f aca="false">IF(AB$5&lt;=LastHist,0,AB42+AB47+AB52)</f>
        <v>0</v>
      </c>
      <c r="AC71" s="131" t="n">
        <f aca="false">IF(AC$5&lt;=LastHist,0,AC42+AC47+AC52)</f>
        <v>0</v>
      </c>
      <c r="AD71" s="131" t="n">
        <f aca="false">IF(AD$5&lt;=LastHist,0,AD42+AD47+AD52)</f>
        <v>0</v>
      </c>
      <c r="AE71" s="131" t="n">
        <f aca="false">IF(AE$5&lt;=LastHist,0,AE42+AE47+AE52)</f>
        <v>0</v>
      </c>
      <c r="AF71" s="131" t="n">
        <f aca="false">IF(AF$5&lt;=LastHist,0,AF42+AF47+AF52)</f>
        <v>0</v>
      </c>
      <c r="AG71" s="131" t="n">
        <f aca="false">IF(AG$5&lt;=LastHist,0,AG42+AG47+AG52)</f>
        <v>0</v>
      </c>
      <c r="AI71" s="131" t="n">
        <f aca="false">SUMIF($F$7:$AG$7,AI$7,$F71:$AG71)</f>
        <v>0</v>
      </c>
      <c r="AJ71" s="131" t="n">
        <f aca="false">SUMIF($F$7:$AG$7,AJ$7,$F71:$AG71)</f>
        <v>0</v>
      </c>
      <c r="AK71" s="131" t="n">
        <f aca="false">SUMIF($F$7:$AG$7,AK$7,$F71:$AG71)</f>
        <v>0</v>
      </c>
      <c r="AL71" s="131" t="n">
        <f aca="false">SUMIF($F$7:$AG$7,AL$7,$F71:$AG71)</f>
        <v>0</v>
      </c>
      <c r="AM71" s="131" t="n">
        <f aca="false">SUMIF($F$7:$AG$7,AM$7,$F71:$AG71)</f>
        <v>0</v>
      </c>
      <c r="AN71" s="131" t="n">
        <f aca="false">SUMIF($F$7:$AG$7,AN$7,$F71:$AG71)</f>
        <v>0</v>
      </c>
      <c r="AO71" s="131" t="n">
        <f aca="false">SUMIF($F$7:$AG$7,AO$7,$F71:$AG71)</f>
        <v>0</v>
      </c>
    </row>
    <row r="72" customFormat="false" ht="15" hidden="false" customHeight="false" outlineLevel="0" collapsed="false">
      <c r="A72" s="112" t="s">
        <v>2440</v>
      </c>
      <c r="B72" s="24" t="s">
        <v>745</v>
      </c>
      <c r="C72" s="24" t="s">
        <v>672</v>
      </c>
      <c r="D72" s="24"/>
      <c r="E72" s="131" t="n">
        <f aca="false">E43</f>
        <v>142.4</v>
      </c>
      <c r="F72" s="130" t="n">
        <f aca="false">F43+F48+F53+SUM($F26:F26)-SUM($F56:F56)+SUM($F27:F27)-SUM($F57:F57)+SUM($F28:F28)-SUM($F58:F58)+SUM($F30:F30)-SUM($F60:F60)</f>
        <v>265.28</v>
      </c>
      <c r="G72" s="130" t="n">
        <f aca="false">G43+G48+G53+SUM($F26:G26)-SUM($F56:G56)+SUM($F27:G27)-SUM($F57:G57)+SUM($F28:G28)-SUM($F58:G58)+SUM($F30:G30)-SUM($F60:G60)</f>
        <v>382.44</v>
      </c>
      <c r="H72" s="130" t="n">
        <f aca="false">H43+H48+H53+SUM($F26:H26)-SUM($F56:H56)+SUM($F27:H27)-SUM($F57:H57)+SUM($F28:H28)-SUM($F58:H58)+SUM($F30:H30)-SUM($F60:H60)</f>
        <v>493.78</v>
      </c>
      <c r="I72" s="130" t="n">
        <f aca="false">I43+I48+I53+SUM($F26:I26)-SUM($F56:I56)+SUM($F27:I27)-SUM($F57:I57)+SUM($F28:I28)-SUM($F58:I58)+SUM($F30:I30)-SUM($F60:I60)</f>
        <v>887.1044</v>
      </c>
      <c r="J72" s="130" t="n">
        <f aca="false">J43+J48+J53+SUM($F26:J26)-SUM($F56:J56)+SUM($F27:J27)-SUM($F57:J57)+SUM($F28:J28)-SUM($F58:J58)+SUM($F30:J30)-SUM($F60:J60)</f>
        <v>1388.4544</v>
      </c>
      <c r="K72" s="130" t="n">
        <f aca="false">K43+K48+K53+SUM($F26:K26)-SUM($F56:K56)+SUM($F27:K27)-SUM($F57:K57)+SUM($F28:K28)-SUM($F58:K58)+SUM($F30:K30)-SUM($F60:K60)</f>
        <v>1832.4684</v>
      </c>
      <c r="L72" s="130" t="n">
        <f aca="false">L43+L48+L53+SUM($F26:L26)-SUM($F56:L56)+SUM($F27:L27)-SUM($F57:L57)+SUM($F28:L28)-SUM($F58:L58)+SUM($F30:L30)-SUM($F60:L60)</f>
        <v>2698.916</v>
      </c>
      <c r="M72" s="130" t="n">
        <f aca="false">M43+M48+M53+SUM($F26:M26)-SUM($F56:M56)+SUM($F27:M27)-SUM($F57:M57)+SUM($F28:M28)-SUM($F58:M58)+SUM($F30:M30)-SUM($F60:M60)</f>
        <v>4623.8216</v>
      </c>
      <c r="N72" s="130" t="n">
        <f aca="false">N43+N48+N53+SUM($F26:N26)-SUM($F56:N56)+SUM($F27:N27)-SUM($F57:N57)+SUM($F28:N28)-SUM($F58:N58)+SUM($F30:N30)-SUM($F60:N60)</f>
        <v>6875.1632</v>
      </c>
      <c r="O72" s="130" t="n">
        <f aca="false">O43+O48+O53+SUM($F26:O26)-SUM($F56:O56)+SUM($F27:O27)-SUM($F57:O57)+SUM($F28:O28)-SUM($F58:O58)+SUM($F30:O30)-SUM($F60:O60)</f>
        <v>12202.1972</v>
      </c>
      <c r="P72" s="131" t="n">
        <f aca="false">P43+P48+P53+SUM($F26:P26)-SUM($F56:P56)+SUM($F27:P27)-SUM($F57:P57)+SUM($F28:P28)-SUM($F58:P58)+SUM($F30:P30)-SUM($F60:P60)</f>
        <v>14805.6423031536</v>
      </c>
      <c r="Q72" s="131" t="n">
        <f aca="false">Q43+Q48+Q53+SUM($F26:Q26)-SUM($F56:Q56)+SUM($F27:Q27)-SUM($F57:Q57)+SUM($F28:Q28)-SUM($F58:Q58)+SUM($F30:Q30)-SUM($F60:Q60)</f>
        <v>20059.8254869238</v>
      </c>
      <c r="R72" s="131" t="n">
        <f aca="false">R43+R48+R53+SUM($F26:R26)-SUM($F56:R56)+SUM($F27:R27)-SUM($F57:R57)+SUM($F28:R28)-SUM($F58:R58)+SUM($F30:R30)-SUM($F60:R60)</f>
        <v>26775.3813852328</v>
      </c>
      <c r="S72" s="131" t="n">
        <f aca="false">S43+S48+S53+SUM($F26:S26)-SUM($F56:S56)+SUM($F27:S27)-SUM($F57:S57)+SUM($F28:S28)-SUM($F58:S58)+SUM($F30:S30)-SUM($F60:S60)</f>
        <v>34647.9574347623</v>
      </c>
      <c r="T72" s="131" t="n">
        <f aca="false">T43+T48+T53+SUM($F26:T26)-SUM($F56:T56)+SUM($F27:T27)-SUM($F57:T57)+SUM($F28:T28)-SUM($F58:T58)+SUM($F30:T30)-SUM($F60:T60)</f>
        <v>44698.8767703726</v>
      </c>
      <c r="U72" s="131" t="n">
        <f aca="false">U43+U48+U53+SUM($F26:U26)-SUM($F56:U56)+SUM($F27:U27)-SUM($F57:U57)+SUM($F28:U28)-SUM($F58:U58)+SUM($F30:U30)-SUM($F60:U60)</f>
        <v>48573.8774455336</v>
      </c>
      <c r="V72" s="131" t="n">
        <f aca="false">V43+V48+V53+SUM($F26:V26)-SUM($F56:V56)+SUM($F27:V27)-SUM($F57:V57)+SUM($F28:V28)-SUM($F58:V58)+SUM($F30:V30)-SUM($F60:V60)</f>
        <v>52507.2759107209</v>
      </c>
      <c r="W72" s="131" t="n">
        <f aca="false">W43+W48+W53+SUM($F26:W26)-SUM($F56:W56)+SUM($F27:W27)-SUM($F57:W57)+SUM($F28:W28)-SUM($F58:W58)+SUM($F30:W30)-SUM($F60:W60)</f>
        <v>53920.7807766947</v>
      </c>
      <c r="X72" s="131" t="n">
        <f aca="false">X43+X48+X53+SUM($F26:X26)-SUM($F56:X56)+SUM($F27:X27)-SUM($F57:X57)+SUM($F28:X28)-SUM($F58:X58)+SUM($F30:X30)-SUM($F60:X60)</f>
        <v>63615.711782577</v>
      </c>
      <c r="Y72" s="131" t="n">
        <f aca="false">Y43+Y48+Y53+SUM($F26:Y26)-SUM($F56:Y56)+SUM($F27:Y27)-SUM($F57:Y57)+SUM($F28:Y28)-SUM($F58:Y58)+SUM($F30:Y30)-SUM($F60:Y60)</f>
        <v>64818.1599514522</v>
      </c>
      <c r="Z72" s="131" t="n">
        <f aca="false">Z43+Z48+Z53+SUM($F26:Z26)-SUM($F56:Z56)+SUM($F27:Z27)-SUM($F57:Z57)+SUM($F28:Z28)-SUM($F58:Z58)+SUM($F30:Z30)-SUM($F60:Z60)</f>
        <v>73955.6623357948</v>
      </c>
      <c r="AA72" s="131" t="n">
        <f aca="false">AA43+AA48+AA53+SUM($F26:AA26)-SUM($F56:AA56)+SUM($F27:AA27)-SUM($F57:AA57)+SUM($F28:AA28)-SUM($F58:AA58)+SUM($F30:AA30)-SUM($F60:AA60)</f>
        <v>76113.0415048729</v>
      </c>
      <c r="AB72" s="131" t="n">
        <f aca="false">AB43+AB48+AB53+SUM($F26:AB26)-SUM($F56:AB56)+SUM($F27:AB27)-SUM($F57:AB57)+SUM($F28:AB28)-SUM($F58:AB58)+SUM($F30:AB30)-SUM($F60:AB60)</f>
        <v>89950.9235518692</v>
      </c>
      <c r="AC72" s="131" t="n">
        <f aca="false">AC43+AC48+AC53+SUM($F26:AC26)-SUM($F56:AC56)+SUM($F27:AC27)-SUM($F57:AC57)+SUM($F28:AC28)-SUM($F58:AC58)+SUM($F30:AC30)-SUM($F60:AC60)</f>
        <v>86040.4703637602</v>
      </c>
      <c r="AD72" s="131" t="n">
        <f aca="false">AD43+AD48+AD53+SUM($F26:AD26)-SUM($F56:AD56)+SUM($F27:AD27)-SUM($F57:AD57)+SUM($F28:AD28)-SUM($F58:AD58)+SUM($F30:AD30)-SUM($F60:AD60)</f>
        <v>81348.6074810333</v>
      </c>
      <c r="AE72" s="131" t="n">
        <f aca="false">AE43+AE48+AE53+SUM($F26:AE26)-SUM($F56:AE56)+SUM($F27:AE27)-SUM($F57:AE57)+SUM($F28:AE28)-SUM($F58:AE58)+SUM($F30:AE30)-SUM($F60:AE60)</f>
        <v>76640.4073593739</v>
      </c>
      <c r="AF72" s="131" t="n">
        <f aca="false">AF43+AF48+AF53+SUM($F26:AF26)-SUM($F56:AF56)+SUM($F27:AF27)-SUM($F57:AF57)+SUM($F28:AF28)-SUM($F58:AF58)+SUM($F30:AF30)-SUM($F60:AF60)</f>
        <v>72276.9586287881</v>
      </c>
      <c r="AG72" s="131" t="n">
        <f aca="false">AG43+AG48+AG53+SUM($F26:AG26)-SUM($F56:AG56)+SUM($F27:AG27)-SUM($F57:AG57)+SUM($F28:AG28)-SUM($F58:AG58)+SUM($F30:AG30)-SUM($F60:AG60)</f>
        <v>68785.7478106078</v>
      </c>
      <c r="AI72" s="131" t="n">
        <f aca="false">INDEX($F72:$AG72,1,MATCH(AI$7,$F$7:$AG$7,1))</f>
        <v>887.1044</v>
      </c>
      <c r="AJ72" s="131" t="n">
        <f aca="false">INDEX($F72:$AG72,1,MATCH(AJ$7,$F$7:$AG$7,1))</f>
        <v>4623.8216</v>
      </c>
      <c r="AK72" s="131" t="n">
        <f aca="false">INDEX($F72:$AG72,1,MATCH(AK$7,$F$7:$AG$7,1))</f>
        <v>20059.8254869238</v>
      </c>
      <c r="AL72" s="131" t="n">
        <f aca="false">INDEX($F72:$AG72,1,MATCH(AL$7,$F$7:$AG$7,1))</f>
        <v>48573.8774455336</v>
      </c>
      <c r="AM72" s="131" t="n">
        <f aca="false">INDEX($F72:$AG72,1,MATCH(AM$7,$F$7:$AG$7,1))</f>
        <v>64818.1599514522</v>
      </c>
      <c r="AN72" s="131" t="n">
        <f aca="false">INDEX($F72:$AG72,1,MATCH(AN$7,$F$7:$AG$7,1))</f>
        <v>86040.4703637602</v>
      </c>
      <c r="AO72" s="131" t="n">
        <f aca="false">INDEX($F72:$AG72,1,MATCH(AO$7,$F$7:$AG$7,1))</f>
        <v>68785.7478106078</v>
      </c>
    </row>
    <row r="74" customFormat="false" ht="15" hidden="false" customHeight="false" outlineLevel="0" collapsed="false">
      <c r="A74" s="64" t="s">
        <v>2441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customFormat="false" ht="15" hidden="false" customHeight="false" outlineLevel="0" collapsed="false">
      <c r="A75" s="112" t="s">
        <v>2442</v>
      </c>
      <c r="B75" s="24" t="s">
        <v>745</v>
      </c>
      <c r="C75" s="24" t="s">
        <v>672</v>
      </c>
      <c r="D75" s="24"/>
      <c r="F75" s="130" t="n">
        <f aca="false">INDEX(Capex,1,1)+INDEX(CapInt,1,1)</f>
        <v>130</v>
      </c>
      <c r="G75" s="130" t="n">
        <f aca="false">INDEX(Capex,1,2)+INDEX(CapInt,1,2)</f>
        <v>130</v>
      </c>
      <c r="H75" s="130" t="n">
        <f aca="false">INDEX(Capex,1,3)+INDEX(CapInt,1,3)</f>
        <v>129.9</v>
      </c>
      <c r="I75" s="130" t="n">
        <f aca="false">INDEX(Capex,1,4)+INDEX(CapInt,1,4)</f>
        <v>417.6</v>
      </c>
      <c r="J75" s="130" t="n">
        <f aca="false">INDEX(Capex,1,5)+INDEX(CapInt,1,5)</f>
        <v>544</v>
      </c>
      <c r="K75" s="130" t="n">
        <f aca="false">INDEX(Capex,1,6)+INDEX(CapInt,1,6)</f>
        <v>510.6</v>
      </c>
      <c r="L75" s="130" t="n">
        <f aca="false">INDEX(Capex,1,7)+INDEX(CapInt,1,7)</f>
        <v>955.5</v>
      </c>
      <c r="M75" s="130" t="n">
        <f aca="false">INDEX(Capex,1,8)+INDEX(CapInt,1,8)</f>
        <v>2056</v>
      </c>
      <c r="N75" s="130" t="n">
        <f aca="false">INDEX(Capex,1,9)+INDEX(CapInt,1,9)</f>
        <v>2488.6</v>
      </c>
      <c r="O75" s="130" t="n">
        <f aca="false">INDEX(Capex,1,10)+INDEX(CapInt,1,10)</f>
        <v>5697.6</v>
      </c>
      <c r="P75" s="131" t="n">
        <f aca="false">INDEX(Capex,1,11)+INDEX(CapInt,1,11)</f>
        <v>3474.91847944214</v>
      </c>
      <c r="Q75" s="131" t="n">
        <f aca="false">INDEX(Capex,1,12)+INDEX(CapInt,1,12)</f>
        <v>6139.85732646643</v>
      </c>
      <c r="R75" s="131" t="n">
        <f aca="false">INDEX(Capex,1,13)+INDEX(CapInt,1,13)</f>
        <v>7725.64384433723</v>
      </c>
      <c r="S75" s="131" t="n">
        <f aca="false">INDEX(Capex,1,14)+INDEX(CapInt,1,14)</f>
        <v>9172.75689119243</v>
      </c>
      <c r="T75" s="131" t="n">
        <f aca="false">INDEX(Capex,1,15)+INDEX(CapInt,1,15)</f>
        <v>11562.988214239</v>
      </c>
      <c r="U75" s="131" t="n">
        <f aca="false">INDEX(Capex,1,16)+INDEX(CapInt,1,16)</f>
        <v>5757.62029768724</v>
      </c>
      <c r="V75" s="131" t="n">
        <f aca="false">INDEX(Capex,1,17)+INDEX(CapInt,1,17)</f>
        <v>6379.28714203365</v>
      </c>
      <c r="W75" s="131" t="n">
        <f aca="false">INDEX(Capex,1,18)+INDEX(CapInt,1,18)</f>
        <v>4140.63172060737</v>
      </c>
      <c r="X75" s="131" t="n">
        <f aca="false">INDEX(Capex,1,19)+INDEX(CapInt,1,19)</f>
        <v>12660.6490275444</v>
      </c>
      <c r="Y75" s="131" t="n">
        <f aca="false">INDEX(Capex,1,20)+INDEX(CapInt,1,20)</f>
        <v>4269.60851260013</v>
      </c>
      <c r="Z75" s="131" t="n">
        <f aca="false">INDEX(Capex,1,21)+INDEX(CapInt,1,21)</f>
        <v>12831.8011871957</v>
      </c>
      <c r="AA75" s="131" t="n">
        <f aca="false">INDEX(Capex,1,22)+INDEX(CapInt,1,22)</f>
        <v>5940.17219870308</v>
      </c>
      <c r="AB75" s="131" t="n">
        <f aca="false">INDEX(Capex,1,23)+INDEX(CapInt,1,23)</f>
        <v>18251.5172394215</v>
      </c>
      <c r="AC75" s="131" t="n">
        <f aca="false">INDEX(Capex,1,24)+INDEX(CapInt,1,24)</f>
        <v>629.336596027154</v>
      </c>
      <c r="AD75" s="131" t="n">
        <f aca="false">INDEX(Capex,1,25)+INDEX(CapInt,1,25)</f>
        <v>738.90668201412</v>
      </c>
      <c r="AE75" s="131" t="n">
        <f aca="false">INDEX(Capex,1,26)+INDEX(CapInt,1,26)</f>
        <v>732.060874150371</v>
      </c>
      <c r="AF75" s="131" t="n">
        <f aca="false">INDEX(Capex,1,27)+INDEX(CapInt,1,27)</f>
        <v>1069.31839239712</v>
      </c>
      <c r="AG75" s="131" t="n">
        <f aca="false">INDEX(Capex,1,28)+INDEX(CapInt,1,28)</f>
        <v>1952.00727206573</v>
      </c>
      <c r="AI75" s="131" t="n">
        <f aca="false">SUMIF($F$7:$AG$7,AI$7,$F75:$AG75)</f>
        <v>807.5</v>
      </c>
      <c r="AJ75" s="131" t="n">
        <f aca="false">SUMIF($F$7:$AG$7,AJ$7,$F75:$AG75)</f>
        <v>4066.1</v>
      </c>
      <c r="AK75" s="131" t="n">
        <f aca="false">SUMIF($F$7:$AG$7,AK$7,$F75:$AG75)</f>
        <v>17800.9758059086</v>
      </c>
      <c r="AL75" s="131" t="n">
        <f aca="false">SUMIF($F$7:$AG$7,AL$7,$F75:$AG75)</f>
        <v>34219.0092474559</v>
      </c>
      <c r="AM75" s="131" t="n">
        <f aca="false">SUMIF($F$7:$AG$7,AM$7,$F75:$AG75)</f>
        <v>27450.1764027856</v>
      </c>
      <c r="AN75" s="131" t="n">
        <f aca="false">SUMIF($F$7:$AG$7,AN$7,$F75:$AG75)</f>
        <v>37652.8272213474</v>
      </c>
      <c r="AO75" s="131" t="n">
        <f aca="false">SUMIF($F$7:$AG$7,AO$7,$F75:$AG75)</f>
        <v>4492.29322062734</v>
      </c>
    </row>
    <row r="76" customFormat="false" ht="15" hidden="false" customHeight="false" outlineLevel="0" collapsed="false">
      <c r="A76" s="112" t="s">
        <v>2443</v>
      </c>
      <c r="B76" s="24" t="s">
        <v>745</v>
      </c>
      <c r="C76" s="24" t="s">
        <v>2291</v>
      </c>
      <c r="D76" s="24" t="s">
        <v>2444</v>
      </c>
      <c r="F76" s="130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30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30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30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30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30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30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30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30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30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31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31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31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31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31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31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31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31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31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31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31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31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31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31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31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31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31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31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31" t="n">
        <f aca="false">SUMIF($F$7:$AG$7,AI$7,$F76:$AG76)</f>
        <v>0</v>
      </c>
      <c r="AJ76" s="131" t="n">
        <f aca="false">SUMIF($F$7:$AG$7,AJ$7,$F76:$AG76)</f>
        <v>0</v>
      </c>
      <c r="AK76" s="131" t="n">
        <f aca="false">SUMIF($F$7:$AG$7,AK$7,$F76:$AG76)</f>
        <v>10376.6</v>
      </c>
      <c r="AL76" s="131" t="n">
        <f aca="false">SUMIF($F$7:$AG$7,AL$7,$F76:$AG76)</f>
        <v>23038.0196502458</v>
      </c>
      <c r="AM76" s="131" t="n">
        <f aca="false">SUMIF($F$7:$AG$7,AM$7,$F76:$AG76)</f>
        <v>32872.6525451524</v>
      </c>
      <c r="AN76" s="131" t="n">
        <f aca="false">SUMIF($F$7:$AG$7,AN$7,$F76:$AG76)</f>
        <v>33902.6904479476</v>
      </c>
      <c r="AO76" s="131" t="n">
        <f aca="false">SUMIF($F$7:$AG$7,AO$7,$F76:$AG76)</f>
        <v>25559.9327161658</v>
      </c>
    </row>
    <row r="77" customFormat="false" ht="15" hidden="false" customHeight="false" outlineLevel="0" collapsed="false">
      <c r="A77" s="112" t="s">
        <v>2445</v>
      </c>
      <c r="B77" s="24" t="s">
        <v>745</v>
      </c>
      <c r="C77" s="24" t="s">
        <v>2291</v>
      </c>
      <c r="D77" s="24" t="s">
        <v>2446</v>
      </c>
      <c r="F77" s="130" t="n">
        <f aca="false">IF(F$5&lt;=LastHist,INDEX(H_CIP,1,F$5),E77+F75-F76)</f>
        <v>0</v>
      </c>
      <c r="G77" s="130" t="n">
        <f aca="false">IF(G$5&lt;=LastHist,INDEX(H_CIP,1,G$5),F77+G75-G76)</f>
        <v>0</v>
      </c>
      <c r="H77" s="130" t="n">
        <f aca="false">IF(H$5&lt;=LastHist,INDEX(H_CIP,1,H$5),G77+H75-H76)</f>
        <v>0</v>
      </c>
      <c r="I77" s="130" t="n">
        <f aca="false">IF(I$5&lt;=LastHist,INDEX(H_CIP,1,I$5),H77+I75-I76)</f>
        <v>0</v>
      </c>
      <c r="J77" s="130" t="n">
        <f aca="false">IF(J$5&lt;=LastHist,INDEX(H_CIP,1,J$5),I77+J75-J76)</f>
        <v>0</v>
      </c>
      <c r="K77" s="130" t="n">
        <f aca="false">IF(K$5&lt;=LastHist,INDEX(H_CIP,1,K$5),J77+K75-K76)</f>
        <v>0</v>
      </c>
      <c r="L77" s="130" t="n">
        <f aca="false">IF(L$5&lt;=LastHist,INDEX(H_CIP,1,L$5),K77+L75-L76)</f>
        <v>0</v>
      </c>
      <c r="M77" s="130" t="n">
        <f aca="false">IF(M$5&lt;=LastHist,INDEX(H_CIP,1,M$5),L77+M75-M76)</f>
        <v>2417.4</v>
      </c>
      <c r="N77" s="130" t="n">
        <f aca="false">IF(N$5&lt;=LastHist,INDEX(H_CIP,1,N$5),M77+N75-N76)</f>
        <v>2427.9</v>
      </c>
      <c r="O77" s="130" t="n">
        <f aca="false">IF(O$5&lt;=LastHist,INDEX(H_CIP,1,O$5),N77+O75-O76)</f>
        <v>7836.4</v>
      </c>
      <c r="P77" s="131" t="n">
        <f aca="false">IF(P$5&lt;=LastHist,INDEX(H_CIP,1,P$5),O77+P75-P76)</f>
        <v>6609.47847944214</v>
      </c>
      <c r="Q77" s="131" t="n">
        <f aca="false">IF(Q$5&lt;=LastHist,INDEX(H_CIP,1,Q$5),P77+Q75-Q76)</f>
        <v>9614.77580590857</v>
      </c>
      <c r="R77" s="131" t="n">
        <f aca="false">IF(R$5&lt;=LastHist,INDEX(H_CIP,1,R$5),Q77+R75-R76)</f>
        <v>11642.8196502458</v>
      </c>
      <c r="S77" s="131" t="n">
        <f aca="false">IF(S$5&lt;=LastHist,INDEX(H_CIP,1,S$5),R77+S75-S76)</f>
        <v>17340.6580619961</v>
      </c>
      <c r="T77" s="131" t="n">
        <f aca="false">IF(T$5&lt;=LastHist,INDEX(H_CIP,1,T$5),S77+T75-T76)</f>
        <v>22763.7889497687</v>
      </c>
      <c r="U77" s="131" t="n">
        <f aca="false">IF(U$5&lt;=LastHist,INDEX(H_CIP,1,U$5),T77+U75-U76)</f>
        <v>20795.7654031187</v>
      </c>
      <c r="V77" s="131" t="n">
        <f aca="false">IF(V$5&lt;=LastHist,INDEX(H_CIP,1,V$5),U77+V75-V76)</f>
        <v>18002.2956539599</v>
      </c>
      <c r="W77" s="131" t="n">
        <f aca="false">IF(W$5&lt;=LastHist,INDEX(H_CIP,1,W$5),V77+W75-W76)</f>
        <v>10579.9391603283</v>
      </c>
      <c r="X77" s="131" t="n">
        <f aca="false">IF(X$5&lt;=LastHist,INDEX(H_CIP,1,X$5),W77+X75-X76)</f>
        <v>17482.9678901854</v>
      </c>
      <c r="Y77" s="131" t="n">
        <f aca="false">IF(Y$5&lt;=LastHist,INDEX(H_CIP,1,Y$5),X77+Y75-Y76)</f>
        <v>15373.2892607519</v>
      </c>
      <c r="Z77" s="131" t="n">
        <f aca="false">IF(Z$5&lt;=LastHist,INDEX(H_CIP,1,Z$5),Y77+Z75-Z76)</f>
        <v>24064.4587273402</v>
      </c>
      <c r="AA77" s="131" t="n">
        <f aca="false">IF(AA$5&lt;=LastHist,INDEX(H_CIP,1,AA$5),Z77+AA75-AA76)</f>
        <v>17343.9818984989</v>
      </c>
      <c r="AB77" s="131" t="n">
        <f aca="false">IF(AB$5&lt;=LastHist,INDEX(H_CIP,1,AB$5),AA77+AB75-AB76)</f>
        <v>31325.8906253202</v>
      </c>
      <c r="AC77" s="131" t="n">
        <f aca="false">IF(AC$5&lt;=LastHist,INDEX(H_CIP,1,AC$5),AB77+AC75-AC76)</f>
        <v>19123.4260341517</v>
      </c>
      <c r="AD77" s="131" t="n">
        <f aca="false">IF(AD$5&lt;=LastHist,INDEX(H_CIP,1,AD$5),AC77+AD75-AD76)</f>
        <v>13922.1605174627</v>
      </c>
      <c r="AE77" s="131" t="n">
        <f aca="false">IF(AE$5&lt;=LastHist,INDEX(H_CIP,1,AE$5),AD77+AE75-AE76)</f>
        <v>-3597.29584780836</v>
      </c>
      <c r="AF77" s="131" t="n">
        <f aca="false">IF(AF$5&lt;=LastHist,INDEX(H_CIP,1,AF$5),AE77+AF75-AF76)</f>
        <v>-3157.31405143839</v>
      </c>
      <c r="AG77" s="131" t="n">
        <f aca="false">IF(AG$5&lt;=LastHist,INDEX(H_CIP,1,AG$5),AF77+AG75-AG76)</f>
        <v>-1944.21346138679</v>
      </c>
      <c r="AI77" s="131" t="n">
        <f aca="false">INDEX($F77:$AG77,1,MATCH(AI$7,$F$7:$AG$7,1))</f>
        <v>0</v>
      </c>
      <c r="AJ77" s="131" t="n">
        <f aca="false">INDEX($F77:$AG77,1,MATCH(AJ$7,$F$7:$AG$7,1))</f>
        <v>2417.4</v>
      </c>
      <c r="AK77" s="131" t="n">
        <f aca="false">INDEX($F77:$AG77,1,MATCH(AK$7,$F$7:$AG$7,1))</f>
        <v>9614.77580590857</v>
      </c>
      <c r="AL77" s="131" t="n">
        <f aca="false">INDEX($F77:$AG77,1,MATCH(AL$7,$F$7:$AG$7,1))</f>
        <v>20795.7654031187</v>
      </c>
      <c r="AM77" s="131" t="n">
        <f aca="false">INDEX($F77:$AG77,1,MATCH(AM$7,$F$7:$AG$7,1))</f>
        <v>15373.2892607519</v>
      </c>
      <c r="AN77" s="131" t="n">
        <f aca="false">INDEX($F77:$AG77,1,MATCH(AN$7,$F$7:$AG$7,1))</f>
        <v>19123.4260341517</v>
      </c>
      <c r="AO77" s="131" t="n">
        <f aca="false">INDEX($F77:$AG77,1,MATCH(AO$7,$F$7:$AG$7,1))</f>
        <v>-1944.21346138679</v>
      </c>
    </row>
    <row r="78" customFormat="false" ht="15" hidden="false" customHeight="false" outlineLevel="0" collapsed="false">
      <c r="A78" s="112" t="s">
        <v>2447</v>
      </c>
      <c r="B78" s="24" t="s">
        <v>745</v>
      </c>
      <c r="C78" s="24" t="s">
        <v>2291</v>
      </c>
      <c r="D78" s="24" t="s">
        <v>2448</v>
      </c>
      <c r="F78" s="130" t="n">
        <f aca="false">IF(F$5&lt;=LastHist,INDEX(H_ISG,1,F$5),E78+F76)</f>
        <v>0</v>
      </c>
      <c r="G78" s="130" t="n">
        <f aca="false">IF(G$5&lt;=LastHist,INDEX(H_ISG,1,G$5),F78+G76)</f>
        <v>0</v>
      </c>
      <c r="H78" s="130" t="n">
        <f aca="false">IF(H$5&lt;=LastHist,INDEX(H_ISG,1,H$5),G78+H76)</f>
        <v>0</v>
      </c>
      <c r="I78" s="130" t="n">
        <f aca="false">IF(I$5&lt;=LastHist,INDEX(H_ISG,1,I$5),H78+I76)</f>
        <v>0</v>
      </c>
      <c r="J78" s="130" t="n">
        <f aca="false">IF(J$5&lt;=LastHist,INDEX(H_ISG,1,J$5),I78+J76)</f>
        <v>0</v>
      </c>
      <c r="K78" s="130" t="n">
        <f aca="false">IF(K$5&lt;=LastHist,INDEX(H_ISG,1,K$5),J78+K76)</f>
        <v>0</v>
      </c>
      <c r="L78" s="130" t="n">
        <f aca="false">IF(L$5&lt;=LastHist,INDEX(H_ISG,1,L$5),K78+L76)</f>
        <v>0</v>
      </c>
      <c r="M78" s="130" t="n">
        <f aca="false">IF(M$5&lt;=LastHist,INDEX(H_ISG,1,M$5),L78+M76)</f>
        <v>3772.9</v>
      </c>
      <c r="N78" s="130" t="n">
        <f aca="false">IF(N$5&lt;=LastHist,INDEX(H_ISG,1,N$5),M78+N76)</f>
        <v>5548.7</v>
      </c>
      <c r="O78" s="130" t="n">
        <f aca="false">IF(O$5&lt;=LastHist,INDEX(H_ISG,1,O$5),N78+O76)</f>
        <v>6313.1</v>
      </c>
      <c r="P78" s="131" t="n">
        <f aca="false">IF(P$5&lt;=LastHist,INDEX(H_ISG,1,P$5),O78+P76)</f>
        <v>11014.94</v>
      </c>
      <c r="Q78" s="131" t="n">
        <f aca="false">IF(Q$5&lt;=LastHist,INDEX(H_ISG,1,Q$5),P78+Q76)</f>
        <v>14149.5</v>
      </c>
      <c r="R78" s="131" t="n">
        <f aca="false">IF(R$5&lt;=LastHist,INDEX(H_ISG,1,R$5),Q78+R76)</f>
        <v>19847.1</v>
      </c>
      <c r="S78" s="131" t="n">
        <f aca="false">IF(S$5&lt;=LastHist,INDEX(H_ISG,1,S$5),R78+S76)</f>
        <v>23322.0184794421</v>
      </c>
      <c r="T78" s="131" t="n">
        <f aca="false">IF(T$5&lt;=LastHist,INDEX(H_ISG,1,T$5),S78+T76)</f>
        <v>29461.8758059086</v>
      </c>
      <c r="U78" s="131" t="n">
        <f aca="false">IF(U$5&lt;=LastHist,INDEX(H_ISG,1,U$5),T78+U76)</f>
        <v>37187.5196502458</v>
      </c>
      <c r="V78" s="131" t="n">
        <f aca="false">IF(V$5&lt;=LastHist,INDEX(H_ISG,1,V$5),U78+V76)</f>
        <v>46360.2765414382</v>
      </c>
      <c r="W78" s="131" t="n">
        <f aca="false">IF(W$5&lt;=LastHist,INDEX(H_ISG,1,W$5),V78+W76)</f>
        <v>57923.2647556773</v>
      </c>
      <c r="X78" s="131" t="n">
        <f aca="false">IF(X$5&lt;=LastHist,INDEX(H_ISG,1,X$5),W78+X76)</f>
        <v>63680.8850533645</v>
      </c>
      <c r="Y78" s="131" t="n">
        <f aca="false">IF(Y$5&lt;=LastHist,INDEX(H_ISG,1,Y$5),X78+Y76)</f>
        <v>70060.1721953982</v>
      </c>
      <c r="Z78" s="131" t="n">
        <f aca="false">IF(Z$5&lt;=LastHist,INDEX(H_ISG,1,Z$5),Y78+Z76)</f>
        <v>74200.8039160055</v>
      </c>
      <c r="AA78" s="131" t="n">
        <f aca="false">IF(AA$5&lt;=LastHist,INDEX(H_ISG,1,AA$5),Z78+AA76)</f>
        <v>86861.4529435499</v>
      </c>
      <c r="AB78" s="131" t="n">
        <f aca="false">IF(AB$5&lt;=LastHist,INDEX(H_ISG,1,AB$5),AA78+AB76)</f>
        <v>91131.0614561501</v>
      </c>
      <c r="AC78" s="131" t="n">
        <f aca="false">IF(AC$5&lt;=LastHist,INDEX(H_ISG,1,AC$5),AB78+AC76)</f>
        <v>103962.862643346</v>
      </c>
      <c r="AD78" s="131" t="n">
        <f aca="false">IF(AD$5&lt;=LastHist,INDEX(H_ISG,1,AD$5),AC78+AD76)</f>
        <v>109903.034842049</v>
      </c>
      <c r="AE78" s="131" t="n">
        <f aca="false">IF(AE$5&lt;=LastHist,INDEX(H_ISG,1,AE$5),AD78+AE76)</f>
        <v>128154.55208147</v>
      </c>
      <c r="AF78" s="131" t="n">
        <f aca="false">IF(AF$5&lt;=LastHist,INDEX(H_ISG,1,AF$5),AE78+AF76)</f>
        <v>128783.888677497</v>
      </c>
      <c r="AG78" s="131" t="n">
        <f aca="false">IF(AG$5&lt;=LastHist,INDEX(H_ISG,1,AG$5),AF78+AG76)</f>
        <v>129522.795359512</v>
      </c>
      <c r="AI78" s="131" t="n">
        <f aca="false">INDEX($F78:$AG78,1,MATCH(AI$7,$F$7:$AG$7,1))</f>
        <v>0</v>
      </c>
      <c r="AJ78" s="131" t="n">
        <f aca="false">INDEX($F78:$AG78,1,MATCH(AJ$7,$F$7:$AG$7,1))</f>
        <v>3772.9</v>
      </c>
      <c r="AK78" s="131" t="n">
        <f aca="false">INDEX($F78:$AG78,1,MATCH(AK$7,$F$7:$AG$7,1))</f>
        <v>14149.5</v>
      </c>
      <c r="AL78" s="131" t="n">
        <f aca="false">INDEX($F78:$AG78,1,MATCH(AL$7,$F$7:$AG$7,1))</f>
        <v>37187.5196502458</v>
      </c>
      <c r="AM78" s="131" t="n">
        <f aca="false">INDEX($F78:$AG78,1,MATCH(AM$7,$F$7:$AG$7,1))</f>
        <v>70060.1721953982</v>
      </c>
      <c r="AN78" s="131" t="n">
        <f aca="false">INDEX($F78:$AG78,1,MATCH(AN$7,$F$7:$AG$7,1))</f>
        <v>103962.862643346</v>
      </c>
      <c r="AO78" s="131" t="n">
        <f aca="false">INDEX($F78:$AG78,1,MATCH(AO$7,$F$7:$AG$7,1))</f>
        <v>129522.795359512</v>
      </c>
    </row>
    <row r="79" customFormat="false" ht="15" hidden="false" customHeight="false" outlineLevel="0" collapsed="false">
      <c r="A79" s="112" t="s">
        <v>2449</v>
      </c>
      <c r="B79" s="24" t="s">
        <v>745</v>
      </c>
      <c r="C79" s="24" t="s">
        <v>2291</v>
      </c>
      <c r="D79" s="24" t="s">
        <v>2450</v>
      </c>
      <c r="F79" s="130" t="n">
        <f aca="false">IF(F$5&lt;=LastHist,INDEX(H_PPDep,1,F$5),F68-OtherDA)</f>
        <v>8.9</v>
      </c>
      <c r="G79" s="130" t="n">
        <f aca="false">IF(G$5&lt;=LastHist,INDEX(H_PPDep,1,G$5),G68-OtherDA)</f>
        <v>11.4</v>
      </c>
      <c r="H79" s="130" t="n">
        <f aca="false">IF(H$5&lt;=LastHist,INDEX(H_PPDep,1,H$5),H68-OtherDA)</f>
        <v>23.5</v>
      </c>
      <c r="I79" s="130" t="n">
        <f aca="false">IF(I$5&lt;=LastHist,INDEX(H_PPDep,1,I$5),I68-OtherDA)</f>
        <v>33.3</v>
      </c>
      <c r="J79" s="130" t="n">
        <f aca="false">IF(J$5&lt;=LastHist,INDEX(H_PPDep,1,J$5),J68-OtherDA)</f>
        <v>49.1</v>
      </c>
      <c r="K79" s="130" t="n">
        <f aca="false">IF(K$5&lt;=LastHist,INDEX(H_PPDep,1,K$5),K68-OtherDA)</f>
        <v>75.2</v>
      </c>
      <c r="L79" s="130" t="n">
        <f aca="false">IF(L$5&lt;=LastHist,INDEX(H_PPDep,1,L$5),L68-OtherDA)</f>
        <v>99</v>
      </c>
      <c r="M79" s="130" t="n">
        <f aca="false">IF(M$5&lt;=LastHist,INDEX(H_PPDep,1,M$5),M68-OtherDA)</f>
        <v>180.7</v>
      </c>
      <c r="N79" s="130" t="n">
        <f aca="false">IF(N$5&lt;=LastHist,INDEX(H_PPDep,1,N$5),N68-OtherDA)</f>
        <v>208.8</v>
      </c>
      <c r="O79" s="130" t="n">
        <f aca="false">IF(O$5&lt;=LastHist,INDEX(H_PPDep,1,O$5),O68-OtherDA)</f>
        <v>253.8</v>
      </c>
      <c r="P79" s="131" t="n">
        <f aca="false">IF(P$5&lt;=LastHist,INDEX(H_PPDep,1,P$5),P68-OtherDA)</f>
        <v>582.0866</v>
      </c>
      <c r="Q79" s="131" t="n">
        <f aca="false">IF(Q$5&lt;=LastHist,INDEX(H_PPDep,1,Q$5),Q68-OtherDA)</f>
        <v>585.945255222107</v>
      </c>
      <c r="R79" s="131" t="n">
        <f aca="false">IF(R$5&lt;=LastHist,INDEX(H_PPDep,1,R$5),R68-OtherDA)</f>
        <v>750.785662639179</v>
      </c>
      <c r="S79" s="131" t="n">
        <f aca="false">IF(S$5&lt;=LastHist,INDEX(H_PPDep,1,S$5),S68-OtherDA)</f>
        <v>1044.69095932479</v>
      </c>
      <c r="T79" s="131" t="n">
        <f aca="false">IF(T$5&lt;=LastHist,INDEX(H_PPDep,1,T$5),T68-OtherDA)</f>
        <v>1401.65348632191</v>
      </c>
      <c r="U79" s="131" t="n">
        <f aca="false">IF(U$5&lt;=LastHist,INDEX(H_PPDep,1,U$5),U68-OtherDA)</f>
        <v>1803.13447922136</v>
      </c>
      <c r="V79" s="131" t="n">
        <f aca="false">IF(V$5&lt;=LastHist,INDEX(H_PPDep,1,V$5),V68-OtherDA)</f>
        <v>2353.16770254323</v>
      </c>
      <c r="W79" s="131" t="n">
        <f aca="false">IF(W$5&lt;=LastHist,INDEX(H_PPDep,1,W$5),W68-OtherDA)</f>
        <v>2586.82684933241</v>
      </c>
      <c r="X79" s="131" t="n">
        <f aca="false">IF(X$5&lt;=LastHist,INDEX(H_PPDep,1,X$5),X68-OtherDA)</f>
        <v>2906.02538536278</v>
      </c>
      <c r="Y79" s="131" t="n">
        <f aca="false">IF(Y$5&lt;=LastHist,INDEX(H_PPDep,1,Y$5),Y68-OtherDA)</f>
        <v>3015.5779564275</v>
      </c>
      <c r="Z79" s="131" t="n">
        <f aca="false">IF(Z$5&lt;=LastHist,INDEX(H_PPDep,1,Z$5),Z68-OtherDA)</f>
        <v>3648.9805845575</v>
      </c>
      <c r="AA79" s="131" t="n">
        <f aca="false">IF(AA$5&lt;=LastHist,INDEX(H_PPDep,1,AA$5),AA68-OtherDA)</f>
        <v>3744.26151766729</v>
      </c>
      <c r="AB79" s="131" t="n">
        <f aca="false">IF(AB$5&lt;=LastHist,INDEX(H_PPDep,1,AB$5),AB68-OtherDA)</f>
        <v>4381.34172260244</v>
      </c>
      <c r="AC79" s="131" t="n">
        <f aca="false">IF(AC$5&lt;=LastHist,INDEX(H_PPDep,1,AC$5),AC68-OtherDA)</f>
        <v>4513.73435644852</v>
      </c>
      <c r="AD79" s="131" t="n">
        <f aca="false">IF(AD$5&lt;=LastHist,INDEX(H_PPDep,1,AD$5),AD68-OtherDA)</f>
        <v>5421.83496124987</v>
      </c>
      <c r="AE79" s="131" t="n">
        <f aca="false">IF(AE$5&lt;=LastHist,INDEX(H_PPDep,1,AE$5),AE68-OtherDA)</f>
        <v>5437.02029535058</v>
      </c>
      <c r="AF79" s="131" t="n">
        <f aca="false">IF(AF$5&lt;=LastHist,INDEX(H_PPDep,1,AF$5),AF68-OtherDA)</f>
        <v>5453.1993390581</v>
      </c>
      <c r="AG79" s="131" t="n">
        <f aca="false">IF(AG$5&lt;=LastHist,INDEX(H_PPDep,1,AG$5),AG68-OtherDA)</f>
        <v>5468.44525867795</v>
      </c>
      <c r="AI79" s="131" t="n">
        <f aca="false">SUMIF($F$7:$AG$7,AI$7,$F79:$AG79)</f>
        <v>77.1</v>
      </c>
      <c r="AJ79" s="131" t="n">
        <f aca="false">SUMIF($F$7:$AG$7,AJ$7,$F79:$AG79)</f>
        <v>404</v>
      </c>
      <c r="AK79" s="131" t="n">
        <f aca="false">SUMIF($F$7:$AG$7,AK$7,$F79:$AG79)</f>
        <v>1630.63185522211</v>
      </c>
      <c r="AL79" s="131" t="n">
        <f aca="false">SUMIF($F$7:$AG$7,AL$7,$F79:$AG79)</f>
        <v>5000.26458750724</v>
      </c>
      <c r="AM79" s="131" t="n">
        <f aca="false">SUMIF($F$7:$AG$7,AM$7,$F79:$AG79)</f>
        <v>10861.5978936659</v>
      </c>
      <c r="AN79" s="131" t="n">
        <f aca="false">SUMIF($F$7:$AG$7,AN$7,$F79:$AG79)</f>
        <v>16288.3181812757</v>
      </c>
      <c r="AO79" s="131" t="n">
        <f aca="false">SUMIF($F$7:$AG$7,AO$7,$F79:$AG79)</f>
        <v>21780.4998543365</v>
      </c>
    </row>
    <row r="80" customFormat="false" ht="15" hidden="false" customHeight="false" outlineLevel="0" collapsed="false">
      <c r="A80" s="112" t="s">
        <v>2451</v>
      </c>
      <c r="B80" s="24" t="s">
        <v>745</v>
      </c>
      <c r="C80" s="24" t="s">
        <v>2291</v>
      </c>
      <c r="D80" s="24" t="s">
        <v>2452</v>
      </c>
      <c r="F80" s="130" t="n">
        <f aca="false">IF(F$5&lt;=LastHist,F79+INDEX(H_DAex,1,F$5)-INDEX(H_DA,1,F$5),F79+F41*(LQ_H/16-1)+F46*(LQ_B/16-1)+F51*(LQ_N/16-1))</f>
        <v>8.9</v>
      </c>
      <c r="G80" s="130" t="n">
        <f aca="false">IF(G$5&lt;=LastHist,G79+INDEX(H_DAex,1,G$5)-INDEX(H_DA,1,G$5),G79+G41*(LQ_H/16-1)+G46*(LQ_B/16-1)+G51*(LQ_N/16-1))</f>
        <v>11.4</v>
      </c>
      <c r="H80" s="130" t="n">
        <f aca="false">IF(H$5&lt;=LastHist,H79+INDEX(H_DAex,1,H$5)-INDEX(H_DA,1,H$5),H79+H41*(LQ_H/16-1)+H46*(LQ_B/16-1)+H51*(LQ_N/16-1))</f>
        <v>23.5</v>
      </c>
      <c r="I80" s="130" t="n">
        <f aca="false">IF(I$5&lt;=LastHist,I79+INDEX(H_DAex,1,I$5)-INDEX(H_DA,1,I$5),I79+I41*(LQ_H/16-1)+I46*(LQ_B/16-1)+I51*(LQ_N/16-1))</f>
        <v>33.3</v>
      </c>
      <c r="J80" s="130" t="n">
        <f aca="false">IF(J$5&lt;=LastHist,J79+INDEX(H_DAex,1,J$5)-INDEX(H_DA,1,J$5),J79+J41*(LQ_H/16-1)+J46*(LQ_B/16-1)+J51*(LQ_N/16-1))</f>
        <v>49.1</v>
      </c>
      <c r="K80" s="130" t="n">
        <f aca="false">IF(K$5&lt;=LastHist,K79+INDEX(H_DAex,1,K$5)-INDEX(H_DA,1,K$5),K79+K41*(LQ_H/16-1)+K46*(LQ_B/16-1)+K51*(LQ_N/16-1))</f>
        <v>75.2</v>
      </c>
      <c r="L80" s="130" t="n">
        <f aca="false">IF(L$5&lt;=LastHist,L79+INDEX(H_DAex,1,L$5)-INDEX(H_DA,1,L$5),L79+L41*(LQ_H/16-1)+L46*(LQ_B/16-1)+L51*(LQ_N/16-1))</f>
        <v>99</v>
      </c>
      <c r="M80" s="130" t="n">
        <f aca="false">IF(M$5&lt;=LastHist,M79+INDEX(H_DAex,1,M$5)-INDEX(H_DA,1,M$5),M79+M41*(LQ_H/16-1)+M46*(LQ_B/16-1)+M51*(LQ_N/16-1))</f>
        <v>180.7</v>
      </c>
      <c r="N80" s="130" t="n">
        <f aca="false">IF(N$5&lt;=LastHist,N79+INDEX(H_DAex,1,N$5)-INDEX(H_DA,1,N$5),N79+N41*(LQ_H/16-1)+N46*(LQ_B/16-1)+N51*(LQ_N/16-1))</f>
        <v>251.9</v>
      </c>
      <c r="O80" s="130" t="n">
        <f aca="false">IF(O$5&lt;=LastHist,O79+INDEX(H_DAex,1,O$5)-INDEX(H_DA,1,O$5),O79+O41*(LQ_H/16-1)+O46*(LQ_B/16-1)+O51*(LQ_N/16-1))</f>
        <v>296.8</v>
      </c>
      <c r="P80" s="131" t="n">
        <f aca="false">IF(P$5&lt;=LastHist,P79+INDEX(H_DAex,1,P$5)-INDEX(H_DA,1,P$5),P79+P41*(LQ_H/16-1)+P46*(LQ_B/16-1)+P51*(LQ_N/16-1))</f>
        <v>713.9056</v>
      </c>
      <c r="Q80" s="131" t="n">
        <f aca="false">IF(Q$5&lt;=LastHist,Q79+INDEX(H_DAex,1,Q$5)-INDEX(H_DA,1,Q$5),Q79+Q41*(LQ_H/16-1)+Q46*(LQ_B/16-1)+Q51*(LQ_N/16-1))</f>
        <v>717.764255222107</v>
      </c>
      <c r="R80" s="131" t="n">
        <f aca="false">IF(R$5&lt;=LastHist,R79+INDEX(H_DAex,1,R$5)-INDEX(H_DA,1,R$5),R79+R41*(LQ_H/16-1)+R46*(LQ_B/16-1)+R51*(LQ_N/16-1))</f>
        <v>920.773520139179</v>
      </c>
      <c r="S80" s="131" t="n">
        <f aca="false">IF(S$5&lt;=LastHist,S79+INDEX(H_DAex,1,S$5)-INDEX(H_DA,1,S$5),S79+S41*(LQ_H/16-1)+S46*(LQ_B/16-1)+S51*(LQ_N/16-1))</f>
        <v>1283.57891973104</v>
      </c>
      <c r="T80" s="131" t="n">
        <f aca="false">IF(T$5&lt;=LastHist,T79+INDEX(H_DAex,1,T$5)-INDEX(H_DA,1,T$5),T79+T41*(LQ_H/16-1)+T46*(LQ_B/16-1)+T51*(LQ_N/16-1))</f>
        <v>1722.36997007191</v>
      </c>
      <c r="U80" s="131" t="n">
        <f aca="false">IF(U$5&lt;=LastHist,U79+INDEX(H_DAex,1,U$5)-INDEX(H_DA,1,U$5),U79+U41*(LQ_H/16-1)+U46*(LQ_B/16-1)+U51*(LQ_N/16-1))</f>
        <v>2210.73608234636</v>
      </c>
      <c r="V80" s="131" t="n">
        <f aca="false">IF(V$5&lt;=LastHist,V79+INDEX(H_DAex,1,V$5)-INDEX(H_DA,1,V$5),V79+V41*(LQ_H/16-1)+V46*(LQ_B/16-1)+V51*(LQ_N/16-1))</f>
        <v>2890.59670379323</v>
      </c>
      <c r="W80" s="131" t="n">
        <f aca="false">IF(W$5&lt;=LastHist,W79+INDEX(H_DAex,1,W$5)-INDEX(H_DA,1,W$5),W79+W41*(LQ_H/16-1)+W46*(LQ_B/16-1)+W51*(LQ_N/16-1))</f>
        <v>3169.91045245741</v>
      </c>
      <c r="X80" s="131" t="n">
        <f aca="false">IF(X$5&lt;=LastHist,X79+INDEX(H_DAex,1,X$5)-INDEX(H_DA,1,X$5),X79+X41*(LQ_H/16-1)+X46*(LQ_B/16-1)+X51*(LQ_N/16-1))</f>
        <v>3566.03056286278</v>
      </c>
      <c r="Y80" s="131" t="n">
        <f aca="false">IF(Y$5&lt;=LastHist,Y79+INDEX(H_DAex,1,Y$5)-INDEX(H_DA,1,Y$5),Y79+Y41*(LQ_H/16-1)+Y46*(LQ_B/16-1)+Y51*(LQ_N/16-1))</f>
        <v>3681.8487589275</v>
      </c>
      <c r="Z80" s="131" t="n">
        <f aca="false">IF(Z$5&lt;=LastHist,Z79+INDEX(H_DAex,1,Z$5)-INDEX(H_DA,1,Z$5),Z79+Z41*(LQ_H/16-1)+Z46*(LQ_B/16-1)+Z51*(LQ_N/16-1))</f>
        <v>4468.8403751825</v>
      </c>
      <c r="AA80" s="131" t="n">
        <f aca="false">IF(AA$5&lt;=LastHist,AA79+INDEX(H_DAex,1,AA$5)-INDEX(H_DA,1,AA$5),AA79+AA41*(LQ_H/16-1)+AA46*(LQ_B/16-1)+AA51*(LQ_N/16-1))</f>
        <v>4562.82130829229</v>
      </c>
      <c r="AB80" s="131" t="n">
        <f aca="false">IF(AB$5&lt;=LastHist,AB79+INDEX(H_DAex,1,AB$5)-INDEX(H_DA,1,AB$5),AB79+AB41*(LQ_H/16-1)+AB46*(LQ_B/16-1)+AB51*(LQ_N/16-1))</f>
        <v>5354.53738072744</v>
      </c>
      <c r="AC80" s="131" t="n">
        <f aca="false">IF(AC$5&lt;=LastHist,AC79+INDEX(H_DAex,1,AC$5)-INDEX(H_DA,1,AC$5),AC79+AC41*(LQ_H/16-1)+AC46*(LQ_B/16-1)+AC51*(LQ_N/16-1))</f>
        <v>5485.63101457352</v>
      </c>
      <c r="AD80" s="131" t="n">
        <f aca="false">IF(AD$5&lt;=LastHist,AD79+INDEX(H_DAex,1,AD$5)-INDEX(H_DA,1,AD$5),AD79+AD41*(LQ_H/16-1)+AD46*(LQ_B/16-1)+AD51*(LQ_N/16-1))</f>
        <v>6612.89006312487</v>
      </c>
      <c r="AE80" s="131" t="n">
        <f aca="false">IF(AE$5&lt;=LastHist,AE79+INDEX(H_DAex,1,AE$5)-INDEX(H_DA,1,AE$5),AE79+AE41*(LQ_H/16-1)+AE46*(LQ_B/16-1)+AE51*(LQ_N/16-1))</f>
        <v>6622.63539722558</v>
      </c>
      <c r="AF80" s="131" t="n">
        <f aca="false">IF(AF$5&lt;=LastHist,AF79+INDEX(H_DAex,1,AF$5)-INDEX(H_DA,1,AF$5),AF79+AF41*(LQ_H/16-1)+AF46*(LQ_B/16-1)+AF51*(LQ_N/16-1))</f>
        <v>6633.7084409331</v>
      </c>
      <c r="AG80" s="131" t="n">
        <f aca="false">IF(AG$5&lt;=LastHist,AG79+INDEX(H_DAex,1,AG$5)-INDEX(H_DA,1,AG$5),AG79+AG41*(LQ_H/16-1)+AG46*(LQ_B/16-1)+AG51*(LQ_N/16-1))</f>
        <v>6639.39936055295</v>
      </c>
      <c r="AI80" s="131" t="n">
        <f aca="false">SUMIF($F$7:$AG$7,AI$7,$F80:$AG80)</f>
        <v>77.1</v>
      </c>
      <c r="AJ80" s="131" t="n">
        <f aca="false">SUMIF($F$7:$AG$7,AJ$7,$F80:$AG80)</f>
        <v>404</v>
      </c>
      <c r="AK80" s="131" t="n">
        <f aca="false">SUMIF($F$7:$AG$7,AK$7,$F80:$AG80)</f>
        <v>1980.36985522211</v>
      </c>
      <c r="AL80" s="131" t="n">
        <f aca="false">SUMIF($F$7:$AG$7,AL$7,$F80:$AG80)</f>
        <v>6137.45849228849</v>
      </c>
      <c r="AM80" s="131" t="n">
        <f aca="false">SUMIF($F$7:$AG$7,AM$7,$F80:$AG80)</f>
        <v>13308.3864780409</v>
      </c>
      <c r="AN80" s="131" t="n">
        <f aca="false">SUMIF($F$7:$AG$7,AN$7,$F80:$AG80)</f>
        <v>19871.8300787757</v>
      </c>
      <c r="AO80" s="131" t="n">
        <f aca="false">SUMIF($F$7:$AG$7,AO$7,$F80:$AG80)</f>
        <v>26508.6332618365</v>
      </c>
    </row>
    <row r="81" customFormat="false" ht="15" hidden="false" customHeight="false" outlineLevel="0" collapsed="false">
      <c r="A81" s="112" t="s">
        <v>2453</v>
      </c>
      <c r="B81" s="24" t="s">
        <v>751</v>
      </c>
      <c r="C81" s="24" t="s">
        <v>672</v>
      </c>
      <c r="D81" s="24" t="s">
        <v>2454</v>
      </c>
      <c r="G81" s="134" t="str">
        <f aca="false">IF(AND(F78&gt;0,G78&gt;0),G79*4/AVERAGE(F78,G78),"")</f>
        <v/>
      </c>
      <c r="H81" s="134" t="str">
        <f aca="false">IF(AND(G78&gt;0,H78&gt;0),H79*4/AVERAGE(G78,H78),"")</f>
        <v/>
      </c>
      <c r="I81" s="134" t="str">
        <f aca="false">IF(AND(H78&gt;0,I78&gt;0),I79*4/AVERAGE(H78,I78),"")</f>
        <v/>
      </c>
      <c r="J81" s="134" t="str">
        <f aca="false">IF(AND(I78&gt;0,J78&gt;0),J79*4/AVERAGE(I78,J78),"")</f>
        <v/>
      </c>
      <c r="K81" s="134" t="str">
        <f aca="false">IF(AND(J78&gt;0,K78&gt;0),K79*4/AVERAGE(J78,K78),"")</f>
        <v/>
      </c>
      <c r="L81" s="134" t="str">
        <f aca="false">IF(AND(K78&gt;0,L78&gt;0),L79*4/AVERAGE(K78,L78),"")</f>
        <v/>
      </c>
      <c r="M81" s="134" t="str">
        <f aca="false">IF(AND(L78&gt;0,M78&gt;0),M79*4/AVERAGE(L78,M78),"")</f>
        <v/>
      </c>
      <c r="N81" s="134" t="n">
        <f aca="false">IF(AND(M78&gt;0,N78&gt;0),N79*4/AVERAGE(M78,N78),"")</f>
        <v>0.179196704428424</v>
      </c>
      <c r="O81" s="134" t="n">
        <f aca="false">IF(AND(N78&gt;0,O78&gt;0),O79*4/AVERAGE(N78,O78),"")</f>
        <v>0.171171323070698</v>
      </c>
      <c r="P81" s="29" t="n">
        <f aca="false">IF(AND(O78&gt;0,P78&gt;0),P79*4/AVERAGE(O78,P78),"")</f>
        <v>0.268737422120448</v>
      </c>
      <c r="Q81" s="29" t="n">
        <f aca="false">IF(AND(P78&gt;0,Q78&gt;0),Q79*4/AVERAGE(P78,Q78),"")</f>
        <v>0.186277224598555</v>
      </c>
      <c r="R81" s="29" t="n">
        <f aca="false">IF(AND(Q78&gt;0,R78&gt;0),R79*4/AVERAGE(Q78,R78),"")</f>
        <v>0.176673117344482</v>
      </c>
      <c r="S81" s="29" t="n">
        <f aca="false">IF(AND(R78&gt;0,S78&gt;0),S79*4/AVERAGE(R78,S78),"")</f>
        <v>0.1935996835001</v>
      </c>
      <c r="T81" s="29" t="n">
        <f aca="false">IF(AND(S78&gt;0,T78&gt;0),T79*4/AVERAGE(S78,T78),"")</f>
        <v>0.212436540395378</v>
      </c>
      <c r="U81" s="29" t="n">
        <f aca="false">IF(AND(T78&gt;0,U78&gt;0),U79*4/AVERAGE(T78,U78),"")</f>
        <v>0.216432208200006</v>
      </c>
      <c r="V81" s="29" t="n">
        <f aca="false">IF(AND(U78&gt;0,V78&gt;0),V79*4/AVERAGE(U78,V78),"")</f>
        <v>0.225324215340818</v>
      </c>
      <c r="W81" s="29" t="n">
        <f aca="false">IF(AND(V78&gt;0,W78&gt;0),W79*4/AVERAGE(V78,W78),"")</f>
        <v>0.198445646717136</v>
      </c>
      <c r="X81" s="29" t="n">
        <f aca="false">IF(AND(W78&gt;0,X78&gt;0),X79*4/AVERAGE(W78,X78),"")</f>
        <v>0.191179356291783</v>
      </c>
      <c r="Y81" s="29" t="n">
        <f aca="false">IF(AND(X78&gt;0,Y78&gt;0),Y79*4/AVERAGE(X78,Y78),"")</f>
        <v>0.180383078672299</v>
      </c>
      <c r="Z81" s="29" t="n">
        <f aca="false">IF(AND(Y78&gt;0,Z78&gt;0),Z79*4/AVERAGE(Y78,Z78),"")</f>
        <v>0.202354409787973</v>
      </c>
      <c r="AA81" s="29" t="n">
        <f aca="false">IF(AND(Z78&gt;0,AA78&gt;0),AA79*4/AVERAGE(Z78,AA78),"")</f>
        <v>0.185978346047007</v>
      </c>
      <c r="AB81" s="29" t="n">
        <f aca="false">IF(AND(AA78&gt;0,AB78&gt;0),AB79*4/AVERAGE(AA78,AB78),"")</f>
        <v>0.196922516090253</v>
      </c>
      <c r="AC81" s="29" t="n">
        <f aca="false">IF(AND(AB78&gt;0,AC78&gt;0),AC79*4/AVERAGE(AB78,AC78),"")</f>
        <v>0.185089694711212</v>
      </c>
      <c r="AD81" s="29" t="n">
        <f aca="false">IF(AND(AC78&gt;0,AD78&gt;0),AD79*4/AVERAGE(AC78,AD78),"")</f>
        <v>0.202812511017382</v>
      </c>
      <c r="AE81" s="29" t="n">
        <f aca="false">IF(AND(AD78&gt;0,AE78&gt;0),AE79*4/AVERAGE(AD78,AE78),"")</f>
        <v>0.182712775194091</v>
      </c>
      <c r="AF81" s="29" t="n">
        <f aca="false">IF(AND(AE78&gt;0,AF78&gt;0),AF79*4/AVERAGE(AE78,AF78),"")</f>
        <v>0.169790065603261</v>
      </c>
      <c r="AG81" s="29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2455</v>
      </c>
      <c r="B82" s="24" t="s">
        <v>751</v>
      </c>
      <c r="C82" s="24" t="s">
        <v>672</v>
      </c>
      <c r="D82" s="24" t="s">
        <v>2456</v>
      </c>
      <c r="G82" s="137" t="str">
        <f aca="false">IF(AND(F78&gt;0,G78&gt;0),G80*4/AVERAGE(F78,G78),"")</f>
        <v/>
      </c>
      <c r="H82" s="137" t="str">
        <f aca="false">IF(AND(G78&gt;0,H78&gt;0),H80*4/AVERAGE(G78,H78),"")</f>
        <v/>
      </c>
      <c r="I82" s="137" t="str">
        <f aca="false">IF(AND(H78&gt;0,I78&gt;0),I80*4/AVERAGE(H78,I78),"")</f>
        <v/>
      </c>
      <c r="J82" s="137" t="str">
        <f aca="false">IF(AND(I78&gt;0,J78&gt;0),J80*4/AVERAGE(I78,J78),"")</f>
        <v/>
      </c>
      <c r="K82" s="137" t="str">
        <f aca="false">IF(AND(J78&gt;0,K78&gt;0),K80*4/AVERAGE(J78,K78),"")</f>
        <v/>
      </c>
      <c r="L82" s="137" t="str">
        <f aca="false">IF(AND(K78&gt;0,L78&gt;0),L80*4/AVERAGE(K78,L78),"")</f>
        <v/>
      </c>
      <c r="M82" s="137" t="str">
        <f aca="false">IF(AND(L78&gt;0,M78&gt;0),M80*4/AVERAGE(L78,M78),"")</f>
        <v/>
      </c>
      <c r="N82" s="137" t="n">
        <f aca="false">IF(AND(M78&gt;0,N78&gt;0),N80*4/AVERAGE(M78,N78),"")</f>
        <v>0.216186062478544</v>
      </c>
      <c r="O82" s="137" t="n">
        <f aca="false">IF(AND(N78&gt;0,O78&gt;0),O80*4/AVERAGE(N78,O78),"")</f>
        <v>0.200171980643747</v>
      </c>
      <c r="P82" s="85" t="n">
        <f aca="false">IF(AND(O78&gt;0,P78&gt;0),P80*4/AVERAGE(O78,P78),"")</f>
        <v>0.329595545716654</v>
      </c>
      <c r="Q82" s="85" t="n">
        <f aca="false">IF(AND(P78&gt;0,Q78&gt;0),Q80*4/AVERAGE(P78,Q78),"")</f>
        <v>0.228183660823641</v>
      </c>
      <c r="R82" s="85" t="n">
        <f aca="false">IF(AND(Q78&gt;0,R78&gt;0),R80*4/AVERAGE(Q78,R78),"")</f>
        <v>0.216674260399964</v>
      </c>
      <c r="S82" s="85" t="n">
        <f aca="false">IF(AND(R78&gt;0,S78&gt;0),S80*4/AVERAGE(R78,S78),"")</f>
        <v>0.237869841209253</v>
      </c>
      <c r="T82" s="85" t="n">
        <f aca="false">IF(AND(S78&gt;0,T78&gt;0),T80*4/AVERAGE(S78,T78),"")</f>
        <v>0.261044774113975</v>
      </c>
      <c r="U82" s="85" t="n">
        <f aca="false">IF(AND(T78&gt;0,U78&gt;0),U80*4/AVERAGE(T78,U78),"")</f>
        <v>0.265357075450229</v>
      </c>
      <c r="V82" s="85" t="n">
        <f aca="false">IF(AND(U78&gt;0,V78&gt;0),V80*4/AVERAGE(U78,V78),"")</f>
        <v>0.276784962433845</v>
      </c>
      <c r="W82" s="85" t="n">
        <f aca="false">IF(AND(V78&gt;0,W78&gt;0),W80*4/AVERAGE(V78,W78),"")</f>
        <v>0.243176279825479</v>
      </c>
      <c r="X82" s="85" t="n">
        <f aca="false">IF(AND(W78&gt;0,X78&gt;0),X80*4/AVERAGE(W78,X78),"")</f>
        <v>0.23459926776924</v>
      </c>
      <c r="Y82" s="85" t="n">
        <f aca="false">IF(AND(X78&gt;0,Y78&gt;0),Y80*4/AVERAGE(X78,Y78),"")</f>
        <v>0.220237454954712</v>
      </c>
      <c r="Z82" s="85" t="n">
        <f aca="false">IF(AND(Y78&gt;0,Z78&gt;0),Z80*4/AVERAGE(Y78,Z78),"")</f>
        <v>0.247819777497221</v>
      </c>
      <c r="AA82" s="85" t="n">
        <f aca="false">IF(AND(Z78&gt;0,AA78&gt;0),AA80*4/AVERAGE(Z78,AA78),"")</f>
        <v>0.226636402457518</v>
      </c>
      <c r="AB82" s="85" t="n">
        <f aca="false">IF(AND(AA78&gt;0,AB78&gt;0),AB80*4/AVERAGE(AA78,AB78),"")</f>
        <v>0.240663486272385</v>
      </c>
      <c r="AC82" s="85" t="n">
        <f aca="false">IF(AND(AB78&gt;0,AC78&gt;0),AC80*4/AVERAGE(AB78,AC78),"")</f>
        <v>0.224943182209033</v>
      </c>
      <c r="AD82" s="85" t="n">
        <f aca="false">IF(AND(AC78&gt;0,AD78&gt;0),AD80*4/AVERAGE(AC78,AD78),"")</f>
        <v>0.247365854617433</v>
      </c>
      <c r="AE82" s="85" t="n">
        <f aca="false">IF(AND(AD78&gt;0,AE78&gt;0),AE80*4/AVERAGE(AD78,AE78),"")</f>
        <v>0.222555743181694</v>
      </c>
      <c r="AF82" s="85" t="n">
        <f aca="false">IF(AND(AE78&gt;0,AF78&gt;0),AF80*4/AVERAGE(AE78,AF78),"")</f>
        <v>0.20654623485183</v>
      </c>
      <c r="AG82" s="85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12" t="s">
        <v>2457</v>
      </c>
      <c r="B83" s="24" t="s">
        <v>211</v>
      </c>
      <c r="C83" s="24" t="s">
        <v>672</v>
      </c>
      <c r="D83" s="24"/>
      <c r="H83" s="125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25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25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25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25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25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25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25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26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26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26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26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26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26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26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26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26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26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26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26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26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26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26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26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26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26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12" t="s">
        <v>2458</v>
      </c>
      <c r="B84" s="24" t="s">
        <v>2459</v>
      </c>
      <c r="C84" s="24" t="s">
        <v>736</v>
      </c>
      <c r="D84" s="24" t="s">
        <v>2460</v>
      </c>
      <c r="P84" s="33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2461</v>
      </c>
    </row>
    <row r="2" customFormat="false" ht="15" hidden="false" customHeight="false" outlineLevel="0" collapsed="false">
      <c r="A2" s="24" t="s">
        <v>2462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2463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2464</v>
      </c>
      <c r="B11" s="3" t="s">
        <v>2465</v>
      </c>
      <c r="C11" s="3" t="s">
        <v>2466</v>
      </c>
      <c r="D11" s="3" t="s">
        <v>2467</v>
      </c>
      <c r="E11" s="3" t="s">
        <v>2468</v>
      </c>
      <c r="F11" s="3" t="s">
        <v>2469</v>
      </c>
      <c r="G11" s="3" t="s">
        <v>2470</v>
      </c>
      <c r="H11" s="3" t="s">
        <v>2471</v>
      </c>
      <c r="I11" s="3" t="s">
        <v>2472</v>
      </c>
      <c r="J11" s="3" t="s">
        <v>2473</v>
      </c>
      <c r="K11" s="3" t="s">
        <v>2474</v>
      </c>
      <c r="L11" s="3" t="s">
        <v>2475</v>
      </c>
      <c r="M11" s="3" t="s">
        <v>2476</v>
      </c>
      <c r="N11" s="3" t="s">
        <v>2477</v>
      </c>
      <c r="O11" s="3" t="s">
        <v>2478</v>
      </c>
      <c r="P11" s="3" t="s">
        <v>2479</v>
      </c>
      <c r="Q11" s="3" t="s">
        <v>1975</v>
      </c>
      <c r="R11" s="3" t="s">
        <v>667</v>
      </c>
      <c r="S11" s="3" t="s">
        <v>2480</v>
      </c>
      <c r="T11" s="3" t="s">
        <v>2481</v>
      </c>
    </row>
    <row r="12" customFormat="false" ht="15" hidden="false" customHeight="false" outlineLevel="0" collapsed="false">
      <c r="A12" s="0" t="s">
        <v>2482</v>
      </c>
      <c r="B12" s="66" t="n">
        <v>45813</v>
      </c>
      <c r="C12" s="138" t="n">
        <v>0.02</v>
      </c>
      <c r="D12" s="139" t="n">
        <v>47270</v>
      </c>
      <c r="E12" s="82" t="n">
        <v>500</v>
      </c>
      <c r="F12" s="82" t="n">
        <v>12.5</v>
      </c>
      <c r="G12" s="82" t="n">
        <v>400</v>
      </c>
      <c r="H12" s="32" t="n">
        <f aca="false">ExchIdx</f>
        <v>11</v>
      </c>
      <c r="I12" s="32" t="n">
        <f aca="false">ExchShares/2</f>
        <v>7.885</v>
      </c>
      <c r="J12" s="96" t="n">
        <v>1.175</v>
      </c>
      <c r="K12" s="140" t="n">
        <v>19.4363</v>
      </c>
      <c r="L12" s="25" t="n">
        <f aca="false">1000/K12</f>
        <v>51.4501216795378</v>
      </c>
      <c r="M12" s="26" t="n">
        <f aca="false">IFERROR(MATCH(B12-1,Q_End,1),0)+1</f>
        <v>6</v>
      </c>
      <c r="N12" s="26" t="n">
        <f aca="false">IFERROR(MATCH(D12-1,Q_End,1),0)+1</f>
        <v>22</v>
      </c>
      <c r="O12" s="26" t="n">
        <f aca="false">IF(SharePx&gt;=L12*J12,1,0)</f>
        <v>1</v>
      </c>
      <c r="P12" s="26" t="n">
        <f aca="false">CHOOSE(DilMethod,1,IF(DilPx&gt;L12,1,0),0)</f>
        <v>0</v>
      </c>
      <c r="Q12" s="24" t="s">
        <v>2483</v>
      </c>
      <c r="R12" s="24" t="s">
        <v>2484</v>
      </c>
      <c r="S12" s="140" t="n">
        <v>1.034051</v>
      </c>
      <c r="T12" s="66" t="n">
        <v>46203</v>
      </c>
    </row>
    <row r="13" customFormat="false" ht="15" hidden="false" customHeight="false" outlineLevel="0" collapsed="false">
      <c r="A13" s="0" t="s">
        <v>2485</v>
      </c>
      <c r="B13" s="66" t="n">
        <v>45813</v>
      </c>
      <c r="C13" s="138" t="n">
        <v>0.03</v>
      </c>
      <c r="D13" s="139" t="n">
        <v>48000</v>
      </c>
      <c r="E13" s="82" t="n">
        <v>500</v>
      </c>
      <c r="F13" s="82" t="n">
        <v>12.5</v>
      </c>
      <c r="G13" s="82" t="n">
        <v>400</v>
      </c>
      <c r="H13" s="32" t="n">
        <f aca="false">ExchIdx</f>
        <v>11</v>
      </c>
      <c r="I13" s="32" t="n">
        <f aca="false">ExchShares/2</f>
        <v>7.885</v>
      </c>
      <c r="J13" s="96" t="n">
        <v>1.225</v>
      </c>
      <c r="K13" s="140" t="n">
        <v>19.4363</v>
      </c>
      <c r="L13" s="25" t="n">
        <f aca="false">1000/K13</f>
        <v>51.4501216795378</v>
      </c>
      <c r="M13" s="26" t="n">
        <f aca="false">IFERROR(MATCH(B13-1,Q_End,1),0)+1</f>
        <v>6</v>
      </c>
      <c r="N13" s="26" t="n">
        <f aca="false">IFERROR(MATCH(D13-1,Q_End,1),0)+1</f>
        <v>29</v>
      </c>
      <c r="O13" s="26" t="n">
        <f aca="false">IF(SharePx&gt;=L13*J13,1,0)</f>
        <v>1</v>
      </c>
      <c r="P13" s="26" t="n">
        <f aca="false">CHOOSE(DilMethod,1,IF(DilPx&gt;L13,1,0),0)</f>
        <v>0</v>
      </c>
      <c r="Q13" s="24" t="s">
        <v>2483</v>
      </c>
      <c r="R13" s="24" t="s">
        <v>2486</v>
      </c>
      <c r="S13" s="140" t="n">
        <v>1.022359</v>
      </c>
      <c r="T13" s="66" t="n">
        <v>46203</v>
      </c>
    </row>
    <row r="14" customFormat="false" ht="15" hidden="false" customHeight="false" outlineLevel="0" collapsed="false">
      <c r="A14" s="0" t="s">
        <v>2487</v>
      </c>
      <c r="B14" s="66" t="n">
        <v>45915</v>
      </c>
      <c r="C14" s="138" t="n">
        <v>0.01</v>
      </c>
      <c r="D14" s="139" t="n">
        <v>47741</v>
      </c>
      <c r="E14" s="80" t="n">
        <v>1581.25</v>
      </c>
      <c r="F14" s="82" t="n">
        <v>0</v>
      </c>
      <c r="G14" s="82" t="n">
        <v>0</v>
      </c>
      <c r="H14" s="23" t="n">
        <v>0</v>
      </c>
      <c r="I14" s="23" t="n">
        <v>0</v>
      </c>
      <c r="J14" s="96" t="n">
        <v>1.15</v>
      </c>
      <c r="K14" s="140" t="n">
        <v>7.2072</v>
      </c>
      <c r="L14" s="25" t="n">
        <f aca="false">1000/K14</f>
        <v>138.750138750139</v>
      </c>
      <c r="M14" s="26" t="n">
        <f aca="false">IFERROR(MATCH(B14-1,Q_End,1),0)+1</f>
        <v>7</v>
      </c>
      <c r="N14" s="26" t="n">
        <f aca="false">IFERROR(MATCH(D14-1,Q_End,1),0)+1</f>
        <v>27</v>
      </c>
      <c r="O14" s="26" t="n">
        <f aca="false">IF(SharePx&gt;=L14*J14,1,0)</f>
        <v>1</v>
      </c>
      <c r="P14" s="26" t="n">
        <f aca="false">CHOOSE(DilMethod,1,IF(DilPx&gt;L14,1,0),0)</f>
        <v>0</v>
      </c>
      <c r="Q14" s="24" t="s">
        <v>2483</v>
      </c>
      <c r="R14" s="24" t="s">
        <v>2488</v>
      </c>
      <c r="S14" s="140" t="n">
        <v>1.004395</v>
      </c>
      <c r="T14" s="66" t="n">
        <v>46203</v>
      </c>
    </row>
    <row r="15" customFormat="false" ht="15" hidden="false" customHeight="false" outlineLevel="0" collapsed="false">
      <c r="A15" s="0" t="s">
        <v>2489</v>
      </c>
      <c r="B15" s="66" t="n">
        <v>45915</v>
      </c>
      <c r="C15" s="138" t="n">
        <v>0.0275</v>
      </c>
      <c r="D15" s="139" t="n">
        <v>48472</v>
      </c>
      <c r="E15" s="80" t="n">
        <v>1581.25</v>
      </c>
      <c r="F15" s="82" t="n">
        <v>0</v>
      </c>
      <c r="G15" s="82" t="n">
        <v>0</v>
      </c>
      <c r="H15" s="23" t="n">
        <v>0</v>
      </c>
      <c r="I15" s="23" t="n">
        <v>0</v>
      </c>
      <c r="J15" s="96" t="n">
        <v>1.15</v>
      </c>
      <c r="K15" s="140" t="n">
        <v>7.2072</v>
      </c>
      <c r="L15" s="25" t="n">
        <f aca="false">1000/K15</f>
        <v>138.750138750139</v>
      </c>
      <c r="M15" s="26" t="n">
        <f aca="false">IFERROR(MATCH(B15-1,Q_End,1),0)+1</f>
        <v>7</v>
      </c>
      <c r="N15" s="26" t="n">
        <f aca="false">IFERROR(MATCH(D15-1,Q_End,1),0)+1</f>
        <v>29</v>
      </c>
      <c r="O15" s="26" t="n">
        <f aca="false">IF(SharePx&gt;=L15*J15,1,0)</f>
        <v>1</v>
      </c>
      <c r="P15" s="26" t="n">
        <f aca="false">CHOOSE(DilMethod,1,IF(DilPx&gt;L15,1,0),0)</f>
        <v>0</v>
      </c>
      <c r="Q15" s="24" t="s">
        <v>2483</v>
      </c>
      <c r="R15" s="24" t="s">
        <v>2057</v>
      </c>
      <c r="S15" s="140" t="n">
        <v>0.996047</v>
      </c>
      <c r="T15" s="66" t="n">
        <v>46203</v>
      </c>
    </row>
    <row r="16" customFormat="false" ht="15" hidden="false" customHeight="false" outlineLevel="0" collapsed="false">
      <c r="A16" s="0" t="s">
        <v>2490</v>
      </c>
      <c r="B16" s="66" t="n">
        <v>46101</v>
      </c>
      <c r="C16" s="138" t="n">
        <v>0.0125</v>
      </c>
      <c r="D16" s="139" t="n">
        <v>47922</v>
      </c>
      <c r="E16" s="82" t="n">
        <v>2587.5</v>
      </c>
      <c r="F16" s="82" t="n">
        <v>0</v>
      </c>
      <c r="G16" s="82" t="n">
        <v>0</v>
      </c>
      <c r="H16" s="23" t="n">
        <v>0</v>
      </c>
      <c r="I16" s="23" t="n">
        <v>0</v>
      </c>
      <c r="J16" s="96" t="n">
        <v>1.2</v>
      </c>
      <c r="K16" s="140" t="n">
        <v>5.4579</v>
      </c>
      <c r="L16" s="25" t="n">
        <f aca="false">1000/K16</f>
        <v>183.220652631965</v>
      </c>
      <c r="M16" s="26" t="n">
        <f aca="false">IFERROR(MATCH(B16-1,Q_End,1),0)+1</f>
        <v>9</v>
      </c>
      <c r="N16" s="26" t="n">
        <f aca="false">IFERROR(MATCH(D16-1,Q_End,1),0)+1</f>
        <v>29</v>
      </c>
      <c r="O16" s="26" t="n">
        <f aca="false">IF(SharePx&gt;=L16*J16,1,0)</f>
        <v>1</v>
      </c>
      <c r="P16" s="26" t="n">
        <f aca="false">CHOOSE(DilMethod,1,IF(DilPx&gt;L16,1,0),0)</f>
        <v>0</v>
      </c>
      <c r="Q16" s="24" t="s">
        <v>2483</v>
      </c>
      <c r="R16" s="24" t="s">
        <v>2491</v>
      </c>
      <c r="S16" s="140" t="n">
        <v>1.000425</v>
      </c>
      <c r="T16" s="66" t="n">
        <v>46203</v>
      </c>
    </row>
    <row r="17" customFormat="false" ht="15" hidden="false" customHeight="false" outlineLevel="0" collapsed="false">
      <c r="A17" s="0" t="s">
        <v>2492</v>
      </c>
      <c r="B17" s="66" t="n">
        <v>46101</v>
      </c>
      <c r="C17" s="138" t="n">
        <v>0.02625</v>
      </c>
      <c r="D17" s="139" t="n">
        <v>48653</v>
      </c>
      <c r="E17" s="82" t="n">
        <v>1750</v>
      </c>
      <c r="F17" s="82" t="n">
        <v>0</v>
      </c>
      <c r="G17" s="82" t="n">
        <v>0</v>
      </c>
      <c r="H17" s="23" t="n">
        <v>0</v>
      </c>
      <c r="I17" s="23" t="n">
        <v>0</v>
      </c>
      <c r="J17" s="96" t="n">
        <v>1.2</v>
      </c>
      <c r="K17" s="140" t="n">
        <v>5.546</v>
      </c>
      <c r="L17" s="25" t="n">
        <f aca="false">1000/K17</f>
        <v>180.310133429499</v>
      </c>
      <c r="M17" s="26" t="n">
        <f aca="false">IFERROR(MATCH(B17-1,Q_End,1),0)+1</f>
        <v>9</v>
      </c>
      <c r="N17" s="26" t="n">
        <f aca="false">IFERROR(MATCH(D17-1,Q_End,1),0)+1</f>
        <v>29</v>
      </c>
      <c r="O17" s="26" t="n">
        <f aca="false">IF(SharePx&gt;=L17*J17,1,0)</f>
        <v>1</v>
      </c>
      <c r="P17" s="26" t="n">
        <f aca="false">CHOOSE(DilMethod,1,IF(DilPx&gt;L17,1,0),0)</f>
        <v>0</v>
      </c>
      <c r="Q17" s="24" t="s">
        <v>2483</v>
      </c>
      <c r="R17" s="24" t="s">
        <v>2493</v>
      </c>
      <c r="S17" s="140" t="n">
        <v>0.996971</v>
      </c>
      <c r="T17" s="66" t="n">
        <v>46203</v>
      </c>
    </row>
    <row r="18" customFormat="false" ht="15" hidden="false" customHeight="false" outlineLevel="0" collapsed="false">
      <c r="A18" s="0" t="s">
        <v>2494</v>
      </c>
      <c r="B18" s="66" t="n">
        <v>46258</v>
      </c>
      <c r="C18" s="138" t="n">
        <v>0.005</v>
      </c>
      <c r="D18" s="66" t="n">
        <v>47529</v>
      </c>
      <c r="E18" s="82" t="n">
        <v>3450</v>
      </c>
      <c r="F18" s="82" t="n">
        <v>0</v>
      </c>
      <c r="G18" s="82" t="n">
        <v>0</v>
      </c>
      <c r="H18" s="23" t="n">
        <v>0</v>
      </c>
      <c r="I18" s="23" t="n">
        <v>0</v>
      </c>
      <c r="J18" s="96" t="n">
        <v>1.1</v>
      </c>
      <c r="K18" s="140" t="n">
        <v>3.1902</v>
      </c>
      <c r="L18" s="25" t="n">
        <f aca="false">1000/K18</f>
        <v>313.459971161683</v>
      </c>
      <c r="M18" s="26" t="n">
        <f aca="false">IFERROR(MATCH(B18-1,Q_End,1),0)+1</f>
        <v>11</v>
      </c>
      <c r="N18" s="26" t="n">
        <f aca="false">IFERROR(MATCH(D18-1,Q_End,1),0)+1</f>
        <v>25</v>
      </c>
      <c r="O18" s="26" t="n">
        <f aca="false">IF(SharePx&gt;=L18*J18,1,0)</f>
        <v>0</v>
      </c>
      <c r="P18" s="26" t="n">
        <f aca="false">CHOOSE(DilMethod,1,IF(DilPx&gt;L18,1,0),0)</f>
        <v>0</v>
      </c>
      <c r="Q18" s="24" t="s">
        <v>2483</v>
      </c>
      <c r="R18" s="24" t="s">
        <v>2495</v>
      </c>
      <c r="S18" s="56" t="n">
        <f aca="false">1</f>
        <v>1</v>
      </c>
      <c r="T18" s="141" t="n">
        <f aca="false">B18</f>
        <v>46258</v>
      </c>
    </row>
    <row r="19" customFormat="false" ht="15" hidden="false" customHeight="false" outlineLevel="0" collapsed="false">
      <c r="A19" s="0" t="s">
        <v>2496</v>
      </c>
      <c r="B19" s="66" t="n">
        <v>46258</v>
      </c>
      <c r="C19" s="138" t="n">
        <v>0.045</v>
      </c>
      <c r="D19" s="66" t="n">
        <v>48990</v>
      </c>
      <c r="E19" s="82" t="n">
        <v>2300</v>
      </c>
      <c r="F19" s="82" t="n">
        <v>0</v>
      </c>
      <c r="G19" s="82" t="n">
        <v>0</v>
      </c>
      <c r="H19" s="23" t="n">
        <v>0</v>
      </c>
      <c r="I19" s="23" t="n">
        <v>0</v>
      </c>
      <c r="J19" s="96" t="n">
        <v>1.25</v>
      </c>
      <c r="K19" s="140" t="n">
        <v>3.0802</v>
      </c>
      <c r="L19" s="25" t="n">
        <f aca="false">1000/K19</f>
        <v>324.654243230959</v>
      </c>
      <c r="M19" s="26" t="n">
        <f aca="false">IFERROR(MATCH(B19-1,Q_End,1),0)+1</f>
        <v>11</v>
      </c>
      <c r="N19" s="26" t="n">
        <f aca="false">IFERROR(MATCH(D19-1,Q_End,1),0)+1</f>
        <v>29</v>
      </c>
      <c r="O19" s="26" t="n">
        <f aca="false">IF(SharePx&gt;=L19*J19,1,0)</f>
        <v>0</v>
      </c>
      <c r="P19" s="26" t="n">
        <f aca="false">CHOOSE(DilMethod,1,IF(DilPx&gt;L19,1,0),0)</f>
        <v>0</v>
      </c>
      <c r="Q19" s="24" t="s">
        <v>2483</v>
      </c>
      <c r="R19" s="24" t="s">
        <v>2497</v>
      </c>
      <c r="S19" s="56" t="n">
        <f aca="false">1</f>
        <v>1</v>
      </c>
      <c r="T19" s="141" t="n">
        <f aca="false">B19</f>
        <v>46258</v>
      </c>
    </row>
    <row r="20" customFormat="false" ht="15" hidden="false" customHeight="false" outlineLevel="0" collapsed="false">
      <c r="A20" s="0" t="s">
        <v>2498</v>
      </c>
      <c r="B20" s="142" t="n">
        <f aca="false">INDEX(Q_End,1,FP_CV1Idx-1)+45</f>
        <v>46432</v>
      </c>
      <c r="C20" s="143" t="n">
        <f aca="false">FP_CpnS</f>
        <v>0.005</v>
      </c>
      <c r="D20" s="142" t="n">
        <f aca="false">EDATE(B20,12*FP_TenS)</f>
        <v>47709</v>
      </c>
      <c r="E20" s="127" t="n">
        <f aca="false">FP_On*(1-StopBuild)*FP_CVOpen*FP_CV1Net*FP_ShortSh</f>
        <v>3840</v>
      </c>
      <c r="F20" s="82" t="n">
        <v>0</v>
      </c>
      <c r="G20" s="82" t="n">
        <v>0</v>
      </c>
      <c r="H20" s="23" t="n">
        <v>0</v>
      </c>
      <c r="I20" s="23" t="n">
        <v>0</v>
      </c>
      <c r="J20" s="144" t="n">
        <f aca="false">FP_AccS</f>
        <v>1.1</v>
      </c>
      <c r="K20" s="145" t="n">
        <f aca="false">1000/(FP_RefPx*(1+FP_PremS))</f>
        <v>2.94174751569422</v>
      </c>
      <c r="L20" s="25" t="n">
        <f aca="false">1000/K20</f>
        <v>339.934</v>
      </c>
      <c r="M20" s="26" t="n">
        <f aca="false">IFERROR(MATCH(B20-1,Q_End,1),0)+1</f>
        <v>13</v>
      </c>
      <c r="N20" s="26" t="n">
        <f aca="false">IFERROR(MATCH(D20-1,Q_End,1),0)+1</f>
        <v>27</v>
      </c>
      <c r="O20" s="26" t="n">
        <f aca="false">IF(SharePx&gt;=L20*J20,1,0)</f>
        <v>0</v>
      </c>
      <c r="P20" s="26" t="n">
        <f aca="false">CHOOSE(DilMethod,1,IF(DilPx&gt;L20,1,0),0)</f>
        <v>0</v>
      </c>
      <c r="Q20" s="24" t="s">
        <v>2483</v>
      </c>
      <c r="R20" s="24" t="s">
        <v>2499</v>
      </c>
      <c r="S20" s="56" t="n">
        <f aca="false">1</f>
        <v>1</v>
      </c>
      <c r="T20" s="141" t="n">
        <f aca="false">B20</f>
        <v>46432</v>
      </c>
    </row>
    <row r="21" customFormat="false" ht="15" hidden="false" customHeight="false" outlineLevel="0" collapsed="false">
      <c r="A21" s="0" t="s">
        <v>2500</v>
      </c>
      <c r="B21" s="142" t="n">
        <f aca="false">INDEX(Q_End,1,FP_CV1Idx-1)+45</f>
        <v>46432</v>
      </c>
      <c r="C21" s="143" t="n">
        <f aca="false">FP_CpnL</f>
        <v>0.045</v>
      </c>
      <c r="D21" s="142" t="n">
        <f aca="false">EDATE(B21,12*FP_TenL)</f>
        <v>49170</v>
      </c>
      <c r="E21" s="127" t="n">
        <f aca="false">FP_On*(1-StopBuild)*FP_CVOpen*FP_CV1Net*(1-FP_ShortSh)</f>
        <v>2560</v>
      </c>
      <c r="F21" s="82" t="n">
        <v>0</v>
      </c>
      <c r="G21" s="82" t="n">
        <v>0</v>
      </c>
      <c r="H21" s="23" t="n">
        <v>0</v>
      </c>
      <c r="I21" s="23" t="n">
        <v>0</v>
      </c>
      <c r="J21" s="144" t="n">
        <f aca="false">FP_AccL</f>
        <v>1.25</v>
      </c>
      <c r="K21" s="145" t="n">
        <f aca="false">1000/(FP_RefPx*(1+FP_PremL))</f>
        <v>2.84030794618753</v>
      </c>
      <c r="L21" s="25" t="n">
        <f aca="false">1000/K21</f>
        <v>352.0745</v>
      </c>
      <c r="M21" s="26" t="n">
        <f aca="false">IFERROR(MATCH(B21-1,Q_End,1),0)+1</f>
        <v>13</v>
      </c>
      <c r="N21" s="26" t="n">
        <f aca="false">IFERROR(MATCH(D21-1,Q_End,1),0)+1</f>
        <v>29</v>
      </c>
      <c r="O21" s="26" t="n">
        <f aca="false">IF(SharePx&gt;=L21*J21,1,0)</f>
        <v>0</v>
      </c>
      <c r="P21" s="26" t="n">
        <f aca="false">CHOOSE(DilMethod,1,IF(DilPx&gt;L21,1,0),0)</f>
        <v>0</v>
      </c>
      <c r="Q21" s="24" t="s">
        <v>2483</v>
      </c>
      <c r="R21" s="24" t="s">
        <v>2499</v>
      </c>
      <c r="S21" s="56" t="n">
        <f aca="false">1</f>
        <v>1</v>
      </c>
      <c r="T21" s="141" t="n">
        <f aca="false">B21</f>
        <v>46432</v>
      </c>
    </row>
    <row r="22" customFormat="false" ht="15" hidden="false" customHeight="false" outlineLevel="0" collapsed="false">
      <c r="A22" s="0" t="s">
        <v>2501</v>
      </c>
      <c r="B22" s="142" t="n">
        <f aca="false">INDEX(Q_End,1,FP_CV2Idx-1)+45</f>
        <v>46613</v>
      </c>
      <c r="C22" s="143" t="n">
        <f aca="false">FP_CpnS</f>
        <v>0.005</v>
      </c>
      <c r="D22" s="142" t="n">
        <f aca="false">EDATE(B22,12*FP_TenS)</f>
        <v>47893</v>
      </c>
      <c r="E22" s="127" t="n">
        <f aca="false">FP_On*(1-StopBuild)*FP_CVOpen*FP_CV2Net*FP_ShortSh</f>
        <v>3840</v>
      </c>
      <c r="F22" s="82" t="n">
        <v>0</v>
      </c>
      <c r="G22" s="82" t="n">
        <v>0</v>
      </c>
      <c r="H22" s="23" t="n">
        <v>0</v>
      </c>
      <c r="I22" s="23" t="n">
        <v>0</v>
      </c>
      <c r="J22" s="144" t="n">
        <f aca="false">FP_AccS</f>
        <v>1.1</v>
      </c>
      <c r="K22" s="145" t="n">
        <f aca="false">1000/(FP_RefPx*(1+FP_PremS))</f>
        <v>2.94174751569422</v>
      </c>
      <c r="L22" s="25" t="n">
        <f aca="false">1000/K22</f>
        <v>339.934</v>
      </c>
      <c r="M22" s="26" t="n">
        <f aca="false">IFERROR(MATCH(B22-1,Q_End,1),0)+1</f>
        <v>15</v>
      </c>
      <c r="N22" s="26" t="n">
        <f aca="false">IFERROR(MATCH(D22-1,Q_End,1),0)+1</f>
        <v>29</v>
      </c>
      <c r="O22" s="26" t="n">
        <f aca="false">IF(SharePx&gt;=L22*J22,1,0)</f>
        <v>0</v>
      </c>
      <c r="P22" s="26" t="n">
        <f aca="false">CHOOSE(DilMethod,1,IF(DilPx&gt;L22,1,0),0)</f>
        <v>0</v>
      </c>
      <c r="Q22" s="24" t="s">
        <v>2483</v>
      </c>
      <c r="R22" s="24" t="s">
        <v>2499</v>
      </c>
      <c r="S22" s="56" t="n">
        <f aca="false">1</f>
        <v>1</v>
      </c>
      <c r="T22" s="141" t="n">
        <f aca="false">B22</f>
        <v>46613</v>
      </c>
    </row>
    <row r="23" customFormat="false" ht="15" hidden="false" customHeight="false" outlineLevel="0" collapsed="false">
      <c r="A23" s="0" t="s">
        <v>2502</v>
      </c>
      <c r="B23" s="142" t="n">
        <f aca="false">INDEX(Q_End,1,FP_CV2Idx-1)+45</f>
        <v>46613</v>
      </c>
      <c r="C23" s="143" t="n">
        <f aca="false">FP_CpnL</f>
        <v>0.045</v>
      </c>
      <c r="D23" s="142" t="n">
        <f aca="false">EDATE(B23,12*FP_TenL)</f>
        <v>49354</v>
      </c>
      <c r="E23" s="127" t="n">
        <f aca="false">FP_On*(1-StopBuild)*FP_CVOpen*FP_CV2Net*(1-FP_ShortSh)</f>
        <v>2560</v>
      </c>
      <c r="F23" s="82" t="n">
        <v>0</v>
      </c>
      <c r="G23" s="82" t="n">
        <v>0</v>
      </c>
      <c r="H23" s="23" t="n">
        <v>0</v>
      </c>
      <c r="I23" s="23" t="n">
        <v>0</v>
      </c>
      <c r="J23" s="144" t="n">
        <f aca="false">FP_AccL</f>
        <v>1.25</v>
      </c>
      <c r="K23" s="145" t="n">
        <f aca="false">1000/(FP_RefPx*(1+FP_PremL))</f>
        <v>2.84030794618753</v>
      </c>
      <c r="L23" s="25" t="n">
        <f aca="false">1000/K23</f>
        <v>352.0745</v>
      </c>
      <c r="M23" s="26" t="n">
        <f aca="false">IFERROR(MATCH(B23-1,Q_End,1),0)+1</f>
        <v>15</v>
      </c>
      <c r="N23" s="26" t="n">
        <f aca="false">IFERROR(MATCH(D23-1,Q_End,1),0)+1</f>
        <v>29</v>
      </c>
      <c r="O23" s="26" t="n">
        <f aca="false">IF(SharePx&gt;=L23*J23,1,0)</f>
        <v>0</v>
      </c>
      <c r="P23" s="26" t="n">
        <f aca="false">CHOOSE(DilMethod,1,IF(DilPx&gt;L23,1,0),0)</f>
        <v>0</v>
      </c>
      <c r="Q23" s="24" t="s">
        <v>2483</v>
      </c>
      <c r="R23" s="24" t="s">
        <v>2499</v>
      </c>
      <c r="S23" s="56" t="n">
        <f aca="false">1</f>
        <v>1</v>
      </c>
      <c r="T23" s="141" t="n">
        <f aca="false">B23</f>
        <v>46613</v>
      </c>
    </row>
    <row r="24" customFormat="false" ht="15" hidden="false" customHeight="false" outlineLevel="0" collapsed="false">
      <c r="A24" s="3" t="s">
        <v>2503</v>
      </c>
      <c r="E24" s="50" t="n">
        <f aca="false">SUM(E12:E23)</f>
        <v>27050</v>
      </c>
      <c r="F24" s="50" t="n">
        <f aca="false">SUM(F12:F23)</f>
        <v>25</v>
      </c>
      <c r="G24" s="50" t="n">
        <f aca="false">SUM(G12:G23)</f>
        <v>800</v>
      </c>
      <c r="I24" s="50" t="n">
        <f aca="false">SUM(I12:I23)</f>
        <v>15.77</v>
      </c>
    </row>
    <row r="27" customFormat="false" ht="15" hidden="false" customHeight="false" outlineLevel="0" collapsed="false">
      <c r="A27" s="64" t="s">
        <v>2504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</row>
    <row r="28" customFormat="false" ht="15" hidden="false" customHeight="false" outlineLevel="0" collapsed="false">
      <c r="A28" s="112" t="s">
        <v>2505</v>
      </c>
      <c r="B28" s="24" t="s">
        <v>745</v>
      </c>
      <c r="C28" s="24" t="s">
        <v>736</v>
      </c>
      <c r="D28" s="24"/>
      <c r="F28" s="130" t="n">
        <f aca="false">IF(AND(F$5&gt;=$M$12,F$5&lt;$N$12),$E$12-$F$12-IF(F$5&gt;=$H$12,$G$12,0),0)*($H$12&lt;&gt;0)+IF(AND(F$5&gt;=$M$12,F$5&lt;$N$12),$E$12-$F$12,0)*($H$12=0)</f>
        <v>0</v>
      </c>
      <c r="G28" s="130" t="n">
        <f aca="false">IF(AND(G$5&gt;=$M$12,G$5&lt;$N$12),$E$12-$F$12-IF(G$5&gt;=$H$12,$G$12,0),0)*($H$12&lt;&gt;0)+IF(AND(G$5&gt;=$M$12,G$5&lt;$N$12),$E$12-$F$12,0)*($H$12=0)</f>
        <v>0</v>
      </c>
      <c r="H28" s="130" t="n">
        <f aca="false">IF(AND(H$5&gt;=$M$12,H$5&lt;$N$12),$E$12-$F$12-IF(H$5&gt;=$H$12,$G$12,0),0)*($H$12&lt;&gt;0)+IF(AND(H$5&gt;=$M$12,H$5&lt;$N$12),$E$12-$F$12,0)*($H$12=0)</f>
        <v>0</v>
      </c>
      <c r="I28" s="130" t="n">
        <f aca="false">IF(AND(I$5&gt;=$M$12,I$5&lt;$N$12),$E$12-$F$12-IF(I$5&gt;=$H$12,$G$12,0),0)*($H$12&lt;&gt;0)+IF(AND(I$5&gt;=$M$12,I$5&lt;$N$12),$E$12-$F$12,0)*($H$12=0)</f>
        <v>0</v>
      </c>
      <c r="J28" s="130" t="n">
        <f aca="false">IF(AND(J$5&gt;=$M$12,J$5&lt;$N$12),$E$12-$F$12-IF(J$5&gt;=$H$12,$G$12,0),0)*($H$12&lt;&gt;0)+IF(AND(J$5&gt;=$M$12,J$5&lt;$N$12),$E$12-$F$12,0)*($H$12=0)</f>
        <v>0</v>
      </c>
      <c r="K28" s="130" t="n">
        <f aca="false">IF(AND(K$5&gt;=$M$12,K$5&lt;$N$12),$E$12-$F$12-IF(K$5&gt;=$H$12,$G$12,0),0)*($H$12&lt;&gt;0)+IF(AND(K$5&gt;=$M$12,K$5&lt;$N$12),$E$12-$F$12,0)*($H$12=0)</f>
        <v>487.5</v>
      </c>
      <c r="L28" s="130" t="n">
        <f aca="false">IF(AND(L$5&gt;=$M$12,L$5&lt;$N$12),$E$12-$F$12-IF(L$5&gt;=$H$12,$G$12,0),0)*($H$12&lt;&gt;0)+IF(AND(L$5&gt;=$M$12,L$5&lt;$N$12),$E$12-$F$12,0)*($H$12=0)</f>
        <v>487.5</v>
      </c>
      <c r="M28" s="130" t="n">
        <f aca="false">IF(AND(M$5&gt;=$M$12,M$5&lt;$N$12),$E$12-$F$12-IF(M$5&gt;=$H$12,$G$12,0),0)*($H$12&lt;&gt;0)+IF(AND(M$5&gt;=$M$12,M$5&lt;$N$12),$E$12-$F$12,0)*($H$12=0)</f>
        <v>487.5</v>
      </c>
      <c r="N28" s="130" t="n">
        <f aca="false">IF(AND(N$5&gt;=$M$12,N$5&lt;$N$12),$E$12-$F$12-IF(N$5&gt;=$H$12,$G$12,0),0)*($H$12&lt;&gt;0)+IF(AND(N$5&gt;=$M$12,N$5&lt;$N$12),$E$12-$F$12,0)*($H$12=0)</f>
        <v>487.5</v>
      </c>
      <c r="O28" s="130" t="n">
        <f aca="false">IF(AND(O$5&gt;=$M$12,O$5&lt;$N$12),$E$12-$F$12-IF(O$5&gt;=$H$12,$G$12,0),0)*($H$12&lt;&gt;0)+IF(AND(O$5&gt;=$M$12,O$5&lt;$N$12),$E$12-$F$12,0)*($H$12=0)</f>
        <v>487.5</v>
      </c>
      <c r="P28" s="131" t="n">
        <f aca="false">IF(AND(P$5&gt;=$M$12,P$5&lt;$N$12),$E$12-$F$12-IF(P$5&gt;=$H$12,$G$12,0),0)*($H$12&lt;&gt;0)+IF(AND(P$5&gt;=$M$12,P$5&lt;$N$12),$E$12-$F$12,0)*($H$12=0)</f>
        <v>87.5</v>
      </c>
      <c r="Q28" s="131" t="n">
        <f aca="false">IF(AND(Q$5&gt;=$M$12,Q$5&lt;$N$12),$E$12-$F$12-IF(Q$5&gt;=$H$12,$G$12,0),0)*($H$12&lt;&gt;0)+IF(AND(Q$5&gt;=$M$12,Q$5&lt;$N$12),$E$12-$F$12,0)*($H$12=0)</f>
        <v>87.5</v>
      </c>
      <c r="R28" s="131" t="n">
        <f aca="false">IF(AND(R$5&gt;=$M$12,R$5&lt;$N$12),$E$12-$F$12-IF(R$5&gt;=$H$12,$G$12,0),0)*($H$12&lt;&gt;0)+IF(AND(R$5&gt;=$M$12,R$5&lt;$N$12),$E$12-$F$12,0)*($H$12=0)</f>
        <v>87.5</v>
      </c>
      <c r="S28" s="131" t="n">
        <f aca="false">IF(AND(S$5&gt;=$M$12,S$5&lt;$N$12),$E$12-$F$12-IF(S$5&gt;=$H$12,$G$12,0),0)*($H$12&lt;&gt;0)+IF(AND(S$5&gt;=$M$12,S$5&lt;$N$12),$E$12-$F$12,0)*($H$12=0)</f>
        <v>87.5</v>
      </c>
      <c r="T28" s="131" t="n">
        <f aca="false">IF(AND(T$5&gt;=$M$12,T$5&lt;$N$12),$E$12-$F$12-IF(T$5&gt;=$H$12,$G$12,0),0)*($H$12&lt;&gt;0)+IF(AND(T$5&gt;=$M$12,T$5&lt;$N$12),$E$12-$F$12,0)*($H$12=0)</f>
        <v>87.5</v>
      </c>
      <c r="U28" s="131" t="n">
        <f aca="false">IF(AND(U$5&gt;=$M$12,U$5&lt;$N$12),$E$12-$F$12-IF(U$5&gt;=$H$12,$G$12,0),0)*($H$12&lt;&gt;0)+IF(AND(U$5&gt;=$M$12,U$5&lt;$N$12),$E$12-$F$12,0)*($H$12=0)</f>
        <v>87.5</v>
      </c>
      <c r="V28" s="131" t="n">
        <f aca="false">IF(AND(V$5&gt;=$M$12,V$5&lt;$N$12),$E$12-$F$12-IF(V$5&gt;=$H$12,$G$12,0),0)*($H$12&lt;&gt;0)+IF(AND(V$5&gt;=$M$12,V$5&lt;$N$12),$E$12-$F$12,0)*($H$12=0)</f>
        <v>87.5</v>
      </c>
      <c r="W28" s="131" t="n">
        <f aca="false">IF(AND(W$5&gt;=$M$12,W$5&lt;$N$12),$E$12-$F$12-IF(W$5&gt;=$H$12,$G$12,0),0)*($H$12&lt;&gt;0)+IF(AND(W$5&gt;=$M$12,W$5&lt;$N$12),$E$12-$F$12,0)*($H$12=0)</f>
        <v>87.5</v>
      </c>
      <c r="X28" s="131" t="n">
        <f aca="false">IF(AND(X$5&gt;=$M$12,X$5&lt;$N$12),$E$12-$F$12-IF(X$5&gt;=$H$12,$G$12,0),0)*($H$12&lt;&gt;0)+IF(AND(X$5&gt;=$M$12,X$5&lt;$N$12),$E$12-$F$12,0)*($H$12=0)</f>
        <v>87.5</v>
      </c>
      <c r="Y28" s="131" t="n">
        <f aca="false">IF(AND(Y$5&gt;=$M$12,Y$5&lt;$N$12),$E$12-$F$12-IF(Y$5&gt;=$H$12,$G$12,0),0)*($H$12&lt;&gt;0)+IF(AND(Y$5&gt;=$M$12,Y$5&lt;$N$12),$E$12-$F$12,0)*($H$12=0)</f>
        <v>87.5</v>
      </c>
      <c r="Z28" s="131" t="n">
        <f aca="false">IF(AND(Z$5&gt;=$M$12,Z$5&lt;$N$12),$E$12-$F$12-IF(Z$5&gt;=$H$12,$G$12,0),0)*($H$12&lt;&gt;0)+IF(AND(Z$5&gt;=$M$12,Z$5&lt;$N$12),$E$12-$F$12,0)*($H$12=0)</f>
        <v>87.5</v>
      </c>
      <c r="AA28" s="131" t="n">
        <f aca="false">IF(AND(AA$5&gt;=$M$12,AA$5&lt;$N$12),$E$12-$F$12-IF(AA$5&gt;=$H$12,$G$12,0),0)*($H$12&lt;&gt;0)+IF(AND(AA$5&gt;=$M$12,AA$5&lt;$N$12),$E$12-$F$12,0)*($H$12=0)</f>
        <v>0</v>
      </c>
      <c r="AB28" s="131" t="n">
        <f aca="false">IF(AND(AB$5&gt;=$M$12,AB$5&lt;$N$12),$E$12-$F$12-IF(AB$5&gt;=$H$12,$G$12,0),0)*($H$12&lt;&gt;0)+IF(AND(AB$5&gt;=$M$12,AB$5&lt;$N$12),$E$12-$F$12,0)*($H$12=0)</f>
        <v>0</v>
      </c>
      <c r="AC28" s="131" t="n">
        <f aca="false">IF(AND(AC$5&gt;=$M$12,AC$5&lt;$N$12),$E$12-$F$12-IF(AC$5&gt;=$H$12,$G$12,0),0)*($H$12&lt;&gt;0)+IF(AND(AC$5&gt;=$M$12,AC$5&lt;$N$12),$E$12-$F$12,0)*($H$12=0)</f>
        <v>0</v>
      </c>
      <c r="AD28" s="131" t="n">
        <f aca="false">IF(AND(AD$5&gt;=$M$12,AD$5&lt;$N$12),$E$12-$F$12-IF(AD$5&gt;=$H$12,$G$12,0),0)*($H$12&lt;&gt;0)+IF(AND(AD$5&gt;=$M$12,AD$5&lt;$N$12),$E$12-$F$12,0)*($H$12=0)</f>
        <v>0</v>
      </c>
      <c r="AE28" s="131" t="n">
        <f aca="false">IF(AND(AE$5&gt;=$M$12,AE$5&lt;$N$12),$E$12-$F$12-IF(AE$5&gt;=$H$12,$G$12,0),0)*($H$12&lt;&gt;0)+IF(AND(AE$5&gt;=$M$12,AE$5&lt;$N$12),$E$12-$F$12,0)*($H$12=0)</f>
        <v>0</v>
      </c>
      <c r="AF28" s="131" t="n">
        <f aca="false">IF(AND(AF$5&gt;=$M$12,AF$5&lt;$N$12),$E$12-$F$12-IF(AF$5&gt;=$H$12,$G$12,0),0)*($H$12&lt;&gt;0)+IF(AND(AF$5&gt;=$M$12,AF$5&lt;$N$12),$E$12-$F$12,0)*($H$12=0)</f>
        <v>0</v>
      </c>
      <c r="AG28" s="131" t="n">
        <f aca="false">IF(AND(AG$5&gt;=$M$12,AG$5&lt;$N$12),$E$12-$F$12-IF(AG$5&gt;=$H$12,$G$12,0),0)*($H$12&lt;&gt;0)+IF(AND(AG$5&gt;=$M$12,AG$5&lt;$N$12),$E$12-$F$12,0)*($H$12=0)</f>
        <v>0</v>
      </c>
      <c r="AI28" s="131" t="n">
        <f aca="false">INDEX($F28:$AG28,1,MATCH(AI$7,$F$7:$AG$7,1))</f>
        <v>0</v>
      </c>
      <c r="AJ28" s="131" t="n">
        <f aca="false">INDEX($F28:$AG28,1,MATCH(AJ$7,$F$7:$AG$7,1))</f>
        <v>487.5</v>
      </c>
      <c r="AK28" s="131" t="n">
        <f aca="false">INDEX($F28:$AG28,1,MATCH(AK$7,$F$7:$AG$7,1))</f>
        <v>87.5</v>
      </c>
      <c r="AL28" s="131" t="n">
        <f aca="false">INDEX($F28:$AG28,1,MATCH(AL$7,$F$7:$AG$7,1))</f>
        <v>87.5</v>
      </c>
      <c r="AM28" s="131" t="n">
        <f aca="false">INDEX($F28:$AG28,1,MATCH(AM$7,$F$7:$AG$7,1))</f>
        <v>87.5</v>
      </c>
      <c r="AN28" s="131" t="n">
        <f aca="false">INDEX($F28:$AG28,1,MATCH(AN$7,$F$7:$AG$7,1))</f>
        <v>0</v>
      </c>
      <c r="AO28" s="131" t="n">
        <f aca="false">INDEX($F28:$AG28,1,MATCH(AO$7,$F$7:$AG$7,1))</f>
        <v>0</v>
      </c>
    </row>
    <row r="29" customFormat="false" ht="15" hidden="false" customHeight="false" outlineLevel="0" collapsed="false">
      <c r="A29" s="112" t="s">
        <v>2506</v>
      </c>
      <c r="B29" s="24" t="s">
        <v>745</v>
      </c>
      <c r="C29" s="24" t="s">
        <v>736</v>
      </c>
      <c r="D29" s="24"/>
      <c r="F29" s="130" t="n">
        <f aca="false">F28*$C$12/4</f>
        <v>0</v>
      </c>
      <c r="G29" s="130" t="n">
        <f aca="false">G28*$C$12/4</f>
        <v>0</v>
      </c>
      <c r="H29" s="130" t="n">
        <f aca="false">H28*$C$12/4</f>
        <v>0</v>
      </c>
      <c r="I29" s="130" t="n">
        <f aca="false">I28*$C$12/4</f>
        <v>0</v>
      </c>
      <c r="J29" s="130" t="n">
        <f aca="false">J28*$C$12/4</f>
        <v>0</v>
      </c>
      <c r="K29" s="130" t="n">
        <f aca="false">K28*$C$12/4</f>
        <v>2.4375</v>
      </c>
      <c r="L29" s="130" t="n">
        <f aca="false">L28*$C$12/4</f>
        <v>2.4375</v>
      </c>
      <c r="M29" s="130" t="n">
        <f aca="false">M28*$C$12/4</f>
        <v>2.4375</v>
      </c>
      <c r="N29" s="130" t="n">
        <f aca="false">N28*$C$12/4</f>
        <v>2.4375</v>
      </c>
      <c r="O29" s="130" t="n">
        <f aca="false">O28*$C$12/4</f>
        <v>2.4375</v>
      </c>
      <c r="P29" s="131" t="n">
        <f aca="false">P28*$C$12/4</f>
        <v>0.4375</v>
      </c>
      <c r="Q29" s="131" t="n">
        <f aca="false">Q28*$C$12/4</f>
        <v>0.4375</v>
      </c>
      <c r="R29" s="131" t="n">
        <f aca="false">R28*$C$12/4</f>
        <v>0.4375</v>
      </c>
      <c r="S29" s="131" t="n">
        <f aca="false">S28*$C$12/4</f>
        <v>0.4375</v>
      </c>
      <c r="T29" s="131" t="n">
        <f aca="false">T28*$C$12/4</f>
        <v>0.4375</v>
      </c>
      <c r="U29" s="131" t="n">
        <f aca="false">U28*$C$12/4</f>
        <v>0.4375</v>
      </c>
      <c r="V29" s="131" t="n">
        <f aca="false">V28*$C$12/4</f>
        <v>0.4375</v>
      </c>
      <c r="W29" s="131" t="n">
        <f aca="false">W28*$C$12/4</f>
        <v>0.4375</v>
      </c>
      <c r="X29" s="131" t="n">
        <f aca="false">X28*$C$12/4</f>
        <v>0.4375</v>
      </c>
      <c r="Y29" s="131" t="n">
        <f aca="false">Y28*$C$12/4</f>
        <v>0.4375</v>
      </c>
      <c r="Z29" s="131" t="n">
        <f aca="false">Z28*$C$12/4</f>
        <v>0.4375</v>
      </c>
      <c r="AA29" s="131" t="n">
        <f aca="false">AA28*$C$12/4</f>
        <v>0</v>
      </c>
      <c r="AB29" s="131" t="n">
        <f aca="false">AB28*$C$12/4</f>
        <v>0</v>
      </c>
      <c r="AC29" s="131" t="n">
        <f aca="false">AC28*$C$12/4</f>
        <v>0</v>
      </c>
      <c r="AD29" s="131" t="n">
        <f aca="false">AD28*$C$12/4</f>
        <v>0</v>
      </c>
      <c r="AE29" s="131" t="n">
        <f aca="false">AE28*$C$12/4</f>
        <v>0</v>
      </c>
      <c r="AF29" s="131" t="n">
        <f aca="false">AF28*$C$12/4</f>
        <v>0</v>
      </c>
      <c r="AG29" s="131" t="n">
        <f aca="false">AG28*$C$12/4</f>
        <v>0</v>
      </c>
      <c r="AI29" s="131" t="n">
        <f aca="false">SUMIF($F$7:$AG$7,AI$7,$F29:$AG29)</f>
        <v>0</v>
      </c>
      <c r="AJ29" s="131" t="n">
        <f aca="false">SUMIF($F$7:$AG$7,AJ$7,$F29:$AG29)</f>
        <v>7.3125</v>
      </c>
      <c r="AK29" s="131" t="n">
        <f aca="false">SUMIF($F$7:$AG$7,AK$7,$F29:$AG29)</f>
        <v>5.75</v>
      </c>
      <c r="AL29" s="131" t="n">
        <f aca="false">SUMIF($F$7:$AG$7,AL$7,$F29:$AG29)</f>
        <v>1.75</v>
      </c>
      <c r="AM29" s="131" t="n">
        <f aca="false">SUMIF($F$7:$AG$7,AM$7,$F29:$AG29)</f>
        <v>1.75</v>
      </c>
      <c r="AN29" s="131" t="n">
        <f aca="false">SUMIF($F$7:$AG$7,AN$7,$F29:$AG29)</f>
        <v>0.4375</v>
      </c>
      <c r="AO29" s="131" t="n">
        <f aca="false">SUMIF($F$7:$AG$7,AO$7,$F29:$AG29)</f>
        <v>0</v>
      </c>
    </row>
    <row r="30" customFormat="false" ht="15" hidden="false" customHeight="false" outlineLevel="0" collapsed="false">
      <c r="A30" s="112" t="s">
        <v>2507</v>
      </c>
      <c r="B30" s="24" t="s">
        <v>745</v>
      </c>
      <c r="C30" s="24" t="s">
        <v>736</v>
      </c>
      <c r="D30" s="24"/>
      <c r="F30" s="130" t="n">
        <f aca="false">F28*($J$12-1)/(($D$12-$B$12)/91.3125)</f>
        <v>0</v>
      </c>
      <c r="G30" s="130" t="n">
        <f aca="false">G28*($J$12-1)/(($D$12-$B$12)/91.3125)</f>
        <v>0</v>
      </c>
      <c r="H30" s="130" t="n">
        <f aca="false">H28*($J$12-1)/(($D$12-$B$12)/91.3125)</f>
        <v>0</v>
      </c>
      <c r="I30" s="130" t="n">
        <f aca="false">I28*($J$12-1)/(($D$12-$B$12)/91.3125)</f>
        <v>0</v>
      </c>
      <c r="J30" s="130" t="n">
        <f aca="false">J28*($J$12-1)/(($D$12-$B$12)/91.3125)</f>
        <v>0</v>
      </c>
      <c r="K30" s="130" t="n">
        <f aca="false">K28*($J$12-1)/(($D$12-$B$12)/91.3125)</f>
        <v>5.34666963366507</v>
      </c>
      <c r="L30" s="130" t="n">
        <f aca="false">L28*($J$12-1)/(($D$12-$B$12)/91.3125)</f>
        <v>5.34666963366507</v>
      </c>
      <c r="M30" s="130" t="n">
        <f aca="false">M28*($J$12-1)/(($D$12-$B$12)/91.3125)</f>
        <v>5.34666963366507</v>
      </c>
      <c r="N30" s="130" t="n">
        <f aca="false">N28*($J$12-1)/(($D$12-$B$12)/91.3125)</f>
        <v>5.34666963366507</v>
      </c>
      <c r="O30" s="130" t="n">
        <f aca="false">O28*($J$12-1)/(($D$12-$B$12)/91.3125)</f>
        <v>5.34666963366507</v>
      </c>
      <c r="P30" s="131" t="n">
        <f aca="false">P28*($J$12-1)/(($D$12-$B$12)/91.3125)</f>
        <v>0.959658652196294</v>
      </c>
      <c r="Q30" s="131" t="n">
        <f aca="false">Q28*($J$12-1)/(($D$12-$B$12)/91.3125)</f>
        <v>0.959658652196294</v>
      </c>
      <c r="R30" s="131" t="n">
        <f aca="false">R28*($J$12-1)/(($D$12-$B$12)/91.3125)</f>
        <v>0.959658652196294</v>
      </c>
      <c r="S30" s="131" t="n">
        <f aca="false">S28*($J$12-1)/(($D$12-$B$12)/91.3125)</f>
        <v>0.959658652196294</v>
      </c>
      <c r="T30" s="131" t="n">
        <f aca="false">T28*($J$12-1)/(($D$12-$B$12)/91.3125)</f>
        <v>0.959658652196294</v>
      </c>
      <c r="U30" s="131" t="n">
        <f aca="false">U28*($J$12-1)/(($D$12-$B$12)/91.3125)</f>
        <v>0.959658652196294</v>
      </c>
      <c r="V30" s="131" t="n">
        <f aca="false">V28*($J$12-1)/(($D$12-$B$12)/91.3125)</f>
        <v>0.959658652196294</v>
      </c>
      <c r="W30" s="131" t="n">
        <f aca="false">W28*($J$12-1)/(($D$12-$B$12)/91.3125)</f>
        <v>0.959658652196294</v>
      </c>
      <c r="X30" s="131" t="n">
        <f aca="false">X28*($J$12-1)/(($D$12-$B$12)/91.3125)</f>
        <v>0.959658652196294</v>
      </c>
      <c r="Y30" s="131" t="n">
        <f aca="false">Y28*($J$12-1)/(($D$12-$B$12)/91.3125)</f>
        <v>0.959658652196294</v>
      </c>
      <c r="Z30" s="131" t="n">
        <f aca="false">Z28*($J$12-1)/(($D$12-$B$12)/91.3125)</f>
        <v>0.959658652196294</v>
      </c>
      <c r="AA30" s="131" t="n">
        <f aca="false">AA28*($J$12-1)/(($D$12-$B$12)/91.3125)</f>
        <v>0</v>
      </c>
      <c r="AB30" s="131" t="n">
        <f aca="false">AB28*($J$12-1)/(($D$12-$B$12)/91.3125)</f>
        <v>0</v>
      </c>
      <c r="AC30" s="131" t="n">
        <f aca="false">AC28*($J$12-1)/(($D$12-$B$12)/91.3125)</f>
        <v>0</v>
      </c>
      <c r="AD30" s="131" t="n">
        <f aca="false">AD28*($J$12-1)/(($D$12-$B$12)/91.3125)</f>
        <v>0</v>
      </c>
      <c r="AE30" s="131" t="n">
        <f aca="false">AE28*($J$12-1)/(($D$12-$B$12)/91.3125)</f>
        <v>0</v>
      </c>
      <c r="AF30" s="131" t="n">
        <f aca="false">AF28*($J$12-1)/(($D$12-$B$12)/91.3125)</f>
        <v>0</v>
      </c>
      <c r="AG30" s="131" t="n">
        <f aca="false">AG28*($J$12-1)/(($D$12-$B$12)/91.3125)</f>
        <v>0</v>
      </c>
      <c r="AI30" s="131" t="n">
        <f aca="false">SUMIF($F$7:$AG$7,AI$7,$F30:$AG30)</f>
        <v>0</v>
      </c>
      <c r="AJ30" s="131" t="n">
        <f aca="false">SUMIF($F$7:$AG$7,AJ$7,$F30:$AG30)</f>
        <v>16.0400089009952</v>
      </c>
      <c r="AK30" s="131" t="n">
        <f aca="false">SUMIF($F$7:$AG$7,AK$7,$F30:$AG30)</f>
        <v>12.6126565717227</v>
      </c>
      <c r="AL30" s="131" t="n">
        <f aca="false">SUMIF($F$7:$AG$7,AL$7,$F30:$AG30)</f>
        <v>3.83863460878518</v>
      </c>
      <c r="AM30" s="131" t="n">
        <f aca="false">SUMIF($F$7:$AG$7,AM$7,$F30:$AG30)</f>
        <v>3.83863460878518</v>
      </c>
      <c r="AN30" s="131" t="n">
        <f aca="false">SUMIF($F$7:$AG$7,AN$7,$F30:$AG30)</f>
        <v>0.959658652196294</v>
      </c>
      <c r="AO30" s="131" t="n">
        <f aca="false">SUMIF($F$7:$AG$7,AO$7,$F30:$AG30)</f>
        <v>0</v>
      </c>
    </row>
    <row r="31" customFormat="false" ht="15" hidden="false" customHeight="false" outlineLevel="0" collapsed="false">
      <c r="A31" s="112" t="s">
        <v>2508</v>
      </c>
      <c r="B31" s="24" t="s">
        <v>745</v>
      </c>
      <c r="C31" s="24" t="s">
        <v>736</v>
      </c>
      <c r="D31" s="24"/>
      <c r="F31" s="130" t="n">
        <f aca="false">F28*(1+($J$12-1)*MIN(1,MAX(0,(F$4-$B$12)/($D$12-$B$12))))</f>
        <v>0</v>
      </c>
      <c r="G31" s="130" t="n">
        <f aca="false">G28*(1+($J$12-1)*MIN(1,MAX(0,(G$4-$B$12)/($D$12-$B$12))))</f>
        <v>0</v>
      </c>
      <c r="H31" s="130" t="n">
        <f aca="false">H28*(1+($J$12-1)*MIN(1,MAX(0,(H$4-$B$12)/($D$12-$B$12))))</f>
        <v>0</v>
      </c>
      <c r="I31" s="130" t="n">
        <f aca="false">I28*(1+($J$12-1)*MIN(1,MAX(0,(I$4-$B$12)/($D$12-$B$12))))</f>
        <v>0</v>
      </c>
      <c r="J31" s="130" t="n">
        <f aca="false">J28*(1+($J$12-1)*MIN(1,MAX(0,(J$4-$B$12)/($D$12-$B$12))))</f>
        <v>0</v>
      </c>
      <c r="K31" s="130" t="n">
        <f aca="false">K28*(1+($J$12-1)*MIN(1,MAX(0,(K$4-$B$12)/($D$12-$B$12))))</f>
        <v>488.963838366507</v>
      </c>
      <c r="L31" s="130" t="n">
        <f aca="false">L28*(1+($J$12-1)*MIN(1,MAX(0,(L$4-$B$12)/($D$12-$B$12))))</f>
        <v>494.35076355525</v>
      </c>
      <c r="M31" s="130" t="n">
        <f aca="false">M28*(1+($J$12-1)*MIN(1,MAX(0,(M$4-$B$12)/($D$12-$B$12))))</f>
        <v>499.737688743995</v>
      </c>
      <c r="N31" s="130" t="n">
        <f aca="false">N28*(1+($J$12-1)*MIN(1,MAX(0,(N$4-$B$12)/($D$12-$B$12))))</f>
        <v>505.007506863418</v>
      </c>
      <c r="O31" s="130" t="n">
        <f aca="false">O28*(1+($J$12-1)*MIN(1,MAX(0,(O$4-$B$12)/($D$12-$B$12))))</f>
        <v>510.335878517502</v>
      </c>
      <c r="P31" s="131" t="n">
        <f aca="false">P28*(1+($J$12-1)*MIN(1,MAX(0,(P$4-$B$12)/($D$12-$B$12))))</f>
        <v>92.5656314344544</v>
      </c>
      <c r="Q31" s="131" t="n">
        <f aca="false">Q28*(1+($J$12-1)*MIN(1,MAX(0,(Q$4-$B$12)/($D$12-$B$12))))</f>
        <v>93.5325154426905</v>
      </c>
      <c r="R31" s="131" t="n">
        <f aca="false">R28*(1+($J$12-1)*MIN(1,MAX(0,(R$4-$B$12)/($D$12-$B$12))))</f>
        <v>94.4783802333562</v>
      </c>
      <c r="S31" s="131" t="n">
        <f aca="false">S28*(1+($J$12-1)*MIN(1,MAX(0,(S$4-$B$12)/($D$12-$B$12))))</f>
        <v>95.4347546328071</v>
      </c>
      <c r="T31" s="131" t="n">
        <f aca="false">T28*(1+($J$12-1)*MIN(1,MAX(0,(T$4-$B$12)/($D$12-$B$12))))</f>
        <v>96.4016386410432</v>
      </c>
      <c r="U31" s="131" t="n">
        <f aca="false">U28*(1+($J$12-1)*MIN(1,MAX(0,(U$4-$B$12)/($D$12-$B$12))))</f>
        <v>97.3685226492793</v>
      </c>
      <c r="V31" s="131" t="n">
        <f aca="false">V28*(1+($J$12-1)*MIN(1,MAX(0,(V$4-$B$12)/($D$12-$B$12))))</f>
        <v>98.3248970487303</v>
      </c>
      <c r="W31" s="131" t="n">
        <f aca="false">W28*(1+($J$12-1)*MIN(1,MAX(0,(W$4-$B$12)/($D$12-$B$12))))</f>
        <v>99.2812714481812</v>
      </c>
      <c r="X31" s="131" t="n">
        <f aca="false">X28*(1+($J$12-1)*MIN(1,MAX(0,(X$4-$B$12)/($D$12-$B$12))))</f>
        <v>100.248155456417</v>
      </c>
      <c r="Y31" s="131" t="n">
        <f aca="false">Y28*(1+($J$12-1)*MIN(1,MAX(0,(Y$4-$B$12)/($D$12-$B$12))))</f>
        <v>101.215039464653</v>
      </c>
      <c r="Z31" s="131" t="n">
        <f aca="false">Z28*(1+($J$12-1)*MIN(1,MAX(0,(Z$4-$B$12)/($D$12-$B$12))))</f>
        <v>102.160904255319</v>
      </c>
      <c r="AA31" s="131" t="n">
        <f aca="false">AA28*(1+($J$12-1)*MIN(1,MAX(0,(AA$4-$B$12)/($D$12-$B$12))))</f>
        <v>0</v>
      </c>
      <c r="AB31" s="131" t="n">
        <f aca="false">AB28*(1+($J$12-1)*MIN(1,MAX(0,(AB$4-$B$12)/($D$12-$B$12))))</f>
        <v>0</v>
      </c>
      <c r="AC31" s="131" t="n">
        <f aca="false">AC28*(1+($J$12-1)*MIN(1,MAX(0,(AC$4-$B$12)/($D$12-$B$12))))</f>
        <v>0</v>
      </c>
      <c r="AD31" s="131" t="n">
        <f aca="false">AD28*(1+($J$12-1)*MIN(1,MAX(0,(AD$4-$B$12)/($D$12-$B$12))))</f>
        <v>0</v>
      </c>
      <c r="AE31" s="131" t="n">
        <f aca="false">AE28*(1+($J$12-1)*MIN(1,MAX(0,(AE$4-$B$12)/($D$12-$B$12))))</f>
        <v>0</v>
      </c>
      <c r="AF31" s="131" t="n">
        <f aca="false">AF28*(1+($J$12-1)*MIN(1,MAX(0,(AF$4-$B$12)/($D$12-$B$12))))</f>
        <v>0</v>
      </c>
      <c r="AG31" s="131" t="n">
        <f aca="false">AG28*(1+($J$12-1)*MIN(1,MAX(0,(AG$4-$B$12)/($D$12-$B$12))))</f>
        <v>0</v>
      </c>
      <c r="AI31" s="131" t="n">
        <f aca="false">INDEX($F31:$AG31,1,MATCH(AI$7,$F$7:$AG$7,1))</f>
        <v>0</v>
      </c>
      <c r="AJ31" s="131" t="n">
        <f aca="false">INDEX($F31:$AG31,1,MATCH(AJ$7,$F$7:$AG$7,1))</f>
        <v>499.737688743995</v>
      </c>
      <c r="AK31" s="131" t="n">
        <f aca="false">INDEX($F31:$AG31,1,MATCH(AK$7,$F$7:$AG$7,1))</f>
        <v>93.5325154426905</v>
      </c>
      <c r="AL31" s="131" t="n">
        <f aca="false">INDEX($F31:$AG31,1,MATCH(AL$7,$F$7:$AG$7,1))</f>
        <v>97.3685226492793</v>
      </c>
      <c r="AM31" s="131" t="n">
        <f aca="false">INDEX($F31:$AG31,1,MATCH(AM$7,$F$7:$AG$7,1))</f>
        <v>101.215039464653</v>
      </c>
      <c r="AN31" s="131" t="n">
        <f aca="false">INDEX($F31:$AG31,1,MATCH(AN$7,$F$7:$AG$7,1))</f>
        <v>0</v>
      </c>
      <c r="AO31" s="131" t="n">
        <f aca="false">INDEX($F31:$AG31,1,MATCH(AO$7,$F$7:$AG$7,1))</f>
        <v>0</v>
      </c>
    </row>
    <row r="32" customFormat="false" ht="15" hidden="false" customHeight="false" outlineLevel="0" collapsed="false">
      <c r="A32" s="112" t="s">
        <v>2509</v>
      </c>
      <c r="B32" s="24" t="s">
        <v>745</v>
      </c>
      <c r="C32" s="24" t="s">
        <v>736</v>
      </c>
      <c r="D32" s="24"/>
      <c r="F32" s="130" t="n">
        <f aca="false">F28*($S$12+($J$12-$S$12)*MIN(1,MAX(0,(F$4-$T$12)/($D$12-$T$12))))</f>
        <v>0</v>
      </c>
      <c r="G32" s="130" t="n">
        <f aca="false">G28*($S$12+($J$12-$S$12)*MIN(1,MAX(0,(G$4-$T$12)/($D$12-$T$12))))</f>
        <v>0</v>
      </c>
      <c r="H32" s="130" t="n">
        <f aca="false">H28*($S$12+($J$12-$S$12)*MIN(1,MAX(0,(H$4-$T$12)/($D$12-$T$12))))</f>
        <v>0</v>
      </c>
      <c r="I32" s="130" t="n">
        <f aca="false">I28*($S$12+($J$12-$S$12)*MIN(1,MAX(0,(I$4-$T$12)/($D$12-$T$12))))</f>
        <v>0</v>
      </c>
      <c r="J32" s="130" t="n">
        <f aca="false">J28*($S$12+($J$12-$S$12)*MIN(1,MAX(0,(J$4-$T$12)/($D$12-$T$12))))</f>
        <v>0</v>
      </c>
      <c r="K32" s="130" t="n">
        <f aca="false">K28*($S$12+($J$12-$S$12)*MIN(1,MAX(0,(K$4-$T$12)/($D$12-$T$12))))</f>
        <v>504.0998625</v>
      </c>
      <c r="L32" s="130" t="n">
        <f aca="false">L28*($S$12+($J$12-$S$12)*MIN(1,MAX(0,(L$4-$T$12)/($D$12-$T$12))))</f>
        <v>504.0998625</v>
      </c>
      <c r="M32" s="130" t="n">
        <f aca="false">M28*($S$12+($J$12-$S$12)*MIN(1,MAX(0,(M$4-$T$12)/($D$12-$T$12))))</f>
        <v>504.0998625</v>
      </c>
      <c r="N32" s="130" t="n">
        <f aca="false">N28*($S$12+($J$12-$S$12)*MIN(1,MAX(0,(N$4-$T$12)/($D$12-$T$12))))</f>
        <v>504.0998625</v>
      </c>
      <c r="O32" s="130" t="n">
        <f aca="false">O28*($S$12+($J$12-$S$12)*MIN(1,MAX(0,(O$4-$T$12)/($D$12-$T$12))))</f>
        <v>504.0998625</v>
      </c>
      <c r="P32" s="131" t="n">
        <f aca="false">P28*($S$12+($J$12-$S$12)*MIN(1,MAX(0,(P$4-$T$12)/($D$12-$T$12))))</f>
        <v>91.5428546743205</v>
      </c>
      <c r="Q32" s="131" t="n">
        <f aca="false">Q28*($S$12+($J$12-$S$12)*MIN(1,MAX(0,(Q$4-$T$12)/($D$12-$T$12))))</f>
        <v>92.6062468486411</v>
      </c>
      <c r="R32" s="131" t="n">
        <f aca="false">R28*($S$12+($J$12-$S$12)*MIN(1,MAX(0,(R$4-$T$12)/($D$12-$T$12))))</f>
        <v>93.6465218017807</v>
      </c>
      <c r="S32" s="131" t="n">
        <f aca="false">S28*($S$12+($J$12-$S$12)*MIN(1,MAX(0,(S$4-$T$12)/($D$12-$T$12))))</f>
        <v>94.6983553655108</v>
      </c>
      <c r="T32" s="131" t="n">
        <f aca="false">T28*($S$12+($J$12-$S$12)*MIN(1,MAX(0,(T$4-$T$12)/($D$12-$T$12))))</f>
        <v>95.7617475398313</v>
      </c>
      <c r="U32" s="131" t="n">
        <f aca="false">U28*($S$12+($J$12-$S$12)*MIN(1,MAX(0,(U$4-$T$12)/($D$12-$T$12))))</f>
        <v>96.8251397141519</v>
      </c>
      <c r="V32" s="131" t="n">
        <f aca="false">V28*($S$12+($J$12-$S$12)*MIN(1,MAX(0,(V$4-$T$12)/($D$12-$T$12))))</f>
        <v>97.8769732778819</v>
      </c>
      <c r="W32" s="131" t="n">
        <f aca="false">W28*($S$12+($J$12-$S$12)*MIN(1,MAX(0,(W$4-$T$12)/($D$12-$T$12))))</f>
        <v>98.928806841612</v>
      </c>
      <c r="X32" s="131" t="n">
        <f aca="false">X28*($S$12+($J$12-$S$12)*MIN(1,MAX(0,(X$4-$T$12)/($D$12-$T$12))))</f>
        <v>99.9921990159325</v>
      </c>
      <c r="Y32" s="131" t="n">
        <f aca="false">Y28*($S$12+($J$12-$S$12)*MIN(1,MAX(0,(Y$4-$T$12)/($D$12-$T$12))))</f>
        <v>101.055591190253</v>
      </c>
      <c r="Z32" s="131" t="n">
        <f aca="false">Z28*($S$12+($J$12-$S$12)*MIN(1,MAX(0,(Z$4-$T$12)/($D$12-$T$12))))</f>
        <v>102.095866143393</v>
      </c>
      <c r="AA32" s="131" t="n">
        <f aca="false">AA28*($S$12+($J$12-$S$12)*MIN(1,MAX(0,(AA$4-$T$12)/($D$12-$T$12))))</f>
        <v>0</v>
      </c>
      <c r="AB32" s="131" t="n">
        <f aca="false">AB28*($S$12+($J$12-$S$12)*MIN(1,MAX(0,(AB$4-$T$12)/($D$12-$T$12))))</f>
        <v>0</v>
      </c>
      <c r="AC32" s="131" t="n">
        <f aca="false">AC28*($S$12+($J$12-$S$12)*MIN(1,MAX(0,(AC$4-$T$12)/($D$12-$T$12))))</f>
        <v>0</v>
      </c>
      <c r="AD32" s="131" t="n">
        <f aca="false">AD28*($S$12+($J$12-$S$12)*MIN(1,MAX(0,(AD$4-$T$12)/($D$12-$T$12))))</f>
        <v>0</v>
      </c>
      <c r="AE32" s="131" t="n">
        <f aca="false">AE28*($S$12+($J$12-$S$12)*MIN(1,MAX(0,(AE$4-$T$12)/($D$12-$T$12))))</f>
        <v>0</v>
      </c>
      <c r="AF32" s="131" t="n">
        <f aca="false">AF28*($S$12+($J$12-$S$12)*MIN(1,MAX(0,(AF$4-$T$12)/($D$12-$T$12))))</f>
        <v>0</v>
      </c>
      <c r="AG32" s="131" t="n">
        <f aca="false">AG28*($S$12+($J$12-$S$12)*MIN(1,MAX(0,(AG$4-$T$12)/($D$12-$T$12))))</f>
        <v>0</v>
      </c>
      <c r="AI32" s="131" t="n">
        <f aca="false">INDEX($F32:$AG32,1,MATCH(AI$7,$F$7:$AG$7,1))</f>
        <v>0</v>
      </c>
      <c r="AJ32" s="131" t="n">
        <f aca="false">INDEX($F32:$AG32,1,MATCH(AJ$7,$F$7:$AG$7,1))</f>
        <v>504.0998625</v>
      </c>
      <c r="AK32" s="131" t="n">
        <f aca="false">INDEX($F32:$AG32,1,MATCH(AK$7,$F$7:$AG$7,1))</f>
        <v>92.6062468486411</v>
      </c>
      <c r="AL32" s="131" t="n">
        <f aca="false">INDEX($F32:$AG32,1,MATCH(AL$7,$F$7:$AG$7,1))</f>
        <v>96.8251397141519</v>
      </c>
      <c r="AM32" s="131" t="n">
        <f aca="false">INDEX($F32:$AG32,1,MATCH(AM$7,$F$7:$AG$7,1))</f>
        <v>101.055591190253</v>
      </c>
      <c r="AN32" s="131" t="n">
        <f aca="false">INDEX($F32:$AG32,1,MATCH(AN$7,$F$7:$AG$7,1))</f>
        <v>0</v>
      </c>
      <c r="AO32" s="131" t="n">
        <f aca="false">INDEX($F32:$AG32,1,MATCH(AO$7,$F$7:$AG$7,1))</f>
        <v>0</v>
      </c>
    </row>
    <row r="33" customFormat="false" ht="15" hidden="false" customHeight="false" outlineLevel="0" collapsed="false">
      <c r="A33" s="112" t="s">
        <v>2510</v>
      </c>
      <c r="B33" s="24" t="s">
        <v>745</v>
      </c>
      <c r="C33" s="24" t="s">
        <v>736</v>
      </c>
      <c r="D33" s="24"/>
      <c r="F33" s="130" t="n">
        <f aca="false">IF(F$5=$N$12,E28*$J$12*(1-$O$12),0)</f>
        <v>0</v>
      </c>
      <c r="G33" s="130" t="n">
        <f aca="false">IF(G$5=$N$12,F28*$J$12*(1-$O$12),0)</f>
        <v>0</v>
      </c>
      <c r="H33" s="130" t="n">
        <f aca="false">IF(H$5=$N$12,G28*$J$12*(1-$O$12),0)</f>
        <v>0</v>
      </c>
      <c r="I33" s="130" t="n">
        <f aca="false">IF(I$5=$N$12,H28*$J$12*(1-$O$12),0)</f>
        <v>0</v>
      </c>
      <c r="J33" s="130" t="n">
        <f aca="false">IF(J$5=$N$12,I28*$J$12*(1-$O$12),0)</f>
        <v>0</v>
      </c>
      <c r="K33" s="130" t="n">
        <f aca="false">IF(K$5=$N$12,J28*$J$12*(1-$O$12),0)</f>
        <v>0</v>
      </c>
      <c r="L33" s="130" t="n">
        <f aca="false">IF(L$5=$N$12,K28*$J$12*(1-$O$12),0)</f>
        <v>0</v>
      </c>
      <c r="M33" s="130" t="n">
        <f aca="false">IF(M$5=$N$12,L28*$J$12*(1-$O$12),0)</f>
        <v>0</v>
      </c>
      <c r="N33" s="130" t="n">
        <f aca="false">IF(N$5=$N$12,M28*$J$12*(1-$O$12),0)</f>
        <v>0</v>
      </c>
      <c r="O33" s="130" t="n">
        <f aca="false">IF(O$5=$N$12,N28*$J$12*(1-$O$12),0)</f>
        <v>0</v>
      </c>
      <c r="P33" s="131" t="n">
        <f aca="false">IF(P$5=$N$12,O28*$J$12*(1-$O$12),0)</f>
        <v>0</v>
      </c>
      <c r="Q33" s="131" t="n">
        <f aca="false">IF(Q$5=$N$12,P28*$J$12*(1-$O$12),0)</f>
        <v>0</v>
      </c>
      <c r="R33" s="131" t="n">
        <f aca="false">IF(R$5=$N$12,Q28*$J$12*(1-$O$12),0)</f>
        <v>0</v>
      </c>
      <c r="S33" s="131" t="n">
        <f aca="false">IF(S$5=$N$12,R28*$J$12*(1-$O$12),0)</f>
        <v>0</v>
      </c>
      <c r="T33" s="131" t="n">
        <f aca="false">IF(T$5=$N$12,S28*$J$12*(1-$O$12),0)</f>
        <v>0</v>
      </c>
      <c r="U33" s="131" t="n">
        <f aca="false">IF(U$5=$N$12,T28*$J$12*(1-$O$12),0)</f>
        <v>0</v>
      </c>
      <c r="V33" s="131" t="n">
        <f aca="false">IF(V$5=$N$12,U28*$J$12*(1-$O$12),0)</f>
        <v>0</v>
      </c>
      <c r="W33" s="131" t="n">
        <f aca="false">IF(W$5=$N$12,V28*$J$12*(1-$O$12),0)</f>
        <v>0</v>
      </c>
      <c r="X33" s="131" t="n">
        <f aca="false">IF(X$5=$N$12,W28*$J$12*(1-$O$12),0)</f>
        <v>0</v>
      </c>
      <c r="Y33" s="131" t="n">
        <f aca="false">IF(Y$5=$N$12,X28*$J$12*(1-$O$12),0)</f>
        <v>0</v>
      </c>
      <c r="Z33" s="131" t="n">
        <f aca="false">IF(Z$5=$N$12,Y28*$J$12*(1-$O$12),0)</f>
        <v>0</v>
      </c>
      <c r="AA33" s="131" t="n">
        <f aca="false">IF(AA$5=$N$12,Z28*$J$12*(1-$O$12),0)</f>
        <v>0</v>
      </c>
      <c r="AB33" s="131" t="n">
        <f aca="false">IF(AB$5=$N$12,AA28*$J$12*(1-$O$12),0)</f>
        <v>0</v>
      </c>
      <c r="AC33" s="131" t="n">
        <f aca="false">IF(AC$5=$N$12,AB28*$J$12*(1-$O$12),0)</f>
        <v>0</v>
      </c>
      <c r="AD33" s="131" t="n">
        <f aca="false">IF(AD$5=$N$12,AC28*$J$12*(1-$O$12),0)</f>
        <v>0</v>
      </c>
      <c r="AE33" s="131" t="n">
        <f aca="false">IF(AE$5=$N$12,AD28*$J$12*(1-$O$12),0)</f>
        <v>0</v>
      </c>
      <c r="AF33" s="131" t="n">
        <f aca="false">IF(AF$5=$N$12,AE28*$J$12*(1-$O$12),0)</f>
        <v>0</v>
      </c>
      <c r="AG33" s="131" t="n">
        <f aca="false">IF(AG$5=$N$12,AF28*$J$12*(1-$O$12),0)</f>
        <v>0</v>
      </c>
      <c r="AI33" s="131" t="n">
        <f aca="false">SUMIF($F$7:$AG$7,AI$7,$F33:$AG33)</f>
        <v>0</v>
      </c>
      <c r="AJ33" s="131" t="n">
        <f aca="false">SUMIF($F$7:$AG$7,AJ$7,$F33:$AG33)</f>
        <v>0</v>
      </c>
      <c r="AK33" s="131" t="n">
        <f aca="false">SUMIF($F$7:$AG$7,AK$7,$F33:$AG33)</f>
        <v>0</v>
      </c>
      <c r="AL33" s="131" t="n">
        <f aca="false">SUMIF($F$7:$AG$7,AL$7,$F33:$AG33)</f>
        <v>0</v>
      </c>
      <c r="AM33" s="131" t="n">
        <f aca="false">SUMIF($F$7:$AG$7,AM$7,$F33:$AG33)</f>
        <v>0</v>
      </c>
      <c r="AN33" s="131" t="n">
        <f aca="false">SUMIF($F$7:$AG$7,AN$7,$F33:$AG33)</f>
        <v>0</v>
      </c>
      <c r="AO33" s="131" t="n">
        <f aca="false">SUMIF($F$7:$AG$7,AO$7,$F33:$AG33)</f>
        <v>0</v>
      </c>
    </row>
    <row r="34" customFormat="false" ht="15" hidden="false" customHeight="false" outlineLevel="0" collapsed="false">
      <c r="A34" s="112" t="s">
        <v>2511</v>
      </c>
      <c r="B34" s="24" t="s">
        <v>809</v>
      </c>
      <c r="C34" s="24" t="s">
        <v>736</v>
      </c>
      <c r="D34" s="24"/>
      <c r="F34" s="146" t="n">
        <f aca="false">IF(F$5=$N$12,E28*$K$12/1000*$O$12,0)</f>
        <v>0</v>
      </c>
      <c r="G34" s="146" t="n">
        <f aca="false">IF(G$5=$N$12,F28*$K$12/1000*$O$12,0)</f>
        <v>0</v>
      </c>
      <c r="H34" s="146" t="n">
        <f aca="false">IF(H$5=$N$12,G28*$K$12/1000*$O$12,0)</f>
        <v>0</v>
      </c>
      <c r="I34" s="146" t="n">
        <f aca="false">IF(I$5=$N$12,H28*$K$12/1000*$O$12,0)</f>
        <v>0</v>
      </c>
      <c r="J34" s="146" t="n">
        <f aca="false">IF(J$5=$N$12,I28*$K$12/1000*$O$12,0)</f>
        <v>0</v>
      </c>
      <c r="K34" s="146" t="n">
        <f aca="false">IF(K$5=$N$12,J28*$K$12/1000*$O$12,0)</f>
        <v>0</v>
      </c>
      <c r="L34" s="146" t="n">
        <f aca="false">IF(L$5=$N$12,K28*$K$12/1000*$O$12,0)</f>
        <v>0</v>
      </c>
      <c r="M34" s="146" t="n">
        <f aca="false">IF(M$5=$N$12,L28*$K$12/1000*$O$12,0)</f>
        <v>0</v>
      </c>
      <c r="N34" s="146" t="n">
        <f aca="false">IF(N$5=$N$12,M28*$K$12/1000*$O$12,0)</f>
        <v>0</v>
      </c>
      <c r="O34" s="146" t="n">
        <f aca="false">IF(O$5=$N$12,N28*$K$12/1000*$O$12,0)</f>
        <v>0</v>
      </c>
      <c r="P34" s="54" t="n">
        <f aca="false">IF(P$5=$N$12,O28*$K$12/1000*$O$12,0)</f>
        <v>0</v>
      </c>
      <c r="Q34" s="54" t="n">
        <f aca="false">IF(Q$5=$N$12,P28*$K$12/1000*$O$12,0)</f>
        <v>0</v>
      </c>
      <c r="R34" s="54" t="n">
        <f aca="false">IF(R$5=$N$12,Q28*$K$12/1000*$O$12,0)</f>
        <v>0</v>
      </c>
      <c r="S34" s="54" t="n">
        <f aca="false">IF(S$5=$N$12,R28*$K$12/1000*$O$12,0)</f>
        <v>0</v>
      </c>
      <c r="T34" s="54" t="n">
        <f aca="false">IF(T$5=$N$12,S28*$K$12/1000*$O$12,0)</f>
        <v>0</v>
      </c>
      <c r="U34" s="54" t="n">
        <f aca="false">IF(U$5=$N$12,T28*$K$12/1000*$O$12,0)</f>
        <v>0</v>
      </c>
      <c r="V34" s="54" t="n">
        <f aca="false">IF(V$5=$N$12,U28*$K$12/1000*$O$12,0)</f>
        <v>0</v>
      </c>
      <c r="W34" s="54" t="n">
        <f aca="false">IF(W$5=$N$12,V28*$K$12/1000*$O$12,0)</f>
        <v>0</v>
      </c>
      <c r="X34" s="54" t="n">
        <f aca="false">IF(X$5=$N$12,W28*$K$12/1000*$O$12,0)</f>
        <v>0</v>
      </c>
      <c r="Y34" s="54" t="n">
        <f aca="false">IF(Y$5=$N$12,X28*$K$12/1000*$O$12,0)</f>
        <v>0</v>
      </c>
      <c r="Z34" s="54" t="n">
        <f aca="false">IF(Z$5=$N$12,Y28*$K$12/1000*$O$12,0)</f>
        <v>0</v>
      </c>
      <c r="AA34" s="54" t="n">
        <f aca="false">IF(AA$5=$N$12,Z28*$K$12/1000*$O$12,0)</f>
        <v>1.70067625</v>
      </c>
      <c r="AB34" s="54" t="n">
        <f aca="false">IF(AB$5=$N$12,AA28*$K$12/1000*$O$12,0)</f>
        <v>0</v>
      </c>
      <c r="AC34" s="54" t="n">
        <f aca="false">IF(AC$5=$N$12,AB28*$K$12/1000*$O$12,0)</f>
        <v>0</v>
      </c>
      <c r="AD34" s="54" t="n">
        <f aca="false">IF(AD$5=$N$12,AC28*$K$12/1000*$O$12,0)</f>
        <v>0</v>
      </c>
      <c r="AE34" s="54" t="n">
        <f aca="false">IF(AE$5=$N$12,AD28*$K$12/1000*$O$12,0)</f>
        <v>0</v>
      </c>
      <c r="AF34" s="54" t="n">
        <f aca="false">IF(AF$5=$N$12,AE28*$K$12/1000*$O$12,0)</f>
        <v>0</v>
      </c>
      <c r="AG34" s="54" t="n">
        <f aca="false">IF(AG$5=$N$12,AF28*$K$12/1000*$O$12,0)</f>
        <v>0</v>
      </c>
      <c r="AI34" s="54" t="n">
        <f aca="false">SUMIF($F$7:$AG$7,AI$7,$F34:$AG34)</f>
        <v>0</v>
      </c>
      <c r="AJ34" s="54" t="n">
        <f aca="false">SUMIF($F$7:$AG$7,AJ$7,$F34:$AG34)</f>
        <v>0</v>
      </c>
      <c r="AK34" s="54" t="n">
        <f aca="false">SUMIF($F$7:$AG$7,AK$7,$F34:$AG34)</f>
        <v>0</v>
      </c>
      <c r="AL34" s="54" t="n">
        <f aca="false">SUMIF($F$7:$AG$7,AL$7,$F34:$AG34)</f>
        <v>0</v>
      </c>
      <c r="AM34" s="54" t="n">
        <f aca="false">SUMIF($F$7:$AG$7,AM$7,$F34:$AG34)</f>
        <v>0</v>
      </c>
      <c r="AN34" s="54" t="n">
        <f aca="false">SUMIF($F$7:$AG$7,AN$7,$F34:$AG34)</f>
        <v>1.70067625</v>
      </c>
      <c r="AO34" s="54" t="n">
        <f aca="false">SUMIF($F$7:$AG$7,AO$7,$F34:$AG34)</f>
        <v>0</v>
      </c>
    </row>
    <row r="35" customFormat="false" ht="15" hidden="false" customHeight="false" outlineLevel="0" collapsed="false">
      <c r="A35" s="112" t="s">
        <v>2512</v>
      </c>
      <c r="B35" s="24" t="s">
        <v>809</v>
      </c>
      <c r="C35" s="24" t="s">
        <v>672</v>
      </c>
      <c r="D35" s="24"/>
      <c r="F35" s="146" t="n">
        <f aca="false">IF(DilMethod=3,MAX(0,F28*$K$12/1000*DilPx-F31)/DilPx,F28*$K$12/1000*$P$12)</f>
        <v>0</v>
      </c>
      <c r="G35" s="146" t="n">
        <f aca="false">IF(DilMethod=3,MAX(0,G28*$K$12/1000*DilPx-G31)/DilPx,G28*$K$12/1000*$P$12)</f>
        <v>0</v>
      </c>
      <c r="H35" s="146" t="n">
        <f aca="false">IF(DilMethod=3,MAX(0,H28*$K$12/1000*DilPx-H31)/DilPx,H28*$K$12/1000*$P$12)</f>
        <v>0</v>
      </c>
      <c r="I35" s="146" t="n">
        <f aca="false">IF(DilMethod=3,MAX(0,I28*$K$12/1000*DilPx-I31)/DilPx,I28*$K$12/1000*$P$12)</f>
        <v>0</v>
      </c>
      <c r="J35" s="146" t="n">
        <f aca="false">IF(DilMethod=3,MAX(0,J28*$K$12/1000*DilPx-J31)/DilPx,J28*$K$12/1000*$P$12)</f>
        <v>0</v>
      </c>
      <c r="K35" s="146" t="n">
        <f aca="false">IF(DilMethod=3,MAX(0,K28*$K$12/1000*DilPx-K31)/DilPx,K28*$K$12/1000*$P$12)</f>
        <v>0</v>
      </c>
      <c r="L35" s="146" t="n">
        <f aca="false">IF(DilMethod=3,MAX(0,L28*$K$12/1000*DilPx-L31)/DilPx,L28*$K$12/1000*$P$12)</f>
        <v>0</v>
      </c>
      <c r="M35" s="146" t="n">
        <f aca="false">IF(DilMethod=3,MAX(0,M28*$K$12/1000*DilPx-M31)/DilPx,M28*$K$12/1000*$P$12)</f>
        <v>0</v>
      </c>
      <c r="N35" s="146" t="n">
        <f aca="false">IF(DilMethod=3,MAX(0,N28*$K$12/1000*DilPx-N31)/DilPx,N28*$K$12/1000*$P$12)</f>
        <v>0</v>
      </c>
      <c r="O35" s="146" t="n">
        <f aca="false">IF(DilMethod=3,MAX(0,O28*$K$12/1000*DilPx-O31)/DilPx,O28*$K$12/1000*$P$12)</f>
        <v>0</v>
      </c>
      <c r="P35" s="54" t="n">
        <f aca="false">IF(DilMethod=3,MAX(0,P28*$K$12/1000*DilPx-P31)/DilPx,P28*$K$12/1000*$P$12)</f>
        <v>0</v>
      </c>
      <c r="Q35" s="54" t="n">
        <f aca="false">IF(DilMethod=3,MAX(0,Q28*$K$12/1000*DilPx-Q31)/DilPx,Q28*$K$12/1000*$P$12)</f>
        <v>0</v>
      </c>
      <c r="R35" s="54" t="n">
        <f aca="false">IF(DilMethod=3,MAX(0,R28*$K$12/1000*DilPx-R31)/DilPx,R28*$K$12/1000*$P$12)</f>
        <v>0</v>
      </c>
      <c r="S35" s="54" t="n">
        <f aca="false">IF(DilMethod=3,MAX(0,S28*$K$12/1000*DilPx-S31)/DilPx,S28*$K$12/1000*$P$12)</f>
        <v>0</v>
      </c>
      <c r="T35" s="54" t="n">
        <f aca="false">IF(DilMethod=3,MAX(0,T28*$K$12/1000*DilPx-T31)/DilPx,T28*$K$12/1000*$P$12)</f>
        <v>0</v>
      </c>
      <c r="U35" s="54" t="n">
        <f aca="false">IF(DilMethod=3,MAX(0,U28*$K$12/1000*DilPx-U31)/DilPx,U28*$K$12/1000*$P$12)</f>
        <v>0</v>
      </c>
      <c r="V35" s="54" t="n">
        <f aca="false">IF(DilMethod=3,MAX(0,V28*$K$12/1000*DilPx-V31)/DilPx,V28*$K$12/1000*$P$12)</f>
        <v>0</v>
      </c>
      <c r="W35" s="54" t="n">
        <f aca="false">IF(DilMethod=3,MAX(0,W28*$K$12/1000*DilPx-W31)/DilPx,W28*$K$12/1000*$P$12)</f>
        <v>0</v>
      </c>
      <c r="X35" s="54" t="n">
        <f aca="false">IF(DilMethod=3,MAX(0,X28*$K$12/1000*DilPx-X31)/DilPx,X28*$K$12/1000*$P$12)</f>
        <v>0</v>
      </c>
      <c r="Y35" s="54" t="n">
        <f aca="false">IF(DilMethod=3,MAX(0,Y28*$K$12/1000*DilPx-Y31)/DilPx,Y28*$K$12/1000*$P$12)</f>
        <v>0</v>
      </c>
      <c r="Z35" s="54" t="n">
        <f aca="false">IF(DilMethod=3,MAX(0,Z28*$K$12/1000*DilPx-Z31)/DilPx,Z28*$K$12/1000*$P$12)</f>
        <v>0</v>
      </c>
      <c r="AA35" s="54" t="n">
        <f aca="false">IF(DilMethod=3,MAX(0,AA28*$K$12/1000*DilPx-AA31)/DilPx,AA28*$K$12/1000*$P$12)</f>
        <v>0</v>
      </c>
      <c r="AB35" s="54" t="n">
        <f aca="false">IF(DilMethod=3,MAX(0,AB28*$K$12/1000*DilPx-AB31)/DilPx,AB28*$K$12/1000*$P$12)</f>
        <v>0</v>
      </c>
      <c r="AC35" s="54" t="n">
        <f aca="false">IF(DilMethod=3,MAX(0,AC28*$K$12/1000*DilPx-AC31)/DilPx,AC28*$K$12/1000*$P$12)</f>
        <v>0</v>
      </c>
      <c r="AD35" s="54" t="n">
        <f aca="false">IF(DilMethod=3,MAX(0,AD28*$K$12/1000*DilPx-AD31)/DilPx,AD28*$K$12/1000*$P$12)</f>
        <v>0</v>
      </c>
      <c r="AE35" s="54" t="n">
        <f aca="false">IF(DilMethod=3,MAX(0,AE28*$K$12/1000*DilPx-AE31)/DilPx,AE28*$K$12/1000*$P$12)</f>
        <v>0</v>
      </c>
      <c r="AF35" s="54" t="n">
        <f aca="false">IF(DilMethod=3,MAX(0,AF28*$K$12/1000*DilPx-AF31)/DilPx,AF28*$K$12/1000*$P$12)</f>
        <v>0</v>
      </c>
      <c r="AG35" s="54" t="n">
        <f aca="false">IF(DilMethod=3,MAX(0,AG28*$K$12/1000*DilPx-AG31)/DilPx,AG28*$K$12/1000*$P$12)</f>
        <v>0</v>
      </c>
      <c r="AI35" s="54" t="n">
        <f aca="false">INDEX($F35:$AG35,1,MATCH(AI$7,$F$7:$AG$7,1))</f>
        <v>0</v>
      </c>
      <c r="AJ35" s="54" t="n">
        <f aca="false">INDEX($F35:$AG35,1,MATCH(AJ$7,$F$7:$AG$7,1))</f>
        <v>0</v>
      </c>
      <c r="AK35" s="54" t="n">
        <f aca="false">INDEX($F35:$AG35,1,MATCH(AK$7,$F$7:$AG$7,1))</f>
        <v>0</v>
      </c>
      <c r="AL35" s="54" t="n">
        <f aca="false">INDEX($F35:$AG35,1,MATCH(AL$7,$F$7:$AG$7,1))</f>
        <v>0</v>
      </c>
      <c r="AM35" s="54" t="n">
        <f aca="false">INDEX($F35:$AG35,1,MATCH(AM$7,$F$7:$AG$7,1))</f>
        <v>0</v>
      </c>
      <c r="AN35" s="54" t="n">
        <f aca="false">INDEX($F35:$AG35,1,MATCH(AN$7,$F$7:$AG$7,1))</f>
        <v>0</v>
      </c>
      <c r="AO35" s="54" t="n">
        <f aca="false">INDEX($F35:$AG35,1,MATCH(AO$7,$F$7:$AG$7,1))</f>
        <v>0</v>
      </c>
    </row>
    <row r="36" customFormat="false" ht="15" hidden="false" customHeight="false" outlineLevel="0" collapsed="false">
      <c r="A36" s="112" t="s">
        <v>2513</v>
      </c>
      <c r="B36" s="24" t="s">
        <v>745</v>
      </c>
      <c r="C36" s="24" t="s">
        <v>672</v>
      </c>
      <c r="D36" s="24"/>
      <c r="F36" s="130" t="n">
        <f aca="false">F31*IF(DilMethod=3,1,1-$P$12)</f>
        <v>0</v>
      </c>
      <c r="G36" s="130" t="n">
        <f aca="false">G31*IF(DilMethod=3,1,1-$P$12)</f>
        <v>0</v>
      </c>
      <c r="H36" s="130" t="n">
        <f aca="false">H31*IF(DilMethod=3,1,1-$P$12)</f>
        <v>0</v>
      </c>
      <c r="I36" s="130" t="n">
        <f aca="false">I31*IF(DilMethod=3,1,1-$P$12)</f>
        <v>0</v>
      </c>
      <c r="J36" s="130" t="n">
        <f aca="false">J31*IF(DilMethod=3,1,1-$P$12)</f>
        <v>0</v>
      </c>
      <c r="K36" s="130" t="n">
        <f aca="false">K31*IF(DilMethod=3,1,1-$P$12)</f>
        <v>488.963838366507</v>
      </c>
      <c r="L36" s="130" t="n">
        <f aca="false">L31*IF(DilMethod=3,1,1-$P$12)</f>
        <v>494.35076355525</v>
      </c>
      <c r="M36" s="130" t="n">
        <f aca="false">M31*IF(DilMethod=3,1,1-$P$12)</f>
        <v>499.737688743995</v>
      </c>
      <c r="N36" s="130" t="n">
        <f aca="false">N31*IF(DilMethod=3,1,1-$P$12)</f>
        <v>505.007506863418</v>
      </c>
      <c r="O36" s="130" t="n">
        <f aca="false">O31*IF(DilMethod=3,1,1-$P$12)</f>
        <v>510.335878517502</v>
      </c>
      <c r="P36" s="131" t="n">
        <f aca="false">P31*IF(DilMethod=3,1,1-$P$12)</f>
        <v>92.5656314344544</v>
      </c>
      <c r="Q36" s="131" t="n">
        <f aca="false">Q31*IF(DilMethod=3,1,1-$P$12)</f>
        <v>93.5325154426905</v>
      </c>
      <c r="R36" s="131" t="n">
        <f aca="false">R31*IF(DilMethod=3,1,1-$P$12)</f>
        <v>94.4783802333562</v>
      </c>
      <c r="S36" s="131" t="n">
        <f aca="false">S31*IF(DilMethod=3,1,1-$P$12)</f>
        <v>95.4347546328071</v>
      </c>
      <c r="T36" s="131" t="n">
        <f aca="false">T31*IF(DilMethod=3,1,1-$P$12)</f>
        <v>96.4016386410432</v>
      </c>
      <c r="U36" s="131" t="n">
        <f aca="false">U31*IF(DilMethod=3,1,1-$P$12)</f>
        <v>97.3685226492793</v>
      </c>
      <c r="V36" s="131" t="n">
        <f aca="false">V31*IF(DilMethod=3,1,1-$P$12)</f>
        <v>98.3248970487303</v>
      </c>
      <c r="W36" s="131" t="n">
        <f aca="false">W31*IF(DilMethod=3,1,1-$P$12)</f>
        <v>99.2812714481812</v>
      </c>
      <c r="X36" s="131" t="n">
        <f aca="false">X31*IF(DilMethod=3,1,1-$P$12)</f>
        <v>100.248155456417</v>
      </c>
      <c r="Y36" s="131" t="n">
        <f aca="false">Y31*IF(DilMethod=3,1,1-$P$12)</f>
        <v>101.215039464653</v>
      </c>
      <c r="Z36" s="131" t="n">
        <f aca="false">Z31*IF(DilMethod=3,1,1-$P$12)</f>
        <v>102.160904255319</v>
      </c>
      <c r="AA36" s="131" t="n">
        <f aca="false">AA31*IF(DilMethod=3,1,1-$P$12)</f>
        <v>0</v>
      </c>
      <c r="AB36" s="131" t="n">
        <f aca="false">AB31*IF(DilMethod=3,1,1-$P$12)</f>
        <v>0</v>
      </c>
      <c r="AC36" s="131" t="n">
        <f aca="false">AC31*IF(DilMethod=3,1,1-$P$12)</f>
        <v>0</v>
      </c>
      <c r="AD36" s="131" t="n">
        <f aca="false">AD31*IF(DilMethod=3,1,1-$P$12)</f>
        <v>0</v>
      </c>
      <c r="AE36" s="131" t="n">
        <f aca="false">AE31*IF(DilMethod=3,1,1-$P$12)</f>
        <v>0</v>
      </c>
      <c r="AF36" s="131" t="n">
        <f aca="false">AF31*IF(DilMethod=3,1,1-$P$12)</f>
        <v>0</v>
      </c>
      <c r="AG36" s="131" t="n">
        <f aca="false">AG31*IF(DilMethod=3,1,1-$P$12)</f>
        <v>0</v>
      </c>
      <c r="AI36" s="131" t="n">
        <f aca="false">INDEX($F36:$AG36,1,MATCH(AI$7,$F$7:$AG$7,1))</f>
        <v>0</v>
      </c>
      <c r="AJ36" s="131" t="n">
        <f aca="false">INDEX($F36:$AG36,1,MATCH(AJ$7,$F$7:$AG$7,1))</f>
        <v>499.737688743995</v>
      </c>
      <c r="AK36" s="131" t="n">
        <f aca="false">INDEX($F36:$AG36,1,MATCH(AK$7,$F$7:$AG$7,1))</f>
        <v>93.5325154426905</v>
      </c>
      <c r="AL36" s="131" t="n">
        <f aca="false">INDEX($F36:$AG36,1,MATCH(AL$7,$F$7:$AG$7,1))</f>
        <v>97.3685226492793</v>
      </c>
      <c r="AM36" s="131" t="n">
        <f aca="false">INDEX($F36:$AG36,1,MATCH(AM$7,$F$7:$AG$7,1))</f>
        <v>101.215039464653</v>
      </c>
      <c r="AN36" s="131" t="n">
        <f aca="false">INDEX($F36:$AG36,1,MATCH(AN$7,$F$7:$AG$7,1))</f>
        <v>0</v>
      </c>
      <c r="AO36" s="131" t="n">
        <f aca="false">INDEX($F36:$AG36,1,MATCH(AO$7,$F$7:$AG$7,1))</f>
        <v>0</v>
      </c>
    </row>
    <row r="37" customFormat="false" ht="15" hidden="false" customHeight="false" outlineLevel="0" collapsed="false">
      <c r="A37" s="112" t="s">
        <v>2514</v>
      </c>
      <c r="B37" s="24" t="s">
        <v>745</v>
      </c>
      <c r="C37" s="24" t="s">
        <v>736</v>
      </c>
      <c r="D37" s="24"/>
      <c r="F37" s="130" t="n">
        <f aca="false">IF(AND(F$5&gt;=$M$13,F$5&lt;$N$13),$E$13-$F$13-IF(F$5&gt;=$H$13,$G$13,0),0)*($H$13&lt;&gt;0)+IF(AND(F$5&gt;=$M$13,F$5&lt;$N$13),$E$13-$F$13,0)*($H$13=0)</f>
        <v>0</v>
      </c>
      <c r="G37" s="130" t="n">
        <f aca="false">IF(AND(G$5&gt;=$M$13,G$5&lt;$N$13),$E$13-$F$13-IF(G$5&gt;=$H$13,$G$13,0),0)*($H$13&lt;&gt;0)+IF(AND(G$5&gt;=$M$13,G$5&lt;$N$13),$E$13-$F$13,0)*($H$13=0)</f>
        <v>0</v>
      </c>
      <c r="H37" s="130" t="n">
        <f aca="false">IF(AND(H$5&gt;=$M$13,H$5&lt;$N$13),$E$13-$F$13-IF(H$5&gt;=$H$13,$G$13,0),0)*($H$13&lt;&gt;0)+IF(AND(H$5&gt;=$M$13,H$5&lt;$N$13),$E$13-$F$13,0)*($H$13=0)</f>
        <v>0</v>
      </c>
      <c r="I37" s="130" t="n">
        <f aca="false">IF(AND(I$5&gt;=$M$13,I$5&lt;$N$13),$E$13-$F$13-IF(I$5&gt;=$H$13,$G$13,0),0)*($H$13&lt;&gt;0)+IF(AND(I$5&gt;=$M$13,I$5&lt;$N$13),$E$13-$F$13,0)*($H$13=0)</f>
        <v>0</v>
      </c>
      <c r="J37" s="130" t="n">
        <f aca="false">IF(AND(J$5&gt;=$M$13,J$5&lt;$N$13),$E$13-$F$13-IF(J$5&gt;=$H$13,$G$13,0),0)*($H$13&lt;&gt;0)+IF(AND(J$5&gt;=$M$13,J$5&lt;$N$13),$E$13-$F$13,0)*($H$13=0)</f>
        <v>0</v>
      </c>
      <c r="K37" s="130" t="n">
        <f aca="false">IF(AND(K$5&gt;=$M$13,K$5&lt;$N$13),$E$13-$F$13-IF(K$5&gt;=$H$13,$G$13,0),0)*($H$13&lt;&gt;0)+IF(AND(K$5&gt;=$M$13,K$5&lt;$N$13),$E$13-$F$13,0)*($H$13=0)</f>
        <v>487.5</v>
      </c>
      <c r="L37" s="130" t="n">
        <f aca="false">IF(AND(L$5&gt;=$M$13,L$5&lt;$N$13),$E$13-$F$13-IF(L$5&gt;=$H$13,$G$13,0),0)*($H$13&lt;&gt;0)+IF(AND(L$5&gt;=$M$13,L$5&lt;$N$13),$E$13-$F$13,0)*($H$13=0)</f>
        <v>487.5</v>
      </c>
      <c r="M37" s="130" t="n">
        <f aca="false">IF(AND(M$5&gt;=$M$13,M$5&lt;$N$13),$E$13-$F$13-IF(M$5&gt;=$H$13,$G$13,0),0)*($H$13&lt;&gt;0)+IF(AND(M$5&gt;=$M$13,M$5&lt;$N$13),$E$13-$F$13,0)*($H$13=0)</f>
        <v>487.5</v>
      </c>
      <c r="N37" s="130" t="n">
        <f aca="false">IF(AND(N$5&gt;=$M$13,N$5&lt;$N$13),$E$13-$F$13-IF(N$5&gt;=$H$13,$G$13,0),0)*($H$13&lt;&gt;0)+IF(AND(N$5&gt;=$M$13,N$5&lt;$N$13),$E$13-$F$13,0)*($H$13=0)</f>
        <v>487.5</v>
      </c>
      <c r="O37" s="130" t="n">
        <f aca="false">IF(AND(O$5&gt;=$M$13,O$5&lt;$N$13),$E$13-$F$13-IF(O$5&gt;=$H$13,$G$13,0),0)*($H$13&lt;&gt;0)+IF(AND(O$5&gt;=$M$13,O$5&lt;$N$13),$E$13-$F$13,0)*($H$13=0)</f>
        <v>487.5</v>
      </c>
      <c r="P37" s="131" t="n">
        <f aca="false">IF(AND(P$5&gt;=$M$13,P$5&lt;$N$13),$E$13-$F$13-IF(P$5&gt;=$H$13,$G$13,0),0)*($H$13&lt;&gt;0)+IF(AND(P$5&gt;=$M$13,P$5&lt;$N$13),$E$13-$F$13,0)*($H$13=0)</f>
        <v>87.5</v>
      </c>
      <c r="Q37" s="131" t="n">
        <f aca="false">IF(AND(Q$5&gt;=$M$13,Q$5&lt;$N$13),$E$13-$F$13-IF(Q$5&gt;=$H$13,$G$13,0),0)*($H$13&lt;&gt;0)+IF(AND(Q$5&gt;=$M$13,Q$5&lt;$N$13),$E$13-$F$13,0)*($H$13=0)</f>
        <v>87.5</v>
      </c>
      <c r="R37" s="131" t="n">
        <f aca="false">IF(AND(R$5&gt;=$M$13,R$5&lt;$N$13),$E$13-$F$13-IF(R$5&gt;=$H$13,$G$13,0),0)*($H$13&lt;&gt;0)+IF(AND(R$5&gt;=$M$13,R$5&lt;$N$13),$E$13-$F$13,0)*($H$13=0)</f>
        <v>87.5</v>
      </c>
      <c r="S37" s="131" t="n">
        <f aca="false">IF(AND(S$5&gt;=$M$13,S$5&lt;$N$13),$E$13-$F$13-IF(S$5&gt;=$H$13,$G$13,0),0)*($H$13&lt;&gt;0)+IF(AND(S$5&gt;=$M$13,S$5&lt;$N$13),$E$13-$F$13,0)*($H$13=0)</f>
        <v>87.5</v>
      </c>
      <c r="T37" s="131" t="n">
        <f aca="false">IF(AND(T$5&gt;=$M$13,T$5&lt;$N$13),$E$13-$F$13-IF(T$5&gt;=$H$13,$G$13,0),0)*($H$13&lt;&gt;0)+IF(AND(T$5&gt;=$M$13,T$5&lt;$N$13),$E$13-$F$13,0)*($H$13=0)</f>
        <v>87.5</v>
      </c>
      <c r="U37" s="131" t="n">
        <f aca="false">IF(AND(U$5&gt;=$M$13,U$5&lt;$N$13),$E$13-$F$13-IF(U$5&gt;=$H$13,$G$13,0),0)*($H$13&lt;&gt;0)+IF(AND(U$5&gt;=$M$13,U$5&lt;$N$13),$E$13-$F$13,0)*($H$13=0)</f>
        <v>87.5</v>
      </c>
      <c r="V37" s="131" t="n">
        <f aca="false">IF(AND(V$5&gt;=$M$13,V$5&lt;$N$13),$E$13-$F$13-IF(V$5&gt;=$H$13,$G$13,0),0)*($H$13&lt;&gt;0)+IF(AND(V$5&gt;=$M$13,V$5&lt;$N$13),$E$13-$F$13,0)*($H$13=0)</f>
        <v>87.5</v>
      </c>
      <c r="W37" s="131" t="n">
        <f aca="false">IF(AND(W$5&gt;=$M$13,W$5&lt;$N$13),$E$13-$F$13-IF(W$5&gt;=$H$13,$G$13,0),0)*($H$13&lt;&gt;0)+IF(AND(W$5&gt;=$M$13,W$5&lt;$N$13),$E$13-$F$13,0)*($H$13=0)</f>
        <v>87.5</v>
      </c>
      <c r="X37" s="131" t="n">
        <f aca="false">IF(AND(X$5&gt;=$M$13,X$5&lt;$N$13),$E$13-$F$13-IF(X$5&gt;=$H$13,$G$13,0),0)*($H$13&lt;&gt;0)+IF(AND(X$5&gt;=$M$13,X$5&lt;$N$13),$E$13-$F$13,0)*($H$13=0)</f>
        <v>87.5</v>
      </c>
      <c r="Y37" s="131" t="n">
        <f aca="false">IF(AND(Y$5&gt;=$M$13,Y$5&lt;$N$13),$E$13-$F$13-IF(Y$5&gt;=$H$13,$G$13,0),0)*($H$13&lt;&gt;0)+IF(AND(Y$5&gt;=$M$13,Y$5&lt;$N$13),$E$13-$F$13,0)*($H$13=0)</f>
        <v>87.5</v>
      </c>
      <c r="Z37" s="131" t="n">
        <f aca="false">IF(AND(Z$5&gt;=$M$13,Z$5&lt;$N$13),$E$13-$F$13-IF(Z$5&gt;=$H$13,$G$13,0),0)*($H$13&lt;&gt;0)+IF(AND(Z$5&gt;=$M$13,Z$5&lt;$N$13),$E$13-$F$13,0)*($H$13=0)</f>
        <v>87.5</v>
      </c>
      <c r="AA37" s="131" t="n">
        <f aca="false">IF(AND(AA$5&gt;=$M$13,AA$5&lt;$N$13),$E$13-$F$13-IF(AA$5&gt;=$H$13,$G$13,0),0)*($H$13&lt;&gt;0)+IF(AND(AA$5&gt;=$M$13,AA$5&lt;$N$13),$E$13-$F$13,0)*($H$13=0)</f>
        <v>87.5</v>
      </c>
      <c r="AB37" s="131" t="n">
        <f aca="false">IF(AND(AB$5&gt;=$M$13,AB$5&lt;$N$13),$E$13-$F$13-IF(AB$5&gt;=$H$13,$G$13,0),0)*($H$13&lt;&gt;0)+IF(AND(AB$5&gt;=$M$13,AB$5&lt;$N$13),$E$13-$F$13,0)*($H$13=0)</f>
        <v>87.5</v>
      </c>
      <c r="AC37" s="131" t="n">
        <f aca="false">IF(AND(AC$5&gt;=$M$13,AC$5&lt;$N$13),$E$13-$F$13-IF(AC$5&gt;=$H$13,$G$13,0),0)*($H$13&lt;&gt;0)+IF(AND(AC$5&gt;=$M$13,AC$5&lt;$N$13),$E$13-$F$13,0)*($H$13=0)</f>
        <v>87.5</v>
      </c>
      <c r="AD37" s="131" t="n">
        <f aca="false">IF(AND(AD$5&gt;=$M$13,AD$5&lt;$N$13),$E$13-$F$13-IF(AD$5&gt;=$H$13,$G$13,0),0)*($H$13&lt;&gt;0)+IF(AND(AD$5&gt;=$M$13,AD$5&lt;$N$13),$E$13-$F$13,0)*($H$13=0)</f>
        <v>87.5</v>
      </c>
      <c r="AE37" s="131" t="n">
        <f aca="false">IF(AND(AE$5&gt;=$M$13,AE$5&lt;$N$13),$E$13-$F$13-IF(AE$5&gt;=$H$13,$G$13,0),0)*($H$13&lt;&gt;0)+IF(AND(AE$5&gt;=$M$13,AE$5&lt;$N$13),$E$13-$F$13,0)*($H$13=0)</f>
        <v>87.5</v>
      </c>
      <c r="AF37" s="131" t="n">
        <f aca="false">IF(AND(AF$5&gt;=$M$13,AF$5&lt;$N$13),$E$13-$F$13-IF(AF$5&gt;=$H$13,$G$13,0),0)*($H$13&lt;&gt;0)+IF(AND(AF$5&gt;=$M$13,AF$5&lt;$N$13),$E$13-$F$13,0)*($H$13=0)</f>
        <v>87.5</v>
      </c>
      <c r="AG37" s="131" t="n">
        <f aca="false">IF(AND(AG$5&gt;=$M$13,AG$5&lt;$N$13),$E$13-$F$13-IF(AG$5&gt;=$H$13,$G$13,0),0)*($H$13&lt;&gt;0)+IF(AND(AG$5&gt;=$M$13,AG$5&lt;$N$13),$E$13-$F$13,0)*($H$13=0)</f>
        <v>87.5</v>
      </c>
      <c r="AI37" s="131" t="n">
        <f aca="false">INDEX($F37:$AG37,1,MATCH(AI$7,$F$7:$AG$7,1))</f>
        <v>0</v>
      </c>
      <c r="AJ37" s="131" t="n">
        <f aca="false">INDEX($F37:$AG37,1,MATCH(AJ$7,$F$7:$AG$7,1))</f>
        <v>487.5</v>
      </c>
      <c r="AK37" s="131" t="n">
        <f aca="false">INDEX($F37:$AG37,1,MATCH(AK$7,$F$7:$AG$7,1))</f>
        <v>87.5</v>
      </c>
      <c r="AL37" s="131" t="n">
        <f aca="false">INDEX($F37:$AG37,1,MATCH(AL$7,$F$7:$AG$7,1))</f>
        <v>87.5</v>
      </c>
      <c r="AM37" s="131" t="n">
        <f aca="false">INDEX($F37:$AG37,1,MATCH(AM$7,$F$7:$AG$7,1))</f>
        <v>87.5</v>
      </c>
      <c r="AN37" s="131" t="n">
        <f aca="false">INDEX($F37:$AG37,1,MATCH(AN$7,$F$7:$AG$7,1))</f>
        <v>87.5</v>
      </c>
      <c r="AO37" s="131" t="n">
        <f aca="false">INDEX($F37:$AG37,1,MATCH(AO$7,$F$7:$AG$7,1))</f>
        <v>87.5</v>
      </c>
    </row>
    <row r="38" customFormat="false" ht="15" hidden="false" customHeight="false" outlineLevel="0" collapsed="false">
      <c r="A38" s="112" t="s">
        <v>2515</v>
      </c>
      <c r="B38" s="24" t="s">
        <v>745</v>
      </c>
      <c r="C38" s="24" t="s">
        <v>736</v>
      </c>
      <c r="D38" s="24"/>
      <c r="F38" s="130" t="n">
        <f aca="false">F37*$C$13/4</f>
        <v>0</v>
      </c>
      <c r="G38" s="130" t="n">
        <f aca="false">G37*$C$13/4</f>
        <v>0</v>
      </c>
      <c r="H38" s="130" t="n">
        <f aca="false">H37*$C$13/4</f>
        <v>0</v>
      </c>
      <c r="I38" s="130" t="n">
        <f aca="false">I37*$C$13/4</f>
        <v>0</v>
      </c>
      <c r="J38" s="130" t="n">
        <f aca="false">J37*$C$13/4</f>
        <v>0</v>
      </c>
      <c r="K38" s="130" t="n">
        <f aca="false">K37*$C$13/4</f>
        <v>3.65625</v>
      </c>
      <c r="L38" s="130" t="n">
        <f aca="false">L37*$C$13/4</f>
        <v>3.65625</v>
      </c>
      <c r="M38" s="130" t="n">
        <f aca="false">M37*$C$13/4</f>
        <v>3.65625</v>
      </c>
      <c r="N38" s="130" t="n">
        <f aca="false">N37*$C$13/4</f>
        <v>3.65625</v>
      </c>
      <c r="O38" s="130" t="n">
        <f aca="false">O37*$C$13/4</f>
        <v>3.65625</v>
      </c>
      <c r="P38" s="131" t="n">
        <f aca="false">P37*$C$13/4</f>
        <v>0.65625</v>
      </c>
      <c r="Q38" s="131" t="n">
        <f aca="false">Q37*$C$13/4</f>
        <v>0.65625</v>
      </c>
      <c r="R38" s="131" t="n">
        <f aca="false">R37*$C$13/4</f>
        <v>0.65625</v>
      </c>
      <c r="S38" s="131" t="n">
        <f aca="false">S37*$C$13/4</f>
        <v>0.65625</v>
      </c>
      <c r="T38" s="131" t="n">
        <f aca="false">T37*$C$13/4</f>
        <v>0.65625</v>
      </c>
      <c r="U38" s="131" t="n">
        <f aca="false">U37*$C$13/4</f>
        <v>0.65625</v>
      </c>
      <c r="V38" s="131" t="n">
        <f aca="false">V37*$C$13/4</f>
        <v>0.65625</v>
      </c>
      <c r="W38" s="131" t="n">
        <f aca="false">W37*$C$13/4</f>
        <v>0.65625</v>
      </c>
      <c r="X38" s="131" t="n">
        <f aca="false">X37*$C$13/4</f>
        <v>0.65625</v>
      </c>
      <c r="Y38" s="131" t="n">
        <f aca="false">Y37*$C$13/4</f>
        <v>0.65625</v>
      </c>
      <c r="Z38" s="131" t="n">
        <f aca="false">Z37*$C$13/4</f>
        <v>0.65625</v>
      </c>
      <c r="AA38" s="131" t="n">
        <f aca="false">AA37*$C$13/4</f>
        <v>0.65625</v>
      </c>
      <c r="AB38" s="131" t="n">
        <f aca="false">AB37*$C$13/4</f>
        <v>0.65625</v>
      </c>
      <c r="AC38" s="131" t="n">
        <f aca="false">AC37*$C$13/4</f>
        <v>0.65625</v>
      </c>
      <c r="AD38" s="131" t="n">
        <f aca="false">AD37*$C$13/4</f>
        <v>0.65625</v>
      </c>
      <c r="AE38" s="131" t="n">
        <f aca="false">AE37*$C$13/4</f>
        <v>0.65625</v>
      </c>
      <c r="AF38" s="131" t="n">
        <f aca="false">AF37*$C$13/4</f>
        <v>0.65625</v>
      </c>
      <c r="AG38" s="131" t="n">
        <f aca="false">AG37*$C$13/4</f>
        <v>0.65625</v>
      </c>
      <c r="AI38" s="131" t="n">
        <f aca="false">SUMIF($F$7:$AG$7,AI$7,$F38:$AG38)</f>
        <v>0</v>
      </c>
      <c r="AJ38" s="131" t="n">
        <f aca="false">SUMIF($F$7:$AG$7,AJ$7,$F38:$AG38)</f>
        <v>10.96875</v>
      </c>
      <c r="AK38" s="131" t="n">
        <f aca="false">SUMIF($F$7:$AG$7,AK$7,$F38:$AG38)</f>
        <v>8.625</v>
      </c>
      <c r="AL38" s="131" t="n">
        <f aca="false">SUMIF($F$7:$AG$7,AL$7,$F38:$AG38)</f>
        <v>2.625</v>
      </c>
      <c r="AM38" s="131" t="n">
        <f aca="false">SUMIF($F$7:$AG$7,AM$7,$F38:$AG38)</f>
        <v>2.625</v>
      </c>
      <c r="AN38" s="131" t="n">
        <f aca="false">SUMIF($F$7:$AG$7,AN$7,$F38:$AG38)</f>
        <v>2.625</v>
      </c>
      <c r="AO38" s="131" t="n">
        <f aca="false">SUMIF($F$7:$AG$7,AO$7,$F38:$AG38)</f>
        <v>2.625</v>
      </c>
    </row>
    <row r="39" customFormat="false" ht="15" hidden="false" customHeight="false" outlineLevel="0" collapsed="false">
      <c r="A39" s="112" t="s">
        <v>2516</v>
      </c>
      <c r="B39" s="24" t="s">
        <v>745</v>
      </c>
      <c r="C39" s="24" t="s">
        <v>736</v>
      </c>
      <c r="D39" s="24"/>
      <c r="F39" s="130" t="n">
        <f aca="false">F37*($J$13-1)/(($D$13-$B$13)/91.3125)</f>
        <v>0</v>
      </c>
      <c r="G39" s="130" t="n">
        <f aca="false">G37*($J$13-1)/(($D$13-$B$13)/91.3125)</f>
        <v>0</v>
      </c>
      <c r="H39" s="130" t="n">
        <f aca="false">H37*($J$13-1)/(($D$13-$B$13)/91.3125)</f>
        <v>0</v>
      </c>
      <c r="I39" s="130" t="n">
        <f aca="false">I37*($J$13-1)/(($D$13-$B$13)/91.3125)</f>
        <v>0</v>
      </c>
      <c r="J39" s="130" t="n">
        <f aca="false">J37*($J$13-1)/(($D$13-$B$13)/91.3125)</f>
        <v>0</v>
      </c>
      <c r="K39" s="130" t="n">
        <f aca="false">K37*($J$13-1)/(($D$13-$B$13)/91.3125)</f>
        <v>4.57971643518519</v>
      </c>
      <c r="L39" s="130" t="n">
        <f aca="false">L37*($J$13-1)/(($D$13-$B$13)/91.3125)</f>
        <v>4.57971643518519</v>
      </c>
      <c r="M39" s="130" t="n">
        <f aca="false">M37*($J$13-1)/(($D$13-$B$13)/91.3125)</f>
        <v>4.57971643518519</v>
      </c>
      <c r="N39" s="130" t="n">
        <f aca="false">N37*($J$13-1)/(($D$13-$B$13)/91.3125)</f>
        <v>4.57971643518519</v>
      </c>
      <c r="O39" s="130" t="n">
        <f aca="false">O37*($J$13-1)/(($D$13-$B$13)/91.3125)</f>
        <v>4.57971643518519</v>
      </c>
      <c r="P39" s="131" t="n">
        <f aca="false">P37*($J$13-1)/(($D$13-$B$13)/91.3125)</f>
        <v>0.82200038580247</v>
      </c>
      <c r="Q39" s="131" t="n">
        <f aca="false">Q37*($J$13-1)/(($D$13-$B$13)/91.3125)</f>
        <v>0.82200038580247</v>
      </c>
      <c r="R39" s="131" t="n">
        <f aca="false">R37*($J$13-1)/(($D$13-$B$13)/91.3125)</f>
        <v>0.82200038580247</v>
      </c>
      <c r="S39" s="131" t="n">
        <f aca="false">S37*($J$13-1)/(($D$13-$B$13)/91.3125)</f>
        <v>0.82200038580247</v>
      </c>
      <c r="T39" s="131" t="n">
        <f aca="false">T37*($J$13-1)/(($D$13-$B$13)/91.3125)</f>
        <v>0.82200038580247</v>
      </c>
      <c r="U39" s="131" t="n">
        <f aca="false">U37*($J$13-1)/(($D$13-$B$13)/91.3125)</f>
        <v>0.82200038580247</v>
      </c>
      <c r="V39" s="131" t="n">
        <f aca="false">V37*($J$13-1)/(($D$13-$B$13)/91.3125)</f>
        <v>0.82200038580247</v>
      </c>
      <c r="W39" s="131" t="n">
        <f aca="false">W37*($J$13-1)/(($D$13-$B$13)/91.3125)</f>
        <v>0.82200038580247</v>
      </c>
      <c r="X39" s="131" t="n">
        <f aca="false">X37*($J$13-1)/(($D$13-$B$13)/91.3125)</f>
        <v>0.82200038580247</v>
      </c>
      <c r="Y39" s="131" t="n">
        <f aca="false">Y37*($J$13-1)/(($D$13-$B$13)/91.3125)</f>
        <v>0.82200038580247</v>
      </c>
      <c r="Z39" s="131" t="n">
        <f aca="false">Z37*($J$13-1)/(($D$13-$B$13)/91.3125)</f>
        <v>0.82200038580247</v>
      </c>
      <c r="AA39" s="131" t="n">
        <f aca="false">AA37*($J$13-1)/(($D$13-$B$13)/91.3125)</f>
        <v>0.82200038580247</v>
      </c>
      <c r="AB39" s="131" t="n">
        <f aca="false">AB37*($J$13-1)/(($D$13-$B$13)/91.3125)</f>
        <v>0.82200038580247</v>
      </c>
      <c r="AC39" s="131" t="n">
        <f aca="false">AC37*($J$13-1)/(($D$13-$B$13)/91.3125)</f>
        <v>0.82200038580247</v>
      </c>
      <c r="AD39" s="131" t="n">
        <f aca="false">AD37*($J$13-1)/(($D$13-$B$13)/91.3125)</f>
        <v>0.82200038580247</v>
      </c>
      <c r="AE39" s="131" t="n">
        <f aca="false">AE37*($J$13-1)/(($D$13-$B$13)/91.3125)</f>
        <v>0.82200038580247</v>
      </c>
      <c r="AF39" s="131" t="n">
        <f aca="false">AF37*($J$13-1)/(($D$13-$B$13)/91.3125)</f>
        <v>0.82200038580247</v>
      </c>
      <c r="AG39" s="131" t="n">
        <f aca="false">AG37*($J$13-1)/(($D$13-$B$13)/91.3125)</f>
        <v>0.82200038580247</v>
      </c>
      <c r="AI39" s="131" t="n">
        <f aca="false">SUMIF($F$7:$AG$7,AI$7,$F39:$AG39)</f>
        <v>0</v>
      </c>
      <c r="AJ39" s="131" t="n">
        <f aca="false">SUMIF($F$7:$AG$7,AJ$7,$F39:$AG39)</f>
        <v>13.7391493055556</v>
      </c>
      <c r="AK39" s="131" t="n">
        <f aca="false">SUMIF($F$7:$AG$7,AK$7,$F39:$AG39)</f>
        <v>10.8034336419753</v>
      </c>
      <c r="AL39" s="131" t="n">
        <f aca="false">SUMIF($F$7:$AG$7,AL$7,$F39:$AG39)</f>
        <v>3.28800154320988</v>
      </c>
      <c r="AM39" s="131" t="n">
        <f aca="false">SUMIF($F$7:$AG$7,AM$7,$F39:$AG39)</f>
        <v>3.28800154320988</v>
      </c>
      <c r="AN39" s="131" t="n">
        <f aca="false">SUMIF($F$7:$AG$7,AN$7,$F39:$AG39)</f>
        <v>3.28800154320988</v>
      </c>
      <c r="AO39" s="131" t="n">
        <f aca="false">SUMIF($F$7:$AG$7,AO$7,$F39:$AG39)</f>
        <v>3.28800154320988</v>
      </c>
    </row>
    <row r="40" customFormat="false" ht="15" hidden="false" customHeight="false" outlineLevel="0" collapsed="false">
      <c r="A40" s="112" t="s">
        <v>2517</v>
      </c>
      <c r="B40" s="24" t="s">
        <v>745</v>
      </c>
      <c r="C40" s="24" t="s">
        <v>736</v>
      </c>
      <c r="D40" s="24"/>
      <c r="F40" s="130" t="n">
        <f aca="false">F37*(1+($J$13-1)*MIN(1,MAX(0,(F$4-$B$13)/($D$13-$B$13))))</f>
        <v>0</v>
      </c>
      <c r="G40" s="130" t="n">
        <f aca="false">G37*(1+($J$13-1)*MIN(1,MAX(0,(G$4-$B$13)/($D$13-$B$13))))</f>
        <v>0</v>
      </c>
      <c r="H40" s="130" t="n">
        <f aca="false">H37*(1+($J$13-1)*MIN(1,MAX(0,(H$4-$B$13)/($D$13-$B$13))))</f>
        <v>0</v>
      </c>
      <c r="I40" s="130" t="n">
        <f aca="false">I37*(1+($J$13-1)*MIN(1,MAX(0,(I$4-$B$13)/($D$13-$B$13))))</f>
        <v>0</v>
      </c>
      <c r="J40" s="130" t="n">
        <f aca="false">J37*(1+($J$13-1)*MIN(1,MAX(0,(J$4-$B$13)/($D$13-$B$13))))</f>
        <v>0</v>
      </c>
      <c r="K40" s="130" t="n">
        <f aca="false">K37*(1+($J$13-1)*MIN(1,MAX(0,(K$4-$B$13)/($D$13-$B$13))))</f>
        <v>488.753858024691</v>
      </c>
      <c r="L40" s="130" t="n">
        <f aca="false">L37*(1+($J$13-1)*MIN(1,MAX(0,(L$4-$B$13)/($D$13-$B$13))))</f>
        <v>493.368055555556</v>
      </c>
      <c r="M40" s="130" t="n">
        <f aca="false">M37*(1+($J$13-1)*MIN(1,MAX(0,(M$4-$B$13)/($D$13-$B$13))))</f>
        <v>497.98225308642</v>
      </c>
      <c r="N40" s="130" t="n">
        <f aca="false">N37*(1+($J$13-1)*MIN(1,MAX(0,(N$4-$B$13)/($D$13-$B$13))))</f>
        <v>502.496141975309</v>
      </c>
      <c r="O40" s="130" t="n">
        <f aca="false">O37*(1+($J$13-1)*MIN(1,MAX(0,(O$4-$B$13)/($D$13-$B$13))))</f>
        <v>507.060185185185</v>
      </c>
      <c r="P40" s="131" t="n">
        <f aca="false">P37*(1+($J$13-1)*MIN(1,MAX(0,(P$4-$B$13)/($D$13-$B$13))))</f>
        <v>91.8389917695473</v>
      </c>
      <c r="Q40" s="131" t="n">
        <f aca="false">Q37*(1+($J$13-1)*MIN(1,MAX(0,(Q$4-$B$13)/($D$13-$B$13))))</f>
        <v>92.6671810699589</v>
      </c>
      <c r="R40" s="131" t="n">
        <f aca="false">R37*(1+($J$13-1)*MIN(1,MAX(0,(R$4-$B$13)/($D$13-$B$13))))</f>
        <v>93.4773662551441</v>
      </c>
      <c r="S40" s="131" t="n">
        <f aca="false">S37*(1+($J$13-1)*MIN(1,MAX(0,(S$4-$B$13)/($D$13-$B$13))))</f>
        <v>94.2965534979424</v>
      </c>
      <c r="T40" s="131" t="n">
        <f aca="false">T37*(1+($J$13-1)*MIN(1,MAX(0,(T$4-$B$13)/($D$13-$B$13))))</f>
        <v>95.1247427983539</v>
      </c>
      <c r="U40" s="131" t="n">
        <f aca="false">U37*(1+($J$13-1)*MIN(1,MAX(0,(U$4-$B$13)/($D$13-$B$13))))</f>
        <v>95.9529320987654</v>
      </c>
      <c r="V40" s="131" t="n">
        <f aca="false">V37*(1+($J$13-1)*MIN(1,MAX(0,(V$4-$B$13)/($D$13-$B$13))))</f>
        <v>96.7721193415638</v>
      </c>
      <c r="W40" s="131" t="n">
        <f aca="false">W37*(1+($J$13-1)*MIN(1,MAX(0,(W$4-$B$13)/($D$13-$B$13))))</f>
        <v>97.5913065843622</v>
      </c>
      <c r="X40" s="131" t="n">
        <f aca="false">X37*(1+($J$13-1)*MIN(1,MAX(0,(X$4-$B$13)/($D$13-$B$13))))</f>
        <v>98.4194958847737</v>
      </c>
      <c r="Y40" s="131" t="n">
        <f aca="false">Y37*(1+($J$13-1)*MIN(1,MAX(0,(Y$4-$B$13)/($D$13-$B$13))))</f>
        <v>99.2476851851852</v>
      </c>
      <c r="Z40" s="131" t="n">
        <f aca="false">Z37*(1+($J$13-1)*MIN(1,MAX(0,(Z$4-$B$13)/($D$13-$B$13))))</f>
        <v>100.05787037037</v>
      </c>
      <c r="AA40" s="131" t="n">
        <f aca="false">AA37*(1+($J$13-1)*MIN(1,MAX(0,(AA$4-$B$13)/($D$13-$B$13))))</f>
        <v>100.877057613169</v>
      </c>
      <c r="AB40" s="131" t="n">
        <f aca="false">AB37*(1+($J$13-1)*MIN(1,MAX(0,(AB$4-$B$13)/($D$13-$B$13))))</f>
        <v>101.70524691358</v>
      </c>
      <c r="AC40" s="131" t="n">
        <f aca="false">AC37*(1+($J$13-1)*MIN(1,MAX(0,(AC$4-$B$13)/($D$13-$B$13))))</f>
        <v>102.533436213992</v>
      </c>
      <c r="AD40" s="131" t="n">
        <f aca="false">AD37*(1+($J$13-1)*MIN(1,MAX(0,(AD$4-$B$13)/($D$13-$B$13))))</f>
        <v>103.343621399177</v>
      </c>
      <c r="AE40" s="131" t="n">
        <f aca="false">AE37*(1+($J$13-1)*MIN(1,MAX(0,(AE$4-$B$13)/($D$13-$B$13))))</f>
        <v>104.162808641975</v>
      </c>
      <c r="AF40" s="131" t="n">
        <f aca="false">AF37*(1+($J$13-1)*MIN(1,MAX(0,(AF$4-$B$13)/($D$13-$B$13))))</f>
        <v>104.990997942387</v>
      </c>
      <c r="AG40" s="131" t="n">
        <f aca="false">AG37*(1+($J$13-1)*MIN(1,MAX(0,(AG$4-$B$13)/($D$13-$B$13))))</f>
        <v>105.819187242798</v>
      </c>
      <c r="AI40" s="131" t="n">
        <f aca="false">INDEX($F40:$AG40,1,MATCH(AI$7,$F$7:$AG$7,1))</f>
        <v>0</v>
      </c>
      <c r="AJ40" s="131" t="n">
        <f aca="false">INDEX($F40:$AG40,1,MATCH(AJ$7,$F$7:$AG$7,1))</f>
        <v>497.98225308642</v>
      </c>
      <c r="AK40" s="131" t="n">
        <f aca="false">INDEX($F40:$AG40,1,MATCH(AK$7,$F$7:$AG$7,1))</f>
        <v>92.6671810699589</v>
      </c>
      <c r="AL40" s="131" t="n">
        <f aca="false">INDEX($F40:$AG40,1,MATCH(AL$7,$F$7:$AG$7,1))</f>
        <v>95.9529320987654</v>
      </c>
      <c r="AM40" s="131" t="n">
        <f aca="false">INDEX($F40:$AG40,1,MATCH(AM$7,$F$7:$AG$7,1))</f>
        <v>99.2476851851852</v>
      </c>
      <c r="AN40" s="131" t="n">
        <f aca="false">INDEX($F40:$AG40,1,MATCH(AN$7,$F$7:$AG$7,1))</f>
        <v>102.533436213992</v>
      </c>
      <c r="AO40" s="131" t="n">
        <f aca="false">INDEX($F40:$AG40,1,MATCH(AO$7,$F$7:$AG$7,1))</f>
        <v>105.819187242798</v>
      </c>
    </row>
    <row r="41" customFormat="false" ht="15" hidden="false" customHeight="false" outlineLevel="0" collapsed="false">
      <c r="A41" s="112" t="s">
        <v>2518</v>
      </c>
      <c r="B41" s="24" t="s">
        <v>745</v>
      </c>
      <c r="C41" s="24" t="s">
        <v>736</v>
      </c>
      <c r="D41" s="24"/>
      <c r="F41" s="130" t="n">
        <f aca="false">F37*($S$13+($J$13-$S$13)*MIN(1,MAX(0,(F$4-$T$13)/($D$13-$T$13))))</f>
        <v>0</v>
      </c>
      <c r="G41" s="130" t="n">
        <f aca="false">G37*($S$13+($J$13-$S$13)*MIN(1,MAX(0,(G$4-$T$13)/($D$13-$T$13))))</f>
        <v>0</v>
      </c>
      <c r="H41" s="130" t="n">
        <f aca="false">H37*($S$13+($J$13-$S$13)*MIN(1,MAX(0,(H$4-$T$13)/($D$13-$T$13))))</f>
        <v>0</v>
      </c>
      <c r="I41" s="130" t="n">
        <f aca="false">I37*($S$13+($J$13-$S$13)*MIN(1,MAX(0,(I$4-$T$13)/($D$13-$T$13))))</f>
        <v>0</v>
      </c>
      <c r="J41" s="130" t="n">
        <f aca="false">J37*($S$13+($J$13-$S$13)*MIN(1,MAX(0,(J$4-$T$13)/($D$13-$T$13))))</f>
        <v>0</v>
      </c>
      <c r="K41" s="130" t="n">
        <f aca="false">K37*($S$13+($J$13-$S$13)*MIN(1,MAX(0,(K$4-$T$13)/($D$13-$T$13))))</f>
        <v>498.4000125</v>
      </c>
      <c r="L41" s="130" t="n">
        <f aca="false">L37*($S$13+($J$13-$S$13)*MIN(1,MAX(0,(L$4-$T$13)/($D$13-$T$13))))</f>
        <v>498.4000125</v>
      </c>
      <c r="M41" s="130" t="n">
        <f aca="false">M37*($S$13+($J$13-$S$13)*MIN(1,MAX(0,(M$4-$T$13)/($D$13-$T$13))))</f>
        <v>498.4000125</v>
      </c>
      <c r="N41" s="130" t="n">
        <f aca="false">N37*($S$13+($J$13-$S$13)*MIN(1,MAX(0,(N$4-$T$13)/($D$13-$T$13))))</f>
        <v>498.4000125</v>
      </c>
      <c r="O41" s="130" t="n">
        <f aca="false">O37*($S$13+($J$13-$S$13)*MIN(1,MAX(0,(O$4-$T$13)/($D$13-$T$13))))</f>
        <v>498.4000125</v>
      </c>
      <c r="P41" s="131" t="n">
        <f aca="false">P37*($S$13+($J$13-$S$13)*MIN(1,MAX(0,(P$4-$T$13)/($D$13-$T$13))))</f>
        <v>90.3641810308848</v>
      </c>
      <c r="Q41" s="131" t="n">
        <f aca="false">Q37*($S$13+($J$13-$S$13)*MIN(1,MAX(0,(Q$4-$T$13)/($D$13-$T$13))))</f>
        <v>91.2719495617696</v>
      </c>
      <c r="R41" s="131" t="n">
        <f aca="false">R37*($S$13+($J$13-$S$13)*MIN(1,MAX(0,(R$4-$T$13)/($D$13-$T$13))))</f>
        <v>92.1599839941569</v>
      </c>
      <c r="S41" s="131" t="n">
        <f aca="false">S37*($S$13+($J$13-$S$13)*MIN(1,MAX(0,(S$4-$T$13)/($D$13-$T$13))))</f>
        <v>93.057885475793</v>
      </c>
      <c r="T41" s="131" t="n">
        <f aca="false">T37*($S$13+($J$13-$S$13)*MIN(1,MAX(0,(T$4-$T$13)/($D$13-$T$13))))</f>
        <v>93.9656540066778</v>
      </c>
      <c r="U41" s="131" t="n">
        <f aca="false">U37*($S$13+($J$13-$S$13)*MIN(1,MAX(0,(U$4-$T$13)/($D$13-$T$13))))</f>
        <v>94.8734225375626</v>
      </c>
      <c r="V41" s="131" t="n">
        <f aca="false">V37*($S$13+($J$13-$S$13)*MIN(1,MAX(0,(V$4-$T$13)/($D$13-$T$13))))</f>
        <v>95.7713240191987</v>
      </c>
      <c r="W41" s="131" t="n">
        <f aca="false">W37*($S$13+($J$13-$S$13)*MIN(1,MAX(0,(W$4-$T$13)/($D$13-$T$13))))</f>
        <v>96.6692255008347</v>
      </c>
      <c r="X41" s="131" t="n">
        <f aca="false">X37*($S$13+($J$13-$S$13)*MIN(1,MAX(0,(X$4-$T$13)/($D$13-$T$13))))</f>
        <v>97.5769940317195</v>
      </c>
      <c r="Y41" s="131" t="n">
        <f aca="false">Y37*($S$13+($J$13-$S$13)*MIN(1,MAX(0,(Y$4-$T$13)/($D$13-$T$13))))</f>
        <v>98.4847625626044</v>
      </c>
      <c r="Z41" s="131" t="n">
        <f aca="false">Z37*($S$13+($J$13-$S$13)*MIN(1,MAX(0,(Z$4-$T$13)/($D$13-$T$13))))</f>
        <v>99.3727969949917</v>
      </c>
      <c r="AA41" s="131" t="n">
        <f aca="false">AA37*($S$13+($J$13-$S$13)*MIN(1,MAX(0,(AA$4-$T$13)/($D$13-$T$13))))</f>
        <v>100.270698476628</v>
      </c>
      <c r="AB41" s="131" t="n">
        <f aca="false">AB37*($S$13+($J$13-$S$13)*MIN(1,MAX(0,(AB$4-$T$13)/($D$13-$T$13))))</f>
        <v>101.178467007513</v>
      </c>
      <c r="AC41" s="131" t="n">
        <f aca="false">AC37*($S$13+($J$13-$S$13)*MIN(1,MAX(0,(AC$4-$T$13)/($D$13-$T$13))))</f>
        <v>102.086235538397</v>
      </c>
      <c r="AD41" s="131" t="n">
        <f aca="false">AD37*($S$13+($J$13-$S$13)*MIN(1,MAX(0,(AD$4-$T$13)/($D$13-$T$13))))</f>
        <v>102.974269970785</v>
      </c>
      <c r="AE41" s="131" t="n">
        <f aca="false">AE37*($S$13+($J$13-$S$13)*MIN(1,MAX(0,(AE$4-$T$13)/($D$13-$T$13))))</f>
        <v>103.872171452421</v>
      </c>
      <c r="AF41" s="131" t="n">
        <f aca="false">AF37*($S$13+($J$13-$S$13)*MIN(1,MAX(0,(AF$4-$T$13)/($D$13-$T$13))))</f>
        <v>104.779939983306</v>
      </c>
      <c r="AG41" s="131" t="n">
        <f aca="false">AG37*($S$13+($J$13-$S$13)*MIN(1,MAX(0,(AG$4-$T$13)/($D$13-$T$13))))</f>
        <v>105.68770851419</v>
      </c>
      <c r="AI41" s="131" t="n">
        <f aca="false">INDEX($F41:$AG41,1,MATCH(AI$7,$F$7:$AG$7,1))</f>
        <v>0</v>
      </c>
      <c r="AJ41" s="131" t="n">
        <f aca="false">INDEX($F41:$AG41,1,MATCH(AJ$7,$F$7:$AG$7,1))</f>
        <v>498.4000125</v>
      </c>
      <c r="AK41" s="131" t="n">
        <f aca="false">INDEX($F41:$AG41,1,MATCH(AK$7,$F$7:$AG$7,1))</f>
        <v>91.2719495617696</v>
      </c>
      <c r="AL41" s="131" t="n">
        <f aca="false">INDEX($F41:$AG41,1,MATCH(AL$7,$F$7:$AG$7,1))</f>
        <v>94.8734225375626</v>
      </c>
      <c r="AM41" s="131" t="n">
        <f aca="false">INDEX($F41:$AG41,1,MATCH(AM$7,$F$7:$AG$7,1))</f>
        <v>98.4847625626044</v>
      </c>
      <c r="AN41" s="131" t="n">
        <f aca="false">INDEX($F41:$AG41,1,MATCH(AN$7,$F$7:$AG$7,1))</f>
        <v>102.086235538397</v>
      </c>
      <c r="AO41" s="131" t="n">
        <f aca="false">INDEX($F41:$AG41,1,MATCH(AO$7,$F$7:$AG$7,1))</f>
        <v>105.68770851419</v>
      </c>
    </row>
    <row r="42" customFormat="false" ht="15" hidden="false" customHeight="false" outlineLevel="0" collapsed="false">
      <c r="A42" s="112" t="s">
        <v>2519</v>
      </c>
      <c r="B42" s="24" t="s">
        <v>745</v>
      </c>
      <c r="C42" s="24" t="s">
        <v>736</v>
      </c>
      <c r="D42" s="24"/>
      <c r="F42" s="130" t="n">
        <f aca="false">IF(F$5=$N$13,E37*$J$13*(1-$O$13),0)</f>
        <v>0</v>
      </c>
      <c r="G42" s="130" t="n">
        <f aca="false">IF(G$5=$N$13,F37*$J$13*(1-$O$13),0)</f>
        <v>0</v>
      </c>
      <c r="H42" s="130" t="n">
        <f aca="false">IF(H$5=$N$13,G37*$J$13*(1-$O$13),0)</f>
        <v>0</v>
      </c>
      <c r="I42" s="130" t="n">
        <f aca="false">IF(I$5=$N$13,H37*$J$13*(1-$O$13),0)</f>
        <v>0</v>
      </c>
      <c r="J42" s="130" t="n">
        <f aca="false">IF(J$5=$N$13,I37*$J$13*(1-$O$13),0)</f>
        <v>0</v>
      </c>
      <c r="K42" s="130" t="n">
        <f aca="false">IF(K$5=$N$13,J37*$J$13*(1-$O$13),0)</f>
        <v>0</v>
      </c>
      <c r="L42" s="130" t="n">
        <f aca="false">IF(L$5=$N$13,K37*$J$13*(1-$O$13),0)</f>
        <v>0</v>
      </c>
      <c r="M42" s="130" t="n">
        <f aca="false">IF(M$5=$N$13,L37*$J$13*(1-$O$13),0)</f>
        <v>0</v>
      </c>
      <c r="N42" s="130" t="n">
        <f aca="false">IF(N$5=$N$13,M37*$J$13*(1-$O$13),0)</f>
        <v>0</v>
      </c>
      <c r="O42" s="130" t="n">
        <f aca="false">IF(O$5=$N$13,N37*$J$13*(1-$O$13),0)</f>
        <v>0</v>
      </c>
      <c r="P42" s="131" t="n">
        <f aca="false">IF(P$5=$N$13,O37*$J$13*(1-$O$13),0)</f>
        <v>0</v>
      </c>
      <c r="Q42" s="131" t="n">
        <f aca="false">IF(Q$5=$N$13,P37*$J$13*(1-$O$13),0)</f>
        <v>0</v>
      </c>
      <c r="R42" s="131" t="n">
        <f aca="false">IF(R$5=$N$13,Q37*$J$13*(1-$O$13),0)</f>
        <v>0</v>
      </c>
      <c r="S42" s="131" t="n">
        <f aca="false">IF(S$5=$N$13,R37*$J$13*(1-$O$13),0)</f>
        <v>0</v>
      </c>
      <c r="T42" s="131" t="n">
        <f aca="false">IF(T$5=$N$13,S37*$J$13*(1-$O$13),0)</f>
        <v>0</v>
      </c>
      <c r="U42" s="131" t="n">
        <f aca="false">IF(U$5=$N$13,T37*$J$13*(1-$O$13),0)</f>
        <v>0</v>
      </c>
      <c r="V42" s="131" t="n">
        <f aca="false">IF(V$5=$N$13,U37*$J$13*(1-$O$13),0)</f>
        <v>0</v>
      </c>
      <c r="W42" s="131" t="n">
        <f aca="false">IF(W$5=$N$13,V37*$J$13*(1-$O$13),0)</f>
        <v>0</v>
      </c>
      <c r="X42" s="131" t="n">
        <f aca="false">IF(X$5=$N$13,W37*$J$13*(1-$O$13),0)</f>
        <v>0</v>
      </c>
      <c r="Y42" s="131" t="n">
        <f aca="false">IF(Y$5=$N$13,X37*$J$13*(1-$O$13),0)</f>
        <v>0</v>
      </c>
      <c r="Z42" s="131" t="n">
        <f aca="false">IF(Z$5=$N$13,Y37*$J$13*(1-$O$13),0)</f>
        <v>0</v>
      </c>
      <c r="AA42" s="131" t="n">
        <f aca="false">IF(AA$5=$N$13,Z37*$J$13*(1-$O$13),0)</f>
        <v>0</v>
      </c>
      <c r="AB42" s="131" t="n">
        <f aca="false">IF(AB$5=$N$13,AA37*$J$13*(1-$O$13),0)</f>
        <v>0</v>
      </c>
      <c r="AC42" s="131" t="n">
        <f aca="false">IF(AC$5=$N$13,AB37*$J$13*(1-$O$13),0)</f>
        <v>0</v>
      </c>
      <c r="AD42" s="131" t="n">
        <f aca="false">IF(AD$5=$N$13,AC37*$J$13*(1-$O$13),0)</f>
        <v>0</v>
      </c>
      <c r="AE42" s="131" t="n">
        <f aca="false">IF(AE$5=$N$13,AD37*$J$13*(1-$O$13),0)</f>
        <v>0</v>
      </c>
      <c r="AF42" s="131" t="n">
        <f aca="false">IF(AF$5=$N$13,AE37*$J$13*(1-$O$13),0)</f>
        <v>0</v>
      </c>
      <c r="AG42" s="131" t="n">
        <f aca="false">IF(AG$5=$N$13,AF37*$J$13*(1-$O$13),0)</f>
        <v>0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0</v>
      </c>
      <c r="AL42" s="131" t="n">
        <f aca="false">SUMIF($F$7:$AG$7,AL$7,$F42:$AG42)</f>
        <v>0</v>
      </c>
      <c r="AM42" s="131" t="n">
        <f aca="false">SUMIF($F$7:$AG$7,AM$7,$F42:$AG42)</f>
        <v>0</v>
      </c>
      <c r="AN42" s="131" t="n">
        <f aca="false">SUMIF($F$7:$AG$7,AN$7,$F42:$AG42)</f>
        <v>0</v>
      </c>
      <c r="AO42" s="131" t="n">
        <f aca="false">SUMIF($F$7:$AG$7,AO$7,$F42:$AG42)</f>
        <v>0</v>
      </c>
    </row>
    <row r="43" customFormat="false" ht="15" hidden="false" customHeight="false" outlineLevel="0" collapsed="false">
      <c r="A43" s="112" t="s">
        <v>2520</v>
      </c>
      <c r="B43" s="24" t="s">
        <v>809</v>
      </c>
      <c r="C43" s="24" t="s">
        <v>736</v>
      </c>
      <c r="D43" s="24"/>
      <c r="F43" s="146" t="n">
        <f aca="false">IF(F$5=$N$13,E37*$K$13/1000*$O$13,0)</f>
        <v>0</v>
      </c>
      <c r="G43" s="146" t="n">
        <f aca="false">IF(G$5=$N$13,F37*$K$13/1000*$O$13,0)</f>
        <v>0</v>
      </c>
      <c r="H43" s="146" t="n">
        <f aca="false">IF(H$5=$N$13,G37*$K$13/1000*$O$13,0)</f>
        <v>0</v>
      </c>
      <c r="I43" s="146" t="n">
        <f aca="false">IF(I$5=$N$13,H37*$K$13/1000*$O$13,0)</f>
        <v>0</v>
      </c>
      <c r="J43" s="146" t="n">
        <f aca="false">IF(J$5=$N$13,I37*$K$13/1000*$O$13,0)</f>
        <v>0</v>
      </c>
      <c r="K43" s="146" t="n">
        <f aca="false">IF(K$5=$N$13,J37*$K$13/1000*$O$13,0)</f>
        <v>0</v>
      </c>
      <c r="L43" s="146" t="n">
        <f aca="false">IF(L$5=$N$13,K37*$K$13/1000*$O$13,0)</f>
        <v>0</v>
      </c>
      <c r="M43" s="146" t="n">
        <f aca="false">IF(M$5=$N$13,L37*$K$13/1000*$O$13,0)</f>
        <v>0</v>
      </c>
      <c r="N43" s="146" t="n">
        <f aca="false">IF(N$5=$N$13,M37*$K$13/1000*$O$13,0)</f>
        <v>0</v>
      </c>
      <c r="O43" s="146" t="n">
        <f aca="false">IF(O$5=$N$13,N37*$K$13/1000*$O$13,0)</f>
        <v>0</v>
      </c>
      <c r="P43" s="54" t="n">
        <f aca="false">IF(P$5=$N$13,O37*$K$13/1000*$O$13,0)</f>
        <v>0</v>
      </c>
      <c r="Q43" s="54" t="n">
        <f aca="false">IF(Q$5=$N$13,P37*$K$13/1000*$O$13,0)</f>
        <v>0</v>
      </c>
      <c r="R43" s="54" t="n">
        <f aca="false">IF(R$5=$N$13,Q37*$K$13/1000*$O$13,0)</f>
        <v>0</v>
      </c>
      <c r="S43" s="54" t="n">
        <f aca="false">IF(S$5=$N$13,R37*$K$13/1000*$O$13,0)</f>
        <v>0</v>
      </c>
      <c r="T43" s="54" t="n">
        <f aca="false">IF(T$5=$N$13,S37*$K$13/1000*$O$13,0)</f>
        <v>0</v>
      </c>
      <c r="U43" s="54" t="n">
        <f aca="false">IF(U$5=$N$13,T37*$K$13/1000*$O$13,0)</f>
        <v>0</v>
      </c>
      <c r="V43" s="54" t="n">
        <f aca="false">IF(V$5=$N$13,U37*$K$13/1000*$O$13,0)</f>
        <v>0</v>
      </c>
      <c r="W43" s="54" t="n">
        <f aca="false">IF(W$5=$N$13,V37*$K$13/1000*$O$13,0)</f>
        <v>0</v>
      </c>
      <c r="X43" s="54" t="n">
        <f aca="false">IF(X$5=$N$13,W37*$K$13/1000*$O$13,0)</f>
        <v>0</v>
      </c>
      <c r="Y43" s="54" t="n">
        <f aca="false">IF(Y$5=$N$13,X37*$K$13/1000*$O$13,0)</f>
        <v>0</v>
      </c>
      <c r="Z43" s="54" t="n">
        <f aca="false">IF(Z$5=$N$13,Y37*$K$13/1000*$O$13,0)</f>
        <v>0</v>
      </c>
      <c r="AA43" s="54" t="n">
        <f aca="false">IF(AA$5=$N$13,Z37*$K$13/1000*$O$13,0)</f>
        <v>0</v>
      </c>
      <c r="AB43" s="54" t="n">
        <f aca="false">IF(AB$5=$N$13,AA37*$K$13/1000*$O$13,0)</f>
        <v>0</v>
      </c>
      <c r="AC43" s="54" t="n">
        <f aca="false">IF(AC$5=$N$13,AB37*$K$13/1000*$O$13,0)</f>
        <v>0</v>
      </c>
      <c r="AD43" s="54" t="n">
        <f aca="false">IF(AD$5=$N$13,AC37*$K$13/1000*$O$13,0)</f>
        <v>0</v>
      </c>
      <c r="AE43" s="54" t="n">
        <f aca="false">IF(AE$5=$N$13,AD37*$K$13/1000*$O$13,0)</f>
        <v>0</v>
      </c>
      <c r="AF43" s="54" t="n">
        <f aca="false">IF(AF$5=$N$13,AE37*$K$13/1000*$O$13,0)</f>
        <v>0</v>
      </c>
      <c r="AG43" s="54" t="n">
        <f aca="false">IF(AG$5=$N$13,AF37*$K$13/1000*$O$13,0)</f>
        <v>0</v>
      </c>
      <c r="AI43" s="54" t="n">
        <f aca="false">SUMIF($F$7:$AG$7,AI$7,$F43:$AG43)</f>
        <v>0</v>
      </c>
      <c r="AJ43" s="54" t="n">
        <f aca="false">SUMIF($F$7:$AG$7,AJ$7,$F43:$AG43)</f>
        <v>0</v>
      </c>
      <c r="AK43" s="54" t="n">
        <f aca="false">SUMIF($F$7:$AG$7,AK$7,$F43:$AG43)</f>
        <v>0</v>
      </c>
      <c r="AL43" s="54" t="n">
        <f aca="false">SUMIF($F$7:$AG$7,AL$7,$F43:$AG43)</f>
        <v>0</v>
      </c>
      <c r="AM43" s="54" t="n">
        <f aca="false">SUMIF($F$7:$AG$7,AM$7,$F43:$AG43)</f>
        <v>0</v>
      </c>
      <c r="AN43" s="54" t="n">
        <f aca="false">SUMIF($F$7:$AG$7,AN$7,$F43:$AG43)</f>
        <v>0</v>
      </c>
      <c r="AO43" s="54" t="n">
        <f aca="false">SUMIF($F$7:$AG$7,AO$7,$F43:$AG43)</f>
        <v>0</v>
      </c>
    </row>
    <row r="44" customFormat="false" ht="15" hidden="false" customHeight="false" outlineLevel="0" collapsed="false">
      <c r="A44" s="112" t="s">
        <v>2521</v>
      </c>
      <c r="B44" s="24" t="s">
        <v>809</v>
      </c>
      <c r="C44" s="24" t="s">
        <v>672</v>
      </c>
      <c r="D44" s="24"/>
      <c r="F44" s="146" t="n">
        <f aca="false">IF(DilMethod=3,MAX(0,F37*$K$13/1000*DilPx-F40)/DilPx,F37*$K$13/1000*$P$13)</f>
        <v>0</v>
      </c>
      <c r="G44" s="146" t="n">
        <f aca="false">IF(DilMethod=3,MAX(0,G37*$K$13/1000*DilPx-G40)/DilPx,G37*$K$13/1000*$P$13)</f>
        <v>0</v>
      </c>
      <c r="H44" s="146" t="n">
        <f aca="false">IF(DilMethod=3,MAX(0,H37*$K$13/1000*DilPx-H40)/DilPx,H37*$K$13/1000*$P$13)</f>
        <v>0</v>
      </c>
      <c r="I44" s="146" t="n">
        <f aca="false">IF(DilMethod=3,MAX(0,I37*$K$13/1000*DilPx-I40)/DilPx,I37*$K$13/1000*$P$13)</f>
        <v>0</v>
      </c>
      <c r="J44" s="146" t="n">
        <f aca="false">IF(DilMethod=3,MAX(0,J37*$K$13/1000*DilPx-J40)/DilPx,J37*$K$13/1000*$P$13)</f>
        <v>0</v>
      </c>
      <c r="K44" s="146" t="n">
        <f aca="false">IF(DilMethod=3,MAX(0,K37*$K$13/1000*DilPx-K40)/DilPx,K37*$K$13/1000*$P$13)</f>
        <v>0</v>
      </c>
      <c r="L44" s="146" t="n">
        <f aca="false">IF(DilMethod=3,MAX(0,L37*$K$13/1000*DilPx-L40)/DilPx,L37*$K$13/1000*$P$13)</f>
        <v>0</v>
      </c>
      <c r="M44" s="146" t="n">
        <f aca="false">IF(DilMethod=3,MAX(0,M37*$K$13/1000*DilPx-M40)/DilPx,M37*$K$13/1000*$P$13)</f>
        <v>0</v>
      </c>
      <c r="N44" s="146" t="n">
        <f aca="false">IF(DilMethod=3,MAX(0,N37*$K$13/1000*DilPx-N40)/DilPx,N37*$K$13/1000*$P$13)</f>
        <v>0</v>
      </c>
      <c r="O44" s="146" t="n">
        <f aca="false">IF(DilMethod=3,MAX(0,O37*$K$13/1000*DilPx-O40)/DilPx,O37*$K$13/1000*$P$13)</f>
        <v>0</v>
      </c>
      <c r="P44" s="54" t="n">
        <f aca="false">IF(DilMethod=3,MAX(0,P37*$K$13/1000*DilPx-P40)/DilPx,P37*$K$13/1000*$P$13)</f>
        <v>0</v>
      </c>
      <c r="Q44" s="54" t="n">
        <f aca="false">IF(DilMethod=3,MAX(0,Q37*$K$13/1000*DilPx-Q40)/DilPx,Q37*$K$13/1000*$P$13)</f>
        <v>0</v>
      </c>
      <c r="R44" s="54" t="n">
        <f aca="false">IF(DilMethod=3,MAX(0,R37*$K$13/1000*DilPx-R40)/DilPx,R37*$K$13/1000*$P$13)</f>
        <v>0</v>
      </c>
      <c r="S44" s="54" t="n">
        <f aca="false">IF(DilMethod=3,MAX(0,S37*$K$13/1000*DilPx-S40)/DilPx,S37*$K$13/1000*$P$13)</f>
        <v>0</v>
      </c>
      <c r="T44" s="54" t="n">
        <f aca="false">IF(DilMethod=3,MAX(0,T37*$K$13/1000*DilPx-T40)/DilPx,T37*$K$13/1000*$P$13)</f>
        <v>0</v>
      </c>
      <c r="U44" s="54" t="n">
        <f aca="false">IF(DilMethod=3,MAX(0,U37*$K$13/1000*DilPx-U40)/DilPx,U37*$K$13/1000*$P$13)</f>
        <v>0</v>
      </c>
      <c r="V44" s="54" t="n">
        <f aca="false">IF(DilMethod=3,MAX(0,V37*$K$13/1000*DilPx-V40)/DilPx,V37*$K$13/1000*$P$13)</f>
        <v>0</v>
      </c>
      <c r="W44" s="54" t="n">
        <f aca="false">IF(DilMethod=3,MAX(0,W37*$K$13/1000*DilPx-W40)/DilPx,W37*$K$13/1000*$P$13)</f>
        <v>0</v>
      </c>
      <c r="X44" s="54" t="n">
        <f aca="false">IF(DilMethod=3,MAX(0,X37*$K$13/1000*DilPx-X40)/DilPx,X37*$K$13/1000*$P$13)</f>
        <v>0</v>
      </c>
      <c r="Y44" s="54" t="n">
        <f aca="false">IF(DilMethod=3,MAX(0,Y37*$K$13/1000*DilPx-Y40)/DilPx,Y37*$K$13/1000*$P$13)</f>
        <v>0</v>
      </c>
      <c r="Z44" s="54" t="n">
        <f aca="false">IF(DilMethod=3,MAX(0,Z37*$K$13/1000*DilPx-Z40)/DilPx,Z37*$K$13/1000*$P$13)</f>
        <v>0</v>
      </c>
      <c r="AA44" s="54" t="n">
        <f aca="false">IF(DilMethod=3,MAX(0,AA37*$K$13/1000*DilPx-AA40)/DilPx,AA37*$K$13/1000*$P$13)</f>
        <v>0</v>
      </c>
      <c r="AB44" s="54" t="n">
        <f aca="false">IF(DilMethod=3,MAX(0,AB37*$K$13/1000*DilPx-AB40)/DilPx,AB37*$K$13/1000*$P$13)</f>
        <v>0</v>
      </c>
      <c r="AC44" s="54" t="n">
        <f aca="false">IF(DilMethod=3,MAX(0,AC37*$K$13/1000*DilPx-AC40)/DilPx,AC37*$K$13/1000*$P$13)</f>
        <v>0</v>
      </c>
      <c r="AD44" s="54" t="n">
        <f aca="false">IF(DilMethod=3,MAX(0,AD37*$K$13/1000*DilPx-AD40)/DilPx,AD37*$K$13/1000*$P$13)</f>
        <v>0</v>
      </c>
      <c r="AE44" s="54" t="n">
        <f aca="false">IF(DilMethod=3,MAX(0,AE37*$K$13/1000*DilPx-AE40)/DilPx,AE37*$K$13/1000*$P$13)</f>
        <v>0</v>
      </c>
      <c r="AF44" s="54" t="n">
        <f aca="false">IF(DilMethod=3,MAX(0,AF37*$K$13/1000*DilPx-AF40)/DilPx,AF37*$K$13/1000*$P$13)</f>
        <v>0</v>
      </c>
      <c r="AG44" s="54" t="n">
        <f aca="false">IF(DilMethod=3,MAX(0,AG37*$K$13/1000*DilPx-AG40)/DilPx,AG37*$K$13/1000*$P$13)</f>
        <v>0</v>
      </c>
      <c r="AI44" s="54" t="n">
        <f aca="false">INDEX($F44:$AG44,1,MATCH(AI$7,$F$7:$AG$7,1))</f>
        <v>0</v>
      </c>
      <c r="AJ44" s="54" t="n">
        <f aca="false">INDEX($F44:$AG44,1,MATCH(AJ$7,$F$7:$AG$7,1))</f>
        <v>0</v>
      </c>
      <c r="AK44" s="54" t="n">
        <f aca="false">INDEX($F44:$AG44,1,MATCH(AK$7,$F$7:$AG$7,1))</f>
        <v>0</v>
      </c>
      <c r="AL44" s="54" t="n">
        <f aca="false">INDEX($F44:$AG44,1,MATCH(AL$7,$F$7:$AG$7,1))</f>
        <v>0</v>
      </c>
      <c r="AM44" s="54" t="n">
        <f aca="false">INDEX($F44:$AG44,1,MATCH(AM$7,$F$7:$AG$7,1))</f>
        <v>0</v>
      </c>
      <c r="AN44" s="54" t="n">
        <f aca="false">INDEX($F44:$AG44,1,MATCH(AN$7,$F$7:$AG$7,1))</f>
        <v>0</v>
      </c>
      <c r="AO44" s="54" t="n">
        <f aca="false">INDEX($F44:$AG44,1,MATCH(AO$7,$F$7:$AG$7,1))</f>
        <v>0</v>
      </c>
    </row>
    <row r="45" customFormat="false" ht="15" hidden="false" customHeight="false" outlineLevel="0" collapsed="false">
      <c r="A45" s="112" t="s">
        <v>2522</v>
      </c>
      <c r="B45" s="24" t="s">
        <v>745</v>
      </c>
      <c r="C45" s="24" t="s">
        <v>672</v>
      </c>
      <c r="D45" s="24"/>
      <c r="F45" s="130" t="n">
        <f aca="false">F40*IF(DilMethod=3,1,1-$P$13)</f>
        <v>0</v>
      </c>
      <c r="G45" s="130" t="n">
        <f aca="false">G40*IF(DilMethod=3,1,1-$P$13)</f>
        <v>0</v>
      </c>
      <c r="H45" s="130" t="n">
        <f aca="false">H40*IF(DilMethod=3,1,1-$P$13)</f>
        <v>0</v>
      </c>
      <c r="I45" s="130" t="n">
        <f aca="false">I40*IF(DilMethod=3,1,1-$P$13)</f>
        <v>0</v>
      </c>
      <c r="J45" s="130" t="n">
        <f aca="false">J40*IF(DilMethod=3,1,1-$P$13)</f>
        <v>0</v>
      </c>
      <c r="K45" s="130" t="n">
        <f aca="false">K40*IF(DilMethod=3,1,1-$P$13)</f>
        <v>488.753858024691</v>
      </c>
      <c r="L45" s="130" t="n">
        <f aca="false">L40*IF(DilMethod=3,1,1-$P$13)</f>
        <v>493.368055555556</v>
      </c>
      <c r="M45" s="130" t="n">
        <f aca="false">M40*IF(DilMethod=3,1,1-$P$13)</f>
        <v>497.98225308642</v>
      </c>
      <c r="N45" s="130" t="n">
        <f aca="false">N40*IF(DilMethod=3,1,1-$P$13)</f>
        <v>502.496141975309</v>
      </c>
      <c r="O45" s="130" t="n">
        <f aca="false">O40*IF(DilMethod=3,1,1-$P$13)</f>
        <v>507.060185185185</v>
      </c>
      <c r="P45" s="131" t="n">
        <f aca="false">P40*IF(DilMethod=3,1,1-$P$13)</f>
        <v>91.8389917695473</v>
      </c>
      <c r="Q45" s="131" t="n">
        <f aca="false">Q40*IF(DilMethod=3,1,1-$P$13)</f>
        <v>92.6671810699589</v>
      </c>
      <c r="R45" s="131" t="n">
        <f aca="false">R40*IF(DilMethod=3,1,1-$P$13)</f>
        <v>93.4773662551441</v>
      </c>
      <c r="S45" s="131" t="n">
        <f aca="false">S40*IF(DilMethod=3,1,1-$P$13)</f>
        <v>94.2965534979424</v>
      </c>
      <c r="T45" s="131" t="n">
        <f aca="false">T40*IF(DilMethod=3,1,1-$P$13)</f>
        <v>95.1247427983539</v>
      </c>
      <c r="U45" s="131" t="n">
        <f aca="false">U40*IF(DilMethod=3,1,1-$P$13)</f>
        <v>95.9529320987654</v>
      </c>
      <c r="V45" s="131" t="n">
        <f aca="false">V40*IF(DilMethod=3,1,1-$P$13)</f>
        <v>96.7721193415638</v>
      </c>
      <c r="W45" s="131" t="n">
        <f aca="false">W40*IF(DilMethod=3,1,1-$P$13)</f>
        <v>97.5913065843622</v>
      </c>
      <c r="X45" s="131" t="n">
        <f aca="false">X40*IF(DilMethod=3,1,1-$P$13)</f>
        <v>98.4194958847737</v>
      </c>
      <c r="Y45" s="131" t="n">
        <f aca="false">Y40*IF(DilMethod=3,1,1-$P$13)</f>
        <v>99.2476851851852</v>
      </c>
      <c r="Z45" s="131" t="n">
        <f aca="false">Z40*IF(DilMethod=3,1,1-$P$13)</f>
        <v>100.05787037037</v>
      </c>
      <c r="AA45" s="131" t="n">
        <f aca="false">AA40*IF(DilMethod=3,1,1-$P$13)</f>
        <v>100.877057613169</v>
      </c>
      <c r="AB45" s="131" t="n">
        <f aca="false">AB40*IF(DilMethod=3,1,1-$P$13)</f>
        <v>101.70524691358</v>
      </c>
      <c r="AC45" s="131" t="n">
        <f aca="false">AC40*IF(DilMethod=3,1,1-$P$13)</f>
        <v>102.533436213992</v>
      </c>
      <c r="AD45" s="131" t="n">
        <f aca="false">AD40*IF(DilMethod=3,1,1-$P$13)</f>
        <v>103.343621399177</v>
      </c>
      <c r="AE45" s="131" t="n">
        <f aca="false">AE40*IF(DilMethod=3,1,1-$P$13)</f>
        <v>104.162808641975</v>
      </c>
      <c r="AF45" s="131" t="n">
        <f aca="false">AF40*IF(DilMethod=3,1,1-$P$13)</f>
        <v>104.990997942387</v>
      </c>
      <c r="AG45" s="131" t="n">
        <f aca="false">AG40*IF(DilMethod=3,1,1-$P$13)</f>
        <v>105.819187242798</v>
      </c>
      <c r="AI45" s="131" t="n">
        <f aca="false">INDEX($F45:$AG45,1,MATCH(AI$7,$F$7:$AG$7,1))</f>
        <v>0</v>
      </c>
      <c r="AJ45" s="131" t="n">
        <f aca="false">INDEX($F45:$AG45,1,MATCH(AJ$7,$F$7:$AG$7,1))</f>
        <v>497.98225308642</v>
      </c>
      <c r="AK45" s="131" t="n">
        <f aca="false">INDEX($F45:$AG45,1,MATCH(AK$7,$F$7:$AG$7,1))</f>
        <v>92.6671810699589</v>
      </c>
      <c r="AL45" s="131" t="n">
        <f aca="false">INDEX($F45:$AG45,1,MATCH(AL$7,$F$7:$AG$7,1))</f>
        <v>95.9529320987654</v>
      </c>
      <c r="AM45" s="131" t="n">
        <f aca="false">INDEX($F45:$AG45,1,MATCH(AM$7,$F$7:$AG$7,1))</f>
        <v>99.2476851851852</v>
      </c>
      <c r="AN45" s="131" t="n">
        <f aca="false">INDEX($F45:$AG45,1,MATCH(AN$7,$F$7:$AG$7,1))</f>
        <v>102.533436213992</v>
      </c>
      <c r="AO45" s="131" t="n">
        <f aca="false">INDEX($F45:$AG45,1,MATCH(AO$7,$F$7:$AG$7,1))</f>
        <v>105.819187242798</v>
      </c>
    </row>
    <row r="46" customFormat="false" ht="15" hidden="false" customHeight="false" outlineLevel="0" collapsed="false">
      <c r="A46" s="112" t="s">
        <v>2523</v>
      </c>
      <c r="B46" s="24" t="s">
        <v>745</v>
      </c>
      <c r="C46" s="24" t="s">
        <v>736</v>
      </c>
      <c r="D46" s="24"/>
      <c r="F46" s="130" t="n">
        <f aca="false">IF(AND(F$5&gt;=$M$14,F$5&lt;$N$14),$E$14-$F$14-IF(F$5&gt;=$H$14,$G$14,0),0)*($H$14&lt;&gt;0)+IF(AND(F$5&gt;=$M$14,F$5&lt;$N$14),$E$14-$F$14,0)*($H$14=0)</f>
        <v>0</v>
      </c>
      <c r="G46" s="130" t="n">
        <f aca="false">IF(AND(G$5&gt;=$M$14,G$5&lt;$N$14),$E$14-$F$14-IF(G$5&gt;=$H$14,$G$14,0),0)*($H$14&lt;&gt;0)+IF(AND(G$5&gt;=$M$14,G$5&lt;$N$14),$E$14-$F$14,0)*($H$14=0)</f>
        <v>0</v>
      </c>
      <c r="H46" s="130" t="n">
        <f aca="false">IF(AND(H$5&gt;=$M$14,H$5&lt;$N$14),$E$14-$F$14-IF(H$5&gt;=$H$14,$G$14,0),0)*($H$14&lt;&gt;0)+IF(AND(H$5&gt;=$M$14,H$5&lt;$N$14),$E$14-$F$14,0)*($H$14=0)</f>
        <v>0</v>
      </c>
      <c r="I46" s="130" t="n">
        <f aca="false">IF(AND(I$5&gt;=$M$14,I$5&lt;$N$14),$E$14-$F$14-IF(I$5&gt;=$H$14,$G$14,0),0)*($H$14&lt;&gt;0)+IF(AND(I$5&gt;=$M$14,I$5&lt;$N$14),$E$14-$F$14,0)*($H$14=0)</f>
        <v>0</v>
      </c>
      <c r="J46" s="130" t="n">
        <f aca="false">IF(AND(J$5&gt;=$M$14,J$5&lt;$N$14),$E$14-$F$14-IF(J$5&gt;=$H$14,$G$14,0),0)*($H$14&lt;&gt;0)+IF(AND(J$5&gt;=$M$14,J$5&lt;$N$14),$E$14-$F$14,0)*($H$14=0)</f>
        <v>0</v>
      </c>
      <c r="K46" s="130" t="n">
        <f aca="false">IF(AND(K$5&gt;=$M$14,K$5&lt;$N$14),$E$14-$F$14-IF(K$5&gt;=$H$14,$G$14,0),0)*($H$14&lt;&gt;0)+IF(AND(K$5&gt;=$M$14,K$5&lt;$N$14),$E$14-$F$14,0)*($H$14=0)</f>
        <v>0</v>
      </c>
      <c r="L46" s="130" t="n">
        <f aca="false">IF(AND(L$5&gt;=$M$14,L$5&lt;$N$14),$E$14-$F$14-IF(L$5&gt;=$H$14,$G$14,0),0)*($H$14&lt;&gt;0)+IF(AND(L$5&gt;=$M$14,L$5&lt;$N$14),$E$14-$F$14,0)*($H$14=0)</f>
        <v>1581.25</v>
      </c>
      <c r="M46" s="130" t="n">
        <f aca="false">IF(AND(M$5&gt;=$M$14,M$5&lt;$N$14),$E$14-$F$14-IF(M$5&gt;=$H$14,$G$14,0),0)*($H$14&lt;&gt;0)+IF(AND(M$5&gt;=$M$14,M$5&lt;$N$14),$E$14-$F$14,0)*($H$14=0)</f>
        <v>1581.25</v>
      </c>
      <c r="N46" s="130" t="n">
        <f aca="false">IF(AND(N$5&gt;=$M$14,N$5&lt;$N$14),$E$14-$F$14-IF(N$5&gt;=$H$14,$G$14,0),0)*($H$14&lt;&gt;0)+IF(AND(N$5&gt;=$M$14,N$5&lt;$N$14),$E$14-$F$14,0)*($H$14=0)</f>
        <v>1581.25</v>
      </c>
      <c r="O46" s="130" t="n">
        <f aca="false">IF(AND(O$5&gt;=$M$14,O$5&lt;$N$14),$E$14-$F$14-IF(O$5&gt;=$H$14,$G$14,0),0)*($H$14&lt;&gt;0)+IF(AND(O$5&gt;=$M$14,O$5&lt;$N$14),$E$14-$F$14,0)*($H$14=0)</f>
        <v>1581.25</v>
      </c>
      <c r="P46" s="131" t="n">
        <f aca="false">IF(AND(P$5&gt;=$M$14,P$5&lt;$N$14),$E$14-$F$14-IF(P$5&gt;=$H$14,$G$14,0),0)*($H$14&lt;&gt;0)+IF(AND(P$5&gt;=$M$14,P$5&lt;$N$14),$E$14-$F$14,0)*($H$14=0)</f>
        <v>1581.25</v>
      </c>
      <c r="Q46" s="131" t="n">
        <f aca="false">IF(AND(Q$5&gt;=$M$14,Q$5&lt;$N$14),$E$14-$F$14-IF(Q$5&gt;=$H$14,$G$14,0),0)*($H$14&lt;&gt;0)+IF(AND(Q$5&gt;=$M$14,Q$5&lt;$N$14),$E$14-$F$14,0)*($H$14=0)</f>
        <v>1581.25</v>
      </c>
      <c r="R46" s="131" t="n">
        <f aca="false">IF(AND(R$5&gt;=$M$14,R$5&lt;$N$14),$E$14-$F$14-IF(R$5&gt;=$H$14,$G$14,0),0)*($H$14&lt;&gt;0)+IF(AND(R$5&gt;=$M$14,R$5&lt;$N$14),$E$14-$F$14,0)*($H$14=0)</f>
        <v>1581.25</v>
      </c>
      <c r="S46" s="131" t="n">
        <f aca="false">IF(AND(S$5&gt;=$M$14,S$5&lt;$N$14),$E$14-$F$14-IF(S$5&gt;=$H$14,$G$14,0),0)*($H$14&lt;&gt;0)+IF(AND(S$5&gt;=$M$14,S$5&lt;$N$14),$E$14-$F$14,0)*($H$14=0)</f>
        <v>1581.25</v>
      </c>
      <c r="T46" s="131" t="n">
        <f aca="false">IF(AND(T$5&gt;=$M$14,T$5&lt;$N$14),$E$14-$F$14-IF(T$5&gt;=$H$14,$G$14,0),0)*($H$14&lt;&gt;0)+IF(AND(T$5&gt;=$M$14,T$5&lt;$N$14),$E$14-$F$14,0)*($H$14=0)</f>
        <v>1581.25</v>
      </c>
      <c r="U46" s="131" t="n">
        <f aca="false">IF(AND(U$5&gt;=$M$14,U$5&lt;$N$14),$E$14-$F$14-IF(U$5&gt;=$H$14,$G$14,0),0)*($H$14&lt;&gt;0)+IF(AND(U$5&gt;=$M$14,U$5&lt;$N$14),$E$14-$F$14,0)*($H$14=0)</f>
        <v>1581.25</v>
      </c>
      <c r="V46" s="131" t="n">
        <f aca="false">IF(AND(V$5&gt;=$M$14,V$5&lt;$N$14),$E$14-$F$14-IF(V$5&gt;=$H$14,$G$14,0),0)*($H$14&lt;&gt;0)+IF(AND(V$5&gt;=$M$14,V$5&lt;$N$14),$E$14-$F$14,0)*($H$14=0)</f>
        <v>1581.25</v>
      </c>
      <c r="W46" s="131" t="n">
        <f aca="false">IF(AND(W$5&gt;=$M$14,W$5&lt;$N$14),$E$14-$F$14-IF(W$5&gt;=$H$14,$G$14,0),0)*($H$14&lt;&gt;0)+IF(AND(W$5&gt;=$M$14,W$5&lt;$N$14),$E$14-$F$14,0)*($H$14=0)</f>
        <v>1581.25</v>
      </c>
      <c r="X46" s="131" t="n">
        <f aca="false">IF(AND(X$5&gt;=$M$14,X$5&lt;$N$14),$E$14-$F$14-IF(X$5&gt;=$H$14,$G$14,0),0)*($H$14&lt;&gt;0)+IF(AND(X$5&gt;=$M$14,X$5&lt;$N$14),$E$14-$F$14,0)*($H$14=0)</f>
        <v>1581.25</v>
      </c>
      <c r="Y46" s="131" t="n">
        <f aca="false">IF(AND(Y$5&gt;=$M$14,Y$5&lt;$N$14),$E$14-$F$14-IF(Y$5&gt;=$H$14,$G$14,0),0)*($H$14&lt;&gt;0)+IF(AND(Y$5&gt;=$M$14,Y$5&lt;$N$14),$E$14-$F$14,0)*($H$14=0)</f>
        <v>1581.25</v>
      </c>
      <c r="Z46" s="131" t="n">
        <f aca="false">IF(AND(Z$5&gt;=$M$14,Z$5&lt;$N$14),$E$14-$F$14-IF(Z$5&gt;=$H$14,$G$14,0),0)*($H$14&lt;&gt;0)+IF(AND(Z$5&gt;=$M$14,Z$5&lt;$N$14),$E$14-$F$14,0)*($H$14=0)</f>
        <v>1581.25</v>
      </c>
      <c r="AA46" s="131" t="n">
        <f aca="false">IF(AND(AA$5&gt;=$M$14,AA$5&lt;$N$14),$E$14-$F$14-IF(AA$5&gt;=$H$14,$G$14,0),0)*($H$14&lt;&gt;0)+IF(AND(AA$5&gt;=$M$14,AA$5&lt;$N$14),$E$14-$F$14,0)*($H$14=0)</f>
        <v>1581.25</v>
      </c>
      <c r="AB46" s="131" t="n">
        <f aca="false">IF(AND(AB$5&gt;=$M$14,AB$5&lt;$N$14),$E$14-$F$14-IF(AB$5&gt;=$H$14,$G$14,0),0)*($H$14&lt;&gt;0)+IF(AND(AB$5&gt;=$M$14,AB$5&lt;$N$14),$E$14-$F$14,0)*($H$14=0)</f>
        <v>1581.25</v>
      </c>
      <c r="AC46" s="131" t="n">
        <f aca="false">IF(AND(AC$5&gt;=$M$14,AC$5&lt;$N$14),$E$14-$F$14-IF(AC$5&gt;=$H$14,$G$14,0),0)*($H$14&lt;&gt;0)+IF(AND(AC$5&gt;=$M$14,AC$5&lt;$N$14),$E$14-$F$14,0)*($H$14=0)</f>
        <v>1581.25</v>
      </c>
      <c r="AD46" s="131" t="n">
        <f aca="false">IF(AND(AD$5&gt;=$M$14,AD$5&lt;$N$14),$E$14-$F$14-IF(AD$5&gt;=$H$14,$G$14,0),0)*($H$14&lt;&gt;0)+IF(AND(AD$5&gt;=$M$14,AD$5&lt;$N$14),$E$14-$F$14,0)*($H$14=0)</f>
        <v>1581.25</v>
      </c>
      <c r="AE46" s="131" t="n">
        <f aca="false">IF(AND(AE$5&gt;=$M$14,AE$5&lt;$N$14),$E$14-$F$14-IF(AE$5&gt;=$H$14,$G$14,0),0)*($H$14&lt;&gt;0)+IF(AND(AE$5&gt;=$M$14,AE$5&lt;$N$14),$E$14-$F$14,0)*($H$14=0)</f>
        <v>1581.25</v>
      </c>
      <c r="AF46" s="131" t="n">
        <f aca="false">IF(AND(AF$5&gt;=$M$14,AF$5&lt;$N$14),$E$14-$F$14-IF(AF$5&gt;=$H$14,$G$14,0),0)*($H$14&lt;&gt;0)+IF(AND(AF$5&gt;=$M$14,AF$5&lt;$N$14),$E$14-$F$14,0)*($H$14=0)</f>
        <v>0</v>
      </c>
      <c r="AG46" s="131" t="n">
        <f aca="false">IF(AND(AG$5&gt;=$M$14,AG$5&lt;$N$14),$E$14-$F$14-IF(AG$5&gt;=$H$14,$G$14,0),0)*($H$14&lt;&gt;0)+IF(AND(AG$5&gt;=$M$14,AG$5&lt;$N$14),$E$14-$F$14,0)*($H$14=0)</f>
        <v>0</v>
      </c>
      <c r="AI46" s="131" t="n">
        <f aca="false">INDEX($F46:$AG46,1,MATCH(AI$7,$F$7:$AG$7,1))</f>
        <v>0</v>
      </c>
      <c r="AJ46" s="131" t="n">
        <f aca="false">INDEX($F46:$AG46,1,MATCH(AJ$7,$F$7:$AG$7,1))</f>
        <v>1581.25</v>
      </c>
      <c r="AK46" s="131" t="n">
        <f aca="false">INDEX($F46:$AG46,1,MATCH(AK$7,$F$7:$AG$7,1))</f>
        <v>1581.25</v>
      </c>
      <c r="AL46" s="131" t="n">
        <f aca="false">INDEX($F46:$AG46,1,MATCH(AL$7,$F$7:$AG$7,1))</f>
        <v>1581.25</v>
      </c>
      <c r="AM46" s="131" t="n">
        <f aca="false">INDEX($F46:$AG46,1,MATCH(AM$7,$F$7:$AG$7,1))</f>
        <v>1581.25</v>
      </c>
      <c r="AN46" s="131" t="n">
        <f aca="false">INDEX($F46:$AG46,1,MATCH(AN$7,$F$7:$AG$7,1))</f>
        <v>1581.25</v>
      </c>
      <c r="AO46" s="131" t="n">
        <f aca="false">INDEX($F46:$AG46,1,MATCH(AO$7,$F$7:$AG$7,1))</f>
        <v>0</v>
      </c>
    </row>
    <row r="47" customFormat="false" ht="15" hidden="false" customHeight="false" outlineLevel="0" collapsed="false">
      <c r="A47" s="112" t="s">
        <v>2524</v>
      </c>
      <c r="B47" s="24" t="s">
        <v>745</v>
      </c>
      <c r="C47" s="24" t="s">
        <v>736</v>
      </c>
      <c r="D47" s="24"/>
      <c r="F47" s="130" t="n">
        <f aca="false">F46*$C$14/4</f>
        <v>0</v>
      </c>
      <c r="G47" s="130" t="n">
        <f aca="false">G46*$C$14/4</f>
        <v>0</v>
      </c>
      <c r="H47" s="130" t="n">
        <f aca="false">H46*$C$14/4</f>
        <v>0</v>
      </c>
      <c r="I47" s="130" t="n">
        <f aca="false">I46*$C$14/4</f>
        <v>0</v>
      </c>
      <c r="J47" s="130" t="n">
        <f aca="false">J46*$C$14/4</f>
        <v>0</v>
      </c>
      <c r="K47" s="130" t="n">
        <f aca="false">K46*$C$14/4</f>
        <v>0</v>
      </c>
      <c r="L47" s="130" t="n">
        <f aca="false">L46*$C$14/4</f>
        <v>3.953125</v>
      </c>
      <c r="M47" s="130" t="n">
        <f aca="false">M46*$C$14/4</f>
        <v>3.953125</v>
      </c>
      <c r="N47" s="130" t="n">
        <f aca="false">N46*$C$14/4</f>
        <v>3.953125</v>
      </c>
      <c r="O47" s="130" t="n">
        <f aca="false">O46*$C$14/4</f>
        <v>3.953125</v>
      </c>
      <c r="P47" s="131" t="n">
        <f aca="false">P46*$C$14/4</f>
        <v>3.953125</v>
      </c>
      <c r="Q47" s="131" t="n">
        <f aca="false">Q46*$C$14/4</f>
        <v>3.953125</v>
      </c>
      <c r="R47" s="131" t="n">
        <f aca="false">R46*$C$14/4</f>
        <v>3.953125</v>
      </c>
      <c r="S47" s="131" t="n">
        <f aca="false">S46*$C$14/4</f>
        <v>3.953125</v>
      </c>
      <c r="T47" s="131" t="n">
        <f aca="false">T46*$C$14/4</f>
        <v>3.953125</v>
      </c>
      <c r="U47" s="131" t="n">
        <f aca="false">U46*$C$14/4</f>
        <v>3.953125</v>
      </c>
      <c r="V47" s="131" t="n">
        <f aca="false">V46*$C$14/4</f>
        <v>3.953125</v>
      </c>
      <c r="W47" s="131" t="n">
        <f aca="false">W46*$C$14/4</f>
        <v>3.953125</v>
      </c>
      <c r="X47" s="131" t="n">
        <f aca="false">X46*$C$14/4</f>
        <v>3.953125</v>
      </c>
      <c r="Y47" s="131" t="n">
        <f aca="false">Y46*$C$14/4</f>
        <v>3.953125</v>
      </c>
      <c r="Z47" s="131" t="n">
        <f aca="false">Z46*$C$14/4</f>
        <v>3.953125</v>
      </c>
      <c r="AA47" s="131" t="n">
        <f aca="false">AA46*$C$14/4</f>
        <v>3.953125</v>
      </c>
      <c r="AB47" s="131" t="n">
        <f aca="false">AB46*$C$14/4</f>
        <v>3.953125</v>
      </c>
      <c r="AC47" s="131" t="n">
        <f aca="false">AC46*$C$14/4</f>
        <v>3.953125</v>
      </c>
      <c r="AD47" s="131" t="n">
        <f aca="false">AD46*$C$14/4</f>
        <v>3.953125</v>
      </c>
      <c r="AE47" s="131" t="n">
        <f aca="false">AE46*$C$14/4</f>
        <v>3.953125</v>
      </c>
      <c r="AF47" s="131" t="n">
        <f aca="false">AF46*$C$14/4</f>
        <v>0</v>
      </c>
      <c r="AG47" s="131" t="n">
        <f aca="false">AG46*$C$14/4</f>
        <v>0</v>
      </c>
      <c r="AI47" s="131" t="n">
        <f aca="false">SUMIF($F$7:$AG$7,AI$7,$F47:$AG47)</f>
        <v>0</v>
      </c>
      <c r="AJ47" s="131" t="n">
        <f aca="false">SUMIF($F$7:$AG$7,AJ$7,$F47:$AG47)</f>
        <v>7.90625</v>
      </c>
      <c r="AK47" s="131" t="n">
        <f aca="false">SUMIF($F$7:$AG$7,AK$7,$F47:$AG47)</f>
        <v>15.8125</v>
      </c>
      <c r="AL47" s="131" t="n">
        <f aca="false">SUMIF($F$7:$AG$7,AL$7,$F47:$AG47)</f>
        <v>15.8125</v>
      </c>
      <c r="AM47" s="131" t="n">
        <f aca="false">SUMIF($F$7:$AG$7,AM$7,$F47:$AG47)</f>
        <v>15.8125</v>
      </c>
      <c r="AN47" s="131" t="n">
        <f aca="false">SUMIF($F$7:$AG$7,AN$7,$F47:$AG47)</f>
        <v>15.8125</v>
      </c>
      <c r="AO47" s="131" t="n">
        <f aca="false">SUMIF($F$7:$AG$7,AO$7,$F47:$AG47)</f>
        <v>7.90625</v>
      </c>
    </row>
    <row r="48" customFormat="false" ht="15" hidden="false" customHeight="false" outlineLevel="0" collapsed="false">
      <c r="A48" s="112" t="s">
        <v>2525</v>
      </c>
      <c r="B48" s="24" t="s">
        <v>745</v>
      </c>
      <c r="C48" s="24" t="s">
        <v>736</v>
      </c>
      <c r="D48" s="24"/>
      <c r="F48" s="130" t="n">
        <f aca="false">F46*($J$14-1)/(($D$14-$B$14)/91.3125)</f>
        <v>0</v>
      </c>
      <c r="G48" s="130" t="n">
        <f aca="false">G46*($J$14-1)/(($D$14-$B$14)/91.3125)</f>
        <v>0</v>
      </c>
      <c r="H48" s="130" t="n">
        <f aca="false">H46*($J$14-1)/(($D$14-$B$14)/91.3125)</f>
        <v>0</v>
      </c>
      <c r="I48" s="130" t="n">
        <f aca="false">I46*($J$14-1)/(($D$14-$B$14)/91.3125)</f>
        <v>0</v>
      </c>
      <c r="J48" s="130" t="n">
        <f aca="false">J46*($J$14-1)/(($D$14-$B$14)/91.3125)</f>
        <v>0</v>
      </c>
      <c r="K48" s="130" t="n">
        <f aca="false">K46*($J$14-1)/(($D$14-$B$14)/91.3125)</f>
        <v>0</v>
      </c>
      <c r="L48" s="130" t="n">
        <f aca="false">L46*($J$14-1)/(($D$14-$B$14)/91.3125)</f>
        <v>11.8609986822289</v>
      </c>
      <c r="M48" s="130" t="n">
        <f aca="false">M46*($J$14-1)/(($D$14-$B$14)/91.3125)</f>
        <v>11.8609986822289</v>
      </c>
      <c r="N48" s="130" t="n">
        <f aca="false">N46*($J$14-1)/(($D$14-$B$14)/91.3125)</f>
        <v>11.8609986822289</v>
      </c>
      <c r="O48" s="130" t="n">
        <f aca="false">O46*($J$14-1)/(($D$14-$B$14)/91.3125)</f>
        <v>11.8609986822289</v>
      </c>
      <c r="P48" s="131" t="n">
        <f aca="false">P46*($J$14-1)/(($D$14-$B$14)/91.3125)</f>
        <v>11.8609986822289</v>
      </c>
      <c r="Q48" s="131" t="n">
        <f aca="false">Q46*($J$14-1)/(($D$14-$B$14)/91.3125)</f>
        <v>11.8609986822289</v>
      </c>
      <c r="R48" s="131" t="n">
        <f aca="false">R46*($J$14-1)/(($D$14-$B$14)/91.3125)</f>
        <v>11.8609986822289</v>
      </c>
      <c r="S48" s="131" t="n">
        <f aca="false">S46*($J$14-1)/(($D$14-$B$14)/91.3125)</f>
        <v>11.8609986822289</v>
      </c>
      <c r="T48" s="131" t="n">
        <f aca="false">T46*($J$14-1)/(($D$14-$B$14)/91.3125)</f>
        <v>11.8609986822289</v>
      </c>
      <c r="U48" s="131" t="n">
        <f aca="false">U46*($J$14-1)/(($D$14-$B$14)/91.3125)</f>
        <v>11.8609986822289</v>
      </c>
      <c r="V48" s="131" t="n">
        <f aca="false">V46*($J$14-1)/(($D$14-$B$14)/91.3125)</f>
        <v>11.8609986822289</v>
      </c>
      <c r="W48" s="131" t="n">
        <f aca="false">W46*($J$14-1)/(($D$14-$B$14)/91.3125)</f>
        <v>11.8609986822289</v>
      </c>
      <c r="X48" s="131" t="n">
        <f aca="false">X46*($J$14-1)/(($D$14-$B$14)/91.3125)</f>
        <v>11.8609986822289</v>
      </c>
      <c r="Y48" s="131" t="n">
        <f aca="false">Y46*($J$14-1)/(($D$14-$B$14)/91.3125)</f>
        <v>11.8609986822289</v>
      </c>
      <c r="Z48" s="131" t="n">
        <f aca="false">Z46*($J$14-1)/(($D$14-$B$14)/91.3125)</f>
        <v>11.8609986822289</v>
      </c>
      <c r="AA48" s="131" t="n">
        <f aca="false">AA46*($J$14-1)/(($D$14-$B$14)/91.3125)</f>
        <v>11.8609986822289</v>
      </c>
      <c r="AB48" s="131" t="n">
        <f aca="false">AB46*($J$14-1)/(($D$14-$B$14)/91.3125)</f>
        <v>11.8609986822289</v>
      </c>
      <c r="AC48" s="131" t="n">
        <f aca="false">AC46*($J$14-1)/(($D$14-$B$14)/91.3125)</f>
        <v>11.8609986822289</v>
      </c>
      <c r="AD48" s="131" t="n">
        <f aca="false">AD46*($J$14-1)/(($D$14-$B$14)/91.3125)</f>
        <v>11.8609986822289</v>
      </c>
      <c r="AE48" s="131" t="n">
        <f aca="false">AE46*($J$14-1)/(($D$14-$B$14)/91.3125)</f>
        <v>11.8609986822289</v>
      </c>
      <c r="AF48" s="131" t="n">
        <f aca="false">AF46*($J$14-1)/(($D$14-$B$14)/91.3125)</f>
        <v>0</v>
      </c>
      <c r="AG48" s="131" t="n">
        <f aca="false">AG46*($J$14-1)/(($D$14-$B$14)/91.3125)</f>
        <v>0</v>
      </c>
      <c r="AI48" s="131" t="n">
        <f aca="false">SUMIF($F$7:$AG$7,AI$7,$F48:$AG48)</f>
        <v>0</v>
      </c>
      <c r="AJ48" s="131" t="n">
        <f aca="false">SUMIF($F$7:$AG$7,AJ$7,$F48:$AG48)</f>
        <v>23.7219973644578</v>
      </c>
      <c r="AK48" s="131" t="n">
        <f aca="false">SUMIF($F$7:$AG$7,AK$7,$F48:$AG48)</f>
        <v>47.4439947289156</v>
      </c>
      <c r="AL48" s="131" t="n">
        <f aca="false">SUMIF($F$7:$AG$7,AL$7,$F48:$AG48)</f>
        <v>47.4439947289156</v>
      </c>
      <c r="AM48" s="131" t="n">
        <f aca="false">SUMIF($F$7:$AG$7,AM$7,$F48:$AG48)</f>
        <v>47.4439947289156</v>
      </c>
      <c r="AN48" s="131" t="n">
        <f aca="false">SUMIF($F$7:$AG$7,AN$7,$F48:$AG48)</f>
        <v>47.4439947289156</v>
      </c>
      <c r="AO48" s="131" t="n">
        <f aca="false">SUMIF($F$7:$AG$7,AO$7,$F48:$AG48)</f>
        <v>23.7219973644578</v>
      </c>
    </row>
    <row r="49" customFormat="false" ht="15" hidden="false" customHeight="false" outlineLevel="0" collapsed="false">
      <c r="A49" s="112" t="s">
        <v>2526</v>
      </c>
      <c r="B49" s="24" t="s">
        <v>745</v>
      </c>
      <c r="C49" s="24" t="s">
        <v>736</v>
      </c>
      <c r="D49" s="24"/>
      <c r="F49" s="130" t="n">
        <f aca="false">F46*(1+($J$14-1)*MIN(1,MAX(0,(F$4-$B$14)/($D$14-$B$14))))</f>
        <v>0</v>
      </c>
      <c r="G49" s="130" t="n">
        <f aca="false">G46*(1+($J$14-1)*MIN(1,MAX(0,(G$4-$B$14)/($D$14-$B$14))))</f>
        <v>0</v>
      </c>
      <c r="H49" s="130" t="n">
        <f aca="false">H46*(1+($J$14-1)*MIN(1,MAX(0,(H$4-$B$14)/($D$14-$B$14))))</f>
        <v>0</v>
      </c>
      <c r="I49" s="130" t="n">
        <f aca="false">I46*(1+($J$14-1)*MIN(1,MAX(0,(I$4-$B$14)/($D$14-$B$14))))</f>
        <v>0</v>
      </c>
      <c r="J49" s="130" t="n">
        <f aca="false">J46*(1+($J$14-1)*MIN(1,MAX(0,(J$4-$B$14)/($D$14-$B$14))))</f>
        <v>0</v>
      </c>
      <c r="K49" s="130" t="n">
        <f aca="false">K46*(1+($J$14-1)*MIN(1,MAX(0,(K$4-$B$14)/($D$14-$B$14))))</f>
        <v>0</v>
      </c>
      <c r="L49" s="130" t="n">
        <f aca="false">L46*(1+($J$14-1)*MIN(1,MAX(0,(L$4-$B$14)/($D$14-$B$14))))</f>
        <v>1583.1984186747</v>
      </c>
      <c r="M49" s="130" t="n">
        <f aca="false">M46*(1+($J$14-1)*MIN(1,MAX(0,(M$4-$B$14)/($D$14-$B$14))))</f>
        <v>1595.14871987952</v>
      </c>
      <c r="N49" s="130" t="n">
        <f aca="false">N46*(1+($J$14-1)*MIN(1,MAX(0,(N$4-$B$14)/($D$14-$B$14))))</f>
        <v>1606.83923192771</v>
      </c>
      <c r="O49" s="130" t="n">
        <f aca="false">O46*(1+($J$14-1)*MIN(1,MAX(0,(O$4-$B$14)/($D$14-$B$14))))</f>
        <v>1618.65963855422</v>
      </c>
      <c r="P49" s="131" t="n">
        <f aca="false">P46*(1+($J$14-1)*MIN(1,MAX(0,(P$4-$B$14)/($D$14-$B$14))))</f>
        <v>1630.60993975904</v>
      </c>
      <c r="Q49" s="131" t="n">
        <f aca="false">Q46*(1+($J$14-1)*MIN(1,MAX(0,(Q$4-$B$14)/($D$14-$B$14))))</f>
        <v>1642.56024096386</v>
      </c>
      <c r="R49" s="131" t="n">
        <f aca="false">R46*(1+($J$14-1)*MIN(1,MAX(0,(R$4-$B$14)/($D$14-$B$14))))</f>
        <v>1654.25075301205</v>
      </c>
      <c r="S49" s="131" t="n">
        <f aca="false">S46*(1+($J$14-1)*MIN(1,MAX(0,(S$4-$B$14)/($D$14-$B$14))))</f>
        <v>1666.07115963855</v>
      </c>
      <c r="T49" s="131" t="n">
        <f aca="false">T46*(1+($J$14-1)*MIN(1,MAX(0,(T$4-$B$14)/($D$14-$B$14))))</f>
        <v>1678.02146084337</v>
      </c>
      <c r="U49" s="131" t="n">
        <f aca="false">U46*(1+($J$14-1)*MIN(1,MAX(0,(U$4-$B$14)/($D$14-$B$14))))</f>
        <v>1689.97176204819</v>
      </c>
      <c r="V49" s="131" t="n">
        <f aca="false">V46*(1+($J$14-1)*MIN(1,MAX(0,(V$4-$B$14)/($D$14-$B$14))))</f>
        <v>1701.7921686747</v>
      </c>
      <c r="W49" s="131" t="n">
        <f aca="false">W46*(1+($J$14-1)*MIN(1,MAX(0,(W$4-$B$14)/($D$14-$B$14))))</f>
        <v>1713.6125753012</v>
      </c>
      <c r="X49" s="131" t="n">
        <f aca="false">X46*(1+($J$14-1)*MIN(1,MAX(0,(X$4-$B$14)/($D$14-$B$14))))</f>
        <v>1725.56287650602</v>
      </c>
      <c r="Y49" s="131" t="n">
        <f aca="false">Y46*(1+($J$14-1)*MIN(1,MAX(0,(Y$4-$B$14)/($D$14-$B$14))))</f>
        <v>1737.51317771084</v>
      </c>
      <c r="Z49" s="131" t="n">
        <f aca="false">Z46*(1+($J$14-1)*MIN(1,MAX(0,(Z$4-$B$14)/($D$14-$B$14))))</f>
        <v>1749.20368975904</v>
      </c>
      <c r="AA49" s="131" t="n">
        <f aca="false">AA46*(1+($J$14-1)*MIN(1,MAX(0,(AA$4-$B$14)/($D$14-$B$14))))</f>
        <v>1761.02409638554</v>
      </c>
      <c r="AB49" s="131" t="n">
        <f aca="false">AB46*(1+($J$14-1)*MIN(1,MAX(0,(AB$4-$B$14)/($D$14-$B$14))))</f>
        <v>1772.97439759036</v>
      </c>
      <c r="AC49" s="131" t="n">
        <f aca="false">AC46*(1+($J$14-1)*MIN(1,MAX(0,(AC$4-$B$14)/($D$14-$B$14))))</f>
        <v>1784.92469879518</v>
      </c>
      <c r="AD49" s="131" t="n">
        <f aca="false">AD46*(1+($J$14-1)*MIN(1,MAX(0,(AD$4-$B$14)/($D$14-$B$14))))</f>
        <v>1796.61521084337</v>
      </c>
      <c r="AE49" s="131" t="n">
        <f aca="false">AE46*(1+($J$14-1)*MIN(1,MAX(0,(AE$4-$B$14)/($D$14-$B$14))))</f>
        <v>1808.43561746988</v>
      </c>
      <c r="AF49" s="131" t="n">
        <f aca="false">AF46*(1+($J$14-1)*MIN(1,MAX(0,(AF$4-$B$14)/($D$14-$B$14))))</f>
        <v>0</v>
      </c>
      <c r="AG49" s="131" t="n">
        <f aca="false">AG46*(1+($J$14-1)*MIN(1,MAX(0,(AG$4-$B$14)/($D$14-$B$14))))</f>
        <v>0</v>
      </c>
      <c r="AI49" s="131" t="n">
        <f aca="false">INDEX($F49:$AG49,1,MATCH(AI$7,$F$7:$AG$7,1))</f>
        <v>0</v>
      </c>
      <c r="AJ49" s="131" t="n">
        <f aca="false">INDEX($F49:$AG49,1,MATCH(AJ$7,$F$7:$AG$7,1))</f>
        <v>1595.14871987952</v>
      </c>
      <c r="AK49" s="131" t="n">
        <f aca="false">INDEX($F49:$AG49,1,MATCH(AK$7,$F$7:$AG$7,1))</f>
        <v>1642.56024096386</v>
      </c>
      <c r="AL49" s="131" t="n">
        <f aca="false">INDEX($F49:$AG49,1,MATCH(AL$7,$F$7:$AG$7,1))</f>
        <v>1689.97176204819</v>
      </c>
      <c r="AM49" s="131" t="n">
        <f aca="false">INDEX($F49:$AG49,1,MATCH(AM$7,$F$7:$AG$7,1))</f>
        <v>1737.51317771084</v>
      </c>
      <c r="AN49" s="131" t="n">
        <f aca="false">INDEX($F49:$AG49,1,MATCH(AN$7,$F$7:$AG$7,1))</f>
        <v>1784.92469879518</v>
      </c>
      <c r="AO49" s="131" t="n">
        <f aca="false">INDEX($F49:$AG49,1,MATCH(AO$7,$F$7:$AG$7,1))</f>
        <v>0</v>
      </c>
    </row>
    <row r="50" customFormat="false" ht="15" hidden="false" customHeight="false" outlineLevel="0" collapsed="false">
      <c r="A50" s="112" t="s">
        <v>2527</v>
      </c>
      <c r="B50" s="24" t="s">
        <v>745</v>
      </c>
      <c r="C50" s="24" t="s">
        <v>736</v>
      </c>
      <c r="D50" s="24"/>
      <c r="F50" s="130" t="n">
        <f aca="false">F46*($S$14+($J$14-$S$14)*MIN(1,MAX(0,(F$4-$T$14)/($D$14-$T$14))))</f>
        <v>0</v>
      </c>
      <c r="G50" s="130" t="n">
        <f aca="false">G46*($S$14+($J$14-$S$14)*MIN(1,MAX(0,(G$4-$T$14)/($D$14-$T$14))))</f>
        <v>0</v>
      </c>
      <c r="H50" s="130" t="n">
        <f aca="false">H46*($S$14+($J$14-$S$14)*MIN(1,MAX(0,(H$4-$T$14)/($D$14-$T$14))))</f>
        <v>0</v>
      </c>
      <c r="I50" s="130" t="n">
        <f aca="false">I46*($S$14+($J$14-$S$14)*MIN(1,MAX(0,(I$4-$T$14)/($D$14-$T$14))))</f>
        <v>0</v>
      </c>
      <c r="J50" s="130" t="n">
        <f aca="false">J46*($S$14+($J$14-$S$14)*MIN(1,MAX(0,(J$4-$T$14)/($D$14-$T$14))))</f>
        <v>0</v>
      </c>
      <c r="K50" s="130" t="n">
        <f aca="false">K46*($S$14+($J$14-$S$14)*MIN(1,MAX(0,(K$4-$T$14)/($D$14-$T$14))))</f>
        <v>0</v>
      </c>
      <c r="L50" s="130" t="n">
        <f aca="false">L46*($S$14+($J$14-$S$14)*MIN(1,MAX(0,(L$4-$T$14)/($D$14-$T$14))))</f>
        <v>1588.19959375</v>
      </c>
      <c r="M50" s="130" t="n">
        <f aca="false">M46*($S$14+($J$14-$S$14)*MIN(1,MAX(0,(M$4-$T$14)/($D$14-$T$14))))</f>
        <v>1588.19959375</v>
      </c>
      <c r="N50" s="130" t="n">
        <f aca="false">N46*($S$14+($J$14-$S$14)*MIN(1,MAX(0,(N$4-$T$14)/($D$14-$T$14))))</f>
        <v>1588.19959375</v>
      </c>
      <c r="O50" s="130" t="n">
        <f aca="false">O46*($S$14+($J$14-$S$14)*MIN(1,MAX(0,(O$4-$T$14)/($D$14-$T$14))))</f>
        <v>1588.19959375</v>
      </c>
      <c r="P50" s="131" t="n">
        <f aca="false">P46*($S$14+($J$14-$S$14)*MIN(1,MAX(0,(P$4-$T$14)/($D$14-$T$14))))</f>
        <v>1601.9719522513</v>
      </c>
      <c r="Q50" s="131" t="n">
        <f aca="false">Q46*($S$14+($J$14-$S$14)*MIN(1,MAX(0,(Q$4-$T$14)/($D$14-$T$14))))</f>
        <v>1615.7443107526</v>
      </c>
      <c r="R50" s="131" t="n">
        <f aca="false">R46*($S$14+($J$14-$S$14)*MIN(1,MAX(0,(R$4-$T$14)/($D$14-$T$14))))</f>
        <v>1629.21727015605</v>
      </c>
      <c r="S50" s="131" t="n">
        <f aca="false">S46*($S$14+($J$14-$S$14)*MIN(1,MAX(0,(S$4-$T$14)/($D$14-$T$14))))</f>
        <v>1642.83992910842</v>
      </c>
      <c r="T50" s="131" t="n">
        <f aca="false">T46*($S$14+($J$14-$S$14)*MIN(1,MAX(0,(T$4-$T$14)/($D$14-$T$14))))</f>
        <v>1656.61228760972</v>
      </c>
      <c r="U50" s="131" t="n">
        <f aca="false">U46*($S$14+($J$14-$S$14)*MIN(1,MAX(0,(U$4-$T$14)/($D$14-$T$14))))</f>
        <v>1670.38464611102</v>
      </c>
      <c r="V50" s="131" t="n">
        <f aca="false">V46*($S$14+($J$14-$S$14)*MIN(1,MAX(0,(V$4-$T$14)/($D$14-$T$14))))</f>
        <v>1684.00730506339</v>
      </c>
      <c r="W50" s="131" t="n">
        <f aca="false">W46*($S$14+($J$14-$S$14)*MIN(1,MAX(0,(W$4-$T$14)/($D$14-$T$14))))</f>
        <v>1697.62996401577</v>
      </c>
      <c r="X50" s="131" t="n">
        <f aca="false">X46*($S$14+($J$14-$S$14)*MIN(1,MAX(0,(X$4-$T$14)/($D$14-$T$14))))</f>
        <v>1711.40232251707</v>
      </c>
      <c r="Y50" s="131" t="n">
        <f aca="false">Y46*($S$14+($J$14-$S$14)*MIN(1,MAX(0,(Y$4-$T$14)/($D$14-$T$14))))</f>
        <v>1725.17468101837</v>
      </c>
      <c r="Z50" s="131" t="n">
        <f aca="false">Z46*($S$14+($J$14-$S$14)*MIN(1,MAX(0,(Z$4-$T$14)/($D$14-$T$14))))</f>
        <v>1738.64764042181</v>
      </c>
      <c r="AA50" s="131" t="n">
        <f aca="false">AA46*($S$14+($J$14-$S$14)*MIN(1,MAX(0,(AA$4-$T$14)/($D$14-$T$14))))</f>
        <v>1752.27029937419</v>
      </c>
      <c r="AB50" s="131" t="n">
        <f aca="false">AB46*($S$14+($J$14-$S$14)*MIN(1,MAX(0,(AB$4-$T$14)/($D$14-$T$14))))</f>
        <v>1766.04265787549</v>
      </c>
      <c r="AC50" s="131" t="n">
        <f aca="false">AC46*($S$14+($J$14-$S$14)*MIN(1,MAX(0,(AC$4-$T$14)/($D$14-$T$14))))</f>
        <v>1779.81501637679</v>
      </c>
      <c r="AD50" s="131" t="n">
        <f aca="false">AD46*($S$14+($J$14-$S$14)*MIN(1,MAX(0,(AD$4-$T$14)/($D$14-$T$14))))</f>
        <v>1793.28797578023</v>
      </c>
      <c r="AE50" s="131" t="n">
        <f aca="false">AE46*($S$14+($J$14-$S$14)*MIN(1,MAX(0,(AE$4-$T$14)/($D$14-$T$14))))</f>
        <v>1806.91063473261</v>
      </c>
      <c r="AF50" s="131" t="n">
        <f aca="false">AF46*($S$14+($J$14-$S$14)*MIN(1,MAX(0,(AF$4-$T$14)/($D$14-$T$14))))</f>
        <v>0</v>
      </c>
      <c r="AG50" s="131" t="n">
        <f aca="false">AG46*($S$14+($J$14-$S$14)*MIN(1,MAX(0,(AG$4-$T$14)/($D$14-$T$14))))</f>
        <v>0</v>
      </c>
      <c r="AI50" s="131" t="n">
        <f aca="false">INDEX($F50:$AG50,1,MATCH(AI$7,$F$7:$AG$7,1))</f>
        <v>0</v>
      </c>
      <c r="AJ50" s="131" t="n">
        <f aca="false">INDEX($F50:$AG50,1,MATCH(AJ$7,$F$7:$AG$7,1))</f>
        <v>1588.19959375</v>
      </c>
      <c r="AK50" s="131" t="n">
        <f aca="false">INDEX($F50:$AG50,1,MATCH(AK$7,$F$7:$AG$7,1))</f>
        <v>1615.7443107526</v>
      </c>
      <c r="AL50" s="131" t="n">
        <f aca="false">INDEX($F50:$AG50,1,MATCH(AL$7,$F$7:$AG$7,1))</f>
        <v>1670.38464611102</v>
      </c>
      <c r="AM50" s="131" t="n">
        <f aca="false">INDEX($F50:$AG50,1,MATCH(AM$7,$F$7:$AG$7,1))</f>
        <v>1725.17468101837</v>
      </c>
      <c r="AN50" s="131" t="n">
        <f aca="false">INDEX($F50:$AG50,1,MATCH(AN$7,$F$7:$AG$7,1))</f>
        <v>1779.81501637679</v>
      </c>
      <c r="AO50" s="131" t="n">
        <f aca="false">INDEX($F50:$AG50,1,MATCH(AO$7,$F$7:$AG$7,1))</f>
        <v>0</v>
      </c>
    </row>
    <row r="51" customFormat="false" ht="15" hidden="false" customHeight="false" outlineLevel="0" collapsed="false">
      <c r="A51" s="112" t="s">
        <v>2528</v>
      </c>
      <c r="B51" s="24" t="s">
        <v>745</v>
      </c>
      <c r="C51" s="24" t="s">
        <v>736</v>
      </c>
      <c r="D51" s="24"/>
      <c r="F51" s="130" t="n">
        <f aca="false">IF(F$5=$N$14,E46*$J$14*(1-$O$14),0)</f>
        <v>0</v>
      </c>
      <c r="G51" s="130" t="n">
        <f aca="false">IF(G$5=$N$14,F46*$J$14*(1-$O$14),0)</f>
        <v>0</v>
      </c>
      <c r="H51" s="130" t="n">
        <f aca="false">IF(H$5=$N$14,G46*$J$14*(1-$O$14),0)</f>
        <v>0</v>
      </c>
      <c r="I51" s="130" t="n">
        <f aca="false">IF(I$5=$N$14,H46*$J$14*(1-$O$14),0)</f>
        <v>0</v>
      </c>
      <c r="J51" s="130" t="n">
        <f aca="false">IF(J$5=$N$14,I46*$J$14*(1-$O$14),0)</f>
        <v>0</v>
      </c>
      <c r="K51" s="130" t="n">
        <f aca="false">IF(K$5=$N$14,J46*$J$14*(1-$O$14),0)</f>
        <v>0</v>
      </c>
      <c r="L51" s="130" t="n">
        <f aca="false">IF(L$5=$N$14,K46*$J$14*(1-$O$14),0)</f>
        <v>0</v>
      </c>
      <c r="M51" s="130" t="n">
        <f aca="false">IF(M$5=$N$14,L46*$J$14*(1-$O$14),0)</f>
        <v>0</v>
      </c>
      <c r="N51" s="130" t="n">
        <f aca="false">IF(N$5=$N$14,M46*$J$14*(1-$O$14),0)</f>
        <v>0</v>
      </c>
      <c r="O51" s="130" t="n">
        <f aca="false">IF(O$5=$N$14,N46*$J$14*(1-$O$14),0)</f>
        <v>0</v>
      </c>
      <c r="P51" s="131" t="n">
        <f aca="false">IF(P$5=$N$14,O46*$J$14*(1-$O$14),0)</f>
        <v>0</v>
      </c>
      <c r="Q51" s="131" t="n">
        <f aca="false">IF(Q$5=$N$14,P46*$J$14*(1-$O$14),0)</f>
        <v>0</v>
      </c>
      <c r="R51" s="131" t="n">
        <f aca="false">IF(R$5=$N$14,Q46*$J$14*(1-$O$14),0)</f>
        <v>0</v>
      </c>
      <c r="S51" s="131" t="n">
        <f aca="false">IF(S$5=$N$14,R46*$J$14*(1-$O$14),0)</f>
        <v>0</v>
      </c>
      <c r="T51" s="131" t="n">
        <f aca="false">IF(T$5=$N$14,S46*$J$14*(1-$O$14),0)</f>
        <v>0</v>
      </c>
      <c r="U51" s="131" t="n">
        <f aca="false">IF(U$5=$N$14,T46*$J$14*(1-$O$14),0)</f>
        <v>0</v>
      </c>
      <c r="V51" s="131" t="n">
        <f aca="false">IF(V$5=$N$14,U46*$J$14*(1-$O$14),0)</f>
        <v>0</v>
      </c>
      <c r="W51" s="131" t="n">
        <f aca="false">IF(W$5=$N$14,V46*$J$14*(1-$O$14),0)</f>
        <v>0</v>
      </c>
      <c r="X51" s="131" t="n">
        <f aca="false">IF(X$5=$N$14,W46*$J$14*(1-$O$14),0)</f>
        <v>0</v>
      </c>
      <c r="Y51" s="131" t="n">
        <f aca="false">IF(Y$5=$N$14,X46*$J$14*(1-$O$14),0)</f>
        <v>0</v>
      </c>
      <c r="Z51" s="131" t="n">
        <f aca="false">IF(Z$5=$N$14,Y46*$J$14*(1-$O$14),0)</f>
        <v>0</v>
      </c>
      <c r="AA51" s="131" t="n">
        <f aca="false">IF(AA$5=$N$14,Z46*$J$14*(1-$O$14),0)</f>
        <v>0</v>
      </c>
      <c r="AB51" s="131" t="n">
        <f aca="false">IF(AB$5=$N$14,AA46*$J$14*(1-$O$14),0)</f>
        <v>0</v>
      </c>
      <c r="AC51" s="131" t="n">
        <f aca="false">IF(AC$5=$N$14,AB46*$J$14*(1-$O$14),0)</f>
        <v>0</v>
      </c>
      <c r="AD51" s="131" t="n">
        <f aca="false">IF(AD$5=$N$14,AC46*$J$14*(1-$O$14),0)</f>
        <v>0</v>
      </c>
      <c r="AE51" s="131" t="n">
        <f aca="false">IF(AE$5=$N$14,AD46*$J$14*(1-$O$14),0)</f>
        <v>0</v>
      </c>
      <c r="AF51" s="131" t="n">
        <f aca="false">IF(AF$5=$N$14,AE46*$J$14*(1-$O$14),0)</f>
        <v>0</v>
      </c>
      <c r="AG51" s="131" t="n">
        <f aca="false">IF(AG$5=$N$14,AF46*$J$14*(1-$O$14),0)</f>
        <v>0</v>
      </c>
      <c r="AI51" s="131" t="n">
        <f aca="false">SUMIF($F$7:$AG$7,AI$7,$F51:$AG51)</f>
        <v>0</v>
      </c>
      <c r="AJ51" s="131" t="n">
        <f aca="false">SUMIF($F$7:$AG$7,AJ$7,$F51:$AG51)</f>
        <v>0</v>
      </c>
      <c r="AK51" s="131" t="n">
        <f aca="false">SUMIF($F$7:$AG$7,AK$7,$F51:$AG51)</f>
        <v>0</v>
      </c>
      <c r="AL51" s="131" t="n">
        <f aca="false">SUMIF($F$7:$AG$7,AL$7,$F51:$AG51)</f>
        <v>0</v>
      </c>
      <c r="AM51" s="131" t="n">
        <f aca="false">SUMIF($F$7:$AG$7,AM$7,$F51:$AG51)</f>
        <v>0</v>
      </c>
      <c r="AN51" s="131" t="n">
        <f aca="false">SUMIF($F$7:$AG$7,AN$7,$F51:$AG51)</f>
        <v>0</v>
      </c>
      <c r="AO51" s="131" t="n">
        <f aca="false">SUMIF($F$7:$AG$7,AO$7,$F51:$AG51)</f>
        <v>0</v>
      </c>
    </row>
    <row r="52" customFormat="false" ht="15" hidden="false" customHeight="false" outlineLevel="0" collapsed="false">
      <c r="A52" s="112" t="s">
        <v>2529</v>
      </c>
      <c r="B52" s="24" t="s">
        <v>809</v>
      </c>
      <c r="C52" s="24" t="s">
        <v>736</v>
      </c>
      <c r="D52" s="24"/>
      <c r="F52" s="146" t="n">
        <f aca="false">IF(F$5=$N$14,E46*$K$14/1000*$O$14,0)</f>
        <v>0</v>
      </c>
      <c r="G52" s="146" t="n">
        <f aca="false">IF(G$5=$N$14,F46*$K$14/1000*$O$14,0)</f>
        <v>0</v>
      </c>
      <c r="H52" s="146" t="n">
        <f aca="false">IF(H$5=$N$14,G46*$K$14/1000*$O$14,0)</f>
        <v>0</v>
      </c>
      <c r="I52" s="146" t="n">
        <f aca="false">IF(I$5=$N$14,H46*$K$14/1000*$O$14,0)</f>
        <v>0</v>
      </c>
      <c r="J52" s="146" t="n">
        <f aca="false">IF(J$5=$N$14,I46*$K$14/1000*$O$14,0)</f>
        <v>0</v>
      </c>
      <c r="K52" s="146" t="n">
        <f aca="false">IF(K$5=$N$14,J46*$K$14/1000*$O$14,0)</f>
        <v>0</v>
      </c>
      <c r="L52" s="146" t="n">
        <f aca="false">IF(L$5=$N$14,K46*$K$14/1000*$O$14,0)</f>
        <v>0</v>
      </c>
      <c r="M52" s="146" t="n">
        <f aca="false">IF(M$5=$N$14,L46*$K$14/1000*$O$14,0)</f>
        <v>0</v>
      </c>
      <c r="N52" s="146" t="n">
        <f aca="false">IF(N$5=$N$14,M46*$K$14/1000*$O$14,0)</f>
        <v>0</v>
      </c>
      <c r="O52" s="146" t="n">
        <f aca="false">IF(O$5=$N$14,N46*$K$14/1000*$O$14,0)</f>
        <v>0</v>
      </c>
      <c r="P52" s="54" t="n">
        <f aca="false">IF(P$5=$N$14,O46*$K$14/1000*$O$14,0)</f>
        <v>0</v>
      </c>
      <c r="Q52" s="54" t="n">
        <f aca="false">IF(Q$5=$N$14,P46*$K$14/1000*$O$14,0)</f>
        <v>0</v>
      </c>
      <c r="R52" s="54" t="n">
        <f aca="false">IF(R$5=$N$14,Q46*$K$14/1000*$O$14,0)</f>
        <v>0</v>
      </c>
      <c r="S52" s="54" t="n">
        <f aca="false">IF(S$5=$N$14,R46*$K$14/1000*$O$14,0)</f>
        <v>0</v>
      </c>
      <c r="T52" s="54" t="n">
        <f aca="false">IF(T$5=$N$14,S46*$K$14/1000*$O$14,0)</f>
        <v>0</v>
      </c>
      <c r="U52" s="54" t="n">
        <f aca="false">IF(U$5=$N$14,T46*$K$14/1000*$O$14,0)</f>
        <v>0</v>
      </c>
      <c r="V52" s="54" t="n">
        <f aca="false">IF(V$5=$N$14,U46*$K$14/1000*$O$14,0)</f>
        <v>0</v>
      </c>
      <c r="W52" s="54" t="n">
        <f aca="false">IF(W$5=$N$14,V46*$K$14/1000*$O$14,0)</f>
        <v>0</v>
      </c>
      <c r="X52" s="54" t="n">
        <f aca="false">IF(X$5=$N$14,W46*$K$14/1000*$O$14,0)</f>
        <v>0</v>
      </c>
      <c r="Y52" s="54" t="n">
        <f aca="false">IF(Y$5=$N$14,X46*$K$14/1000*$O$14,0)</f>
        <v>0</v>
      </c>
      <c r="Z52" s="54" t="n">
        <f aca="false">IF(Z$5=$N$14,Y46*$K$14/1000*$O$14,0)</f>
        <v>0</v>
      </c>
      <c r="AA52" s="54" t="n">
        <f aca="false">IF(AA$5=$N$14,Z46*$K$14/1000*$O$14,0)</f>
        <v>0</v>
      </c>
      <c r="AB52" s="54" t="n">
        <f aca="false">IF(AB$5=$N$14,AA46*$K$14/1000*$O$14,0)</f>
        <v>0</v>
      </c>
      <c r="AC52" s="54" t="n">
        <f aca="false">IF(AC$5=$N$14,AB46*$K$14/1000*$O$14,0)</f>
        <v>0</v>
      </c>
      <c r="AD52" s="54" t="n">
        <f aca="false">IF(AD$5=$N$14,AC46*$K$14/1000*$O$14,0)</f>
        <v>0</v>
      </c>
      <c r="AE52" s="54" t="n">
        <f aca="false">IF(AE$5=$N$14,AD46*$K$14/1000*$O$14,0)</f>
        <v>0</v>
      </c>
      <c r="AF52" s="54" t="n">
        <f aca="false">IF(AF$5=$N$14,AE46*$K$14/1000*$O$14,0)</f>
        <v>11.396385</v>
      </c>
      <c r="AG52" s="54" t="n">
        <f aca="false">IF(AG$5=$N$14,AF46*$K$14/1000*$O$14,0)</f>
        <v>0</v>
      </c>
      <c r="AI52" s="54" t="n">
        <f aca="false">SUMIF($F$7:$AG$7,AI$7,$F52:$AG52)</f>
        <v>0</v>
      </c>
      <c r="AJ52" s="54" t="n">
        <f aca="false">SUMIF($F$7:$AG$7,AJ$7,$F52:$AG52)</f>
        <v>0</v>
      </c>
      <c r="AK52" s="54" t="n">
        <f aca="false">SUMIF($F$7:$AG$7,AK$7,$F52:$AG52)</f>
        <v>0</v>
      </c>
      <c r="AL52" s="54" t="n">
        <f aca="false">SUMIF($F$7:$AG$7,AL$7,$F52:$AG52)</f>
        <v>0</v>
      </c>
      <c r="AM52" s="54" t="n">
        <f aca="false">SUMIF($F$7:$AG$7,AM$7,$F52:$AG52)</f>
        <v>0</v>
      </c>
      <c r="AN52" s="54" t="n">
        <f aca="false">SUMIF($F$7:$AG$7,AN$7,$F52:$AG52)</f>
        <v>0</v>
      </c>
      <c r="AO52" s="54" t="n">
        <f aca="false">SUMIF($F$7:$AG$7,AO$7,$F52:$AG52)</f>
        <v>11.396385</v>
      </c>
    </row>
    <row r="53" customFormat="false" ht="15" hidden="false" customHeight="false" outlineLevel="0" collapsed="false">
      <c r="A53" s="112" t="s">
        <v>2530</v>
      </c>
      <c r="B53" s="24" t="s">
        <v>809</v>
      </c>
      <c r="C53" s="24" t="s">
        <v>672</v>
      </c>
      <c r="D53" s="24"/>
      <c r="F53" s="146" t="n">
        <f aca="false">IF(DilMethod=3,MAX(0,F46*$K$14/1000*DilPx-F49)/DilPx,F46*$K$14/1000*$P$14)</f>
        <v>0</v>
      </c>
      <c r="G53" s="146" t="n">
        <f aca="false">IF(DilMethod=3,MAX(0,G46*$K$14/1000*DilPx-G49)/DilPx,G46*$K$14/1000*$P$14)</f>
        <v>0</v>
      </c>
      <c r="H53" s="146" t="n">
        <f aca="false">IF(DilMethod=3,MAX(0,H46*$K$14/1000*DilPx-H49)/DilPx,H46*$K$14/1000*$P$14)</f>
        <v>0</v>
      </c>
      <c r="I53" s="146" t="n">
        <f aca="false">IF(DilMethod=3,MAX(0,I46*$K$14/1000*DilPx-I49)/DilPx,I46*$K$14/1000*$P$14)</f>
        <v>0</v>
      </c>
      <c r="J53" s="146" t="n">
        <f aca="false">IF(DilMethod=3,MAX(0,J46*$K$14/1000*DilPx-J49)/DilPx,J46*$K$14/1000*$P$14)</f>
        <v>0</v>
      </c>
      <c r="K53" s="146" t="n">
        <f aca="false">IF(DilMethod=3,MAX(0,K46*$K$14/1000*DilPx-K49)/DilPx,K46*$K$14/1000*$P$14)</f>
        <v>0</v>
      </c>
      <c r="L53" s="146" t="n">
        <f aca="false">IF(DilMethod=3,MAX(0,L46*$K$14/1000*DilPx-L49)/DilPx,L46*$K$14/1000*$P$14)</f>
        <v>0</v>
      </c>
      <c r="M53" s="146" t="n">
        <f aca="false">IF(DilMethod=3,MAX(0,M46*$K$14/1000*DilPx-M49)/DilPx,M46*$K$14/1000*$P$14)</f>
        <v>0</v>
      </c>
      <c r="N53" s="146" t="n">
        <f aca="false">IF(DilMethod=3,MAX(0,N46*$K$14/1000*DilPx-N49)/DilPx,N46*$K$14/1000*$P$14)</f>
        <v>0</v>
      </c>
      <c r="O53" s="146" t="n">
        <f aca="false">IF(DilMethod=3,MAX(0,O46*$K$14/1000*DilPx-O49)/DilPx,O46*$K$14/1000*$P$14)</f>
        <v>0</v>
      </c>
      <c r="P53" s="54" t="n">
        <f aca="false">IF(DilMethod=3,MAX(0,P46*$K$14/1000*DilPx-P49)/DilPx,P46*$K$14/1000*$P$14)</f>
        <v>0</v>
      </c>
      <c r="Q53" s="54" t="n">
        <f aca="false">IF(DilMethod=3,MAX(0,Q46*$K$14/1000*DilPx-Q49)/DilPx,Q46*$K$14/1000*$P$14)</f>
        <v>0</v>
      </c>
      <c r="R53" s="54" t="n">
        <f aca="false">IF(DilMethod=3,MAX(0,R46*$K$14/1000*DilPx-R49)/DilPx,R46*$K$14/1000*$P$14)</f>
        <v>0</v>
      </c>
      <c r="S53" s="54" t="n">
        <f aca="false">IF(DilMethod=3,MAX(0,S46*$K$14/1000*DilPx-S49)/DilPx,S46*$K$14/1000*$P$14)</f>
        <v>0</v>
      </c>
      <c r="T53" s="54" t="n">
        <f aca="false">IF(DilMethod=3,MAX(0,T46*$K$14/1000*DilPx-T49)/DilPx,T46*$K$14/1000*$P$14)</f>
        <v>0</v>
      </c>
      <c r="U53" s="54" t="n">
        <f aca="false">IF(DilMethod=3,MAX(0,U46*$K$14/1000*DilPx-U49)/DilPx,U46*$K$14/1000*$P$14)</f>
        <v>0</v>
      </c>
      <c r="V53" s="54" t="n">
        <f aca="false">IF(DilMethod=3,MAX(0,V46*$K$14/1000*DilPx-V49)/DilPx,V46*$K$14/1000*$P$14)</f>
        <v>0</v>
      </c>
      <c r="W53" s="54" t="n">
        <f aca="false">IF(DilMethod=3,MAX(0,W46*$K$14/1000*DilPx-W49)/DilPx,W46*$K$14/1000*$P$14)</f>
        <v>0</v>
      </c>
      <c r="X53" s="54" t="n">
        <f aca="false">IF(DilMethod=3,MAX(0,X46*$K$14/1000*DilPx-X49)/DilPx,X46*$K$14/1000*$P$14)</f>
        <v>0</v>
      </c>
      <c r="Y53" s="54" t="n">
        <f aca="false">IF(DilMethod=3,MAX(0,Y46*$K$14/1000*DilPx-Y49)/DilPx,Y46*$K$14/1000*$P$14)</f>
        <v>0</v>
      </c>
      <c r="Z53" s="54" t="n">
        <f aca="false">IF(DilMethod=3,MAX(0,Z46*$K$14/1000*DilPx-Z49)/DilPx,Z46*$K$14/1000*$P$14)</f>
        <v>0</v>
      </c>
      <c r="AA53" s="54" t="n">
        <f aca="false">IF(DilMethod=3,MAX(0,AA46*$K$14/1000*DilPx-AA49)/DilPx,AA46*$K$14/1000*$P$14)</f>
        <v>0</v>
      </c>
      <c r="AB53" s="54" t="n">
        <f aca="false">IF(DilMethod=3,MAX(0,AB46*$K$14/1000*DilPx-AB49)/DilPx,AB46*$K$14/1000*$P$14)</f>
        <v>0</v>
      </c>
      <c r="AC53" s="54" t="n">
        <f aca="false">IF(DilMethod=3,MAX(0,AC46*$K$14/1000*DilPx-AC49)/DilPx,AC46*$K$14/1000*$P$14)</f>
        <v>0</v>
      </c>
      <c r="AD53" s="54" t="n">
        <f aca="false">IF(DilMethod=3,MAX(0,AD46*$K$14/1000*DilPx-AD49)/DilPx,AD46*$K$14/1000*$P$14)</f>
        <v>0</v>
      </c>
      <c r="AE53" s="54" t="n">
        <f aca="false">IF(DilMethod=3,MAX(0,AE46*$K$14/1000*DilPx-AE49)/DilPx,AE46*$K$14/1000*$P$14)</f>
        <v>0</v>
      </c>
      <c r="AF53" s="54" t="n">
        <f aca="false">IF(DilMethod=3,MAX(0,AF46*$K$14/1000*DilPx-AF49)/DilPx,AF46*$K$14/1000*$P$14)</f>
        <v>0</v>
      </c>
      <c r="AG53" s="54" t="n">
        <f aca="false">IF(DilMethod=3,MAX(0,AG46*$K$14/1000*DilPx-AG49)/DilPx,AG46*$K$14/1000*$P$14)</f>
        <v>0</v>
      </c>
      <c r="AI53" s="54" t="n">
        <f aca="false">INDEX($F53:$AG53,1,MATCH(AI$7,$F$7:$AG$7,1))</f>
        <v>0</v>
      </c>
      <c r="AJ53" s="54" t="n">
        <f aca="false">INDEX($F53:$AG53,1,MATCH(AJ$7,$F$7:$AG$7,1))</f>
        <v>0</v>
      </c>
      <c r="AK53" s="54" t="n">
        <f aca="false">INDEX($F53:$AG53,1,MATCH(AK$7,$F$7:$AG$7,1))</f>
        <v>0</v>
      </c>
      <c r="AL53" s="54" t="n">
        <f aca="false">INDEX($F53:$AG53,1,MATCH(AL$7,$F$7:$AG$7,1))</f>
        <v>0</v>
      </c>
      <c r="AM53" s="54" t="n">
        <f aca="false">INDEX($F53:$AG53,1,MATCH(AM$7,$F$7:$AG$7,1))</f>
        <v>0</v>
      </c>
      <c r="AN53" s="54" t="n">
        <f aca="false">INDEX($F53:$AG53,1,MATCH(AN$7,$F$7:$AG$7,1))</f>
        <v>0</v>
      </c>
      <c r="AO53" s="54" t="n">
        <f aca="false">INDEX($F53:$AG53,1,MATCH(AO$7,$F$7:$AG$7,1))</f>
        <v>0</v>
      </c>
    </row>
    <row r="54" customFormat="false" ht="15" hidden="false" customHeight="false" outlineLevel="0" collapsed="false">
      <c r="A54" s="112" t="s">
        <v>2531</v>
      </c>
      <c r="B54" s="24" t="s">
        <v>745</v>
      </c>
      <c r="C54" s="24" t="s">
        <v>672</v>
      </c>
      <c r="D54" s="24"/>
      <c r="F54" s="130" t="n">
        <f aca="false">F49*IF(DilMethod=3,1,1-$P$14)</f>
        <v>0</v>
      </c>
      <c r="G54" s="130" t="n">
        <f aca="false">G49*IF(DilMethod=3,1,1-$P$14)</f>
        <v>0</v>
      </c>
      <c r="H54" s="130" t="n">
        <f aca="false">H49*IF(DilMethod=3,1,1-$P$14)</f>
        <v>0</v>
      </c>
      <c r="I54" s="130" t="n">
        <f aca="false">I49*IF(DilMethod=3,1,1-$P$14)</f>
        <v>0</v>
      </c>
      <c r="J54" s="130" t="n">
        <f aca="false">J49*IF(DilMethod=3,1,1-$P$14)</f>
        <v>0</v>
      </c>
      <c r="K54" s="130" t="n">
        <f aca="false">K49*IF(DilMethod=3,1,1-$P$14)</f>
        <v>0</v>
      </c>
      <c r="L54" s="130" t="n">
        <f aca="false">L49*IF(DilMethod=3,1,1-$P$14)</f>
        <v>1583.1984186747</v>
      </c>
      <c r="M54" s="130" t="n">
        <f aca="false">M49*IF(DilMethod=3,1,1-$P$14)</f>
        <v>1595.14871987952</v>
      </c>
      <c r="N54" s="130" t="n">
        <f aca="false">N49*IF(DilMethod=3,1,1-$P$14)</f>
        <v>1606.83923192771</v>
      </c>
      <c r="O54" s="130" t="n">
        <f aca="false">O49*IF(DilMethod=3,1,1-$P$14)</f>
        <v>1618.65963855422</v>
      </c>
      <c r="P54" s="131" t="n">
        <f aca="false">P49*IF(DilMethod=3,1,1-$P$14)</f>
        <v>1630.60993975904</v>
      </c>
      <c r="Q54" s="131" t="n">
        <f aca="false">Q49*IF(DilMethod=3,1,1-$P$14)</f>
        <v>1642.56024096386</v>
      </c>
      <c r="R54" s="131" t="n">
        <f aca="false">R49*IF(DilMethod=3,1,1-$P$14)</f>
        <v>1654.25075301205</v>
      </c>
      <c r="S54" s="131" t="n">
        <f aca="false">S49*IF(DilMethod=3,1,1-$P$14)</f>
        <v>1666.07115963855</v>
      </c>
      <c r="T54" s="131" t="n">
        <f aca="false">T49*IF(DilMethod=3,1,1-$P$14)</f>
        <v>1678.02146084337</v>
      </c>
      <c r="U54" s="131" t="n">
        <f aca="false">U49*IF(DilMethod=3,1,1-$P$14)</f>
        <v>1689.97176204819</v>
      </c>
      <c r="V54" s="131" t="n">
        <f aca="false">V49*IF(DilMethod=3,1,1-$P$14)</f>
        <v>1701.7921686747</v>
      </c>
      <c r="W54" s="131" t="n">
        <f aca="false">W49*IF(DilMethod=3,1,1-$P$14)</f>
        <v>1713.6125753012</v>
      </c>
      <c r="X54" s="131" t="n">
        <f aca="false">X49*IF(DilMethod=3,1,1-$P$14)</f>
        <v>1725.56287650602</v>
      </c>
      <c r="Y54" s="131" t="n">
        <f aca="false">Y49*IF(DilMethod=3,1,1-$P$14)</f>
        <v>1737.51317771084</v>
      </c>
      <c r="Z54" s="131" t="n">
        <f aca="false">Z49*IF(DilMethod=3,1,1-$P$14)</f>
        <v>1749.20368975904</v>
      </c>
      <c r="AA54" s="131" t="n">
        <f aca="false">AA49*IF(DilMethod=3,1,1-$P$14)</f>
        <v>1761.02409638554</v>
      </c>
      <c r="AB54" s="131" t="n">
        <f aca="false">AB49*IF(DilMethod=3,1,1-$P$14)</f>
        <v>1772.97439759036</v>
      </c>
      <c r="AC54" s="131" t="n">
        <f aca="false">AC49*IF(DilMethod=3,1,1-$P$14)</f>
        <v>1784.92469879518</v>
      </c>
      <c r="AD54" s="131" t="n">
        <f aca="false">AD49*IF(DilMethod=3,1,1-$P$14)</f>
        <v>1796.61521084337</v>
      </c>
      <c r="AE54" s="131" t="n">
        <f aca="false">AE49*IF(DilMethod=3,1,1-$P$14)</f>
        <v>1808.43561746988</v>
      </c>
      <c r="AF54" s="131" t="n">
        <f aca="false">AF49*IF(DilMethod=3,1,1-$P$14)</f>
        <v>0</v>
      </c>
      <c r="AG54" s="131" t="n">
        <f aca="false">AG49*IF(DilMethod=3,1,1-$P$14)</f>
        <v>0</v>
      </c>
      <c r="AI54" s="131" t="n">
        <f aca="false">INDEX($F54:$AG54,1,MATCH(AI$7,$F$7:$AG$7,1))</f>
        <v>0</v>
      </c>
      <c r="AJ54" s="131" t="n">
        <f aca="false">INDEX($F54:$AG54,1,MATCH(AJ$7,$F$7:$AG$7,1))</f>
        <v>1595.14871987952</v>
      </c>
      <c r="AK54" s="131" t="n">
        <f aca="false">INDEX($F54:$AG54,1,MATCH(AK$7,$F$7:$AG$7,1))</f>
        <v>1642.56024096386</v>
      </c>
      <c r="AL54" s="131" t="n">
        <f aca="false">INDEX($F54:$AG54,1,MATCH(AL$7,$F$7:$AG$7,1))</f>
        <v>1689.97176204819</v>
      </c>
      <c r="AM54" s="131" t="n">
        <f aca="false">INDEX($F54:$AG54,1,MATCH(AM$7,$F$7:$AG$7,1))</f>
        <v>1737.51317771084</v>
      </c>
      <c r="AN54" s="131" t="n">
        <f aca="false">INDEX($F54:$AG54,1,MATCH(AN$7,$F$7:$AG$7,1))</f>
        <v>1784.92469879518</v>
      </c>
      <c r="AO54" s="131" t="n">
        <f aca="false">INDEX($F54:$AG54,1,MATCH(AO$7,$F$7:$AG$7,1))</f>
        <v>0</v>
      </c>
    </row>
    <row r="55" customFormat="false" ht="15" hidden="false" customHeight="false" outlineLevel="0" collapsed="false">
      <c r="A55" s="112" t="s">
        <v>2532</v>
      </c>
      <c r="B55" s="24" t="s">
        <v>745</v>
      </c>
      <c r="C55" s="24" t="s">
        <v>736</v>
      </c>
      <c r="D55" s="24"/>
      <c r="F55" s="130" t="n">
        <f aca="false">IF(AND(F$5&gt;=$M$15,F$5&lt;$N$15),$E$15-$F$15-IF(F$5&gt;=$H$15,$G$15,0),0)*($H$15&lt;&gt;0)+IF(AND(F$5&gt;=$M$15,F$5&lt;$N$15),$E$15-$F$15,0)*($H$15=0)</f>
        <v>0</v>
      </c>
      <c r="G55" s="130" t="n">
        <f aca="false">IF(AND(G$5&gt;=$M$15,G$5&lt;$N$15),$E$15-$F$15-IF(G$5&gt;=$H$15,$G$15,0),0)*($H$15&lt;&gt;0)+IF(AND(G$5&gt;=$M$15,G$5&lt;$N$15),$E$15-$F$15,0)*($H$15=0)</f>
        <v>0</v>
      </c>
      <c r="H55" s="130" t="n">
        <f aca="false">IF(AND(H$5&gt;=$M$15,H$5&lt;$N$15),$E$15-$F$15-IF(H$5&gt;=$H$15,$G$15,0),0)*($H$15&lt;&gt;0)+IF(AND(H$5&gt;=$M$15,H$5&lt;$N$15),$E$15-$F$15,0)*($H$15=0)</f>
        <v>0</v>
      </c>
      <c r="I55" s="130" t="n">
        <f aca="false">IF(AND(I$5&gt;=$M$15,I$5&lt;$N$15),$E$15-$F$15-IF(I$5&gt;=$H$15,$G$15,0),0)*($H$15&lt;&gt;0)+IF(AND(I$5&gt;=$M$15,I$5&lt;$N$15),$E$15-$F$15,0)*($H$15=0)</f>
        <v>0</v>
      </c>
      <c r="J55" s="130" t="n">
        <f aca="false">IF(AND(J$5&gt;=$M$15,J$5&lt;$N$15),$E$15-$F$15-IF(J$5&gt;=$H$15,$G$15,0),0)*($H$15&lt;&gt;0)+IF(AND(J$5&gt;=$M$15,J$5&lt;$N$15),$E$15-$F$15,0)*($H$15=0)</f>
        <v>0</v>
      </c>
      <c r="K55" s="130" t="n">
        <f aca="false">IF(AND(K$5&gt;=$M$15,K$5&lt;$N$15),$E$15-$F$15-IF(K$5&gt;=$H$15,$G$15,0),0)*($H$15&lt;&gt;0)+IF(AND(K$5&gt;=$M$15,K$5&lt;$N$15),$E$15-$F$15,0)*($H$15=0)</f>
        <v>0</v>
      </c>
      <c r="L55" s="130" t="n">
        <f aca="false">IF(AND(L$5&gt;=$M$15,L$5&lt;$N$15),$E$15-$F$15-IF(L$5&gt;=$H$15,$G$15,0),0)*($H$15&lt;&gt;0)+IF(AND(L$5&gt;=$M$15,L$5&lt;$N$15),$E$15-$F$15,0)*($H$15=0)</f>
        <v>1581.25</v>
      </c>
      <c r="M55" s="130" t="n">
        <f aca="false">IF(AND(M$5&gt;=$M$15,M$5&lt;$N$15),$E$15-$F$15-IF(M$5&gt;=$H$15,$G$15,0),0)*($H$15&lt;&gt;0)+IF(AND(M$5&gt;=$M$15,M$5&lt;$N$15),$E$15-$F$15,0)*($H$15=0)</f>
        <v>1581.25</v>
      </c>
      <c r="N55" s="130" t="n">
        <f aca="false">IF(AND(N$5&gt;=$M$15,N$5&lt;$N$15),$E$15-$F$15-IF(N$5&gt;=$H$15,$G$15,0),0)*($H$15&lt;&gt;0)+IF(AND(N$5&gt;=$M$15,N$5&lt;$N$15),$E$15-$F$15,0)*($H$15=0)</f>
        <v>1581.25</v>
      </c>
      <c r="O55" s="130" t="n">
        <f aca="false">IF(AND(O$5&gt;=$M$15,O$5&lt;$N$15),$E$15-$F$15-IF(O$5&gt;=$H$15,$G$15,0),0)*($H$15&lt;&gt;0)+IF(AND(O$5&gt;=$M$15,O$5&lt;$N$15),$E$15-$F$15,0)*($H$15=0)</f>
        <v>1581.25</v>
      </c>
      <c r="P55" s="131" t="n">
        <f aca="false">IF(AND(P$5&gt;=$M$15,P$5&lt;$N$15),$E$15-$F$15-IF(P$5&gt;=$H$15,$G$15,0),0)*($H$15&lt;&gt;0)+IF(AND(P$5&gt;=$M$15,P$5&lt;$N$15),$E$15-$F$15,0)*($H$15=0)</f>
        <v>1581.25</v>
      </c>
      <c r="Q55" s="131" t="n">
        <f aca="false">IF(AND(Q$5&gt;=$M$15,Q$5&lt;$N$15),$E$15-$F$15-IF(Q$5&gt;=$H$15,$G$15,0),0)*($H$15&lt;&gt;0)+IF(AND(Q$5&gt;=$M$15,Q$5&lt;$N$15),$E$15-$F$15,0)*($H$15=0)</f>
        <v>1581.25</v>
      </c>
      <c r="R55" s="131" t="n">
        <f aca="false">IF(AND(R$5&gt;=$M$15,R$5&lt;$N$15),$E$15-$F$15-IF(R$5&gt;=$H$15,$G$15,0),0)*($H$15&lt;&gt;0)+IF(AND(R$5&gt;=$M$15,R$5&lt;$N$15),$E$15-$F$15,0)*($H$15=0)</f>
        <v>1581.25</v>
      </c>
      <c r="S55" s="131" t="n">
        <f aca="false">IF(AND(S$5&gt;=$M$15,S$5&lt;$N$15),$E$15-$F$15-IF(S$5&gt;=$H$15,$G$15,0),0)*($H$15&lt;&gt;0)+IF(AND(S$5&gt;=$M$15,S$5&lt;$N$15),$E$15-$F$15,0)*($H$15=0)</f>
        <v>1581.25</v>
      </c>
      <c r="T55" s="131" t="n">
        <f aca="false">IF(AND(T$5&gt;=$M$15,T$5&lt;$N$15),$E$15-$F$15-IF(T$5&gt;=$H$15,$G$15,0),0)*($H$15&lt;&gt;0)+IF(AND(T$5&gt;=$M$15,T$5&lt;$N$15),$E$15-$F$15,0)*($H$15=0)</f>
        <v>1581.25</v>
      </c>
      <c r="U55" s="131" t="n">
        <f aca="false">IF(AND(U$5&gt;=$M$15,U$5&lt;$N$15),$E$15-$F$15-IF(U$5&gt;=$H$15,$G$15,0),0)*($H$15&lt;&gt;0)+IF(AND(U$5&gt;=$M$15,U$5&lt;$N$15),$E$15-$F$15,0)*($H$15=0)</f>
        <v>1581.25</v>
      </c>
      <c r="V55" s="131" t="n">
        <f aca="false">IF(AND(V$5&gt;=$M$15,V$5&lt;$N$15),$E$15-$F$15-IF(V$5&gt;=$H$15,$G$15,0),0)*($H$15&lt;&gt;0)+IF(AND(V$5&gt;=$M$15,V$5&lt;$N$15),$E$15-$F$15,0)*($H$15=0)</f>
        <v>1581.25</v>
      </c>
      <c r="W55" s="131" t="n">
        <f aca="false">IF(AND(W$5&gt;=$M$15,W$5&lt;$N$15),$E$15-$F$15-IF(W$5&gt;=$H$15,$G$15,0),0)*($H$15&lt;&gt;0)+IF(AND(W$5&gt;=$M$15,W$5&lt;$N$15),$E$15-$F$15,0)*($H$15=0)</f>
        <v>1581.25</v>
      </c>
      <c r="X55" s="131" t="n">
        <f aca="false">IF(AND(X$5&gt;=$M$15,X$5&lt;$N$15),$E$15-$F$15-IF(X$5&gt;=$H$15,$G$15,0),0)*($H$15&lt;&gt;0)+IF(AND(X$5&gt;=$M$15,X$5&lt;$N$15),$E$15-$F$15,0)*($H$15=0)</f>
        <v>1581.25</v>
      </c>
      <c r="Y55" s="131" t="n">
        <f aca="false">IF(AND(Y$5&gt;=$M$15,Y$5&lt;$N$15),$E$15-$F$15-IF(Y$5&gt;=$H$15,$G$15,0),0)*($H$15&lt;&gt;0)+IF(AND(Y$5&gt;=$M$15,Y$5&lt;$N$15),$E$15-$F$15,0)*($H$15=0)</f>
        <v>1581.25</v>
      </c>
      <c r="Z55" s="131" t="n">
        <f aca="false">IF(AND(Z$5&gt;=$M$15,Z$5&lt;$N$15),$E$15-$F$15-IF(Z$5&gt;=$H$15,$G$15,0),0)*($H$15&lt;&gt;0)+IF(AND(Z$5&gt;=$M$15,Z$5&lt;$N$15),$E$15-$F$15,0)*($H$15=0)</f>
        <v>1581.25</v>
      </c>
      <c r="AA55" s="131" t="n">
        <f aca="false">IF(AND(AA$5&gt;=$M$15,AA$5&lt;$N$15),$E$15-$F$15-IF(AA$5&gt;=$H$15,$G$15,0),0)*($H$15&lt;&gt;0)+IF(AND(AA$5&gt;=$M$15,AA$5&lt;$N$15),$E$15-$F$15,0)*($H$15=0)</f>
        <v>1581.25</v>
      </c>
      <c r="AB55" s="131" t="n">
        <f aca="false">IF(AND(AB$5&gt;=$M$15,AB$5&lt;$N$15),$E$15-$F$15-IF(AB$5&gt;=$H$15,$G$15,0),0)*($H$15&lt;&gt;0)+IF(AND(AB$5&gt;=$M$15,AB$5&lt;$N$15),$E$15-$F$15,0)*($H$15=0)</f>
        <v>1581.25</v>
      </c>
      <c r="AC55" s="131" t="n">
        <f aca="false">IF(AND(AC$5&gt;=$M$15,AC$5&lt;$N$15),$E$15-$F$15-IF(AC$5&gt;=$H$15,$G$15,0),0)*($H$15&lt;&gt;0)+IF(AND(AC$5&gt;=$M$15,AC$5&lt;$N$15),$E$15-$F$15,0)*($H$15=0)</f>
        <v>1581.25</v>
      </c>
      <c r="AD55" s="131" t="n">
        <f aca="false">IF(AND(AD$5&gt;=$M$15,AD$5&lt;$N$15),$E$15-$F$15-IF(AD$5&gt;=$H$15,$G$15,0),0)*($H$15&lt;&gt;0)+IF(AND(AD$5&gt;=$M$15,AD$5&lt;$N$15),$E$15-$F$15,0)*($H$15=0)</f>
        <v>1581.25</v>
      </c>
      <c r="AE55" s="131" t="n">
        <f aca="false">IF(AND(AE$5&gt;=$M$15,AE$5&lt;$N$15),$E$15-$F$15-IF(AE$5&gt;=$H$15,$G$15,0),0)*($H$15&lt;&gt;0)+IF(AND(AE$5&gt;=$M$15,AE$5&lt;$N$15),$E$15-$F$15,0)*($H$15=0)</f>
        <v>1581.25</v>
      </c>
      <c r="AF55" s="131" t="n">
        <f aca="false">IF(AND(AF$5&gt;=$M$15,AF$5&lt;$N$15),$E$15-$F$15-IF(AF$5&gt;=$H$15,$G$15,0),0)*($H$15&lt;&gt;0)+IF(AND(AF$5&gt;=$M$15,AF$5&lt;$N$15),$E$15-$F$15,0)*($H$15=0)</f>
        <v>1581.25</v>
      </c>
      <c r="AG55" s="131" t="n">
        <f aca="false">IF(AND(AG$5&gt;=$M$15,AG$5&lt;$N$15),$E$15-$F$15-IF(AG$5&gt;=$H$15,$G$15,0),0)*($H$15&lt;&gt;0)+IF(AND(AG$5&gt;=$M$15,AG$5&lt;$N$15),$E$15-$F$15,0)*($H$15=0)</f>
        <v>1581.25</v>
      </c>
      <c r="AI55" s="131" t="n">
        <f aca="false">INDEX($F55:$AG55,1,MATCH(AI$7,$F$7:$AG$7,1))</f>
        <v>0</v>
      </c>
      <c r="AJ55" s="131" t="n">
        <f aca="false">INDEX($F55:$AG55,1,MATCH(AJ$7,$F$7:$AG$7,1))</f>
        <v>1581.25</v>
      </c>
      <c r="AK55" s="131" t="n">
        <f aca="false">INDEX($F55:$AG55,1,MATCH(AK$7,$F$7:$AG$7,1))</f>
        <v>1581.25</v>
      </c>
      <c r="AL55" s="131" t="n">
        <f aca="false">INDEX($F55:$AG55,1,MATCH(AL$7,$F$7:$AG$7,1))</f>
        <v>1581.25</v>
      </c>
      <c r="AM55" s="131" t="n">
        <f aca="false">INDEX($F55:$AG55,1,MATCH(AM$7,$F$7:$AG$7,1))</f>
        <v>1581.25</v>
      </c>
      <c r="AN55" s="131" t="n">
        <f aca="false">INDEX($F55:$AG55,1,MATCH(AN$7,$F$7:$AG$7,1))</f>
        <v>1581.25</v>
      </c>
      <c r="AO55" s="131" t="n">
        <f aca="false">INDEX($F55:$AG55,1,MATCH(AO$7,$F$7:$AG$7,1))</f>
        <v>1581.25</v>
      </c>
    </row>
    <row r="56" customFormat="false" ht="15" hidden="false" customHeight="false" outlineLevel="0" collapsed="false">
      <c r="A56" s="112" t="s">
        <v>2533</v>
      </c>
      <c r="B56" s="24" t="s">
        <v>745</v>
      </c>
      <c r="C56" s="24" t="s">
        <v>736</v>
      </c>
      <c r="D56" s="24"/>
      <c r="F56" s="130" t="n">
        <f aca="false">F55*$C$15/4</f>
        <v>0</v>
      </c>
      <c r="G56" s="130" t="n">
        <f aca="false">G55*$C$15/4</f>
        <v>0</v>
      </c>
      <c r="H56" s="130" t="n">
        <f aca="false">H55*$C$15/4</f>
        <v>0</v>
      </c>
      <c r="I56" s="130" t="n">
        <f aca="false">I55*$C$15/4</f>
        <v>0</v>
      </c>
      <c r="J56" s="130" t="n">
        <f aca="false">J55*$C$15/4</f>
        <v>0</v>
      </c>
      <c r="K56" s="130" t="n">
        <f aca="false">K55*$C$15/4</f>
        <v>0</v>
      </c>
      <c r="L56" s="130" t="n">
        <f aca="false">L55*$C$15/4</f>
        <v>10.87109375</v>
      </c>
      <c r="M56" s="130" t="n">
        <f aca="false">M55*$C$15/4</f>
        <v>10.87109375</v>
      </c>
      <c r="N56" s="130" t="n">
        <f aca="false">N55*$C$15/4</f>
        <v>10.87109375</v>
      </c>
      <c r="O56" s="130" t="n">
        <f aca="false">O55*$C$15/4</f>
        <v>10.87109375</v>
      </c>
      <c r="P56" s="131" t="n">
        <f aca="false">P55*$C$15/4</f>
        <v>10.87109375</v>
      </c>
      <c r="Q56" s="131" t="n">
        <f aca="false">Q55*$C$15/4</f>
        <v>10.87109375</v>
      </c>
      <c r="R56" s="131" t="n">
        <f aca="false">R55*$C$15/4</f>
        <v>10.87109375</v>
      </c>
      <c r="S56" s="131" t="n">
        <f aca="false">S55*$C$15/4</f>
        <v>10.87109375</v>
      </c>
      <c r="T56" s="131" t="n">
        <f aca="false">T55*$C$15/4</f>
        <v>10.87109375</v>
      </c>
      <c r="U56" s="131" t="n">
        <f aca="false">U55*$C$15/4</f>
        <v>10.87109375</v>
      </c>
      <c r="V56" s="131" t="n">
        <f aca="false">V55*$C$15/4</f>
        <v>10.87109375</v>
      </c>
      <c r="W56" s="131" t="n">
        <f aca="false">W55*$C$15/4</f>
        <v>10.87109375</v>
      </c>
      <c r="X56" s="131" t="n">
        <f aca="false">X55*$C$15/4</f>
        <v>10.87109375</v>
      </c>
      <c r="Y56" s="131" t="n">
        <f aca="false">Y55*$C$15/4</f>
        <v>10.87109375</v>
      </c>
      <c r="Z56" s="131" t="n">
        <f aca="false">Z55*$C$15/4</f>
        <v>10.87109375</v>
      </c>
      <c r="AA56" s="131" t="n">
        <f aca="false">AA55*$C$15/4</f>
        <v>10.87109375</v>
      </c>
      <c r="AB56" s="131" t="n">
        <f aca="false">AB55*$C$15/4</f>
        <v>10.87109375</v>
      </c>
      <c r="AC56" s="131" t="n">
        <f aca="false">AC55*$C$15/4</f>
        <v>10.87109375</v>
      </c>
      <c r="AD56" s="131" t="n">
        <f aca="false">AD55*$C$15/4</f>
        <v>10.87109375</v>
      </c>
      <c r="AE56" s="131" t="n">
        <f aca="false">AE55*$C$15/4</f>
        <v>10.87109375</v>
      </c>
      <c r="AF56" s="131" t="n">
        <f aca="false">AF55*$C$15/4</f>
        <v>10.87109375</v>
      </c>
      <c r="AG56" s="131" t="n">
        <f aca="false">AG55*$C$15/4</f>
        <v>10.87109375</v>
      </c>
      <c r="AI56" s="131" t="n">
        <f aca="false">SUMIF($F$7:$AG$7,AI$7,$F56:$AG56)</f>
        <v>0</v>
      </c>
      <c r="AJ56" s="131" t="n">
        <f aca="false">SUMIF($F$7:$AG$7,AJ$7,$F56:$AG56)</f>
        <v>21.7421875</v>
      </c>
      <c r="AK56" s="131" t="n">
        <f aca="false">SUMIF($F$7:$AG$7,AK$7,$F56:$AG56)</f>
        <v>43.484375</v>
      </c>
      <c r="AL56" s="131" t="n">
        <f aca="false">SUMIF($F$7:$AG$7,AL$7,$F56:$AG56)</f>
        <v>43.484375</v>
      </c>
      <c r="AM56" s="131" t="n">
        <f aca="false">SUMIF($F$7:$AG$7,AM$7,$F56:$AG56)</f>
        <v>43.484375</v>
      </c>
      <c r="AN56" s="131" t="n">
        <f aca="false">SUMIF($F$7:$AG$7,AN$7,$F56:$AG56)</f>
        <v>43.484375</v>
      </c>
      <c r="AO56" s="131" t="n">
        <f aca="false">SUMIF($F$7:$AG$7,AO$7,$F56:$AG56)</f>
        <v>43.484375</v>
      </c>
    </row>
    <row r="57" customFormat="false" ht="15" hidden="false" customHeight="false" outlineLevel="0" collapsed="false">
      <c r="A57" s="112" t="s">
        <v>2534</v>
      </c>
      <c r="B57" s="24" t="s">
        <v>745</v>
      </c>
      <c r="C57" s="24" t="s">
        <v>736</v>
      </c>
      <c r="D57" s="24"/>
      <c r="F57" s="130" t="n">
        <f aca="false">F55*($J$15-1)/(($D$15-$B$15)/91.3125)</f>
        <v>0</v>
      </c>
      <c r="G57" s="130" t="n">
        <f aca="false">G55*($J$15-1)/(($D$15-$B$15)/91.3125)</f>
        <v>0</v>
      </c>
      <c r="H57" s="130" t="n">
        <f aca="false">H55*($J$15-1)/(($D$15-$B$15)/91.3125)</f>
        <v>0</v>
      </c>
      <c r="I57" s="130" t="n">
        <f aca="false">I55*($J$15-1)/(($D$15-$B$15)/91.3125)</f>
        <v>0</v>
      </c>
      <c r="J57" s="130" t="n">
        <f aca="false">J55*($J$15-1)/(($D$15-$B$15)/91.3125)</f>
        <v>0</v>
      </c>
      <c r="K57" s="130" t="n">
        <f aca="false">K55*($J$15-1)/(($D$15-$B$15)/91.3125)</f>
        <v>0</v>
      </c>
      <c r="L57" s="130" t="n">
        <f aca="false">L55*($J$15-1)/(($D$15-$B$15)/91.3125)</f>
        <v>8.4701539279429</v>
      </c>
      <c r="M57" s="130" t="n">
        <f aca="false">M55*($J$15-1)/(($D$15-$B$15)/91.3125)</f>
        <v>8.4701539279429</v>
      </c>
      <c r="N57" s="130" t="n">
        <f aca="false">N55*($J$15-1)/(($D$15-$B$15)/91.3125)</f>
        <v>8.4701539279429</v>
      </c>
      <c r="O57" s="130" t="n">
        <f aca="false">O55*($J$15-1)/(($D$15-$B$15)/91.3125)</f>
        <v>8.4701539279429</v>
      </c>
      <c r="P57" s="131" t="n">
        <f aca="false">P55*($J$15-1)/(($D$15-$B$15)/91.3125)</f>
        <v>8.4701539279429</v>
      </c>
      <c r="Q57" s="131" t="n">
        <f aca="false">Q55*($J$15-1)/(($D$15-$B$15)/91.3125)</f>
        <v>8.4701539279429</v>
      </c>
      <c r="R57" s="131" t="n">
        <f aca="false">R55*($J$15-1)/(($D$15-$B$15)/91.3125)</f>
        <v>8.4701539279429</v>
      </c>
      <c r="S57" s="131" t="n">
        <f aca="false">S55*($J$15-1)/(($D$15-$B$15)/91.3125)</f>
        <v>8.4701539279429</v>
      </c>
      <c r="T57" s="131" t="n">
        <f aca="false">T55*($J$15-1)/(($D$15-$B$15)/91.3125)</f>
        <v>8.4701539279429</v>
      </c>
      <c r="U57" s="131" t="n">
        <f aca="false">U55*($J$15-1)/(($D$15-$B$15)/91.3125)</f>
        <v>8.4701539279429</v>
      </c>
      <c r="V57" s="131" t="n">
        <f aca="false">V55*($J$15-1)/(($D$15-$B$15)/91.3125)</f>
        <v>8.4701539279429</v>
      </c>
      <c r="W57" s="131" t="n">
        <f aca="false">W55*($J$15-1)/(($D$15-$B$15)/91.3125)</f>
        <v>8.4701539279429</v>
      </c>
      <c r="X57" s="131" t="n">
        <f aca="false">X55*($J$15-1)/(($D$15-$B$15)/91.3125)</f>
        <v>8.4701539279429</v>
      </c>
      <c r="Y57" s="131" t="n">
        <f aca="false">Y55*($J$15-1)/(($D$15-$B$15)/91.3125)</f>
        <v>8.4701539279429</v>
      </c>
      <c r="Z57" s="131" t="n">
        <f aca="false">Z55*($J$15-1)/(($D$15-$B$15)/91.3125)</f>
        <v>8.4701539279429</v>
      </c>
      <c r="AA57" s="131" t="n">
        <f aca="false">AA55*($J$15-1)/(($D$15-$B$15)/91.3125)</f>
        <v>8.4701539279429</v>
      </c>
      <c r="AB57" s="131" t="n">
        <f aca="false">AB55*($J$15-1)/(($D$15-$B$15)/91.3125)</f>
        <v>8.4701539279429</v>
      </c>
      <c r="AC57" s="131" t="n">
        <f aca="false">AC55*($J$15-1)/(($D$15-$B$15)/91.3125)</f>
        <v>8.4701539279429</v>
      </c>
      <c r="AD57" s="131" t="n">
        <f aca="false">AD55*($J$15-1)/(($D$15-$B$15)/91.3125)</f>
        <v>8.4701539279429</v>
      </c>
      <c r="AE57" s="131" t="n">
        <f aca="false">AE55*($J$15-1)/(($D$15-$B$15)/91.3125)</f>
        <v>8.4701539279429</v>
      </c>
      <c r="AF57" s="131" t="n">
        <f aca="false">AF55*($J$15-1)/(($D$15-$B$15)/91.3125)</f>
        <v>8.4701539279429</v>
      </c>
      <c r="AG57" s="131" t="n">
        <f aca="false">AG55*($J$15-1)/(($D$15-$B$15)/91.3125)</f>
        <v>8.4701539279429</v>
      </c>
      <c r="AI57" s="131" t="n">
        <f aca="false">SUMIF($F$7:$AG$7,AI$7,$F57:$AG57)</f>
        <v>0</v>
      </c>
      <c r="AJ57" s="131" t="n">
        <f aca="false">SUMIF($F$7:$AG$7,AJ$7,$F57:$AG57)</f>
        <v>16.9403078558858</v>
      </c>
      <c r="AK57" s="131" t="n">
        <f aca="false">SUMIF($F$7:$AG$7,AK$7,$F57:$AG57)</f>
        <v>33.8806157117716</v>
      </c>
      <c r="AL57" s="131" t="n">
        <f aca="false">SUMIF($F$7:$AG$7,AL$7,$F57:$AG57)</f>
        <v>33.8806157117716</v>
      </c>
      <c r="AM57" s="131" t="n">
        <f aca="false">SUMIF($F$7:$AG$7,AM$7,$F57:$AG57)</f>
        <v>33.8806157117716</v>
      </c>
      <c r="AN57" s="131" t="n">
        <f aca="false">SUMIF($F$7:$AG$7,AN$7,$F57:$AG57)</f>
        <v>33.8806157117716</v>
      </c>
      <c r="AO57" s="131" t="n">
        <f aca="false">SUMIF($F$7:$AG$7,AO$7,$F57:$AG57)</f>
        <v>33.8806157117716</v>
      </c>
    </row>
    <row r="58" customFormat="false" ht="15" hidden="false" customHeight="false" outlineLevel="0" collapsed="false">
      <c r="A58" s="112" t="s">
        <v>2535</v>
      </c>
      <c r="B58" s="24" t="s">
        <v>745</v>
      </c>
      <c r="C58" s="24" t="s">
        <v>736</v>
      </c>
      <c r="D58" s="24"/>
      <c r="F58" s="130" t="n">
        <f aca="false">F55*(1+($J$15-1)*MIN(1,MAX(0,(F$4-$B$15)/($D$15-$B$15))))</f>
        <v>0</v>
      </c>
      <c r="G58" s="130" t="n">
        <f aca="false">G55*(1+($J$15-1)*MIN(1,MAX(0,(G$4-$B$15)/($D$15-$B$15))))</f>
        <v>0</v>
      </c>
      <c r="H58" s="130" t="n">
        <f aca="false">H55*(1+($J$15-1)*MIN(1,MAX(0,(H$4-$B$15)/($D$15-$B$15))))</f>
        <v>0</v>
      </c>
      <c r="I58" s="130" t="n">
        <f aca="false">I55*(1+($J$15-1)*MIN(1,MAX(0,(I$4-$B$15)/($D$15-$B$15))))</f>
        <v>0</v>
      </c>
      <c r="J58" s="130" t="n">
        <f aca="false">J55*(1+($J$15-1)*MIN(1,MAX(0,(J$4-$B$15)/($D$15-$B$15))))</f>
        <v>0</v>
      </c>
      <c r="K58" s="130" t="n">
        <f aca="false">K55*(1+($J$15-1)*MIN(1,MAX(0,(K$4-$B$15)/($D$15-$B$15))))</f>
        <v>0</v>
      </c>
      <c r="L58" s="130" t="n">
        <f aca="false">L55*(1+($J$15-1)*MIN(1,MAX(0,(L$4-$B$15)/($D$15-$B$15))))</f>
        <v>1582.64140105593</v>
      </c>
      <c r="M58" s="130" t="n">
        <f aca="false">M55*(1+($J$15-1)*MIN(1,MAX(0,(M$4-$B$15)/($D$15-$B$15))))</f>
        <v>1591.17532753226</v>
      </c>
      <c r="N58" s="130" t="n">
        <f aca="false">N55*(1+($J$15-1)*MIN(1,MAX(0,(N$4-$B$15)/($D$15-$B$15))))</f>
        <v>1599.52373386781</v>
      </c>
      <c r="O58" s="130" t="n">
        <f aca="false">O55*(1+($J$15-1)*MIN(1,MAX(0,(O$4-$B$15)/($D$15-$B$15))))</f>
        <v>1607.96490027376</v>
      </c>
      <c r="P58" s="131" t="n">
        <f aca="false">P55*(1+($J$15-1)*MIN(1,MAX(0,(P$4-$B$15)/($D$15-$B$15))))</f>
        <v>1616.4988267501</v>
      </c>
      <c r="Q58" s="131" t="n">
        <f aca="false">Q55*(1+($J$15-1)*MIN(1,MAX(0,(Q$4-$B$15)/($D$15-$B$15))))</f>
        <v>1625.03275322644</v>
      </c>
      <c r="R58" s="131" t="n">
        <f aca="false">R55*(1+($J$15-1)*MIN(1,MAX(0,(R$4-$B$15)/($D$15-$B$15))))</f>
        <v>1633.38115956199</v>
      </c>
      <c r="S58" s="131" t="n">
        <f aca="false">S55*(1+($J$15-1)*MIN(1,MAX(0,(S$4-$B$15)/($D$15-$B$15))))</f>
        <v>1641.82232596793</v>
      </c>
      <c r="T58" s="131" t="n">
        <f aca="false">T55*(1+($J$15-1)*MIN(1,MAX(0,(T$4-$B$15)/($D$15-$B$15))))</f>
        <v>1650.35625244427</v>
      </c>
      <c r="U58" s="131" t="n">
        <f aca="false">U55*(1+($J$15-1)*MIN(1,MAX(0,(U$4-$B$15)/($D$15-$B$15))))</f>
        <v>1658.89017892061</v>
      </c>
      <c r="V58" s="131" t="n">
        <f aca="false">V55*(1+($J$15-1)*MIN(1,MAX(0,(V$4-$B$15)/($D$15-$B$15))))</f>
        <v>1667.33134532655</v>
      </c>
      <c r="W58" s="131" t="n">
        <f aca="false">W55*(1+($J$15-1)*MIN(1,MAX(0,(W$4-$B$15)/($D$15-$B$15))))</f>
        <v>1675.7725117325</v>
      </c>
      <c r="X58" s="131" t="n">
        <f aca="false">X55*(1+($J$15-1)*MIN(1,MAX(0,(X$4-$B$15)/($D$15-$B$15))))</f>
        <v>1684.30643820884</v>
      </c>
      <c r="Y58" s="131" t="n">
        <f aca="false">Y55*(1+($J$15-1)*MIN(1,MAX(0,(Y$4-$B$15)/($D$15-$B$15))))</f>
        <v>1692.84036468518</v>
      </c>
      <c r="Z58" s="131" t="n">
        <f aca="false">Z55*(1+($J$15-1)*MIN(1,MAX(0,(Z$4-$B$15)/($D$15-$B$15))))</f>
        <v>1701.18877102073</v>
      </c>
      <c r="AA58" s="131" t="n">
        <f aca="false">AA55*(1+($J$15-1)*MIN(1,MAX(0,(AA$4-$B$15)/($D$15-$B$15))))</f>
        <v>1709.62993742667</v>
      </c>
      <c r="AB58" s="131" t="n">
        <f aca="false">AB55*(1+($J$15-1)*MIN(1,MAX(0,(AB$4-$B$15)/($D$15-$B$15))))</f>
        <v>1718.16386390301</v>
      </c>
      <c r="AC58" s="131" t="n">
        <f aca="false">AC55*(1+($J$15-1)*MIN(1,MAX(0,(AC$4-$B$15)/($D$15-$B$15))))</f>
        <v>1726.69779037935</v>
      </c>
      <c r="AD58" s="131" t="n">
        <f aca="false">AD55*(1+($J$15-1)*MIN(1,MAX(0,(AD$4-$B$15)/($D$15-$B$15))))</f>
        <v>1735.0461967149</v>
      </c>
      <c r="AE58" s="131" t="n">
        <f aca="false">AE55*(1+($J$15-1)*MIN(1,MAX(0,(AE$4-$B$15)/($D$15-$B$15))))</f>
        <v>1743.48736312084</v>
      </c>
      <c r="AF58" s="131" t="n">
        <f aca="false">AF55*(1+($J$15-1)*MIN(1,MAX(0,(AF$4-$B$15)/($D$15-$B$15))))</f>
        <v>1752.02128959718</v>
      </c>
      <c r="AG58" s="131" t="n">
        <f aca="false">AG55*(1+($J$15-1)*MIN(1,MAX(0,(AG$4-$B$15)/($D$15-$B$15))))</f>
        <v>1760.55521607352</v>
      </c>
      <c r="AI58" s="131" t="n">
        <f aca="false">INDEX($F58:$AG58,1,MATCH(AI$7,$F$7:$AG$7,1))</f>
        <v>0</v>
      </c>
      <c r="AJ58" s="131" t="n">
        <f aca="false">INDEX($F58:$AG58,1,MATCH(AJ$7,$F$7:$AG$7,1))</f>
        <v>1591.17532753226</v>
      </c>
      <c r="AK58" s="131" t="n">
        <f aca="false">INDEX($F58:$AG58,1,MATCH(AK$7,$F$7:$AG$7,1))</f>
        <v>1625.03275322644</v>
      </c>
      <c r="AL58" s="131" t="n">
        <f aca="false">INDEX($F58:$AG58,1,MATCH(AL$7,$F$7:$AG$7,1))</f>
        <v>1658.89017892061</v>
      </c>
      <c r="AM58" s="131" t="n">
        <f aca="false">INDEX($F58:$AG58,1,MATCH(AM$7,$F$7:$AG$7,1))</f>
        <v>1692.84036468518</v>
      </c>
      <c r="AN58" s="131" t="n">
        <f aca="false">INDEX($F58:$AG58,1,MATCH(AN$7,$F$7:$AG$7,1))</f>
        <v>1726.69779037935</v>
      </c>
      <c r="AO58" s="131" t="n">
        <f aca="false">INDEX($F58:$AG58,1,MATCH(AO$7,$F$7:$AG$7,1))</f>
        <v>1760.55521607352</v>
      </c>
    </row>
    <row r="59" customFormat="false" ht="15" hidden="false" customHeight="false" outlineLevel="0" collapsed="false">
      <c r="A59" s="112" t="s">
        <v>2536</v>
      </c>
      <c r="B59" s="24" t="s">
        <v>745</v>
      </c>
      <c r="C59" s="24" t="s">
        <v>736</v>
      </c>
      <c r="D59" s="24"/>
      <c r="F59" s="130" t="n">
        <f aca="false">F55*($S$15+($J$15-$S$15)*MIN(1,MAX(0,(F$4-$T$15)/($D$15-$T$15))))</f>
        <v>0</v>
      </c>
      <c r="G59" s="130" t="n">
        <f aca="false">G55*($S$15+($J$15-$S$15)*MIN(1,MAX(0,(G$4-$T$15)/($D$15-$T$15))))</f>
        <v>0</v>
      </c>
      <c r="H59" s="130" t="n">
        <f aca="false">H55*($S$15+($J$15-$S$15)*MIN(1,MAX(0,(H$4-$T$15)/($D$15-$T$15))))</f>
        <v>0</v>
      </c>
      <c r="I59" s="130" t="n">
        <f aca="false">I55*($S$15+($J$15-$S$15)*MIN(1,MAX(0,(I$4-$T$15)/($D$15-$T$15))))</f>
        <v>0</v>
      </c>
      <c r="J59" s="130" t="n">
        <f aca="false">J55*($S$15+($J$15-$S$15)*MIN(1,MAX(0,(J$4-$T$15)/($D$15-$T$15))))</f>
        <v>0</v>
      </c>
      <c r="K59" s="130" t="n">
        <f aca="false">K55*($S$15+($J$15-$S$15)*MIN(1,MAX(0,(K$4-$T$15)/($D$15-$T$15))))</f>
        <v>0</v>
      </c>
      <c r="L59" s="130" t="n">
        <f aca="false">L55*($S$15+($J$15-$S$15)*MIN(1,MAX(0,(L$4-$T$15)/($D$15-$T$15))))</f>
        <v>1574.99931875</v>
      </c>
      <c r="M59" s="130" t="n">
        <f aca="false">M55*($S$15+($J$15-$S$15)*MIN(1,MAX(0,(M$4-$T$15)/($D$15-$T$15))))</f>
        <v>1574.99931875</v>
      </c>
      <c r="N59" s="130" t="n">
        <f aca="false">N55*($S$15+($J$15-$S$15)*MIN(1,MAX(0,(N$4-$T$15)/($D$15-$T$15))))</f>
        <v>1574.99931875</v>
      </c>
      <c r="O59" s="130" t="n">
        <f aca="false">O55*($S$15+($J$15-$S$15)*MIN(1,MAX(0,(O$4-$T$15)/($D$15-$T$15))))</f>
        <v>1574.99931875</v>
      </c>
      <c r="P59" s="131" t="n">
        <f aca="false">P55*($S$15+($J$15-$S$15)*MIN(1,MAX(0,(P$4-$T$15)/($D$15-$T$15))))</f>
        <v>1584.8698840541</v>
      </c>
      <c r="Q59" s="131" t="n">
        <f aca="false">Q55*($S$15+($J$15-$S$15)*MIN(1,MAX(0,(Q$4-$T$15)/($D$15-$T$15))))</f>
        <v>1594.7404493582</v>
      </c>
      <c r="R59" s="131" t="n">
        <f aca="false">R55*($S$15+($J$15-$S$15)*MIN(1,MAX(0,(R$4-$T$15)/($D$15-$T$15))))</f>
        <v>1604.39643715569</v>
      </c>
      <c r="S59" s="131" t="n">
        <f aca="false">S55*($S$15+($J$15-$S$15)*MIN(1,MAX(0,(S$4-$T$15)/($D$15-$T$15))))</f>
        <v>1614.15971370648</v>
      </c>
      <c r="T59" s="131" t="n">
        <f aca="false">T55*($S$15+($J$15-$S$15)*MIN(1,MAX(0,(T$4-$T$15)/($D$15-$T$15))))</f>
        <v>1624.03027901058</v>
      </c>
      <c r="U59" s="131" t="n">
        <f aca="false">U55*($S$15+($J$15-$S$15)*MIN(1,MAX(0,(U$4-$T$15)/($D$15-$T$15))))</f>
        <v>1633.90084431468</v>
      </c>
      <c r="V59" s="131" t="n">
        <f aca="false">V55*($S$15+($J$15-$S$15)*MIN(1,MAX(0,(V$4-$T$15)/($D$15-$T$15))))</f>
        <v>1643.66412086547</v>
      </c>
      <c r="W59" s="131" t="n">
        <f aca="false">W55*($S$15+($J$15-$S$15)*MIN(1,MAX(0,(W$4-$T$15)/($D$15-$T$15))))</f>
        <v>1653.42739741626</v>
      </c>
      <c r="X59" s="131" t="n">
        <f aca="false">X55*($S$15+($J$15-$S$15)*MIN(1,MAX(0,(X$4-$T$15)/($D$15-$T$15))))</f>
        <v>1663.29796272036</v>
      </c>
      <c r="Y59" s="131" t="n">
        <f aca="false">Y55*($S$15+($J$15-$S$15)*MIN(1,MAX(0,(Y$4-$T$15)/($D$15-$T$15))))</f>
        <v>1673.16852802446</v>
      </c>
      <c r="Z59" s="131" t="n">
        <f aca="false">Z55*($S$15+($J$15-$S$15)*MIN(1,MAX(0,(Z$4-$T$15)/($D$15-$T$15))))</f>
        <v>1682.82451582195</v>
      </c>
      <c r="AA59" s="131" t="n">
        <f aca="false">AA55*($S$15+($J$15-$S$15)*MIN(1,MAX(0,(AA$4-$T$15)/($D$15-$T$15))))</f>
        <v>1692.58779237274</v>
      </c>
      <c r="AB59" s="131" t="n">
        <f aca="false">AB55*($S$15+($J$15-$S$15)*MIN(1,MAX(0,(AB$4-$T$15)/($D$15-$T$15))))</f>
        <v>1702.45835767684</v>
      </c>
      <c r="AC59" s="131" t="n">
        <f aca="false">AC55*($S$15+($J$15-$S$15)*MIN(1,MAX(0,(AC$4-$T$15)/($D$15-$T$15))))</f>
        <v>1712.32892298094</v>
      </c>
      <c r="AD59" s="131" t="n">
        <f aca="false">AD55*($S$15+($J$15-$S$15)*MIN(1,MAX(0,(AD$4-$T$15)/($D$15-$T$15))))</f>
        <v>1721.98491077843</v>
      </c>
      <c r="AE59" s="131" t="n">
        <f aca="false">AE55*($S$15+($J$15-$S$15)*MIN(1,MAX(0,(AE$4-$T$15)/($D$15-$T$15))))</f>
        <v>1731.74818732922</v>
      </c>
      <c r="AF59" s="131" t="n">
        <f aca="false">AF55*($S$15+($J$15-$S$15)*MIN(1,MAX(0,(AF$4-$T$15)/($D$15-$T$15))))</f>
        <v>1741.61875263332</v>
      </c>
      <c r="AG59" s="131" t="n">
        <f aca="false">AG55*($S$15+($J$15-$S$15)*MIN(1,MAX(0,(AG$4-$T$15)/($D$15-$T$15))))</f>
        <v>1751.48931793742</v>
      </c>
      <c r="AI59" s="131" t="n">
        <f aca="false">INDEX($F59:$AG59,1,MATCH(AI$7,$F$7:$AG$7,1))</f>
        <v>0</v>
      </c>
      <c r="AJ59" s="131" t="n">
        <f aca="false">INDEX($F59:$AG59,1,MATCH(AJ$7,$F$7:$AG$7,1))</f>
        <v>1574.99931875</v>
      </c>
      <c r="AK59" s="131" t="n">
        <f aca="false">INDEX($F59:$AG59,1,MATCH(AK$7,$F$7:$AG$7,1))</f>
        <v>1594.7404493582</v>
      </c>
      <c r="AL59" s="131" t="n">
        <f aca="false">INDEX($F59:$AG59,1,MATCH(AL$7,$F$7:$AG$7,1))</f>
        <v>1633.90084431468</v>
      </c>
      <c r="AM59" s="131" t="n">
        <f aca="false">INDEX($F59:$AG59,1,MATCH(AM$7,$F$7:$AG$7,1))</f>
        <v>1673.16852802446</v>
      </c>
      <c r="AN59" s="131" t="n">
        <f aca="false">INDEX($F59:$AG59,1,MATCH(AN$7,$F$7:$AG$7,1))</f>
        <v>1712.32892298094</v>
      </c>
      <c r="AO59" s="131" t="n">
        <f aca="false">INDEX($F59:$AG59,1,MATCH(AO$7,$F$7:$AG$7,1))</f>
        <v>1751.48931793742</v>
      </c>
    </row>
    <row r="60" customFormat="false" ht="15" hidden="false" customHeight="false" outlineLevel="0" collapsed="false">
      <c r="A60" s="112" t="s">
        <v>2537</v>
      </c>
      <c r="B60" s="24" t="s">
        <v>745</v>
      </c>
      <c r="C60" s="24" t="s">
        <v>736</v>
      </c>
      <c r="D60" s="24"/>
      <c r="F60" s="130" t="n">
        <f aca="false">IF(F$5=$N$15,E55*$J$15*(1-$O$15),0)</f>
        <v>0</v>
      </c>
      <c r="G60" s="130" t="n">
        <f aca="false">IF(G$5=$N$15,F55*$J$15*(1-$O$15),0)</f>
        <v>0</v>
      </c>
      <c r="H60" s="130" t="n">
        <f aca="false">IF(H$5=$N$15,G55*$J$15*(1-$O$15),0)</f>
        <v>0</v>
      </c>
      <c r="I60" s="130" t="n">
        <f aca="false">IF(I$5=$N$15,H55*$J$15*(1-$O$15),0)</f>
        <v>0</v>
      </c>
      <c r="J60" s="130" t="n">
        <f aca="false">IF(J$5=$N$15,I55*$J$15*(1-$O$15),0)</f>
        <v>0</v>
      </c>
      <c r="K60" s="130" t="n">
        <f aca="false">IF(K$5=$N$15,J55*$J$15*(1-$O$15),0)</f>
        <v>0</v>
      </c>
      <c r="L60" s="130" t="n">
        <f aca="false">IF(L$5=$N$15,K55*$J$15*(1-$O$15),0)</f>
        <v>0</v>
      </c>
      <c r="M60" s="130" t="n">
        <f aca="false">IF(M$5=$N$15,L55*$J$15*(1-$O$15),0)</f>
        <v>0</v>
      </c>
      <c r="N60" s="130" t="n">
        <f aca="false">IF(N$5=$N$15,M55*$J$15*(1-$O$15),0)</f>
        <v>0</v>
      </c>
      <c r="O60" s="130" t="n">
        <f aca="false">IF(O$5=$N$15,N55*$J$15*(1-$O$15),0)</f>
        <v>0</v>
      </c>
      <c r="P60" s="131" t="n">
        <f aca="false">IF(P$5=$N$15,O55*$J$15*(1-$O$15),0)</f>
        <v>0</v>
      </c>
      <c r="Q60" s="131" t="n">
        <f aca="false">IF(Q$5=$N$15,P55*$J$15*(1-$O$15),0)</f>
        <v>0</v>
      </c>
      <c r="R60" s="131" t="n">
        <f aca="false">IF(R$5=$N$15,Q55*$J$15*(1-$O$15),0)</f>
        <v>0</v>
      </c>
      <c r="S60" s="131" t="n">
        <f aca="false">IF(S$5=$N$15,R55*$J$15*(1-$O$15),0)</f>
        <v>0</v>
      </c>
      <c r="T60" s="131" t="n">
        <f aca="false">IF(T$5=$N$15,S55*$J$15*(1-$O$15),0)</f>
        <v>0</v>
      </c>
      <c r="U60" s="131" t="n">
        <f aca="false">IF(U$5=$N$15,T55*$J$15*(1-$O$15),0)</f>
        <v>0</v>
      </c>
      <c r="V60" s="131" t="n">
        <f aca="false">IF(V$5=$N$15,U55*$J$15*(1-$O$15),0)</f>
        <v>0</v>
      </c>
      <c r="W60" s="131" t="n">
        <f aca="false">IF(W$5=$N$15,V55*$J$15*(1-$O$15),0)</f>
        <v>0</v>
      </c>
      <c r="X60" s="131" t="n">
        <f aca="false">IF(X$5=$N$15,W55*$J$15*(1-$O$15),0)</f>
        <v>0</v>
      </c>
      <c r="Y60" s="131" t="n">
        <f aca="false">IF(Y$5=$N$15,X55*$J$15*(1-$O$15),0)</f>
        <v>0</v>
      </c>
      <c r="Z60" s="131" t="n">
        <f aca="false">IF(Z$5=$N$15,Y55*$J$15*(1-$O$15),0)</f>
        <v>0</v>
      </c>
      <c r="AA60" s="131" t="n">
        <f aca="false">IF(AA$5=$N$15,Z55*$J$15*(1-$O$15),0)</f>
        <v>0</v>
      </c>
      <c r="AB60" s="131" t="n">
        <f aca="false">IF(AB$5=$N$15,AA55*$J$15*(1-$O$15),0)</f>
        <v>0</v>
      </c>
      <c r="AC60" s="131" t="n">
        <f aca="false">IF(AC$5=$N$15,AB55*$J$15*(1-$O$15),0)</f>
        <v>0</v>
      </c>
      <c r="AD60" s="131" t="n">
        <f aca="false">IF(AD$5=$N$15,AC55*$J$15*(1-$O$15),0)</f>
        <v>0</v>
      </c>
      <c r="AE60" s="131" t="n">
        <f aca="false">IF(AE$5=$N$15,AD55*$J$15*(1-$O$15),0)</f>
        <v>0</v>
      </c>
      <c r="AF60" s="131" t="n">
        <f aca="false">IF(AF$5=$N$15,AE55*$J$15*(1-$O$15),0)</f>
        <v>0</v>
      </c>
      <c r="AG60" s="131" t="n">
        <f aca="false">IF(AG$5=$N$15,AF55*$J$15*(1-$O$15),0)</f>
        <v>0</v>
      </c>
      <c r="AI60" s="131" t="n">
        <f aca="false">SUMIF($F$7:$AG$7,AI$7,$F60:$AG60)</f>
        <v>0</v>
      </c>
      <c r="AJ60" s="131" t="n">
        <f aca="false">SUMIF($F$7:$AG$7,AJ$7,$F60:$AG60)</f>
        <v>0</v>
      </c>
      <c r="AK60" s="131" t="n">
        <f aca="false">SUMIF($F$7:$AG$7,AK$7,$F60:$AG60)</f>
        <v>0</v>
      </c>
      <c r="AL60" s="131" t="n">
        <f aca="false">SUMIF($F$7:$AG$7,AL$7,$F60:$AG60)</f>
        <v>0</v>
      </c>
      <c r="AM60" s="131" t="n">
        <f aca="false">SUMIF($F$7:$AG$7,AM$7,$F60:$AG60)</f>
        <v>0</v>
      </c>
      <c r="AN60" s="131" t="n">
        <f aca="false">SUMIF($F$7:$AG$7,AN$7,$F60:$AG60)</f>
        <v>0</v>
      </c>
      <c r="AO60" s="131" t="n">
        <f aca="false">SUMIF($F$7:$AG$7,AO$7,$F60:$AG60)</f>
        <v>0</v>
      </c>
    </row>
    <row r="61" customFormat="false" ht="15" hidden="false" customHeight="false" outlineLevel="0" collapsed="false">
      <c r="A61" s="112" t="s">
        <v>2538</v>
      </c>
      <c r="B61" s="24" t="s">
        <v>809</v>
      </c>
      <c r="C61" s="24" t="s">
        <v>736</v>
      </c>
      <c r="D61" s="24"/>
      <c r="F61" s="146" t="n">
        <f aca="false">IF(F$5=$N$15,E55*$K$15/1000*$O$15,0)</f>
        <v>0</v>
      </c>
      <c r="G61" s="146" t="n">
        <f aca="false">IF(G$5=$N$15,F55*$K$15/1000*$O$15,0)</f>
        <v>0</v>
      </c>
      <c r="H61" s="146" t="n">
        <f aca="false">IF(H$5=$N$15,G55*$K$15/1000*$O$15,0)</f>
        <v>0</v>
      </c>
      <c r="I61" s="146" t="n">
        <f aca="false">IF(I$5=$N$15,H55*$K$15/1000*$O$15,0)</f>
        <v>0</v>
      </c>
      <c r="J61" s="146" t="n">
        <f aca="false">IF(J$5=$N$15,I55*$K$15/1000*$O$15,0)</f>
        <v>0</v>
      </c>
      <c r="K61" s="146" t="n">
        <f aca="false">IF(K$5=$N$15,J55*$K$15/1000*$O$15,0)</f>
        <v>0</v>
      </c>
      <c r="L61" s="146" t="n">
        <f aca="false">IF(L$5=$N$15,K55*$K$15/1000*$O$15,0)</f>
        <v>0</v>
      </c>
      <c r="M61" s="146" t="n">
        <f aca="false">IF(M$5=$N$15,L55*$K$15/1000*$O$15,0)</f>
        <v>0</v>
      </c>
      <c r="N61" s="146" t="n">
        <f aca="false">IF(N$5=$N$15,M55*$K$15/1000*$O$15,0)</f>
        <v>0</v>
      </c>
      <c r="O61" s="146" t="n">
        <f aca="false">IF(O$5=$N$15,N55*$K$15/1000*$O$15,0)</f>
        <v>0</v>
      </c>
      <c r="P61" s="54" t="n">
        <f aca="false">IF(P$5=$N$15,O55*$K$15/1000*$O$15,0)</f>
        <v>0</v>
      </c>
      <c r="Q61" s="54" t="n">
        <f aca="false">IF(Q$5=$N$15,P55*$K$15/1000*$O$15,0)</f>
        <v>0</v>
      </c>
      <c r="R61" s="54" t="n">
        <f aca="false">IF(R$5=$N$15,Q55*$K$15/1000*$O$15,0)</f>
        <v>0</v>
      </c>
      <c r="S61" s="54" t="n">
        <f aca="false">IF(S$5=$N$15,R55*$K$15/1000*$O$15,0)</f>
        <v>0</v>
      </c>
      <c r="T61" s="54" t="n">
        <f aca="false">IF(T$5=$N$15,S55*$K$15/1000*$O$15,0)</f>
        <v>0</v>
      </c>
      <c r="U61" s="54" t="n">
        <f aca="false">IF(U$5=$N$15,T55*$K$15/1000*$O$15,0)</f>
        <v>0</v>
      </c>
      <c r="V61" s="54" t="n">
        <f aca="false">IF(V$5=$N$15,U55*$K$15/1000*$O$15,0)</f>
        <v>0</v>
      </c>
      <c r="W61" s="54" t="n">
        <f aca="false">IF(W$5=$N$15,V55*$K$15/1000*$O$15,0)</f>
        <v>0</v>
      </c>
      <c r="X61" s="54" t="n">
        <f aca="false">IF(X$5=$N$15,W55*$K$15/1000*$O$15,0)</f>
        <v>0</v>
      </c>
      <c r="Y61" s="54" t="n">
        <f aca="false">IF(Y$5=$N$15,X55*$K$15/1000*$O$15,0)</f>
        <v>0</v>
      </c>
      <c r="Z61" s="54" t="n">
        <f aca="false">IF(Z$5=$N$15,Y55*$K$15/1000*$O$15,0)</f>
        <v>0</v>
      </c>
      <c r="AA61" s="54" t="n">
        <f aca="false">IF(AA$5=$N$15,Z55*$K$15/1000*$O$15,0)</f>
        <v>0</v>
      </c>
      <c r="AB61" s="54" t="n">
        <f aca="false">IF(AB$5=$N$15,AA55*$K$15/1000*$O$15,0)</f>
        <v>0</v>
      </c>
      <c r="AC61" s="54" t="n">
        <f aca="false">IF(AC$5=$N$15,AB55*$K$15/1000*$O$15,0)</f>
        <v>0</v>
      </c>
      <c r="AD61" s="54" t="n">
        <f aca="false">IF(AD$5=$N$15,AC55*$K$15/1000*$O$15,0)</f>
        <v>0</v>
      </c>
      <c r="AE61" s="54" t="n">
        <f aca="false">IF(AE$5=$N$15,AD55*$K$15/1000*$O$15,0)</f>
        <v>0</v>
      </c>
      <c r="AF61" s="54" t="n">
        <f aca="false">IF(AF$5=$N$15,AE55*$K$15/1000*$O$15,0)</f>
        <v>0</v>
      </c>
      <c r="AG61" s="54" t="n">
        <f aca="false">IF(AG$5=$N$15,AF55*$K$15/1000*$O$15,0)</f>
        <v>0</v>
      </c>
      <c r="AI61" s="54" t="n">
        <f aca="false">SUMIF($F$7:$AG$7,AI$7,$F61:$AG61)</f>
        <v>0</v>
      </c>
      <c r="AJ61" s="54" t="n">
        <f aca="false">SUMIF($F$7:$AG$7,AJ$7,$F61:$AG61)</f>
        <v>0</v>
      </c>
      <c r="AK61" s="54" t="n">
        <f aca="false">SUMIF($F$7:$AG$7,AK$7,$F61:$AG61)</f>
        <v>0</v>
      </c>
      <c r="AL61" s="54" t="n">
        <f aca="false">SUMIF($F$7:$AG$7,AL$7,$F61:$AG61)</f>
        <v>0</v>
      </c>
      <c r="AM61" s="54" t="n">
        <f aca="false">SUMIF($F$7:$AG$7,AM$7,$F61:$AG61)</f>
        <v>0</v>
      </c>
      <c r="AN61" s="54" t="n">
        <f aca="false">SUMIF($F$7:$AG$7,AN$7,$F61:$AG61)</f>
        <v>0</v>
      </c>
      <c r="AO61" s="54" t="n">
        <f aca="false">SUMIF($F$7:$AG$7,AO$7,$F61:$AG61)</f>
        <v>0</v>
      </c>
    </row>
    <row r="62" customFormat="false" ht="15" hidden="false" customHeight="false" outlineLevel="0" collapsed="false">
      <c r="A62" s="112" t="s">
        <v>2539</v>
      </c>
      <c r="B62" s="24" t="s">
        <v>809</v>
      </c>
      <c r="C62" s="24" t="s">
        <v>672</v>
      </c>
      <c r="D62" s="24"/>
      <c r="F62" s="146" t="n">
        <f aca="false">IF(DilMethod=3,MAX(0,F55*$K$15/1000*DilPx-F58)/DilPx,F55*$K$15/1000*$P$15)</f>
        <v>0</v>
      </c>
      <c r="G62" s="146" t="n">
        <f aca="false">IF(DilMethod=3,MAX(0,G55*$K$15/1000*DilPx-G58)/DilPx,G55*$K$15/1000*$P$15)</f>
        <v>0</v>
      </c>
      <c r="H62" s="146" t="n">
        <f aca="false">IF(DilMethod=3,MAX(0,H55*$K$15/1000*DilPx-H58)/DilPx,H55*$K$15/1000*$P$15)</f>
        <v>0</v>
      </c>
      <c r="I62" s="146" t="n">
        <f aca="false">IF(DilMethod=3,MAX(0,I55*$K$15/1000*DilPx-I58)/DilPx,I55*$K$15/1000*$P$15)</f>
        <v>0</v>
      </c>
      <c r="J62" s="146" t="n">
        <f aca="false">IF(DilMethod=3,MAX(0,J55*$K$15/1000*DilPx-J58)/DilPx,J55*$K$15/1000*$P$15)</f>
        <v>0</v>
      </c>
      <c r="K62" s="146" t="n">
        <f aca="false">IF(DilMethod=3,MAX(0,K55*$K$15/1000*DilPx-K58)/DilPx,K55*$K$15/1000*$P$15)</f>
        <v>0</v>
      </c>
      <c r="L62" s="146" t="n">
        <f aca="false">IF(DilMethod=3,MAX(0,L55*$K$15/1000*DilPx-L58)/DilPx,L55*$K$15/1000*$P$15)</f>
        <v>0</v>
      </c>
      <c r="M62" s="146" t="n">
        <f aca="false">IF(DilMethod=3,MAX(0,M55*$K$15/1000*DilPx-M58)/DilPx,M55*$K$15/1000*$P$15)</f>
        <v>0</v>
      </c>
      <c r="N62" s="146" t="n">
        <f aca="false">IF(DilMethod=3,MAX(0,N55*$K$15/1000*DilPx-N58)/DilPx,N55*$K$15/1000*$P$15)</f>
        <v>0</v>
      </c>
      <c r="O62" s="146" t="n">
        <f aca="false">IF(DilMethod=3,MAX(0,O55*$K$15/1000*DilPx-O58)/DilPx,O55*$K$15/1000*$P$15)</f>
        <v>0</v>
      </c>
      <c r="P62" s="54" t="n">
        <f aca="false">IF(DilMethod=3,MAX(0,P55*$K$15/1000*DilPx-P58)/DilPx,P55*$K$15/1000*$P$15)</f>
        <v>0</v>
      </c>
      <c r="Q62" s="54" t="n">
        <f aca="false">IF(DilMethod=3,MAX(0,Q55*$K$15/1000*DilPx-Q58)/DilPx,Q55*$K$15/1000*$P$15)</f>
        <v>0</v>
      </c>
      <c r="R62" s="54" t="n">
        <f aca="false">IF(DilMethod=3,MAX(0,R55*$K$15/1000*DilPx-R58)/DilPx,R55*$K$15/1000*$P$15)</f>
        <v>0</v>
      </c>
      <c r="S62" s="54" t="n">
        <f aca="false">IF(DilMethod=3,MAX(0,S55*$K$15/1000*DilPx-S58)/DilPx,S55*$K$15/1000*$P$15)</f>
        <v>0</v>
      </c>
      <c r="T62" s="54" t="n">
        <f aca="false">IF(DilMethod=3,MAX(0,T55*$K$15/1000*DilPx-T58)/DilPx,T55*$K$15/1000*$P$15)</f>
        <v>0</v>
      </c>
      <c r="U62" s="54" t="n">
        <f aca="false">IF(DilMethod=3,MAX(0,U55*$K$15/1000*DilPx-U58)/DilPx,U55*$K$15/1000*$P$15)</f>
        <v>0</v>
      </c>
      <c r="V62" s="54" t="n">
        <f aca="false">IF(DilMethod=3,MAX(0,V55*$K$15/1000*DilPx-V58)/DilPx,V55*$K$15/1000*$P$15)</f>
        <v>0</v>
      </c>
      <c r="W62" s="54" t="n">
        <f aca="false">IF(DilMethod=3,MAX(0,W55*$K$15/1000*DilPx-W58)/DilPx,W55*$K$15/1000*$P$15)</f>
        <v>0</v>
      </c>
      <c r="X62" s="54" t="n">
        <f aca="false">IF(DilMethod=3,MAX(0,X55*$K$15/1000*DilPx-X58)/DilPx,X55*$K$15/1000*$P$15)</f>
        <v>0</v>
      </c>
      <c r="Y62" s="54" t="n">
        <f aca="false">IF(DilMethod=3,MAX(0,Y55*$K$15/1000*DilPx-Y58)/DilPx,Y55*$K$15/1000*$P$15)</f>
        <v>0</v>
      </c>
      <c r="Z62" s="54" t="n">
        <f aca="false">IF(DilMethod=3,MAX(0,Z55*$K$15/1000*DilPx-Z58)/DilPx,Z55*$K$15/1000*$P$15)</f>
        <v>0</v>
      </c>
      <c r="AA62" s="54" t="n">
        <f aca="false">IF(DilMethod=3,MAX(0,AA55*$K$15/1000*DilPx-AA58)/DilPx,AA55*$K$15/1000*$P$15)</f>
        <v>0</v>
      </c>
      <c r="AB62" s="54" t="n">
        <f aca="false">IF(DilMethod=3,MAX(0,AB55*$K$15/1000*DilPx-AB58)/DilPx,AB55*$K$15/1000*$P$15)</f>
        <v>0</v>
      </c>
      <c r="AC62" s="54" t="n">
        <f aca="false">IF(DilMethod=3,MAX(0,AC55*$K$15/1000*DilPx-AC58)/DilPx,AC55*$K$15/1000*$P$15)</f>
        <v>0</v>
      </c>
      <c r="AD62" s="54" t="n">
        <f aca="false">IF(DilMethod=3,MAX(0,AD55*$K$15/1000*DilPx-AD58)/DilPx,AD55*$K$15/1000*$P$15)</f>
        <v>0</v>
      </c>
      <c r="AE62" s="54" t="n">
        <f aca="false">IF(DilMethod=3,MAX(0,AE55*$K$15/1000*DilPx-AE58)/DilPx,AE55*$K$15/1000*$P$15)</f>
        <v>0</v>
      </c>
      <c r="AF62" s="54" t="n">
        <f aca="false">IF(DilMethod=3,MAX(0,AF55*$K$15/1000*DilPx-AF58)/DilPx,AF55*$K$15/1000*$P$15)</f>
        <v>0</v>
      </c>
      <c r="AG62" s="54" t="n">
        <f aca="false">IF(DilMethod=3,MAX(0,AG55*$K$15/1000*DilPx-AG58)/DilPx,AG55*$K$15/1000*$P$15)</f>
        <v>0</v>
      </c>
      <c r="AI62" s="54" t="n">
        <f aca="false">INDEX($F62:$AG62,1,MATCH(AI$7,$F$7:$AG$7,1))</f>
        <v>0</v>
      </c>
      <c r="AJ62" s="54" t="n">
        <f aca="false">INDEX($F62:$AG62,1,MATCH(AJ$7,$F$7:$AG$7,1))</f>
        <v>0</v>
      </c>
      <c r="AK62" s="54" t="n">
        <f aca="false">INDEX($F62:$AG62,1,MATCH(AK$7,$F$7:$AG$7,1))</f>
        <v>0</v>
      </c>
      <c r="AL62" s="54" t="n">
        <f aca="false">INDEX($F62:$AG62,1,MATCH(AL$7,$F$7:$AG$7,1))</f>
        <v>0</v>
      </c>
      <c r="AM62" s="54" t="n">
        <f aca="false">INDEX($F62:$AG62,1,MATCH(AM$7,$F$7:$AG$7,1))</f>
        <v>0</v>
      </c>
      <c r="AN62" s="54" t="n">
        <f aca="false">INDEX($F62:$AG62,1,MATCH(AN$7,$F$7:$AG$7,1))</f>
        <v>0</v>
      </c>
      <c r="AO62" s="54" t="n">
        <f aca="false">INDEX($F62:$AG62,1,MATCH(AO$7,$F$7:$AG$7,1))</f>
        <v>0</v>
      </c>
    </row>
    <row r="63" customFormat="false" ht="15" hidden="false" customHeight="false" outlineLevel="0" collapsed="false">
      <c r="A63" s="112" t="s">
        <v>2540</v>
      </c>
      <c r="B63" s="24" t="s">
        <v>745</v>
      </c>
      <c r="C63" s="24" t="s">
        <v>672</v>
      </c>
      <c r="D63" s="24"/>
      <c r="F63" s="130" t="n">
        <f aca="false">F58*IF(DilMethod=3,1,1-$P$15)</f>
        <v>0</v>
      </c>
      <c r="G63" s="130" t="n">
        <f aca="false">G58*IF(DilMethod=3,1,1-$P$15)</f>
        <v>0</v>
      </c>
      <c r="H63" s="130" t="n">
        <f aca="false">H58*IF(DilMethod=3,1,1-$P$15)</f>
        <v>0</v>
      </c>
      <c r="I63" s="130" t="n">
        <f aca="false">I58*IF(DilMethod=3,1,1-$P$15)</f>
        <v>0</v>
      </c>
      <c r="J63" s="130" t="n">
        <f aca="false">J58*IF(DilMethod=3,1,1-$P$15)</f>
        <v>0</v>
      </c>
      <c r="K63" s="130" t="n">
        <f aca="false">K58*IF(DilMethod=3,1,1-$P$15)</f>
        <v>0</v>
      </c>
      <c r="L63" s="130" t="n">
        <f aca="false">L58*IF(DilMethod=3,1,1-$P$15)</f>
        <v>1582.64140105593</v>
      </c>
      <c r="M63" s="130" t="n">
        <f aca="false">M58*IF(DilMethod=3,1,1-$P$15)</f>
        <v>1591.17532753226</v>
      </c>
      <c r="N63" s="130" t="n">
        <f aca="false">N58*IF(DilMethod=3,1,1-$P$15)</f>
        <v>1599.52373386781</v>
      </c>
      <c r="O63" s="130" t="n">
        <f aca="false">O58*IF(DilMethod=3,1,1-$P$15)</f>
        <v>1607.96490027376</v>
      </c>
      <c r="P63" s="131" t="n">
        <f aca="false">P58*IF(DilMethod=3,1,1-$P$15)</f>
        <v>1616.4988267501</v>
      </c>
      <c r="Q63" s="131" t="n">
        <f aca="false">Q58*IF(DilMethod=3,1,1-$P$15)</f>
        <v>1625.03275322644</v>
      </c>
      <c r="R63" s="131" t="n">
        <f aca="false">R58*IF(DilMethod=3,1,1-$P$15)</f>
        <v>1633.38115956199</v>
      </c>
      <c r="S63" s="131" t="n">
        <f aca="false">S58*IF(DilMethod=3,1,1-$P$15)</f>
        <v>1641.82232596793</v>
      </c>
      <c r="T63" s="131" t="n">
        <f aca="false">T58*IF(DilMethod=3,1,1-$P$15)</f>
        <v>1650.35625244427</v>
      </c>
      <c r="U63" s="131" t="n">
        <f aca="false">U58*IF(DilMethod=3,1,1-$P$15)</f>
        <v>1658.89017892061</v>
      </c>
      <c r="V63" s="131" t="n">
        <f aca="false">V58*IF(DilMethod=3,1,1-$P$15)</f>
        <v>1667.33134532655</v>
      </c>
      <c r="W63" s="131" t="n">
        <f aca="false">W58*IF(DilMethod=3,1,1-$P$15)</f>
        <v>1675.7725117325</v>
      </c>
      <c r="X63" s="131" t="n">
        <f aca="false">X58*IF(DilMethod=3,1,1-$P$15)</f>
        <v>1684.30643820884</v>
      </c>
      <c r="Y63" s="131" t="n">
        <f aca="false">Y58*IF(DilMethod=3,1,1-$P$15)</f>
        <v>1692.84036468518</v>
      </c>
      <c r="Z63" s="131" t="n">
        <f aca="false">Z58*IF(DilMethod=3,1,1-$P$15)</f>
        <v>1701.18877102073</v>
      </c>
      <c r="AA63" s="131" t="n">
        <f aca="false">AA58*IF(DilMethod=3,1,1-$P$15)</f>
        <v>1709.62993742667</v>
      </c>
      <c r="AB63" s="131" t="n">
        <f aca="false">AB58*IF(DilMethod=3,1,1-$P$15)</f>
        <v>1718.16386390301</v>
      </c>
      <c r="AC63" s="131" t="n">
        <f aca="false">AC58*IF(DilMethod=3,1,1-$P$15)</f>
        <v>1726.69779037935</v>
      </c>
      <c r="AD63" s="131" t="n">
        <f aca="false">AD58*IF(DilMethod=3,1,1-$P$15)</f>
        <v>1735.0461967149</v>
      </c>
      <c r="AE63" s="131" t="n">
        <f aca="false">AE58*IF(DilMethod=3,1,1-$P$15)</f>
        <v>1743.48736312084</v>
      </c>
      <c r="AF63" s="131" t="n">
        <f aca="false">AF58*IF(DilMethod=3,1,1-$P$15)</f>
        <v>1752.02128959718</v>
      </c>
      <c r="AG63" s="131" t="n">
        <f aca="false">AG58*IF(DilMethod=3,1,1-$P$15)</f>
        <v>1760.55521607352</v>
      </c>
      <c r="AI63" s="131" t="n">
        <f aca="false">INDEX($F63:$AG63,1,MATCH(AI$7,$F$7:$AG$7,1))</f>
        <v>0</v>
      </c>
      <c r="AJ63" s="131" t="n">
        <f aca="false">INDEX($F63:$AG63,1,MATCH(AJ$7,$F$7:$AG$7,1))</f>
        <v>1591.17532753226</v>
      </c>
      <c r="AK63" s="131" t="n">
        <f aca="false">INDEX($F63:$AG63,1,MATCH(AK$7,$F$7:$AG$7,1))</f>
        <v>1625.03275322644</v>
      </c>
      <c r="AL63" s="131" t="n">
        <f aca="false">INDEX($F63:$AG63,1,MATCH(AL$7,$F$7:$AG$7,1))</f>
        <v>1658.89017892061</v>
      </c>
      <c r="AM63" s="131" t="n">
        <f aca="false">INDEX($F63:$AG63,1,MATCH(AM$7,$F$7:$AG$7,1))</f>
        <v>1692.84036468518</v>
      </c>
      <c r="AN63" s="131" t="n">
        <f aca="false">INDEX($F63:$AG63,1,MATCH(AN$7,$F$7:$AG$7,1))</f>
        <v>1726.69779037935</v>
      </c>
      <c r="AO63" s="131" t="n">
        <f aca="false">INDEX($F63:$AG63,1,MATCH(AO$7,$F$7:$AG$7,1))</f>
        <v>1760.55521607352</v>
      </c>
    </row>
    <row r="64" customFormat="false" ht="15" hidden="false" customHeight="false" outlineLevel="0" collapsed="false">
      <c r="A64" s="112" t="s">
        <v>2541</v>
      </c>
      <c r="B64" s="24" t="s">
        <v>745</v>
      </c>
      <c r="C64" s="24" t="s">
        <v>736</v>
      </c>
      <c r="D64" s="24"/>
      <c r="F64" s="130" t="n">
        <f aca="false">IF(AND(F$5&gt;=$M$16,F$5&lt;$N$16),$E$16-$F$16-IF(F$5&gt;=$H$16,$G$16,0),0)*($H$16&lt;&gt;0)+IF(AND(F$5&gt;=$M$16,F$5&lt;$N$16),$E$16-$F$16,0)*($H$16=0)</f>
        <v>0</v>
      </c>
      <c r="G64" s="130" t="n">
        <f aca="false">IF(AND(G$5&gt;=$M$16,G$5&lt;$N$16),$E$16-$F$16-IF(G$5&gt;=$H$16,$G$16,0),0)*($H$16&lt;&gt;0)+IF(AND(G$5&gt;=$M$16,G$5&lt;$N$16),$E$16-$F$16,0)*($H$16=0)</f>
        <v>0</v>
      </c>
      <c r="H64" s="130" t="n">
        <f aca="false">IF(AND(H$5&gt;=$M$16,H$5&lt;$N$16),$E$16-$F$16-IF(H$5&gt;=$H$16,$G$16,0),0)*($H$16&lt;&gt;0)+IF(AND(H$5&gt;=$M$16,H$5&lt;$N$16),$E$16-$F$16,0)*($H$16=0)</f>
        <v>0</v>
      </c>
      <c r="I64" s="130" t="n">
        <f aca="false">IF(AND(I$5&gt;=$M$16,I$5&lt;$N$16),$E$16-$F$16-IF(I$5&gt;=$H$16,$G$16,0),0)*($H$16&lt;&gt;0)+IF(AND(I$5&gt;=$M$16,I$5&lt;$N$16),$E$16-$F$16,0)*($H$16=0)</f>
        <v>0</v>
      </c>
      <c r="J64" s="130" t="n">
        <f aca="false">IF(AND(J$5&gt;=$M$16,J$5&lt;$N$16),$E$16-$F$16-IF(J$5&gt;=$H$16,$G$16,0),0)*($H$16&lt;&gt;0)+IF(AND(J$5&gt;=$M$16,J$5&lt;$N$16),$E$16-$F$16,0)*($H$16=0)</f>
        <v>0</v>
      </c>
      <c r="K64" s="130" t="n">
        <f aca="false">IF(AND(K$5&gt;=$M$16,K$5&lt;$N$16),$E$16-$F$16-IF(K$5&gt;=$H$16,$G$16,0),0)*($H$16&lt;&gt;0)+IF(AND(K$5&gt;=$M$16,K$5&lt;$N$16),$E$16-$F$16,0)*($H$16=0)</f>
        <v>0</v>
      </c>
      <c r="L64" s="130" t="n">
        <f aca="false">IF(AND(L$5&gt;=$M$16,L$5&lt;$N$16),$E$16-$F$16-IF(L$5&gt;=$H$16,$G$16,0),0)*($H$16&lt;&gt;0)+IF(AND(L$5&gt;=$M$16,L$5&lt;$N$16),$E$16-$F$16,0)*($H$16=0)</f>
        <v>0</v>
      </c>
      <c r="M64" s="130" t="n">
        <f aca="false">IF(AND(M$5&gt;=$M$16,M$5&lt;$N$16),$E$16-$F$16-IF(M$5&gt;=$H$16,$G$16,0),0)*($H$16&lt;&gt;0)+IF(AND(M$5&gt;=$M$16,M$5&lt;$N$16),$E$16-$F$16,0)*($H$16=0)</f>
        <v>0</v>
      </c>
      <c r="N64" s="130" t="n">
        <f aca="false">IF(AND(N$5&gt;=$M$16,N$5&lt;$N$16),$E$16-$F$16-IF(N$5&gt;=$H$16,$G$16,0),0)*($H$16&lt;&gt;0)+IF(AND(N$5&gt;=$M$16,N$5&lt;$N$16),$E$16-$F$16,0)*($H$16=0)</f>
        <v>2587.5</v>
      </c>
      <c r="O64" s="130" t="n">
        <f aca="false">IF(AND(O$5&gt;=$M$16,O$5&lt;$N$16),$E$16-$F$16-IF(O$5&gt;=$H$16,$G$16,0),0)*($H$16&lt;&gt;0)+IF(AND(O$5&gt;=$M$16,O$5&lt;$N$16),$E$16-$F$16,0)*($H$16=0)</f>
        <v>2587.5</v>
      </c>
      <c r="P64" s="131" t="n">
        <f aca="false">IF(AND(P$5&gt;=$M$16,P$5&lt;$N$16),$E$16-$F$16-IF(P$5&gt;=$H$16,$G$16,0),0)*($H$16&lt;&gt;0)+IF(AND(P$5&gt;=$M$16,P$5&lt;$N$16),$E$16-$F$16,0)*($H$16=0)</f>
        <v>2587.5</v>
      </c>
      <c r="Q64" s="131" t="n">
        <f aca="false">IF(AND(Q$5&gt;=$M$16,Q$5&lt;$N$16),$E$16-$F$16-IF(Q$5&gt;=$H$16,$G$16,0),0)*($H$16&lt;&gt;0)+IF(AND(Q$5&gt;=$M$16,Q$5&lt;$N$16),$E$16-$F$16,0)*($H$16=0)</f>
        <v>2587.5</v>
      </c>
      <c r="R64" s="131" t="n">
        <f aca="false">IF(AND(R$5&gt;=$M$16,R$5&lt;$N$16),$E$16-$F$16-IF(R$5&gt;=$H$16,$G$16,0),0)*($H$16&lt;&gt;0)+IF(AND(R$5&gt;=$M$16,R$5&lt;$N$16),$E$16-$F$16,0)*($H$16=0)</f>
        <v>2587.5</v>
      </c>
      <c r="S64" s="131" t="n">
        <f aca="false">IF(AND(S$5&gt;=$M$16,S$5&lt;$N$16),$E$16-$F$16-IF(S$5&gt;=$H$16,$G$16,0),0)*($H$16&lt;&gt;0)+IF(AND(S$5&gt;=$M$16,S$5&lt;$N$16),$E$16-$F$16,0)*($H$16=0)</f>
        <v>2587.5</v>
      </c>
      <c r="T64" s="131" t="n">
        <f aca="false">IF(AND(T$5&gt;=$M$16,T$5&lt;$N$16),$E$16-$F$16-IF(T$5&gt;=$H$16,$G$16,0),0)*($H$16&lt;&gt;0)+IF(AND(T$5&gt;=$M$16,T$5&lt;$N$16),$E$16-$F$16,0)*($H$16=0)</f>
        <v>2587.5</v>
      </c>
      <c r="U64" s="131" t="n">
        <f aca="false">IF(AND(U$5&gt;=$M$16,U$5&lt;$N$16),$E$16-$F$16-IF(U$5&gt;=$H$16,$G$16,0),0)*($H$16&lt;&gt;0)+IF(AND(U$5&gt;=$M$16,U$5&lt;$N$16),$E$16-$F$16,0)*($H$16=0)</f>
        <v>2587.5</v>
      </c>
      <c r="V64" s="131" t="n">
        <f aca="false">IF(AND(V$5&gt;=$M$16,V$5&lt;$N$16),$E$16-$F$16-IF(V$5&gt;=$H$16,$G$16,0),0)*($H$16&lt;&gt;0)+IF(AND(V$5&gt;=$M$16,V$5&lt;$N$16),$E$16-$F$16,0)*($H$16=0)</f>
        <v>2587.5</v>
      </c>
      <c r="W64" s="131" t="n">
        <f aca="false">IF(AND(W$5&gt;=$M$16,W$5&lt;$N$16),$E$16-$F$16-IF(W$5&gt;=$H$16,$G$16,0),0)*($H$16&lt;&gt;0)+IF(AND(W$5&gt;=$M$16,W$5&lt;$N$16),$E$16-$F$16,0)*($H$16=0)</f>
        <v>2587.5</v>
      </c>
      <c r="X64" s="131" t="n">
        <f aca="false">IF(AND(X$5&gt;=$M$16,X$5&lt;$N$16),$E$16-$F$16-IF(X$5&gt;=$H$16,$G$16,0),0)*($H$16&lt;&gt;0)+IF(AND(X$5&gt;=$M$16,X$5&lt;$N$16),$E$16-$F$16,0)*($H$16=0)</f>
        <v>2587.5</v>
      </c>
      <c r="Y64" s="131" t="n">
        <f aca="false">IF(AND(Y$5&gt;=$M$16,Y$5&lt;$N$16),$E$16-$F$16-IF(Y$5&gt;=$H$16,$G$16,0),0)*($H$16&lt;&gt;0)+IF(AND(Y$5&gt;=$M$16,Y$5&lt;$N$16),$E$16-$F$16,0)*($H$16=0)</f>
        <v>2587.5</v>
      </c>
      <c r="Z64" s="131" t="n">
        <f aca="false">IF(AND(Z$5&gt;=$M$16,Z$5&lt;$N$16),$E$16-$F$16-IF(Z$5&gt;=$H$16,$G$16,0),0)*($H$16&lt;&gt;0)+IF(AND(Z$5&gt;=$M$16,Z$5&lt;$N$16),$E$16-$F$16,0)*($H$16=0)</f>
        <v>2587.5</v>
      </c>
      <c r="AA64" s="131" t="n">
        <f aca="false">IF(AND(AA$5&gt;=$M$16,AA$5&lt;$N$16),$E$16-$F$16-IF(AA$5&gt;=$H$16,$G$16,0),0)*($H$16&lt;&gt;0)+IF(AND(AA$5&gt;=$M$16,AA$5&lt;$N$16),$E$16-$F$16,0)*($H$16=0)</f>
        <v>2587.5</v>
      </c>
      <c r="AB64" s="131" t="n">
        <f aca="false">IF(AND(AB$5&gt;=$M$16,AB$5&lt;$N$16),$E$16-$F$16-IF(AB$5&gt;=$H$16,$G$16,0),0)*($H$16&lt;&gt;0)+IF(AND(AB$5&gt;=$M$16,AB$5&lt;$N$16),$E$16-$F$16,0)*($H$16=0)</f>
        <v>2587.5</v>
      </c>
      <c r="AC64" s="131" t="n">
        <f aca="false">IF(AND(AC$5&gt;=$M$16,AC$5&lt;$N$16),$E$16-$F$16-IF(AC$5&gt;=$H$16,$G$16,0),0)*($H$16&lt;&gt;0)+IF(AND(AC$5&gt;=$M$16,AC$5&lt;$N$16),$E$16-$F$16,0)*($H$16=0)</f>
        <v>2587.5</v>
      </c>
      <c r="AD64" s="131" t="n">
        <f aca="false">IF(AND(AD$5&gt;=$M$16,AD$5&lt;$N$16),$E$16-$F$16-IF(AD$5&gt;=$H$16,$G$16,0),0)*($H$16&lt;&gt;0)+IF(AND(AD$5&gt;=$M$16,AD$5&lt;$N$16),$E$16-$F$16,0)*($H$16=0)</f>
        <v>2587.5</v>
      </c>
      <c r="AE64" s="131" t="n">
        <f aca="false">IF(AND(AE$5&gt;=$M$16,AE$5&lt;$N$16),$E$16-$F$16-IF(AE$5&gt;=$H$16,$G$16,0),0)*($H$16&lt;&gt;0)+IF(AND(AE$5&gt;=$M$16,AE$5&lt;$N$16),$E$16-$F$16,0)*($H$16=0)</f>
        <v>2587.5</v>
      </c>
      <c r="AF64" s="131" t="n">
        <f aca="false">IF(AND(AF$5&gt;=$M$16,AF$5&lt;$N$16),$E$16-$F$16-IF(AF$5&gt;=$H$16,$G$16,0),0)*($H$16&lt;&gt;0)+IF(AND(AF$5&gt;=$M$16,AF$5&lt;$N$16),$E$16-$F$16,0)*($H$16=0)</f>
        <v>2587.5</v>
      </c>
      <c r="AG64" s="131" t="n">
        <f aca="false">IF(AND(AG$5&gt;=$M$16,AG$5&lt;$N$16),$E$16-$F$16-IF(AG$5&gt;=$H$16,$G$16,0),0)*($H$16&lt;&gt;0)+IF(AND(AG$5&gt;=$M$16,AG$5&lt;$N$16),$E$16-$F$16,0)*($H$16=0)</f>
        <v>2587.5</v>
      </c>
      <c r="AI64" s="131" t="n">
        <f aca="false">INDEX($F64:$AG64,1,MATCH(AI$7,$F$7:$AG$7,1))</f>
        <v>0</v>
      </c>
      <c r="AJ64" s="131" t="n">
        <f aca="false">INDEX($F64:$AG64,1,MATCH(AJ$7,$F$7:$AG$7,1))</f>
        <v>0</v>
      </c>
      <c r="AK64" s="131" t="n">
        <f aca="false">INDEX($F64:$AG64,1,MATCH(AK$7,$F$7:$AG$7,1))</f>
        <v>2587.5</v>
      </c>
      <c r="AL64" s="131" t="n">
        <f aca="false">INDEX($F64:$AG64,1,MATCH(AL$7,$F$7:$AG$7,1))</f>
        <v>2587.5</v>
      </c>
      <c r="AM64" s="131" t="n">
        <f aca="false">INDEX($F64:$AG64,1,MATCH(AM$7,$F$7:$AG$7,1))</f>
        <v>2587.5</v>
      </c>
      <c r="AN64" s="131" t="n">
        <f aca="false">INDEX($F64:$AG64,1,MATCH(AN$7,$F$7:$AG$7,1))</f>
        <v>2587.5</v>
      </c>
      <c r="AO64" s="131" t="n">
        <f aca="false">INDEX($F64:$AG64,1,MATCH(AO$7,$F$7:$AG$7,1))</f>
        <v>2587.5</v>
      </c>
    </row>
    <row r="65" customFormat="false" ht="15" hidden="false" customHeight="false" outlineLevel="0" collapsed="false">
      <c r="A65" s="112" t="s">
        <v>2542</v>
      </c>
      <c r="B65" s="24" t="s">
        <v>745</v>
      </c>
      <c r="C65" s="24" t="s">
        <v>736</v>
      </c>
      <c r="D65" s="24"/>
      <c r="F65" s="130" t="n">
        <f aca="false">F64*$C$16/4</f>
        <v>0</v>
      </c>
      <c r="G65" s="130" t="n">
        <f aca="false">G64*$C$16/4</f>
        <v>0</v>
      </c>
      <c r="H65" s="130" t="n">
        <f aca="false">H64*$C$16/4</f>
        <v>0</v>
      </c>
      <c r="I65" s="130" t="n">
        <f aca="false">I64*$C$16/4</f>
        <v>0</v>
      </c>
      <c r="J65" s="130" t="n">
        <f aca="false">J64*$C$16/4</f>
        <v>0</v>
      </c>
      <c r="K65" s="130" t="n">
        <f aca="false">K64*$C$16/4</f>
        <v>0</v>
      </c>
      <c r="L65" s="130" t="n">
        <f aca="false">L64*$C$16/4</f>
        <v>0</v>
      </c>
      <c r="M65" s="130" t="n">
        <f aca="false">M64*$C$16/4</f>
        <v>0</v>
      </c>
      <c r="N65" s="130" t="n">
        <f aca="false">N64*$C$16/4</f>
        <v>8.0859375</v>
      </c>
      <c r="O65" s="130" t="n">
        <f aca="false">O64*$C$16/4</f>
        <v>8.0859375</v>
      </c>
      <c r="P65" s="131" t="n">
        <f aca="false">P64*$C$16/4</f>
        <v>8.0859375</v>
      </c>
      <c r="Q65" s="131" t="n">
        <f aca="false">Q64*$C$16/4</f>
        <v>8.0859375</v>
      </c>
      <c r="R65" s="131" t="n">
        <f aca="false">R64*$C$16/4</f>
        <v>8.0859375</v>
      </c>
      <c r="S65" s="131" t="n">
        <f aca="false">S64*$C$16/4</f>
        <v>8.0859375</v>
      </c>
      <c r="T65" s="131" t="n">
        <f aca="false">T64*$C$16/4</f>
        <v>8.0859375</v>
      </c>
      <c r="U65" s="131" t="n">
        <f aca="false">U64*$C$16/4</f>
        <v>8.0859375</v>
      </c>
      <c r="V65" s="131" t="n">
        <f aca="false">V64*$C$16/4</f>
        <v>8.0859375</v>
      </c>
      <c r="W65" s="131" t="n">
        <f aca="false">W64*$C$16/4</f>
        <v>8.0859375</v>
      </c>
      <c r="X65" s="131" t="n">
        <f aca="false">X64*$C$16/4</f>
        <v>8.0859375</v>
      </c>
      <c r="Y65" s="131" t="n">
        <f aca="false">Y64*$C$16/4</f>
        <v>8.0859375</v>
      </c>
      <c r="Z65" s="131" t="n">
        <f aca="false">Z64*$C$16/4</f>
        <v>8.0859375</v>
      </c>
      <c r="AA65" s="131" t="n">
        <f aca="false">AA64*$C$16/4</f>
        <v>8.0859375</v>
      </c>
      <c r="AB65" s="131" t="n">
        <f aca="false">AB64*$C$16/4</f>
        <v>8.0859375</v>
      </c>
      <c r="AC65" s="131" t="n">
        <f aca="false">AC64*$C$16/4</f>
        <v>8.0859375</v>
      </c>
      <c r="AD65" s="131" t="n">
        <f aca="false">AD64*$C$16/4</f>
        <v>8.0859375</v>
      </c>
      <c r="AE65" s="131" t="n">
        <f aca="false">AE64*$C$16/4</f>
        <v>8.0859375</v>
      </c>
      <c r="AF65" s="131" t="n">
        <f aca="false">AF64*$C$16/4</f>
        <v>8.0859375</v>
      </c>
      <c r="AG65" s="131" t="n">
        <f aca="false">AG64*$C$16/4</f>
        <v>8.0859375</v>
      </c>
      <c r="AI65" s="131" t="n">
        <f aca="false">SUMIF($F$7:$AG$7,AI$7,$F65:$AG65)</f>
        <v>0</v>
      </c>
      <c r="AJ65" s="131" t="n">
        <f aca="false">SUMIF($F$7:$AG$7,AJ$7,$F65:$AG65)</f>
        <v>0</v>
      </c>
      <c r="AK65" s="131" t="n">
        <f aca="false">SUMIF($F$7:$AG$7,AK$7,$F65:$AG65)</f>
        <v>32.34375</v>
      </c>
      <c r="AL65" s="131" t="n">
        <f aca="false">SUMIF($F$7:$AG$7,AL$7,$F65:$AG65)</f>
        <v>32.34375</v>
      </c>
      <c r="AM65" s="131" t="n">
        <f aca="false">SUMIF($F$7:$AG$7,AM$7,$F65:$AG65)</f>
        <v>32.34375</v>
      </c>
      <c r="AN65" s="131" t="n">
        <f aca="false">SUMIF($F$7:$AG$7,AN$7,$F65:$AG65)</f>
        <v>32.34375</v>
      </c>
      <c r="AO65" s="131" t="n">
        <f aca="false">SUMIF($F$7:$AG$7,AO$7,$F65:$AG65)</f>
        <v>32.34375</v>
      </c>
    </row>
    <row r="66" customFormat="false" ht="15" hidden="false" customHeight="false" outlineLevel="0" collapsed="false">
      <c r="A66" s="112" t="s">
        <v>2543</v>
      </c>
      <c r="B66" s="24" t="s">
        <v>745</v>
      </c>
      <c r="C66" s="24" t="s">
        <v>736</v>
      </c>
      <c r="D66" s="24"/>
      <c r="F66" s="130" t="n">
        <f aca="false">F64*($J$16-1)/(($D$16-$B$16)/91.3125)</f>
        <v>0</v>
      </c>
      <c r="G66" s="130" t="n">
        <f aca="false">G64*($J$16-1)/(($D$16-$B$16)/91.3125)</f>
        <v>0</v>
      </c>
      <c r="H66" s="130" t="n">
        <f aca="false">H64*($J$16-1)/(($D$16-$B$16)/91.3125)</f>
        <v>0</v>
      </c>
      <c r="I66" s="130" t="n">
        <f aca="false">I64*($J$16-1)/(($D$16-$B$16)/91.3125)</f>
        <v>0</v>
      </c>
      <c r="J66" s="130" t="n">
        <f aca="false">J64*($J$16-1)/(($D$16-$B$16)/91.3125)</f>
        <v>0</v>
      </c>
      <c r="K66" s="130" t="n">
        <f aca="false">K64*($J$16-1)/(($D$16-$B$16)/91.3125)</f>
        <v>0</v>
      </c>
      <c r="L66" s="130" t="n">
        <f aca="false">L64*($J$16-1)/(($D$16-$B$16)/91.3125)</f>
        <v>0</v>
      </c>
      <c r="M66" s="130" t="n">
        <f aca="false">M64*($J$16-1)/(($D$16-$B$16)/91.3125)</f>
        <v>0</v>
      </c>
      <c r="N66" s="130" t="n">
        <f aca="false">N64*($J$16-1)/(($D$16-$B$16)/91.3125)</f>
        <v>25.9495984349259</v>
      </c>
      <c r="O66" s="130" t="n">
        <f aca="false">O64*($J$16-1)/(($D$16-$B$16)/91.3125)</f>
        <v>25.9495984349259</v>
      </c>
      <c r="P66" s="131" t="n">
        <f aca="false">P64*($J$16-1)/(($D$16-$B$16)/91.3125)</f>
        <v>25.9495984349259</v>
      </c>
      <c r="Q66" s="131" t="n">
        <f aca="false">Q64*($J$16-1)/(($D$16-$B$16)/91.3125)</f>
        <v>25.9495984349259</v>
      </c>
      <c r="R66" s="131" t="n">
        <f aca="false">R64*($J$16-1)/(($D$16-$B$16)/91.3125)</f>
        <v>25.9495984349259</v>
      </c>
      <c r="S66" s="131" t="n">
        <f aca="false">S64*($J$16-1)/(($D$16-$B$16)/91.3125)</f>
        <v>25.9495984349259</v>
      </c>
      <c r="T66" s="131" t="n">
        <f aca="false">T64*($J$16-1)/(($D$16-$B$16)/91.3125)</f>
        <v>25.9495984349259</v>
      </c>
      <c r="U66" s="131" t="n">
        <f aca="false">U64*($J$16-1)/(($D$16-$B$16)/91.3125)</f>
        <v>25.9495984349259</v>
      </c>
      <c r="V66" s="131" t="n">
        <f aca="false">V64*($J$16-1)/(($D$16-$B$16)/91.3125)</f>
        <v>25.9495984349259</v>
      </c>
      <c r="W66" s="131" t="n">
        <f aca="false">W64*($J$16-1)/(($D$16-$B$16)/91.3125)</f>
        <v>25.9495984349259</v>
      </c>
      <c r="X66" s="131" t="n">
        <f aca="false">X64*($J$16-1)/(($D$16-$B$16)/91.3125)</f>
        <v>25.9495984349259</v>
      </c>
      <c r="Y66" s="131" t="n">
        <f aca="false">Y64*($J$16-1)/(($D$16-$B$16)/91.3125)</f>
        <v>25.9495984349259</v>
      </c>
      <c r="Z66" s="131" t="n">
        <f aca="false">Z64*($J$16-1)/(($D$16-$B$16)/91.3125)</f>
        <v>25.9495984349259</v>
      </c>
      <c r="AA66" s="131" t="n">
        <f aca="false">AA64*($J$16-1)/(($D$16-$B$16)/91.3125)</f>
        <v>25.9495984349259</v>
      </c>
      <c r="AB66" s="131" t="n">
        <f aca="false">AB64*($J$16-1)/(($D$16-$B$16)/91.3125)</f>
        <v>25.9495984349259</v>
      </c>
      <c r="AC66" s="131" t="n">
        <f aca="false">AC64*($J$16-1)/(($D$16-$B$16)/91.3125)</f>
        <v>25.9495984349259</v>
      </c>
      <c r="AD66" s="131" t="n">
        <f aca="false">AD64*($J$16-1)/(($D$16-$B$16)/91.3125)</f>
        <v>25.9495984349259</v>
      </c>
      <c r="AE66" s="131" t="n">
        <f aca="false">AE64*($J$16-1)/(($D$16-$B$16)/91.3125)</f>
        <v>25.9495984349259</v>
      </c>
      <c r="AF66" s="131" t="n">
        <f aca="false">AF64*($J$16-1)/(($D$16-$B$16)/91.3125)</f>
        <v>25.9495984349259</v>
      </c>
      <c r="AG66" s="131" t="n">
        <f aca="false">AG64*($J$16-1)/(($D$16-$B$16)/91.3125)</f>
        <v>25.9495984349259</v>
      </c>
      <c r="AI66" s="131" t="n">
        <f aca="false">SUMIF($F$7:$AG$7,AI$7,$F66:$AG66)</f>
        <v>0</v>
      </c>
      <c r="AJ66" s="131" t="n">
        <f aca="false">SUMIF($F$7:$AG$7,AJ$7,$F66:$AG66)</f>
        <v>0</v>
      </c>
      <c r="AK66" s="131" t="n">
        <f aca="false">SUMIF($F$7:$AG$7,AK$7,$F66:$AG66)</f>
        <v>103.798393739703</v>
      </c>
      <c r="AL66" s="131" t="n">
        <f aca="false">SUMIF($F$7:$AG$7,AL$7,$F66:$AG66)</f>
        <v>103.798393739703</v>
      </c>
      <c r="AM66" s="131" t="n">
        <f aca="false">SUMIF($F$7:$AG$7,AM$7,$F66:$AG66)</f>
        <v>103.798393739703</v>
      </c>
      <c r="AN66" s="131" t="n">
        <f aca="false">SUMIF($F$7:$AG$7,AN$7,$F66:$AG66)</f>
        <v>103.798393739703</v>
      </c>
      <c r="AO66" s="131" t="n">
        <f aca="false">SUMIF($F$7:$AG$7,AO$7,$F66:$AG66)</f>
        <v>103.798393739703</v>
      </c>
    </row>
    <row r="67" customFormat="false" ht="15" hidden="false" customHeight="false" outlineLevel="0" collapsed="false">
      <c r="A67" s="112" t="s">
        <v>2544</v>
      </c>
      <c r="B67" s="24" t="s">
        <v>745</v>
      </c>
      <c r="C67" s="24" t="s">
        <v>736</v>
      </c>
      <c r="D67" s="24"/>
      <c r="F67" s="130" t="n">
        <f aca="false">F64*(1+($J$16-1)*MIN(1,MAX(0,(F$4-$B$16)/($D$16-$B$16))))</f>
        <v>0</v>
      </c>
      <c r="G67" s="130" t="n">
        <f aca="false">G64*(1+($J$16-1)*MIN(1,MAX(0,(G$4-$B$16)/($D$16-$B$16))))</f>
        <v>0</v>
      </c>
      <c r="H67" s="130" t="n">
        <f aca="false">H64*(1+($J$16-1)*MIN(1,MAX(0,(H$4-$B$16)/($D$16-$B$16))))</f>
        <v>0</v>
      </c>
      <c r="I67" s="130" t="n">
        <f aca="false">I64*(1+($J$16-1)*MIN(1,MAX(0,(I$4-$B$16)/($D$16-$B$16))))</f>
        <v>0</v>
      </c>
      <c r="J67" s="130" t="n">
        <f aca="false">J64*(1+($J$16-1)*MIN(1,MAX(0,(J$4-$B$16)/($D$16-$B$16))))</f>
        <v>0</v>
      </c>
      <c r="K67" s="130" t="n">
        <f aca="false">K64*(1+($J$16-1)*MIN(1,MAX(0,(K$4-$B$16)/($D$16-$B$16))))</f>
        <v>0</v>
      </c>
      <c r="L67" s="130" t="n">
        <f aca="false">L64*(1+($J$16-1)*MIN(1,MAX(0,(L$4-$B$16)/($D$16-$B$16))))</f>
        <v>0</v>
      </c>
      <c r="M67" s="130" t="n">
        <f aca="false">M64*(1+($J$16-1)*MIN(1,MAX(0,(M$4-$B$16)/($D$16-$B$16))))</f>
        <v>0</v>
      </c>
      <c r="N67" s="130" t="n">
        <f aca="false">N64*(1+($J$16-1)*MIN(1,MAX(0,(N$4-$B$16)/($D$16-$B$16))))</f>
        <v>2590.62602965404</v>
      </c>
      <c r="O67" s="130" t="n">
        <f aca="false">O64*(1+($J$16-1)*MIN(1,MAX(0,(O$4-$B$16)/($D$16-$B$16))))</f>
        <v>2616.48682042834</v>
      </c>
      <c r="P67" s="131" t="n">
        <f aca="false">P64*(1+($J$16-1)*MIN(1,MAX(0,(P$4-$B$16)/($D$16-$B$16))))</f>
        <v>2642.63179571664</v>
      </c>
      <c r="Q67" s="131" t="n">
        <f aca="false">Q64*(1+($J$16-1)*MIN(1,MAX(0,(Q$4-$B$16)/($D$16-$B$16))))</f>
        <v>2668.77677100494</v>
      </c>
      <c r="R67" s="131" t="n">
        <f aca="false">R64*(1+($J$16-1)*MIN(1,MAX(0,(R$4-$B$16)/($D$16-$B$16))))</f>
        <v>2694.35337726524</v>
      </c>
      <c r="S67" s="131" t="n">
        <f aca="false">S64*(1+($J$16-1)*MIN(1,MAX(0,(S$4-$B$16)/($D$16-$B$16))))</f>
        <v>2720.21416803954</v>
      </c>
      <c r="T67" s="131" t="n">
        <f aca="false">T64*(1+($J$16-1)*MIN(1,MAX(0,(T$4-$B$16)/($D$16-$B$16))))</f>
        <v>2746.35914332784</v>
      </c>
      <c r="U67" s="131" t="n">
        <f aca="false">U64*(1+($J$16-1)*MIN(1,MAX(0,(U$4-$B$16)/($D$16-$B$16))))</f>
        <v>2772.50411861614</v>
      </c>
      <c r="V67" s="131" t="n">
        <f aca="false">V64*(1+($J$16-1)*MIN(1,MAX(0,(V$4-$B$16)/($D$16-$B$16))))</f>
        <v>2798.36490939044</v>
      </c>
      <c r="W67" s="131" t="n">
        <f aca="false">W64*(1+($J$16-1)*MIN(1,MAX(0,(W$4-$B$16)/($D$16-$B$16))))</f>
        <v>2824.22570016474</v>
      </c>
      <c r="X67" s="131" t="n">
        <f aca="false">X64*(1+($J$16-1)*MIN(1,MAX(0,(X$4-$B$16)/($D$16-$B$16))))</f>
        <v>2850.37067545305</v>
      </c>
      <c r="Y67" s="131" t="n">
        <f aca="false">Y64*(1+($J$16-1)*MIN(1,MAX(0,(Y$4-$B$16)/($D$16-$B$16))))</f>
        <v>2876.51565074135</v>
      </c>
      <c r="Z67" s="131" t="n">
        <f aca="false">Z64*(1+($J$16-1)*MIN(1,MAX(0,(Z$4-$B$16)/($D$16-$B$16))))</f>
        <v>2902.09225700165</v>
      </c>
      <c r="AA67" s="131" t="n">
        <f aca="false">AA64*(1+($J$16-1)*MIN(1,MAX(0,(AA$4-$B$16)/($D$16-$B$16))))</f>
        <v>2927.95304777595</v>
      </c>
      <c r="AB67" s="131" t="n">
        <f aca="false">AB64*(1+($J$16-1)*MIN(1,MAX(0,(AB$4-$B$16)/($D$16-$B$16))))</f>
        <v>2954.09802306425</v>
      </c>
      <c r="AC67" s="131" t="n">
        <f aca="false">AC64*(1+($J$16-1)*MIN(1,MAX(0,(AC$4-$B$16)/($D$16-$B$16))))</f>
        <v>2980.24299835255</v>
      </c>
      <c r="AD67" s="131" t="n">
        <f aca="false">AD64*(1+($J$16-1)*MIN(1,MAX(0,(AD$4-$B$16)/($D$16-$B$16))))</f>
        <v>3005.81960461285</v>
      </c>
      <c r="AE67" s="131" t="n">
        <f aca="false">AE64*(1+($J$16-1)*MIN(1,MAX(0,(AE$4-$B$16)/($D$16-$B$16))))</f>
        <v>3031.68039538715</v>
      </c>
      <c r="AF67" s="131" t="n">
        <f aca="false">AF64*(1+($J$16-1)*MIN(1,MAX(0,(AF$4-$B$16)/($D$16-$B$16))))</f>
        <v>3057.82537067545</v>
      </c>
      <c r="AG67" s="131" t="n">
        <f aca="false">AG64*(1+($J$16-1)*MIN(1,MAX(0,(AG$4-$B$16)/($D$16-$B$16))))</f>
        <v>3083.97034596376</v>
      </c>
      <c r="AI67" s="131" t="n">
        <f aca="false">INDEX($F67:$AG67,1,MATCH(AI$7,$F$7:$AG$7,1))</f>
        <v>0</v>
      </c>
      <c r="AJ67" s="131" t="n">
        <f aca="false">INDEX($F67:$AG67,1,MATCH(AJ$7,$F$7:$AG$7,1))</f>
        <v>0</v>
      </c>
      <c r="AK67" s="131" t="n">
        <f aca="false">INDEX($F67:$AG67,1,MATCH(AK$7,$F$7:$AG$7,1))</f>
        <v>2668.77677100494</v>
      </c>
      <c r="AL67" s="131" t="n">
        <f aca="false">INDEX($F67:$AG67,1,MATCH(AL$7,$F$7:$AG$7,1))</f>
        <v>2772.50411861614</v>
      </c>
      <c r="AM67" s="131" t="n">
        <f aca="false">INDEX($F67:$AG67,1,MATCH(AM$7,$F$7:$AG$7,1))</f>
        <v>2876.51565074135</v>
      </c>
      <c r="AN67" s="131" t="n">
        <f aca="false">INDEX($F67:$AG67,1,MATCH(AN$7,$F$7:$AG$7,1))</f>
        <v>2980.24299835255</v>
      </c>
      <c r="AO67" s="131" t="n">
        <f aca="false">INDEX($F67:$AG67,1,MATCH(AO$7,$F$7:$AG$7,1))</f>
        <v>3083.97034596376</v>
      </c>
    </row>
    <row r="68" customFormat="false" ht="15" hidden="false" customHeight="false" outlineLevel="0" collapsed="false">
      <c r="A68" s="112" t="s">
        <v>2545</v>
      </c>
      <c r="B68" s="24" t="s">
        <v>745</v>
      </c>
      <c r="C68" s="24" t="s">
        <v>736</v>
      </c>
      <c r="D68" s="24"/>
      <c r="F68" s="130" t="n">
        <f aca="false">F64*($S$16+($J$16-$S$16)*MIN(1,MAX(0,(F$4-$T$16)/($D$16-$T$16))))</f>
        <v>0</v>
      </c>
      <c r="G68" s="130" t="n">
        <f aca="false">G64*($S$16+($J$16-$S$16)*MIN(1,MAX(0,(G$4-$T$16)/($D$16-$T$16))))</f>
        <v>0</v>
      </c>
      <c r="H68" s="130" t="n">
        <f aca="false">H64*($S$16+($J$16-$S$16)*MIN(1,MAX(0,(H$4-$T$16)/($D$16-$T$16))))</f>
        <v>0</v>
      </c>
      <c r="I68" s="130" t="n">
        <f aca="false">I64*($S$16+($J$16-$S$16)*MIN(1,MAX(0,(I$4-$T$16)/($D$16-$T$16))))</f>
        <v>0</v>
      </c>
      <c r="J68" s="130" t="n">
        <f aca="false">J64*($S$16+($J$16-$S$16)*MIN(1,MAX(0,(J$4-$T$16)/($D$16-$T$16))))</f>
        <v>0</v>
      </c>
      <c r="K68" s="130" t="n">
        <f aca="false">K64*($S$16+($J$16-$S$16)*MIN(1,MAX(0,(K$4-$T$16)/($D$16-$T$16))))</f>
        <v>0</v>
      </c>
      <c r="L68" s="130" t="n">
        <f aca="false">L64*($S$16+($J$16-$S$16)*MIN(1,MAX(0,(L$4-$T$16)/($D$16-$T$16))))</f>
        <v>0</v>
      </c>
      <c r="M68" s="130" t="n">
        <f aca="false">M64*($S$16+($J$16-$S$16)*MIN(1,MAX(0,(M$4-$T$16)/($D$16-$T$16))))</f>
        <v>0</v>
      </c>
      <c r="N68" s="130" t="n">
        <f aca="false">N64*($S$16+($J$16-$S$16)*MIN(1,MAX(0,(N$4-$T$16)/($D$16-$T$16))))</f>
        <v>2588.5996875</v>
      </c>
      <c r="O68" s="130" t="n">
        <f aca="false">O64*($S$16+($J$16-$S$16)*MIN(1,MAX(0,(O$4-$T$16)/($D$16-$T$16))))</f>
        <v>2588.5996875</v>
      </c>
      <c r="P68" s="131" t="n">
        <f aca="false">P64*($S$16+($J$16-$S$16)*MIN(1,MAX(0,(P$4-$T$16)/($D$16-$T$16))))</f>
        <v>2616.23716786649</v>
      </c>
      <c r="Q68" s="131" t="n">
        <f aca="false">Q64*($S$16+($J$16-$S$16)*MIN(1,MAX(0,(Q$4-$T$16)/($D$16-$T$16))))</f>
        <v>2643.87464823298</v>
      </c>
      <c r="R68" s="131" t="n">
        <f aca="false">R64*($S$16+($J$16-$S$16)*MIN(1,MAX(0,(R$4-$T$16)/($D$16-$T$16))))</f>
        <v>2670.9113138089</v>
      </c>
      <c r="S68" s="131" t="n">
        <f aca="false">S64*($S$16+($J$16-$S$16)*MIN(1,MAX(0,(S$4-$T$16)/($D$16-$T$16))))</f>
        <v>2698.2483867801</v>
      </c>
      <c r="T68" s="131" t="n">
        <f aca="false">T64*($S$16+($J$16-$S$16)*MIN(1,MAX(0,(T$4-$T$16)/($D$16-$T$16))))</f>
        <v>2725.8858671466</v>
      </c>
      <c r="U68" s="131" t="n">
        <f aca="false">U64*($S$16+($J$16-$S$16)*MIN(1,MAX(0,(U$4-$T$16)/($D$16-$T$16))))</f>
        <v>2753.52334751309</v>
      </c>
      <c r="V68" s="131" t="n">
        <f aca="false">V64*($S$16+($J$16-$S$16)*MIN(1,MAX(0,(V$4-$T$16)/($D$16-$T$16))))</f>
        <v>2780.86042048429</v>
      </c>
      <c r="W68" s="131" t="n">
        <f aca="false">W64*($S$16+($J$16-$S$16)*MIN(1,MAX(0,(W$4-$T$16)/($D$16-$T$16))))</f>
        <v>2808.1974934555</v>
      </c>
      <c r="X68" s="131" t="n">
        <f aca="false">X64*($S$16+($J$16-$S$16)*MIN(1,MAX(0,(X$4-$T$16)/($D$16-$T$16))))</f>
        <v>2835.83497382199</v>
      </c>
      <c r="Y68" s="131" t="n">
        <f aca="false">Y64*($S$16+($J$16-$S$16)*MIN(1,MAX(0,(Y$4-$T$16)/($D$16-$T$16))))</f>
        <v>2863.47245418848</v>
      </c>
      <c r="Z68" s="131" t="n">
        <f aca="false">Z64*($S$16+($J$16-$S$16)*MIN(1,MAX(0,(Z$4-$T$16)/($D$16-$T$16))))</f>
        <v>2890.5091197644</v>
      </c>
      <c r="AA68" s="131" t="n">
        <f aca="false">AA64*($S$16+($J$16-$S$16)*MIN(1,MAX(0,(AA$4-$T$16)/($D$16-$T$16))))</f>
        <v>2917.8461927356</v>
      </c>
      <c r="AB68" s="131" t="n">
        <f aca="false">AB64*($S$16+($J$16-$S$16)*MIN(1,MAX(0,(AB$4-$T$16)/($D$16-$T$16))))</f>
        <v>2945.48367310209</v>
      </c>
      <c r="AC68" s="131" t="n">
        <f aca="false">AC64*($S$16+($J$16-$S$16)*MIN(1,MAX(0,(AC$4-$T$16)/($D$16-$T$16))))</f>
        <v>2973.12115346859</v>
      </c>
      <c r="AD68" s="131" t="n">
        <f aca="false">AD64*($S$16+($J$16-$S$16)*MIN(1,MAX(0,(AD$4-$T$16)/($D$16-$T$16))))</f>
        <v>3000.1578190445</v>
      </c>
      <c r="AE68" s="131" t="n">
        <f aca="false">AE64*($S$16+($J$16-$S$16)*MIN(1,MAX(0,(AE$4-$T$16)/($D$16-$T$16))))</f>
        <v>3027.49489201571</v>
      </c>
      <c r="AF68" s="131" t="n">
        <f aca="false">AF64*($S$16+($J$16-$S$16)*MIN(1,MAX(0,(AF$4-$T$16)/($D$16-$T$16))))</f>
        <v>3055.1323723822</v>
      </c>
      <c r="AG68" s="131" t="n">
        <f aca="false">AG64*($S$16+($J$16-$S$16)*MIN(1,MAX(0,(AG$4-$T$16)/($D$16-$T$16))))</f>
        <v>3082.76985274869</v>
      </c>
      <c r="AI68" s="131" t="n">
        <f aca="false">INDEX($F68:$AG68,1,MATCH(AI$7,$F$7:$AG$7,1))</f>
        <v>0</v>
      </c>
      <c r="AJ68" s="131" t="n">
        <f aca="false">INDEX($F68:$AG68,1,MATCH(AJ$7,$F$7:$AG$7,1))</f>
        <v>0</v>
      </c>
      <c r="AK68" s="131" t="n">
        <f aca="false">INDEX($F68:$AG68,1,MATCH(AK$7,$F$7:$AG$7,1))</f>
        <v>2643.87464823298</v>
      </c>
      <c r="AL68" s="131" t="n">
        <f aca="false">INDEX($F68:$AG68,1,MATCH(AL$7,$F$7:$AG$7,1))</f>
        <v>2753.52334751309</v>
      </c>
      <c r="AM68" s="131" t="n">
        <f aca="false">INDEX($F68:$AG68,1,MATCH(AM$7,$F$7:$AG$7,1))</f>
        <v>2863.47245418848</v>
      </c>
      <c r="AN68" s="131" t="n">
        <f aca="false">INDEX($F68:$AG68,1,MATCH(AN$7,$F$7:$AG$7,1))</f>
        <v>2973.12115346859</v>
      </c>
      <c r="AO68" s="131" t="n">
        <f aca="false">INDEX($F68:$AG68,1,MATCH(AO$7,$F$7:$AG$7,1))</f>
        <v>3082.76985274869</v>
      </c>
    </row>
    <row r="69" customFormat="false" ht="15" hidden="false" customHeight="false" outlineLevel="0" collapsed="false">
      <c r="A69" s="112" t="s">
        <v>2546</v>
      </c>
      <c r="B69" s="24" t="s">
        <v>745</v>
      </c>
      <c r="C69" s="24" t="s">
        <v>736</v>
      </c>
      <c r="D69" s="24"/>
      <c r="F69" s="130" t="n">
        <f aca="false">IF(F$5=$N$16,E64*$J$16*(1-$O$16),0)</f>
        <v>0</v>
      </c>
      <c r="G69" s="130" t="n">
        <f aca="false">IF(G$5=$N$16,F64*$J$16*(1-$O$16),0)</f>
        <v>0</v>
      </c>
      <c r="H69" s="130" t="n">
        <f aca="false">IF(H$5=$N$16,G64*$J$16*(1-$O$16),0)</f>
        <v>0</v>
      </c>
      <c r="I69" s="130" t="n">
        <f aca="false">IF(I$5=$N$16,H64*$J$16*(1-$O$16),0)</f>
        <v>0</v>
      </c>
      <c r="J69" s="130" t="n">
        <f aca="false">IF(J$5=$N$16,I64*$J$16*(1-$O$16),0)</f>
        <v>0</v>
      </c>
      <c r="K69" s="130" t="n">
        <f aca="false">IF(K$5=$N$16,J64*$J$16*(1-$O$16),0)</f>
        <v>0</v>
      </c>
      <c r="L69" s="130" t="n">
        <f aca="false">IF(L$5=$N$16,K64*$J$16*(1-$O$16),0)</f>
        <v>0</v>
      </c>
      <c r="M69" s="130" t="n">
        <f aca="false">IF(M$5=$N$16,L64*$J$16*(1-$O$16),0)</f>
        <v>0</v>
      </c>
      <c r="N69" s="130" t="n">
        <f aca="false">IF(N$5=$N$16,M64*$J$16*(1-$O$16),0)</f>
        <v>0</v>
      </c>
      <c r="O69" s="130" t="n">
        <f aca="false">IF(O$5=$N$16,N64*$J$16*(1-$O$16),0)</f>
        <v>0</v>
      </c>
      <c r="P69" s="131" t="n">
        <f aca="false">IF(P$5=$N$16,O64*$J$16*(1-$O$16),0)</f>
        <v>0</v>
      </c>
      <c r="Q69" s="131" t="n">
        <f aca="false">IF(Q$5=$N$16,P64*$J$16*(1-$O$16),0)</f>
        <v>0</v>
      </c>
      <c r="R69" s="131" t="n">
        <f aca="false">IF(R$5=$N$16,Q64*$J$16*(1-$O$16),0)</f>
        <v>0</v>
      </c>
      <c r="S69" s="131" t="n">
        <f aca="false">IF(S$5=$N$16,R64*$J$16*(1-$O$16),0)</f>
        <v>0</v>
      </c>
      <c r="T69" s="131" t="n">
        <f aca="false">IF(T$5=$N$16,S64*$J$16*(1-$O$16),0)</f>
        <v>0</v>
      </c>
      <c r="U69" s="131" t="n">
        <f aca="false">IF(U$5=$N$16,T64*$J$16*(1-$O$16),0)</f>
        <v>0</v>
      </c>
      <c r="V69" s="131" t="n">
        <f aca="false">IF(V$5=$N$16,U64*$J$16*(1-$O$16),0)</f>
        <v>0</v>
      </c>
      <c r="W69" s="131" t="n">
        <f aca="false">IF(W$5=$N$16,V64*$J$16*(1-$O$16),0)</f>
        <v>0</v>
      </c>
      <c r="X69" s="131" t="n">
        <f aca="false">IF(X$5=$N$16,W64*$J$16*(1-$O$16),0)</f>
        <v>0</v>
      </c>
      <c r="Y69" s="131" t="n">
        <f aca="false">IF(Y$5=$N$16,X64*$J$16*(1-$O$16),0)</f>
        <v>0</v>
      </c>
      <c r="Z69" s="131" t="n">
        <f aca="false">IF(Z$5=$N$16,Y64*$J$16*(1-$O$16),0)</f>
        <v>0</v>
      </c>
      <c r="AA69" s="131" t="n">
        <f aca="false">IF(AA$5=$N$16,Z64*$J$16*(1-$O$16),0)</f>
        <v>0</v>
      </c>
      <c r="AB69" s="131" t="n">
        <f aca="false">IF(AB$5=$N$16,AA64*$J$16*(1-$O$16),0)</f>
        <v>0</v>
      </c>
      <c r="AC69" s="131" t="n">
        <f aca="false">IF(AC$5=$N$16,AB64*$J$16*(1-$O$16),0)</f>
        <v>0</v>
      </c>
      <c r="AD69" s="131" t="n">
        <f aca="false">IF(AD$5=$N$16,AC64*$J$16*(1-$O$16),0)</f>
        <v>0</v>
      </c>
      <c r="AE69" s="131" t="n">
        <f aca="false">IF(AE$5=$N$16,AD64*$J$16*(1-$O$16),0)</f>
        <v>0</v>
      </c>
      <c r="AF69" s="131" t="n">
        <f aca="false">IF(AF$5=$N$16,AE64*$J$16*(1-$O$16),0)</f>
        <v>0</v>
      </c>
      <c r="AG69" s="131" t="n">
        <f aca="false">IF(AG$5=$N$16,AF64*$J$16*(1-$O$16),0)</f>
        <v>0</v>
      </c>
      <c r="AI69" s="131" t="n">
        <f aca="false">SUMIF($F$7:$AG$7,AI$7,$F69:$AG69)</f>
        <v>0</v>
      </c>
      <c r="AJ69" s="131" t="n">
        <f aca="false">SUMIF($F$7:$AG$7,AJ$7,$F69:$AG69)</f>
        <v>0</v>
      </c>
      <c r="AK69" s="131" t="n">
        <f aca="false">SUMIF($F$7:$AG$7,AK$7,$F69:$AG69)</f>
        <v>0</v>
      </c>
      <c r="AL69" s="131" t="n">
        <f aca="false">SUMIF($F$7:$AG$7,AL$7,$F69:$AG69)</f>
        <v>0</v>
      </c>
      <c r="AM69" s="131" t="n">
        <f aca="false">SUMIF($F$7:$AG$7,AM$7,$F69:$AG69)</f>
        <v>0</v>
      </c>
      <c r="AN69" s="131" t="n">
        <f aca="false">SUMIF($F$7:$AG$7,AN$7,$F69:$AG69)</f>
        <v>0</v>
      </c>
      <c r="AO69" s="131" t="n">
        <f aca="false">SUMIF($F$7:$AG$7,AO$7,$F69:$AG69)</f>
        <v>0</v>
      </c>
    </row>
    <row r="70" customFormat="false" ht="15" hidden="false" customHeight="false" outlineLevel="0" collapsed="false">
      <c r="A70" s="112" t="s">
        <v>2547</v>
      </c>
      <c r="B70" s="24" t="s">
        <v>809</v>
      </c>
      <c r="C70" s="24" t="s">
        <v>736</v>
      </c>
      <c r="D70" s="24"/>
      <c r="F70" s="146" t="n">
        <f aca="false">IF(F$5=$N$16,E64*$K$16/1000*$O$16,0)</f>
        <v>0</v>
      </c>
      <c r="G70" s="146" t="n">
        <f aca="false">IF(G$5=$N$16,F64*$K$16/1000*$O$16,0)</f>
        <v>0</v>
      </c>
      <c r="H70" s="146" t="n">
        <f aca="false">IF(H$5=$N$16,G64*$K$16/1000*$O$16,0)</f>
        <v>0</v>
      </c>
      <c r="I70" s="146" t="n">
        <f aca="false">IF(I$5=$N$16,H64*$K$16/1000*$O$16,0)</f>
        <v>0</v>
      </c>
      <c r="J70" s="146" t="n">
        <f aca="false">IF(J$5=$N$16,I64*$K$16/1000*$O$16,0)</f>
        <v>0</v>
      </c>
      <c r="K70" s="146" t="n">
        <f aca="false">IF(K$5=$N$16,J64*$K$16/1000*$O$16,0)</f>
        <v>0</v>
      </c>
      <c r="L70" s="146" t="n">
        <f aca="false">IF(L$5=$N$16,K64*$K$16/1000*$O$16,0)</f>
        <v>0</v>
      </c>
      <c r="M70" s="146" t="n">
        <f aca="false">IF(M$5=$N$16,L64*$K$16/1000*$O$16,0)</f>
        <v>0</v>
      </c>
      <c r="N70" s="146" t="n">
        <f aca="false">IF(N$5=$N$16,M64*$K$16/1000*$O$16,0)</f>
        <v>0</v>
      </c>
      <c r="O70" s="146" t="n">
        <f aca="false">IF(O$5=$N$16,N64*$K$16/1000*$O$16,0)</f>
        <v>0</v>
      </c>
      <c r="P70" s="54" t="n">
        <f aca="false">IF(P$5=$N$16,O64*$K$16/1000*$O$16,0)</f>
        <v>0</v>
      </c>
      <c r="Q70" s="54" t="n">
        <f aca="false">IF(Q$5=$N$16,P64*$K$16/1000*$O$16,0)</f>
        <v>0</v>
      </c>
      <c r="R70" s="54" t="n">
        <f aca="false">IF(R$5=$N$16,Q64*$K$16/1000*$O$16,0)</f>
        <v>0</v>
      </c>
      <c r="S70" s="54" t="n">
        <f aca="false">IF(S$5=$N$16,R64*$K$16/1000*$O$16,0)</f>
        <v>0</v>
      </c>
      <c r="T70" s="54" t="n">
        <f aca="false">IF(T$5=$N$16,S64*$K$16/1000*$O$16,0)</f>
        <v>0</v>
      </c>
      <c r="U70" s="54" t="n">
        <f aca="false">IF(U$5=$N$16,T64*$K$16/1000*$O$16,0)</f>
        <v>0</v>
      </c>
      <c r="V70" s="54" t="n">
        <f aca="false">IF(V$5=$N$16,U64*$K$16/1000*$O$16,0)</f>
        <v>0</v>
      </c>
      <c r="W70" s="54" t="n">
        <f aca="false">IF(W$5=$N$16,V64*$K$16/1000*$O$16,0)</f>
        <v>0</v>
      </c>
      <c r="X70" s="54" t="n">
        <f aca="false">IF(X$5=$N$16,W64*$K$16/1000*$O$16,0)</f>
        <v>0</v>
      </c>
      <c r="Y70" s="54" t="n">
        <f aca="false">IF(Y$5=$N$16,X64*$K$16/1000*$O$16,0)</f>
        <v>0</v>
      </c>
      <c r="Z70" s="54" t="n">
        <f aca="false">IF(Z$5=$N$16,Y64*$K$16/1000*$O$16,0)</f>
        <v>0</v>
      </c>
      <c r="AA70" s="54" t="n">
        <f aca="false">IF(AA$5=$N$16,Z64*$K$16/1000*$O$16,0)</f>
        <v>0</v>
      </c>
      <c r="AB70" s="54" t="n">
        <f aca="false">IF(AB$5=$N$16,AA64*$K$16/1000*$O$16,0)</f>
        <v>0</v>
      </c>
      <c r="AC70" s="54" t="n">
        <f aca="false">IF(AC$5=$N$16,AB64*$K$16/1000*$O$16,0)</f>
        <v>0</v>
      </c>
      <c r="AD70" s="54" t="n">
        <f aca="false">IF(AD$5=$N$16,AC64*$K$16/1000*$O$16,0)</f>
        <v>0</v>
      </c>
      <c r="AE70" s="54" t="n">
        <f aca="false">IF(AE$5=$N$16,AD64*$K$16/1000*$O$16,0)</f>
        <v>0</v>
      </c>
      <c r="AF70" s="54" t="n">
        <f aca="false">IF(AF$5=$N$16,AE64*$K$16/1000*$O$16,0)</f>
        <v>0</v>
      </c>
      <c r="AG70" s="54" t="n">
        <f aca="false">IF(AG$5=$N$16,AF64*$K$16/1000*$O$16,0)</f>
        <v>0</v>
      </c>
      <c r="AI70" s="54" t="n">
        <f aca="false">SUMIF($F$7:$AG$7,AI$7,$F70:$AG70)</f>
        <v>0</v>
      </c>
      <c r="AJ70" s="54" t="n">
        <f aca="false">SUMIF($F$7:$AG$7,AJ$7,$F70:$AG70)</f>
        <v>0</v>
      </c>
      <c r="AK70" s="54" t="n">
        <f aca="false">SUMIF($F$7:$AG$7,AK$7,$F70:$AG70)</f>
        <v>0</v>
      </c>
      <c r="AL70" s="54" t="n">
        <f aca="false">SUMIF($F$7:$AG$7,AL$7,$F70:$AG70)</f>
        <v>0</v>
      </c>
      <c r="AM70" s="54" t="n">
        <f aca="false">SUMIF($F$7:$AG$7,AM$7,$F70:$AG70)</f>
        <v>0</v>
      </c>
      <c r="AN70" s="54" t="n">
        <f aca="false">SUMIF($F$7:$AG$7,AN$7,$F70:$AG70)</f>
        <v>0</v>
      </c>
      <c r="AO70" s="54" t="n">
        <f aca="false">SUMIF($F$7:$AG$7,AO$7,$F70:$AG70)</f>
        <v>0</v>
      </c>
    </row>
    <row r="71" customFormat="false" ht="15" hidden="false" customHeight="false" outlineLevel="0" collapsed="false">
      <c r="A71" s="112" t="s">
        <v>2548</v>
      </c>
      <c r="B71" s="24" t="s">
        <v>809</v>
      </c>
      <c r="C71" s="24" t="s">
        <v>672</v>
      </c>
      <c r="D71" s="24"/>
      <c r="F71" s="146" t="n">
        <f aca="false">IF(DilMethod=3,MAX(0,F64*$K$16/1000*DilPx-F67)/DilPx,F64*$K$16/1000*$P$16)</f>
        <v>0</v>
      </c>
      <c r="G71" s="146" t="n">
        <f aca="false">IF(DilMethod=3,MAX(0,G64*$K$16/1000*DilPx-G67)/DilPx,G64*$K$16/1000*$P$16)</f>
        <v>0</v>
      </c>
      <c r="H71" s="146" t="n">
        <f aca="false">IF(DilMethod=3,MAX(0,H64*$K$16/1000*DilPx-H67)/DilPx,H64*$K$16/1000*$P$16)</f>
        <v>0</v>
      </c>
      <c r="I71" s="146" t="n">
        <f aca="false">IF(DilMethod=3,MAX(0,I64*$K$16/1000*DilPx-I67)/DilPx,I64*$K$16/1000*$P$16)</f>
        <v>0</v>
      </c>
      <c r="J71" s="146" t="n">
        <f aca="false">IF(DilMethod=3,MAX(0,J64*$K$16/1000*DilPx-J67)/DilPx,J64*$K$16/1000*$P$16)</f>
        <v>0</v>
      </c>
      <c r="K71" s="146" t="n">
        <f aca="false">IF(DilMethod=3,MAX(0,K64*$K$16/1000*DilPx-K67)/DilPx,K64*$K$16/1000*$P$16)</f>
        <v>0</v>
      </c>
      <c r="L71" s="146" t="n">
        <f aca="false">IF(DilMethod=3,MAX(0,L64*$K$16/1000*DilPx-L67)/DilPx,L64*$K$16/1000*$P$16)</f>
        <v>0</v>
      </c>
      <c r="M71" s="146" t="n">
        <f aca="false">IF(DilMethod=3,MAX(0,M64*$K$16/1000*DilPx-M67)/DilPx,M64*$K$16/1000*$P$16)</f>
        <v>0</v>
      </c>
      <c r="N71" s="146" t="n">
        <f aca="false">IF(DilMethod=3,MAX(0,N64*$K$16/1000*DilPx-N67)/DilPx,N64*$K$16/1000*$P$16)</f>
        <v>0</v>
      </c>
      <c r="O71" s="146" t="n">
        <f aca="false">IF(DilMethod=3,MAX(0,O64*$K$16/1000*DilPx-O67)/DilPx,O64*$K$16/1000*$P$16)</f>
        <v>0</v>
      </c>
      <c r="P71" s="54" t="n">
        <f aca="false">IF(DilMethod=3,MAX(0,P64*$K$16/1000*DilPx-P67)/DilPx,P64*$K$16/1000*$P$16)</f>
        <v>0</v>
      </c>
      <c r="Q71" s="54" t="n">
        <f aca="false">IF(DilMethod=3,MAX(0,Q64*$K$16/1000*DilPx-Q67)/DilPx,Q64*$K$16/1000*$P$16)</f>
        <v>0</v>
      </c>
      <c r="R71" s="54" t="n">
        <f aca="false">IF(DilMethod=3,MAX(0,R64*$K$16/1000*DilPx-R67)/DilPx,R64*$K$16/1000*$P$16)</f>
        <v>0</v>
      </c>
      <c r="S71" s="54" t="n">
        <f aca="false">IF(DilMethod=3,MAX(0,S64*$K$16/1000*DilPx-S67)/DilPx,S64*$K$16/1000*$P$16)</f>
        <v>0</v>
      </c>
      <c r="T71" s="54" t="n">
        <f aca="false">IF(DilMethod=3,MAX(0,T64*$K$16/1000*DilPx-T67)/DilPx,T64*$K$16/1000*$P$16)</f>
        <v>0</v>
      </c>
      <c r="U71" s="54" t="n">
        <f aca="false">IF(DilMethod=3,MAX(0,U64*$K$16/1000*DilPx-U67)/DilPx,U64*$K$16/1000*$P$16)</f>
        <v>0</v>
      </c>
      <c r="V71" s="54" t="n">
        <f aca="false">IF(DilMethod=3,MAX(0,V64*$K$16/1000*DilPx-V67)/DilPx,V64*$K$16/1000*$P$16)</f>
        <v>0</v>
      </c>
      <c r="W71" s="54" t="n">
        <f aca="false">IF(DilMethod=3,MAX(0,W64*$K$16/1000*DilPx-W67)/DilPx,W64*$K$16/1000*$P$16)</f>
        <v>0</v>
      </c>
      <c r="X71" s="54" t="n">
        <f aca="false">IF(DilMethod=3,MAX(0,X64*$K$16/1000*DilPx-X67)/DilPx,X64*$K$16/1000*$P$16)</f>
        <v>0</v>
      </c>
      <c r="Y71" s="54" t="n">
        <f aca="false">IF(DilMethod=3,MAX(0,Y64*$K$16/1000*DilPx-Y67)/DilPx,Y64*$K$16/1000*$P$16)</f>
        <v>0</v>
      </c>
      <c r="Z71" s="54" t="n">
        <f aca="false">IF(DilMethod=3,MAX(0,Z64*$K$16/1000*DilPx-Z67)/DilPx,Z64*$K$16/1000*$P$16)</f>
        <v>0</v>
      </c>
      <c r="AA71" s="54" t="n">
        <f aca="false">IF(DilMethod=3,MAX(0,AA64*$K$16/1000*DilPx-AA67)/DilPx,AA64*$K$16/1000*$P$16)</f>
        <v>0</v>
      </c>
      <c r="AB71" s="54" t="n">
        <f aca="false">IF(DilMethod=3,MAX(0,AB64*$K$16/1000*DilPx-AB67)/DilPx,AB64*$K$16/1000*$P$16)</f>
        <v>0</v>
      </c>
      <c r="AC71" s="54" t="n">
        <f aca="false">IF(DilMethod=3,MAX(0,AC64*$K$16/1000*DilPx-AC67)/DilPx,AC64*$K$16/1000*$P$16)</f>
        <v>0</v>
      </c>
      <c r="AD71" s="54" t="n">
        <f aca="false">IF(DilMethod=3,MAX(0,AD64*$K$16/1000*DilPx-AD67)/DilPx,AD64*$K$16/1000*$P$16)</f>
        <v>0</v>
      </c>
      <c r="AE71" s="54" t="n">
        <f aca="false">IF(DilMethod=3,MAX(0,AE64*$K$16/1000*DilPx-AE67)/DilPx,AE64*$K$16/1000*$P$16)</f>
        <v>0</v>
      </c>
      <c r="AF71" s="54" t="n">
        <f aca="false">IF(DilMethod=3,MAX(0,AF64*$K$16/1000*DilPx-AF67)/DilPx,AF64*$K$16/1000*$P$16)</f>
        <v>0</v>
      </c>
      <c r="AG71" s="54" t="n">
        <f aca="false">IF(DilMethod=3,MAX(0,AG64*$K$16/1000*DilPx-AG67)/DilPx,AG64*$K$16/1000*$P$16)</f>
        <v>0</v>
      </c>
      <c r="AI71" s="54" t="n">
        <f aca="false">INDEX($F71:$AG71,1,MATCH(AI$7,$F$7:$AG$7,1))</f>
        <v>0</v>
      </c>
      <c r="AJ71" s="54" t="n">
        <f aca="false">INDEX($F71:$AG71,1,MATCH(AJ$7,$F$7:$AG$7,1))</f>
        <v>0</v>
      </c>
      <c r="AK71" s="54" t="n">
        <f aca="false">INDEX($F71:$AG71,1,MATCH(AK$7,$F$7:$AG$7,1))</f>
        <v>0</v>
      </c>
      <c r="AL71" s="54" t="n">
        <f aca="false">INDEX($F71:$AG71,1,MATCH(AL$7,$F$7:$AG$7,1))</f>
        <v>0</v>
      </c>
      <c r="AM71" s="54" t="n">
        <f aca="false">INDEX($F71:$AG71,1,MATCH(AM$7,$F$7:$AG$7,1))</f>
        <v>0</v>
      </c>
      <c r="AN71" s="54" t="n">
        <f aca="false">INDEX($F71:$AG71,1,MATCH(AN$7,$F$7:$AG$7,1))</f>
        <v>0</v>
      </c>
      <c r="AO71" s="54" t="n">
        <f aca="false">INDEX($F71:$AG71,1,MATCH(AO$7,$F$7:$AG$7,1))</f>
        <v>0</v>
      </c>
    </row>
    <row r="72" customFormat="false" ht="15" hidden="false" customHeight="false" outlineLevel="0" collapsed="false">
      <c r="A72" s="112" t="s">
        <v>2549</v>
      </c>
      <c r="B72" s="24" t="s">
        <v>745</v>
      </c>
      <c r="C72" s="24" t="s">
        <v>672</v>
      </c>
      <c r="D72" s="24"/>
      <c r="F72" s="130" t="n">
        <f aca="false">F67*IF(DilMethod=3,1,1-$P$16)</f>
        <v>0</v>
      </c>
      <c r="G72" s="130" t="n">
        <f aca="false">G67*IF(DilMethod=3,1,1-$P$16)</f>
        <v>0</v>
      </c>
      <c r="H72" s="130" t="n">
        <f aca="false">H67*IF(DilMethod=3,1,1-$P$16)</f>
        <v>0</v>
      </c>
      <c r="I72" s="130" t="n">
        <f aca="false">I67*IF(DilMethod=3,1,1-$P$16)</f>
        <v>0</v>
      </c>
      <c r="J72" s="130" t="n">
        <f aca="false">J67*IF(DilMethod=3,1,1-$P$16)</f>
        <v>0</v>
      </c>
      <c r="K72" s="130" t="n">
        <f aca="false">K67*IF(DilMethod=3,1,1-$P$16)</f>
        <v>0</v>
      </c>
      <c r="L72" s="130" t="n">
        <f aca="false">L67*IF(DilMethod=3,1,1-$P$16)</f>
        <v>0</v>
      </c>
      <c r="M72" s="130" t="n">
        <f aca="false">M67*IF(DilMethod=3,1,1-$P$16)</f>
        <v>0</v>
      </c>
      <c r="N72" s="130" t="n">
        <f aca="false">N67*IF(DilMethod=3,1,1-$P$16)</f>
        <v>2590.62602965404</v>
      </c>
      <c r="O72" s="130" t="n">
        <f aca="false">O67*IF(DilMethod=3,1,1-$P$16)</f>
        <v>2616.48682042834</v>
      </c>
      <c r="P72" s="131" t="n">
        <f aca="false">P67*IF(DilMethod=3,1,1-$P$16)</f>
        <v>2642.63179571664</v>
      </c>
      <c r="Q72" s="131" t="n">
        <f aca="false">Q67*IF(DilMethod=3,1,1-$P$16)</f>
        <v>2668.77677100494</v>
      </c>
      <c r="R72" s="131" t="n">
        <f aca="false">R67*IF(DilMethod=3,1,1-$P$16)</f>
        <v>2694.35337726524</v>
      </c>
      <c r="S72" s="131" t="n">
        <f aca="false">S67*IF(DilMethod=3,1,1-$P$16)</f>
        <v>2720.21416803954</v>
      </c>
      <c r="T72" s="131" t="n">
        <f aca="false">T67*IF(DilMethod=3,1,1-$P$16)</f>
        <v>2746.35914332784</v>
      </c>
      <c r="U72" s="131" t="n">
        <f aca="false">U67*IF(DilMethod=3,1,1-$P$16)</f>
        <v>2772.50411861614</v>
      </c>
      <c r="V72" s="131" t="n">
        <f aca="false">V67*IF(DilMethod=3,1,1-$P$16)</f>
        <v>2798.36490939044</v>
      </c>
      <c r="W72" s="131" t="n">
        <f aca="false">W67*IF(DilMethod=3,1,1-$P$16)</f>
        <v>2824.22570016474</v>
      </c>
      <c r="X72" s="131" t="n">
        <f aca="false">X67*IF(DilMethod=3,1,1-$P$16)</f>
        <v>2850.37067545305</v>
      </c>
      <c r="Y72" s="131" t="n">
        <f aca="false">Y67*IF(DilMethod=3,1,1-$P$16)</f>
        <v>2876.51565074135</v>
      </c>
      <c r="Z72" s="131" t="n">
        <f aca="false">Z67*IF(DilMethod=3,1,1-$P$16)</f>
        <v>2902.09225700165</v>
      </c>
      <c r="AA72" s="131" t="n">
        <f aca="false">AA67*IF(DilMethod=3,1,1-$P$16)</f>
        <v>2927.95304777595</v>
      </c>
      <c r="AB72" s="131" t="n">
        <f aca="false">AB67*IF(DilMethod=3,1,1-$P$16)</f>
        <v>2954.09802306425</v>
      </c>
      <c r="AC72" s="131" t="n">
        <f aca="false">AC67*IF(DilMethod=3,1,1-$P$16)</f>
        <v>2980.24299835255</v>
      </c>
      <c r="AD72" s="131" t="n">
        <f aca="false">AD67*IF(DilMethod=3,1,1-$P$16)</f>
        <v>3005.81960461285</v>
      </c>
      <c r="AE72" s="131" t="n">
        <f aca="false">AE67*IF(DilMethod=3,1,1-$P$16)</f>
        <v>3031.68039538715</v>
      </c>
      <c r="AF72" s="131" t="n">
        <f aca="false">AF67*IF(DilMethod=3,1,1-$P$16)</f>
        <v>3057.82537067545</v>
      </c>
      <c r="AG72" s="131" t="n">
        <f aca="false">AG67*IF(DilMethod=3,1,1-$P$16)</f>
        <v>3083.97034596376</v>
      </c>
      <c r="AI72" s="131" t="n">
        <f aca="false">INDEX($F72:$AG72,1,MATCH(AI$7,$F$7:$AG$7,1))</f>
        <v>0</v>
      </c>
      <c r="AJ72" s="131" t="n">
        <f aca="false">INDEX($F72:$AG72,1,MATCH(AJ$7,$F$7:$AG$7,1))</f>
        <v>0</v>
      </c>
      <c r="AK72" s="131" t="n">
        <f aca="false">INDEX($F72:$AG72,1,MATCH(AK$7,$F$7:$AG$7,1))</f>
        <v>2668.77677100494</v>
      </c>
      <c r="AL72" s="131" t="n">
        <f aca="false">INDEX($F72:$AG72,1,MATCH(AL$7,$F$7:$AG$7,1))</f>
        <v>2772.50411861614</v>
      </c>
      <c r="AM72" s="131" t="n">
        <f aca="false">INDEX($F72:$AG72,1,MATCH(AM$7,$F$7:$AG$7,1))</f>
        <v>2876.51565074135</v>
      </c>
      <c r="AN72" s="131" t="n">
        <f aca="false">INDEX($F72:$AG72,1,MATCH(AN$7,$F$7:$AG$7,1))</f>
        <v>2980.24299835255</v>
      </c>
      <c r="AO72" s="131" t="n">
        <f aca="false">INDEX($F72:$AG72,1,MATCH(AO$7,$F$7:$AG$7,1))</f>
        <v>3083.97034596376</v>
      </c>
    </row>
    <row r="73" customFormat="false" ht="15" hidden="false" customHeight="false" outlineLevel="0" collapsed="false">
      <c r="A73" s="112" t="s">
        <v>2550</v>
      </c>
      <c r="B73" s="24" t="s">
        <v>745</v>
      </c>
      <c r="C73" s="24" t="s">
        <v>736</v>
      </c>
      <c r="D73" s="24"/>
      <c r="F73" s="130" t="n">
        <f aca="false">IF(AND(F$5&gt;=$M$17,F$5&lt;$N$17),$E$17-$F$17-IF(F$5&gt;=$H$17,$G$17,0),0)*($H$17&lt;&gt;0)+IF(AND(F$5&gt;=$M$17,F$5&lt;$N$17),$E$17-$F$17,0)*($H$17=0)</f>
        <v>0</v>
      </c>
      <c r="G73" s="130" t="n">
        <f aca="false">IF(AND(G$5&gt;=$M$17,G$5&lt;$N$17),$E$17-$F$17-IF(G$5&gt;=$H$17,$G$17,0),0)*($H$17&lt;&gt;0)+IF(AND(G$5&gt;=$M$17,G$5&lt;$N$17),$E$17-$F$17,0)*($H$17=0)</f>
        <v>0</v>
      </c>
      <c r="H73" s="130" t="n">
        <f aca="false">IF(AND(H$5&gt;=$M$17,H$5&lt;$N$17),$E$17-$F$17-IF(H$5&gt;=$H$17,$G$17,0),0)*($H$17&lt;&gt;0)+IF(AND(H$5&gt;=$M$17,H$5&lt;$N$17),$E$17-$F$17,0)*($H$17=0)</f>
        <v>0</v>
      </c>
      <c r="I73" s="130" t="n">
        <f aca="false">IF(AND(I$5&gt;=$M$17,I$5&lt;$N$17),$E$17-$F$17-IF(I$5&gt;=$H$17,$G$17,0),0)*($H$17&lt;&gt;0)+IF(AND(I$5&gt;=$M$17,I$5&lt;$N$17),$E$17-$F$17,0)*($H$17=0)</f>
        <v>0</v>
      </c>
      <c r="J73" s="130" t="n">
        <f aca="false">IF(AND(J$5&gt;=$M$17,J$5&lt;$N$17),$E$17-$F$17-IF(J$5&gt;=$H$17,$G$17,0),0)*($H$17&lt;&gt;0)+IF(AND(J$5&gt;=$M$17,J$5&lt;$N$17),$E$17-$F$17,0)*($H$17=0)</f>
        <v>0</v>
      </c>
      <c r="K73" s="130" t="n">
        <f aca="false">IF(AND(K$5&gt;=$M$17,K$5&lt;$N$17),$E$17-$F$17-IF(K$5&gt;=$H$17,$G$17,0),0)*($H$17&lt;&gt;0)+IF(AND(K$5&gt;=$M$17,K$5&lt;$N$17),$E$17-$F$17,0)*($H$17=0)</f>
        <v>0</v>
      </c>
      <c r="L73" s="130" t="n">
        <f aca="false">IF(AND(L$5&gt;=$M$17,L$5&lt;$N$17),$E$17-$F$17-IF(L$5&gt;=$H$17,$G$17,0),0)*($H$17&lt;&gt;0)+IF(AND(L$5&gt;=$M$17,L$5&lt;$N$17),$E$17-$F$17,0)*($H$17=0)</f>
        <v>0</v>
      </c>
      <c r="M73" s="130" t="n">
        <f aca="false">IF(AND(M$5&gt;=$M$17,M$5&lt;$N$17),$E$17-$F$17-IF(M$5&gt;=$H$17,$G$17,0),0)*($H$17&lt;&gt;0)+IF(AND(M$5&gt;=$M$17,M$5&lt;$N$17),$E$17-$F$17,0)*($H$17=0)</f>
        <v>0</v>
      </c>
      <c r="N73" s="130" t="n">
        <f aca="false">IF(AND(N$5&gt;=$M$17,N$5&lt;$N$17),$E$17-$F$17-IF(N$5&gt;=$H$17,$G$17,0),0)*($H$17&lt;&gt;0)+IF(AND(N$5&gt;=$M$17,N$5&lt;$N$17),$E$17-$F$17,0)*($H$17=0)</f>
        <v>1750</v>
      </c>
      <c r="O73" s="130" t="n">
        <f aca="false">IF(AND(O$5&gt;=$M$17,O$5&lt;$N$17),$E$17-$F$17-IF(O$5&gt;=$H$17,$G$17,0),0)*($H$17&lt;&gt;0)+IF(AND(O$5&gt;=$M$17,O$5&lt;$N$17),$E$17-$F$17,0)*($H$17=0)</f>
        <v>1750</v>
      </c>
      <c r="P73" s="131" t="n">
        <f aca="false">IF(AND(P$5&gt;=$M$17,P$5&lt;$N$17),$E$17-$F$17-IF(P$5&gt;=$H$17,$G$17,0),0)*($H$17&lt;&gt;0)+IF(AND(P$5&gt;=$M$17,P$5&lt;$N$17),$E$17-$F$17,0)*($H$17=0)</f>
        <v>1750</v>
      </c>
      <c r="Q73" s="131" t="n">
        <f aca="false">IF(AND(Q$5&gt;=$M$17,Q$5&lt;$N$17),$E$17-$F$17-IF(Q$5&gt;=$H$17,$G$17,0),0)*($H$17&lt;&gt;0)+IF(AND(Q$5&gt;=$M$17,Q$5&lt;$N$17),$E$17-$F$17,0)*($H$17=0)</f>
        <v>1750</v>
      </c>
      <c r="R73" s="131" t="n">
        <f aca="false">IF(AND(R$5&gt;=$M$17,R$5&lt;$N$17),$E$17-$F$17-IF(R$5&gt;=$H$17,$G$17,0),0)*($H$17&lt;&gt;0)+IF(AND(R$5&gt;=$M$17,R$5&lt;$N$17),$E$17-$F$17,0)*($H$17=0)</f>
        <v>1750</v>
      </c>
      <c r="S73" s="131" t="n">
        <f aca="false">IF(AND(S$5&gt;=$M$17,S$5&lt;$N$17),$E$17-$F$17-IF(S$5&gt;=$H$17,$G$17,0),0)*($H$17&lt;&gt;0)+IF(AND(S$5&gt;=$M$17,S$5&lt;$N$17),$E$17-$F$17,0)*($H$17=0)</f>
        <v>1750</v>
      </c>
      <c r="T73" s="131" t="n">
        <f aca="false">IF(AND(T$5&gt;=$M$17,T$5&lt;$N$17),$E$17-$F$17-IF(T$5&gt;=$H$17,$G$17,0),0)*($H$17&lt;&gt;0)+IF(AND(T$5&gt;=$M$17,T$5&lt;$N$17),$E$17-$F$17,0)*($H$17=0)</f>
        <v>1750</v>
      </c>
      <c r="U73" s="131" t="n">
        <f aca="false">IF(AND(U$5&gt;=$M$17,U$5&lt;$N$17),$E$17-$F$17-IF(U$5&gt;=$H$17,$G$17,0),0)*($H$17&lt;&gt;0)+IF(AND(U$5&gt;=$M$17,U$5&lt;$N$17),$E$17-$F$17,0)*($H$17=0)</f>
        <v>1750</v>
      </c>
      <c r="V73" s="131" t="n">
        <f aca="false">IF(AND(V$5&gt;=$M$17,V$5&lt;$N$17),$E$17-$F$17-IF(V$5&gt;=$H$17,$G$17,0),0)*($H$17&lt;&gt;0)+IF(AND(V$5&gt;=$M$17,V$5&lt;$N$17),$E$17-$F$17,0)*($H$17=0)</f>
        <v>1750</v>
      </c>
      <c r="W73" s="131" t="n">
        <f aca="false">IF(AND(W$5&gt;=$M$17,W$5&lt;$N$17),$E$17-$F$17-IF(W$5&gt;=$H$17,$G$17,0),0)*($H$17&lt;&gt;0)+IF(AND(W$5&gt;=$M$17,W$5&lt;$N$17),$E$17-$F$17,0)*($H$17=0)</f>
        <v>1750</v>
      </c>
      <c r="X73" s="131" t="n">
        <f aca="false">IF(AND(X$5&gt;=$M$17,X$5&lt;$N$17),$E$17-$F$17-IF(X$5&gt;=$H$17,$G$17,0),0)*($H$17&lt;&gt;0)+IF(AND(X$5&gt;=$M$17,X$5&lt;$N$17),$E$17-$F$17,0)*($H$17=0)</f>
        <v>1750</v>
      </c>
      <c r="Y73" s="131" t="n">
        <f aca="false">IF(AND(Y$5&gt;=$M$17,Y$5&lt;$N$17),$E$17-$F$17-IF(Y$5&gt;=$H$17,$G$17,0),0)*($H$17&lt;&gt;0)+IF(AND(Y$5&gt;=$M$17,Y$5&lt;$N$17),$E$17-$F$17,0)*($H$17=0)</f>
        <v>1750</v>
      </c>
      <c r="Z73" s="131" t="n">
        <f aca="false">IF(AND(Z$5&gt;=$M$17,Z$5&lt;$N$17),$E$17-$F$17-IF(Z$5&gt;=$H$17,$G$17,0),0)*($H$17&lt;&gt;0)+IF(AND(Z$5&gt;=$M$17,Z$5&lt;$N$17),$E$17-$F$17,0)*($H$17=0)</f>
        <v>1750</v>
      </c>
      <c r="AA73" s="131" t="n">
        <f aca="false">IF(AND(AA$5&gt;=$M$17,AA$5&lt;$N$17),$E$17-$F$17-IF(AA$5&gt;=$H$17,$G$17,0),0)*($H$17&lt;&gt;0)+IF(AND(AA$5&gt;=$M$17,AA$5&lt;$N$17),$E$17-$F$17,0)*($H$17=0)</f>
        <v>1750</v>
      </c>
      <c r="AB73" s="131" t="n">
        <f aca="false">IF(AND(AB$5&gt;=$M$17,AB$5&lt;$N$17),$E$17-$F$17-IF(AB$5&gt;=$H$17,$G$17,0),0)*($H$17&lt;&gt;0)+IF(AND(AB$5&gt;=$M$17,AB$5&lt;$N$17),$E$17-$F$17,0)*($H$17=0)</f>
        <v>1750</v>
      </c>
      <c r="AC73" s="131" t="n">
        <f aca="false">IF(AND(AC$5&gt;=$M$17,AC$5&lt;$N$17),$E$17-$F$17-IF(AC$5&gt;=$H$17,$G$17,0),0)*($H$17&lt;&gt;0)+IF(AND(AC$5&gt;=$M$17,AC$5&lt;$N$17),$E$17-$F$17,0)*($H$17=0)</f>
        <v>1750</v>
      </c>
      <c r="AD73" s="131" t="n">
        <f aca="false">IF(AND(AD$5&gt;=$M$17,AD$5&lt;$N$17),$E$17-$F$17-IF(AD$5&gt;=$H$17,$G$17,0),0)*($H$17&lt;&gt;0)+IF(AND(AD$5&gt;=$M$17,AD$5&lt;$N$17),$E$17-$F$17,0)*($H$17=0)</f>
        <v>1750</v>
      </c>
      <c r="AE73" s="131" t="n">
        <f aca="false">IF(AND(AE$5&gt;=$M$17,AE$5&lt;$N$17),$E$17-$F$17-IF(AE$5&gt;=$H$17,$G$17,0),0)*($H$17&lt;&gt;0)+IF(AND(AE$5&gt;=$M$17,AE$5&lt;$N$17),$E$17-$F$17,0)*($H$17=0)</f>
        <v>1750</v>
      </c>
      <c r="AF73" s="131" t="n">
        <f aca="false">IF(AND(AF$5&gt;=$M$17,AF$5&lt;$N$17),$E$17-$F$17-IF(AF$5&gt;=$H$17,$G$17,0),0)*($H$17&lt;&gt;0)+IF(AND(AF$5&gt;=$M$17,AF$5&lt;$N$17),$E$17-$F$17,0)*($H$17=0)</f>
        <v>1750</v>
      </c>
      <c r="AG73" s="131" t="n">
        <f aca="false">IF(AND(AG$5&gt;=$M$17,AG$5&lt;$N$17),$E$17-$F$17-IF(AG$5&gt;=$H$17,$G$17,0),0)*($H$17&lt;&gt;0)+IF(AND(AG$5&gt;=$M$17,AG$5&lt;$N$17),$E$17-$F$17,0)*($H$17=0)</f>
        <v>1750</v>
      </c>
      <c r="AI73" s="131" t="n">
        <f aca="false">INDEX($F73:$AG73,1,MATCH(AI$7,$F$7:$AG$7,1))</f>
        <v>0</v>
      </c>
      <c r="AJ73" s="131" t="n">
        <f aca="false">INDEX($F73:$AG73,1,MATCH(AJ$7,$F$7:$AG$7,1))</f>
        <v>0</v>
      </c>
      <c r="AK73" s="131" t="n">
        <f aca="false">INDEX($F73:$AG73,1,MATCH(AK$7,$F$7:$AG$7,1))</f>
        <v>1750</v>
      </c>
      <c r="AL73" s="131" t="n">
        <f aca="false">INDEX($F73:$AG73,1,MATCH(AL$7,$F$7:$AG$7,1))</f>
        <v>1750</v>
      </c>
      <c r="AM73" s="131" t="n">
        <f aca="false">INDEX($F73:$AG73,1,MATCH(AM$7,$F$7:$AG$7,1))</f>
        <v>1750</v>
      </c>
      <c r="AN73" s="131" t="n">
        <f aca="false">INDEX($F73:$AG73,1,MATCH(AN$7,$F$7:$AG$7,1))</f>
        <v>1750</v>
      </c>
      <c r="AO73" s="131" t="n">
        <f aca="false">INDEX($F73:$AG73,1,MATCH(AO$7,$F$7:$AG$7,1))</f>
        <v>1750</v>
      </c>
    </row>
    <row r="74" customFormat="false" ht="15" hidden="false" customHeight="false" outlineLevel="0" collapsed="false">
      <c r="A74" s="112" t="s">
        <v>2551</v>
      </c>
      <c r="B74" s="24" t="s">
        <v>745</v>
      </c>
      <c r="C74" s="24" t="s">
        <v>736</v>
      </c>
      <c r="D74" s="24"/>
      <c r="F74" s="130" t="n">
        <f aca="false">F73*$C$17/4</f>
        <v>0</v>
      </c>
      <c r="G74" s="130" t="n">
        <f aca="false">G73*$C$17/4</f>
        <v>0</v>
      </c>
      <c r="H74" s="130" t="n">
        <f aca="false">H73*$C$17/4</f>
        <v>0</v>
      </c>
      <c r="I74" s="130" t="n">
        <f aca="false">I73*$C$17/4</f>
        <v>0</v>
      </c>
      <c r="J74" s="130" t="n">
        <f aca="false">J73*$C$17/4</f>
        <v>0</v>
      </c>
      <c r="K74" s="130" t="n">
        <f aca="false">K73*$C$17/4</f>
        <v>0</v>
      </c>
      <c r="L74" s="130" t="n">
        <f aca="false">L73*$C$17/4</f>
        <v>0</v>
      </c>
      <c r="M74" s="130" t="n">
        <f aca="false">M73*$C$17/4</f>
        <v>0</v>
      </c>
      <c r="N74" s="130" t="n">
        <f aca="false">N73*$C$17/4</f>
        <v>11.484375</v>
      </c>
      <c r="O74" s="130" t="n">
        <f aca="false">O73*$C$17/4</f>
        <v>11.484375</v>
      </c>
      <c r="P74" s="131" t="n">
        <f aca="false">P73*$C$17/4</f>
        <v>11.484375</v>
      </c>
      <c r="Q74" s="131" t="n">
        <f aca="false">Q73*$C$17/4</f>
        <v>11.484375</v>
      </c>
      <c r="R74" s="131" t="n">
        <f aca="false">R73*$C$17/4</f>
        <v>11.484375</v>
      </c>
      <c r="S74" s="131" t="n">
        <f aca="false">S73*$C$17/4</f>
        <v>11.484375</v>
      </c>
      <c r="T74" s="131" t="n">
        <f aca="false">T73*$C$17/4</f>
        <v>11.484375</v>
      </c>
      <c r="U74" s="131" t="n">
        <f aca="false">U73*$C$17/4</f>
        <v>11.484375</v>
      </c>
      <c r="V74" s="131" t="n">
        <f aca="false">V73*$C$17/4</f>
        <v>11.484375</v>
      </c>
      <c r="W74" s="131" t="n">
        <f aca="false">W73*$C$17/4</f>
        <v>11.484375</v>
      </c>
      <c r="X74" s="131" t="n">
        <f aca="false">X73*$C$17/4</f>
        <v>11.484375</v>
      </c>
      <c r="Y74" s="131" t="n">
        <f aca="false">Y73*$C$17/4</f>
        <v>11.484375</v>
      </c>
      <c r="Z74" s="131" t="n">
        <f aca="false">Z73*$C$17/4</f>
        <v>11.484375</v>
      </c>
      <c r="AA74" s="131" t="n">
        <f aca="false">AA73*$C$17/4</f>
        <v>11.484375</v>
      </c>
      <c r="AB74" s="131" t="n">
        <f aca="false">AB73*$C$17/4</f>
        <v>11.484375</v>
      </c>
      <c r="AC74" s="131" t="n">
        <f aca="false">AC73*$C$17/4</f>
        <v>11.484375</v>
      </c>
      <c r="AD74" s="131" t="n">
        <f aca="false">AD73*$C$17/4</f>
        <v>11.484375</v>
      </c>
      <c r="AE74" s="131" t="n">
        <f aca="false">AE73*$C$17/4</f>
        <v>11.484375</v>
      </c>
      <c r="AF74" s="131" t="n">
        <f aca="false">AF73*$C$17/4</f>
        <v>11.484375</v>
      </c>
      <c r="AG74" s="131" t="n">
        <f aca="false">AG73*$C$17/4</f>
        <v>11.484375</v>
      </c>
      <c r="AI74" s="131" t="n">
        <f aca="false">SUMIF($F$7:$AG$7,AI$7,$F74:$AG74)</f>
        <v>0</v>
      </c>
      <c r="AJ74" s="131" t="n">
        <f aca="false">SUMIF($F$7:$AG$7,AJ$7,$F74:$AG74)</f>
        <v>0</v>
      </c>
      <c r="AK74" s="131" t="n">
        <f aca="false">SUMIF($F$7:$AG$7,AK$7,$F74:$AG74)</f>
        <v>45.9375</v>
      </c>
      <c r="AL74" s="131" t="n">
        <f aca="false">SUMIF($F$7:$AG$7,AL$7,$F74:$AG74)</f>
        <v>45.9375</v>
      </c>
      <c r="AM74" s="131" t="n">
        <f aca="false">SUMIF($F$7:$AG$7,AM$7,$F74:$AG74)</f>
        <v>45.9375</v>
      </c>
      <c r="AN74" s="131" t="n">
        <f aca="false">SUMIF($F$7:$AG$7,AN$7,$F74:$AG74)</f>
        <v>45.9375</v>
      </c>
      <c r="AO74" s="131" t="n">
        <f aca="false">SUMIF($F$7:$AG$7,AO$7,$F74:$AG74)</f>
        <v>45.9375</v>
      </c>
    </row>
    <row r="75" customFormat="false" ht="15" hidden="false" customHeight="false" outlineLevel="0" collapsed="false">
      <c r="A75" s="112" t="s">
        <v>2552</v>
      </c>
      <c r="B75" s="24" t="s">
        <v>745</v>
      </c>
      <c r="C75" s="24" t="s">
        <v>736</v>
      </c>
      <c r="D75" s="24"/>
      <c r="F75" s="130" t="n">
        <f aca="false">F73*($J$17-1)/(($D$17-$B$17)/91.3125)</f>
        <v>0</v>
      </c>
      <c r="G75" s="130" t="n">
        <f aca="false">G73*($J$17-1)/(($D$17-$B$17)/91.3125)</f>
        <v>0</v>
      </c>
      <c r="H75" s="130" t="n">
        <f aca="false">H73*($J$17-1)/(($D$17-$B$17)/91.3125)</f>
        <v>0</v>
      </c>
      <c r="I75" s="130" t="n">
        <f aca="false">I73*($J$17-1)/(($D$17-$B$17)/91.3125)</f>
        <v>0</v>
      </c>
      <c r="J75" s="130" t="n">
        <f aca="false">J73*($J$17-1)/(($D$17-$B$17)/91.3125)</f>
        <v>0</v>
      </c>
      <c r="K75" s="130" t="n">
        <f aca="false">K73*($J$17-1)/(($D$17-$B$17)/91.3125)</f>
        <v>0</v>
      </c>
      <c r="L75" s="130" t="n">
        <f aca="false">L73*($J$17-1)/(($D$17-$B$17)/91.3125)</f>
        <v>0</v>
      </c>
      <c r="M75" s="130" t="n">
        <f aca="false">M73*($J$17-1)/(($D$17-$B$17)/91.3125)</f>
        <v>0</v>
      </c>
      <c r="N75" s="130" t="n">
        <f aca="false">N73*($J$17-1)/(($D$17-$B$17)/91.3125)</f>
        <v>12.5232660658307</v>
      </c>
      <c r="O75" s="130" t="n">
        <f aca="false">O73*($J$17-1)/(($D$17-$B$17)/91.3125)</f>
        <v>12.5232660658307</v>
      </c>
      <c r="P75" s="131" t="n">
        <f aca="false">P73*($J$17-1)/(($D$17-$B$17)/91.3125)</f>
        <v>12.5232660658307</v>
      </c>
      <c r="Q75" s="131" t="n">
        <f aca="false">Q73*($J$17-1)/(($D$17-$B$17)/91.3125)</f>
        <v>12.5232660658307</v>
      </c>
      <c r="R75" s="131" t="n">
        <f aca="false">R73*($J$17-1)/(($D$17-$B$17)/91.3125)</f>
        <v>12.5232660658307</v>
      </c>
      <c r="S75" s="131" t="n">
        <f aca="false">S73*($J$17-1)/(($D$17-$B$17)/91.3125)</f>
        <v>12.5232660658307</v>
      </c>
      <c r="T75" s="131" t="n">
        <f aca="false">T73*($J$17-1)/(($D$17-$B$17)/91.3125)</f>
        <v>12.5232660658307</v>
      </c>
      <c r="U75" s="131" t="n">
        <f aca="false">U73*($J$17-1)/(($D$17-$B$17)/91.3125)</f>
        <v>12.5232660658307</v>
      </c>
      <c r="V75" s="131" t="n">
        <f aca="false">V73*($J$17-1)/(($D$17-$B$17)/91.3125)</f>
        <v>12.5232660658307</v>
      </c>
      <c r="W75" s="131" t="n">
        <f aca="false">W73*($J$17-1)/(($D$17-$B$17)/91.3125)</f>
        <v>12.5232660658307</v>
      </c>
      <c r="X75" s="131" t="n">
        <f aca="false">X73*($J$17-1)/(($D$17-$B$17)/91.3125)</f>
        <v>12.5232660658307</v>
      </c>
      <c r="Y75" s="131" t="n">
        <f aca="false">Y73*($J$17-1)/(($D$17-$B$17)/91.3125)</f>
        <v>12.5232660658307</v>
      </c>
      <c r="Z75" s="131" t="n">
        <f aca="false">Z73*($J$17-1)/(($D$17-$B$17)/91.3125)</f>
        <v>12.5232660658307</v>
      </c>
      <c r="AA75" s="131" t="n">
        <f aca="false">AA73*($J$17-1)/(($D$17-$B$17)/91.3125)</f>
        <v>12.5232660658307</v>
      </c>
      <c r="AB75" s="131" t="n">
        <f aca="false">AB73*($J$17-1)/(($D$17-$B$17)/91.3125)</f>
        <v>12.5232660658307</v>
      </c>
      <c r="AC75" s="131" t="n">
        <f aca="false">AC73*($J$17-1)/(($D$17-$B$17)/91.3125)</f>
        <v>12.5232660658307</v>
      </c>
      <c r="AD75" s="131" t="n">
        <f aca="false">AD73*($J$17-1)/(($D$17-$B$17)/91.3125)</f>
        <v>12.5232660658307</v>
      </c>
      <c r="AE75" s="131" t="n">
        <f aca="false">AE73*($J$17-1)/(($D$17-$B$17)/91.3125)</f>
        <v>12.5232660658307</v>
      </c>
      <c r="AF75" s="131" t="n">
        <f aca="false">AF73*($J$17-1)/(($D$17-$B$17)/91.3125)</f>
        <v>12.5232660658307</v>
      </c>
      <c r="AG75" s="131" t="n">
        <f aca="false">AG73*($J$17-1)/(($D$17-$B$17)/91.3125)</f>
        <v>12.5232660658307</v>
      </c>
      <c r="AI75" s="131" t="n">
        <f aca="false">SUMIF($F$7:$AG$7,AI$7,$F75:$AG75)</f>
        <v>0</v>
      </c>
      <c r="AJ75" s="131" t="n">
        <f aca="false">SUMIF($F$7:$AG$7,AJ$7,$F75:$AG75)</f>
        <v>0</v>
      </c>
      <c r="AK75" s="131" t="n">
        <f aca="false">SUMIF($F$7:$AG$7,AK$7,$F75:$AG75)</f>
        <v>50.0930642633229</v>
      </c>
      <c r="AL75" s="131" t="n">
        <f aca="false">SUMIF($F$7:$AG$7,AL$7,$F75:$AG75)</f>
        <v>50.0930642633229</v>
      </c>
      <c r="AM75" s="131" t="n">
        <f aca="false">SUMIF($F$7:$AG$7,AM$7,$F75:$AG75)</f>
        <v>50.0930642633229</v>
      </c>
      <c r="AN75" s="131" t="n">
        <f aca="false">SUMIF($F$7:$AG$7,AN$7,$F75:$AG75)</f>
        <v>50.0930642633229</v>
      </c>
      <c r="AO75" s="131" t="n">
        <f aca="false">SUMIF($F$7:$AG$7,AO$7,$F75:$AG75)</f>
        <v>50.0930642633229</v>
      </c>
    </row>
    <row r="76" customFormat="false" ht="15" hidden="false" customHeight="false" outlineLevel="0" collapsed="false">
      <c r="A76" s="112" t="s">
        <v>2553</v>
      </c>
      <c r="B76" s="24" t="s">
        <v>745</v>
      </c>
      <c r="C76" s="24" t="s">
        <v>736</v>
      </c>
      <c r="D76" s="24"/>
      <c r="F76" s="130" t="n">
        <f aca="false">F73*(1+($J$17-1)*MIN(1,MAX(0,(F$4-$B$17)/($D$17-$B$17))))</f>
        <v>0</v>
      </c>
      <c r="G76" s="130" t="n">
        <f aca="false">G73*(1+($J$17-1)*MIN(1,MAX(0,(G$4-$B$17)/($D$17-$B$17))))</f>
        <v>0</v>
      </c>
      <c r="H76" s="130" t="n">
        <f aca="false">H73*(1+($J$17-1)*MIN(1,MAX(0,(H$4-$B$17)/($D$17-$B$17))))</f>
        <v>0</v>
      </c>
      <c r="I76" s="130" t="n">
        <f aca="false">I73*(1+($J$17-1)*MIN(1,MAX(0,(I$4-$B$17)/($D$17-$B$17))))</f>
        <v>0</v>
      </c>
      <c r="J76" s="130" t="n">
        <f aca="false">J73*(1+($J$17-1)*MIN(1,MAX(0,(J$4-$B$17)/($D$17-$B$17))))</f>
        <v>0</v>
      </c>
      <c r="K76" s="130" t="n">
        <f aca="false">K73*(1+($J$17-1)*MIN(1,MAX(0,(K$4-$B$17)/($D$17-$B$17))))</f>
        <v>0</v>
      </c>
      <c r="L76" s="130" t="n">
        <f aca="false">L73*(1+($J$17-1)*MIN(1,MAX(0,(L$4-$B$17)/($D$17-$B$17))))</f>
        <v>0</v>
      </c>
      <c r="M76" s="130" t="n">
        <f aca="false">M73*(1+($J$17-1)*MIN(1,MAX(0,(M$4-$B$17)/($D$17-$B$17))))</f>
        <v>0</v>
      </c>
      <c r="N76" s="130" t="n">
        <f aca="false">N73*(1+($J$17-1)*MIN(1,MAX(0,(N$4-$B$17)/($D$17-$B$17))))</f>
        <v>1751.50862068966</v>
      </c>
      <c r="O76" s="130" t="n">
        <f aca="false">O73*(1+($J$17-1)*MIN(1,MAX(0,(O$4-$B$17)/($D$17-$B$17))))</f>
        <v>1763.98902821317</v>
      </c>
      <c r="P76" s="131" t="n">
        <f aca="false">P73*(1+($J$17-1)*MIN(1,MAX(0,(P$4-$B$17)/($D$17-$B$17))))</f>
        <v>1776.6065830721</v>
      </c>
      <c r="Q76" s="131" t="n">
        <f aca="false">Q73*(1+($J$17-1)*MIN(1,MAX(0,(Q$4-$B$17)/($D$17-$B$17))))</f>
        <v>1789.22413793103</v>
      </c>
      <c r="R76" s="131" t="n">
        <f aca="false">R73*(1+($J$17-1)*MIN(1,MAX(0,(R$4-$B$17)/($D$17-$B$17))))</f>
        <v>1801.56739811912</v>
      </c>
      <c r="S76" s="131" t="n">
        <f aca="false">S73*(1+($J$17-1)*MIN(1,MAX(0,(S$4-$B$17)/($D$17-$B$17))))</f>
        <v>1814.04780564263</v>
      </c>
      <c r="T76" s="131" t="n">
        <f aca="false">T73*(1+($J$17-1)*MIN(1,MAX(0,(T$4-$B$17)/($D$17-$B$17))))</f>
        <v>1826.66536050157</v>
      </c>
      <c r="U76" s="131" t="n">
        <f aca="false">U73*(1+($J$17-1)*MIN(1,MAX(0,(U$4-$B$17)/($D$17-$B$17))))</f>
        <v>1839.2829153605</v>
      </c>
      <c r="V76" s="131" t="n">
        <f aca="false">V73*(1+($J$17-1)*MIN(1,MAX(0,(V$4-$B$17)/($D$17-$B$17))))</f>
        <v>1851.76332288401</v>
      </c>
      <c r="W76" s="131" t="n">
        <f aca="false">W73*(1+($J$17-1)*MIN(1,MAX(0,(W$4-$B$17)/($D$17-$B$17))))</f>
        <v>1864.24373040752</v>
      </c>
      <c r="X76" s="131" t="n">
        <f aca="false">X73*(1+($J$17-1)*MIN(1,MAX(0,(X$4-$B$17)/($D$17-$B$17))))</f>
        <v>1876.86128526646</v>
      </c>
      <c r="Y76" s="131" t="n">
        <f aca="false">Y73*(1+($J$17-1)*MIN(1,MAX(0,(Y$4-$B$17)/($D$17-$B$17))))</f>
        <v>1889.47884012539</v>
      </c>
      <c r="Z76" s="131" t="n">
        <f aca="false">Z73*(1+($J$17-1)*MIN(1,MAX(0,(Z$4-$B$17)/($D$17-$B$17))))</f>
        <v>1901.82210031348</v>
      </c>
      <c r="AA76" s="131" t="n">
        <f aca="false">AA73*(1+($J$17-1)*MIN(1,MAX(0,(AA$4-$B$17)/($D$17-$B$17))))</f>
        <v>1914.30250783699</v>
      </c>
      <c r="AB76" s="131" t="n">
        <f aca="false">AB73*(1+($J$17-1)*MIN(1,MAX(0,(AB$4-$B$17)/($D$17-$B$17))))</f>
        <v>1926.92006269592</v>
      </c>
      <c r="AC76" s="131" t="n">
        <f aca="false">AC73*(1+($J$17-1)*MIN(1,MAX(0,(AC$4-$B$17)/($D$17-$B$17))))</f>
        <v>1939.53761755486</v>
      </c>
      <c r="AD76" s="131" t="n">
        <f aca="false">AD73*(1+($J$17-1)*MIN(1,MAX(0,(AD$4-$B$17)/($D$17-$B$17))))</f>
        <v>1951.88087774295</v>
      </c>
      <c r="AE76" s="131" t="n">
        <f aca="false">AE73*(1+($J$17-1)*MIN(1,MAX(0,(AE$4-$B$17)/($D$17-$B$17))))</f>
        <v>1964.36128526646</v>
      </c>
      <c r="AF76" s="131" t="n">
        <f aca="false">AF73*(1+($J$17-1)*MIN(1,MAX(0,(AF$4-$B$17)/($D$17-$B$17))))</f>
        <v>1976.97884012539</v>
      </c>
      <c r="AG76" s="131" t="n">
        <f aca="false">AG73*(1+($J$17-1)*MIN(1,MAX(0,(AG$4-$B$17)/($D$17-$B$17))))</f>
        <v>1989.59639498433</v>
      </c>
      <c r="AI76" s="131" t="n">
        <f aca="false">INDEX($F76:$AG76,1,MATCH(AI$7,$F$7:$AG$7,1))</f>
        <v>0</v>
      </c>
      <c r="AJ76" s="131" t="n">
        <f aca="false">INDEX($F76:$AG76,1,MATCH(AJ$7,$F$7:$AG$7,1))</f>
        <v>0</v>
      </c>
      <c r="AK76" s="131" t="n">
        <f aca="false">INDEX($F76:$AG76,1,MATCH(AK$7,$F$7:$AG$7,1))</f>
        <v>1789.22413793103</v>
      </c>
      <c r="AL76" s="131" t="n">
        <f aca="false">INDEX($F76:$AG76,1,MATCH(AL$7,$F$7:$AG$7,1))</f>
        <v>1839.2829153605</v>
      </c>
      <c r="AM76" s="131" t="n">
        <f aca="false">INDEX($F76:$AG76,1,MATCH(AM$7,$F$7:$AG$7,1))</f>
        <v>1889.47884012539</v>
      </c>
      <c r="AN76" s="131" t="n">
        <f aca="false">INDEX($F76:$AG76,1,MATCH(AN$7,$F$7:$AG$7,1))</f>
        <v>1939.53761755486</v>
      </c>
      <c r="AO76" s="131" t="n">
        <f aca="false">INDEX($F76:$AG76,1,MATCH(AO$7,$F$7:$AG$7,1))</f>
        <v>1989.59639498433</v>
      </c>
    </row>
    <row r="77" customFormat="false" ht="15" hidden="false" customHeight="false" outlineLevel="0" collapsed="false">
      <c r="A77" s="112" t="s">
        <v>2554</v>
      </c>
      <c r="B77" s="24" t="s">
        <v>745</v>
      </c>
      <c r="C77" s="24" t="s">
        <v>736</v>
      </c>
      <c r="D77" s="24"/>
      <c r="F77" s="130" t="n">
        <f aca="false">F73*($S$17+($J$17-$S$17)*MIN(1,MAX(0,(F$4-$T$17)/($D$17-$T$17))))</f>
        <v>0</v>
      </c>
      <c r="G77" s="130" t="n">
        <f aca="false">G73*($S$17+($J$17-$S$17)*MIN(1,MAX(0,(G$4-$T$17)/($D$17-$T$17))))</f>
        <v>0</v>
      </c>
      <c r="H77" s="130" t="n">
        <f aca="false">H73*($S$17+($J$17-$S$17)*MIN(1,MAX(0,(H$4-$T$17)/($D$17-$T$17))))</f>
        <v>0</v>
      </c>
      <c r="I77" s="130" t="n">
        <f aca="false">I73*($S$17+($J$17-$S$17)*MIN(1,MAX(0,(I$4-$T$17)/($D$17-$T$17))))</f>
        <v>0</v>
      </c>
      <c r="J77" s="130" t="n">
        <f aca="false">J73*($S$17+($J$17-$S$17)*MIN(1,MAX(0,(J$4-$T$17)/($D$17-$T$17))))</f>
        <v>0</v>
      </c>
      <c r="K77" s="130" t="n">
        <f aca="false">K73*($S$17+($J$17-$S$17)*MIN(1,MAX(0,(K$4-$T$17)/($D$17-$T$17))))</f>
        <v>0</v>
      </c>
      <c r="L77" s="130" t="n">
        <f aca="false">L73*($S$17+($J$17-$S$17)*MIN(1,MAX(0,(L$4-$T$17)/($D$17-$T$17))))</f>
        <v>0</v>
      </c>
      <c r="M77" s="130" t="n">
        <f aca="false">M73*($S$17+($J$17-$S$17)*MIN(1,MAX(0,(M$4-$T$17)/($D$17-$T$17))))</f>
        <v>0</v>
      </c>
      <c r="N77" s="130" t="n">
        <f aca="false">N73*($S$17+($J$17-$S$17)*MIN(1,MAX(0,(N$4-$T$17)/($D$17-$T$17))))</f>
        <v>1744.69925</v>
      </c>
      <c r="O77" s="130" t="n">
        <f aca="false">O73*($S$17+($J$17-$S$17)*MIN(1,MAX(0,(O$4-$T$17)/($D$17-$T$17))))</f>
        <v>1744.69925</v>
      </c>
      <c r="P77" s="131" t="n">
        <f aca="false">P73*($S$17+($J$17-$S$17)*MIN(1,MAX(0,(P$4-$T$17)/($D$17-$T$17))))</f>
        <v>1758.04115571429</v>
      </c>
      <c r="Q77" s="131" t="n">
        <f aca="false">Q73*($S$17+($J$17-$S$17)*MIN(1,MAX(0,(Q$4-$T$17)/($D$17-$T$17))))</f>
        <v>1771.38306142857</v>
      </c>
      <c r="R77" s="131" t="n">
        <f aca="false">R73*($S$17+($J$17-$S$17)*MIN(1,MAX(0,(R$4-$T$17)/($D$17-$T$17))))</f>
        <v>1784.43492571429</v>
      </c>
      <c r="S77" s="131" t="n">
        <f aca="false">S73*($S$17+($J$17-$S$17)*MIN(1,MAX(0,(S$4-$T$17)/($D$17-$T$17))))</f>
        <v>1797.63181071429</v>
      </c>
      <c r="T77" s="131" t="n">
        <f aca="false">T73*($S$17+($J$17-$S$17)*MIN(1,MAX(0,(T$4-$T$17)/($D$17-$T$17))))</f>
        <v>1810.97371642857</v>
      </c>
      <c r="U77" s="131" t="n">
        <f aca="false">U73*($S$17+($J$17-$S$17)*MIN(1,MAX(0,(U$4-$T$17)/($D$17-$T$17))))</f>
        <v>1824.31562214286</v>
      </c>
      <c r="V77" s="131" t="n">
        <f aca="false">V73*($S$17+($J$17-$S$17)*MIN(1,MAX(0,(V$4-$T$17)/($D$17-$T$17))))</f>
        <v>1837.51250714286</v>
      </c>
      <c r="W77" s="131" t="n">
        <f aca="false">W73*($S$17+($J$17-$S$17)*MIN(1,MAX(0,(W$4-$T$17)/($D$17-$T$17))))</f>
        <v>1850.70939214286</v>
      </c>
      <c r="X77" s="131" t="n">
        <f aca="false">X73*($S$17+($J$17-$S$17)*MIN(1,MAX(0,(X$4-$T$17)/($D$17-$T$17))))</f>
        <v>1864.05129785714</v>
      </c>
      <c r="Y77" s="131" t="n">
        <f aca="false">Y73*($S$17+($J$17-$S$17)*MIN(1,MAX(0,(Y$4-$T$17)/($D$17-$T$17))))</f>
        <v>1877.39320357143</v>
      </c>
      <c r="Z77" s="131" t="n">
        <f aca="false">Z73*($S$17+($J$17-$S$17)*MIN(1,MAX(0,(Z$4-$T$17)/($D$17-$T$17))))</f>
        <v>1890.44506785714</v>
      </c>
      <c r="AA77" s="131" t="n">
        <f aca="false">AA73*($S$17+($J$17-$S$17)*MIN(1,MAX(0,(AA$4-$T$17)/($D$17-$T$17))))</f>
        <v>1903.64195285714</v>
      </c>
      <c r="AB77" s="131" t="n">
        <f aca="false">AB73*($S$17+($J$17-$S$17)*MIN(1,MAX(0,(AB$4-$T$17)/($D$17-$T$17))))</f>
        <v>1916.98385857143</v>
      </c>
      <c r="AC77" s="131" t="n">
        <f aca="false">AC73*($S$17+($J$17-$S$17)*MIN(1,MAX(0,(AC$4-$T$17)/($D$17-$T$17))))</f>
        <v>1930.32576428571</v>
      </c>
      <c r="AD77" s="131" t="n">
        <f aca="false">AD73*($S$17+($J$17-$S$17)*MIN(1,MAX(0,(AD$4-$T$17)/($D$17-$T$17))))</f>
        <v>1943.37762857143</v>
      </c>
      <c r="AE77" s="131" t="n">
        <f aca="false">AE73*($S$17+($J$17-$S$17)*MIN(1,MAX(0,(AE$4-$T$17)/($D$17-$T$17))))</f>
        <v>1956.57451357143</v>
      </c>
      <c r="AF77" s="131" t="n">
        <f aca="false">AF73*($S$17+($J$17-$S$17)*MIN(1,MAX(0,(AF$4-$T$17)/($D$17-$T$17))))</f>
        <v>1969.91641928571</v>
      </c>
      <c r="AG77" s="131" t="n">
        <f aca="false">AG73*($S$17+($J$17-$S$17)*MIN(1,MAX(0,(AG$4-$T$17)/($D$17-$T$17))))</f>
        <v>1983.258325</v>
      </c>
      <c r="AI77" s="131" t="n">
        <f aca="false">INDEX($F77:$AG77,1,MATCH(AI$7,$F$7:$AG$7,1))</f>
        <v>0</v>
      </c>
      <c r="AJ77" s="131" t="n">
        <f aca="false">INDEX($F77:$AG77,1,MATCH(AJ$7,$F$7:$AG$7,1))</f>
        <v>0</v>
      </c>
      <c r="AK77" s="131" t="n">
        <f aca="false">INDEX($F77:$AG77,1,MATCH(AK$7,$F$7:$AG$7,1))</f>
        <v>1771.38306142857</v>
      </c>
      <c r="AL77" s="131" t="n">
        <f aca="false">INDEX($F77:$AG77,1,MATCH(AL$7,$F$7:$AG$7,1))</f>
        <v>1824.31562214286</v>
      </c>
      <c r="AM77" s="131" t="n">
        <f aca="false">INDEX($F77:$AG77,1,MATCH(AM$7,$F$7:$AG$7,1))</f>
        <v>1877.39320357143</v>
      </c>
      <c r="AN77" s="131" t="n">
        <f aca="false">INDEX($F77:$AG77,1,MATCH(AN$7,$F$7:$AG$7,1))</f>
        <v>1930.32576428571</v>
      </c>
      <c r="AO77" s="131" t="n">
        <f aca="false">INDEX($F77:$AG77,1,MATCH(AO$7,$F$7:$AG$7,1))</f>
        <v>1983.258325</v>
      </c>
    </row>
    <row r="78" customFormat="false" ht="15" hidden="false" customHeight="false" outlineLevel="0" collapsed="false">
      <c r="A78" s="112" t="s">
        <v>2555</v>
      </c>
      <c r="B78" s="24" t="s">
        <v>745</v>
      </c>
      <c r="C78" s="24" t="s">
        <v>736</v>
      </c>
      <c r="D78" s="24"/>
      <c r="F78" s="130" t="n">
        <f aca="false">IF(F$5=$N$17,E73*$J$17*(1-$O$17),0)</f>
        <v>0</v>
      </c>
      <c r="G78" s="130" t="n">
        <f aca="false">IF(G$5=$N$17,F73*$J$17*(1-$O$17),0)</f>
        <v>0</v>
      </c>
      <c r="H78" s="130" t="n">
        <f aca="false">IF(H$5=$N$17,G73*$J$17*(1-$O$17),0)</f>
        <v>0</v>
      </c>
      <c r="I78" s="130" t="n">
        <f aca="false">IF(I$5=$N$17,H73*$J$17*(1-$O$17),0)</f>
        <v>0</v>
      </c>
      <c r="J78" s="130" t="n">
        <f aca="false">IF(J$5=$N$17,I73*$J$17*(1-$O$17),0)</f>
        <v>0</v>
      </c>
      <c r="K78" s="130" t="n">
        <f aca="false">IF(K$5=$N$17,J73*$J$17*(1-$O$17),0)</f>
        <v>0</v>
      </c>
      <c r="L78" s="130" t="n">
        <f aca="false">IF(L$5=$N$17,K73*$J$17*(1-$O$17),0)</f>
        <v>0</v>
      </c>
      <c r="M78" s="130" t="n">
        <f aca="false">IF(M$5=$N$17,L73*$J$17*(1-$O$17),0)</f>
        <v>0</v>
      </c>
      <c r="N78" s="130" t="n">
        <f aca="false">IF(N$5=$N$17,M73*$J$17*(1-$O$17),0)</f>
        <v>0</v>
      </c>
      <c r="O78" s="130" t="n">
        <f aca="false">IF(O$5=$N$17,N73*$J$17*(1-$O$17),0)</f>
        <v>0</v>
      </c>
      <c r="P78" s="131" t="n">
        <f aca="false">IF(P$5=$N$17,O73*$J$17*(1-$O$17),0)</f>
        <v>0</v>
      </c>
      <c r="Q78" s="131" t="n">
        <f aca="false">IF(Q$5=$N$17,P73*$J$17*(1-$O$17),0)</f>
        <v>0</v>
      </c>
      <c r="R78" s="131" t="n">
        <f aca="false">IF(R$5=$N$17,Q73*$J$17*(1-$O$17),0)</f>
        <v>0</v>
      </c>
      <c r="S78" s="131" t="n">
        <f aca="false">IF(S$5=$N$17,R73*$J$17*(1-$O$17),0)</f>
        <v>0</v>
      </c>
      <c r="T78" s="131" t="n">
        <f aca="false">IF(T$5=$N$17,S73*$J$17*(1-$O$17),0)</f>
        <v>0</v>
      </c>
      <c r="U78" s="131" t="n">
        <f aca="false">IF(U$5=$N$17,T73*$J$17*(1-$O$17),0)</f>
        <v>0</v>
      </c>
      <c r="V78" s="131" t="n">
        <f aca="false">IF(V$5=$N$17,U73*$J$17*(1-$O$17),0)</f>
        <v>0</v>
      </c>
      <c r="W78" s="131" t="n">
        <f aca="false">IF(W$5=$N$17,V73*$J$17*(1-$O$17),0)</f>
        <v>0</v>
      </c>
      <c r="X78" s="131" t="n">
        <f aca="false">IF(X$5=$N$17,W73*$J$17*(1-$O$17),0)</f>
        <v>0</v>
      </c>
      <c r="Y78" s="131" t="n">
        <f aca="false">IF(Y$5=$N$17,X73*$J$17*(1-$O$17),0)</f>
        <v>0</v>
      </c>
      <c r="Z78" s="131" t="n">
        <f aca="false">IF(Z$5=$N$17,Y73*$J$17*(1-$O$17),0)</f>
        <v>0</v>
      </c>
      <c r="AA78" s="131" t="n">
        <f aca="false">IF(AA$5=$N$17,Z73*$J$17*(1-$O$17),0)</f>
        <v>0</v>
      </c>
      <c r="AB78" s="131" t="n">
        <f aca="false">IF(AB$5=$N$17,AA73*$J$17*(1-$O$17),0)</f>
        <v>0</v>
      </c>
      <c r="AC78" s="131" t="n">
        <f aca="false">IF(AC$5=$N$17,AB73*$J$17*(1-$O$17),0)</f>
        <v>0</v>
      </c>
      <c r="AD78" s="131" t="n">
        <f aca="false">IF(AD$5=$N$17,AC73*$J$17*(1-$O$17),0)</f>
        <v>0</v>
      </c>
      <c r="AE78" s="131" t="n">
        <f aca="false">IF(AE$5=$N$17,AD73*$J$17*(1-$O$17),0)</f>
        <v>0</v>
      </c>
      <c r="AF78" s="131" t="n">
        <f aca="false">IF(AF$5=$N$17,AE73*$J$17*(1-$O$17),0)</f>
        <v>0</v>
      </c>
      <c r="AG78" s="131" t="n">
        <f aca="false">IF(AG$5=$N$17,AF73*$J$17*(1-$O$17),0)</f>
        <v>0</v>
      </c>
      <c r="AI78" s="131" t="n">
        <f aca="false">SUMIF($F$7:$AG$7,AI$7,$F78:$AG78)</f>
        <v>0</v>
      </c>
      <c r="AJ78" s="131" t="n">
        <f aca="false">SUMIF($F$7:$AG$7,AJ$7,$F78:$AG78)</f>
        <v>0</v>
      </c>
      <c r="AK78" s="131" t="n">
        <f aca="false">SUMIF($F$7:$AG$7,AK$7,$F78:$AG78)</f>
        <v>0</v>
      </c>
      <c r="AL78" s="131" t="n">
        <f aca="false">SUMIF($F$7:$AG$7,AL$7,$F78:$AG78)</f>
        <v>0</v>
      </c>
      <c r="AM78" s="131" t="n">
        <f aca="false">SUMIF($F$7:$AG$7,AM$7,$F78:$AG78)</f>
        <v>0</v>
      </c>
      <c r="AN78" s="131" t="n">
        <f aca="false">SUMIF($F$7:$AG$7,AN$7,$F78:$AG78)</f>
        <v>0</v>
      </c>
      <c r="AO78" s="131" t="n">
        <f aca="false">SUMIF($F$7:$AG$7,AO$7,$F78:$AG78)</f>
        <v>0</v>
      </c>
    </row>
    <row r="79" customFormat="false" ht="15" hidden="false" customHeight="false" outlineLevel="0" collapsed="false">
      <c r="A79" s="112" t="s">
        <v>2556</v>
      </c>
      <c r="B79" s="24" t="s">
        <v>809</v>
      </c>
      <c r="C79" s="24" t="s">
        <v>736</v>
      </c>
      <c r="D79" s="24"/>
      <c r="F79" s="146" t="n">
        <f aca="false">IF(F$5=$N$17,E73*$K$17/1000*$O$17,0)</f>
        <v>0</v>
      </c>
      <c r="G79" s="146" t="n">
        <f aca="false">IF(G$5=$N$17,F73*$K$17/1000*$O$17,0)</f>
        <v>0</v>
      </c>
      <c r="H79" s="146" t="n">
        <f aca="false">IF(H$5=$N$17,G73*$K$17/1000*$O$17,0)</f>
        <v>0</v>
      </c>
      <c r="I79" s="146" t="n">
        <f aca="false">IF(I$5=$N$17,H73*$K$17/1000*$O$17,0)</f>
        <v>0</v>
      </c>
      <c r="J79" s="146" t="n">
        <f aca="false">IF(J$5=$N$17,I73*$K$17/1000*$O$17,0)</f>
        <v>0</v>
      </c>
      <c r="K79" s="146" t="n">
        <f aca="false">IF(K$5=$N$17,J73*$K$17/1000*$O$17,0)</f>
        <v>0</v>
      </c>
      <c r="L79" s="146" t="n">
        <f aca="false">IF(L$5=$N$17,K73*$K$17/1000*$O$17,0)</f>
        <v>0</v>
      </c>
      <c r="M79" s="146" t="n">
        <f aca="false">IF(M$5=$N$17,L73*$K$17/1000*$O$17,0)</f>
        <v>0</v>
      </c>
      <c r="N79" s="146" t="n">
        <f aca="false">IF(N$5=$N$17,M73*$K$17/1000*$O$17,0)</f>
        <v>0</v>
      </c>
      <c r="O79" s="146" t="n">
        <f aca="false">IF(O$5=$N$17,N73*$K$17/1000*$O$17,0)</f>
        <v>0</v>
      </c>
      <c r="P79" s="54" t="n">
        <f aca="false">IF(P$5=$N$17,O73*$K$17/1000*$O$17,0)</f>
        <v>0</v>
      </c>
      <c r="Q79" s="54" t="n">
        <f aca="false">IF(Q$5=$N$17,P73*$K$17/1000*$O$17,0)</f>
        <v>0</v>
      </c>
      <c r="R79" s="54" t="n">
        <f aca="false">IF(R$5=$N$17,Q73*$K$17/1000*$O$17,0)</f>
        <v>0</v>
      </c>
      <c r="S79" s="54" t="n">
        <f aca="false">IF(S$5=$N$17,R73*$K$17/1000*$O$17,0)</f>
        <v>0</v>
      </c>
      <c r="T79" s="54" t="n">
        <f aca="false">IF(T$5=$N$17,S73*$K$17/1000*$O$17,0)</f>
        <v>0</v>
      </c>
      <c r="U79" s="54" t="n">
        <f aca="false">IF(U$5=$N$17,T73*$K$17/1000*$O$17,0)</f>
        <v>0</v>
      </c>
      <c r="V79" s="54" t="n">
        <f aca="false">IF(V$5=$N$17,U73*$K$17/1000*$O$17,0)</f>
        <v>0</v>
      </c>
      <c r="W79" s="54" t="n">
        <f aca="false">IF(W$5=$N$17,V73*$K$17/1000*$O$17,0)</f>
        <v>0</v>
      </c>
      <c r="X79" s="54" t="n">
        <f aca="false">IF(X$5=$N$17,W73*$K$17/1000*$O$17,0)</f>
        <v>0</v>
      </c>
      <c r="Y79" s="54" t="n">
        <f aca="false">IF(Y$5=$N$17,X73*$K$17/1000*$O$17,0)</f>
        <v>0</v>
      </c>
      <c r="Z79" s="54" t="n">
        <f aca="false">IF(Z$5=$N$17,Y73*$K$17/1000*$O$17,0)</f>
        <v>0</v>
      </c>
      <c r="AA79" s="54" t="n">
        <f aca="false">IF(AA$5=$N$17,Z73*$K$17/1000*$O$17,0)</f>
        <v>0</v>
      </c>
      <c r="AB79" s="54" t="n">
        <f aca="false">IF(AB$5=$N$17,AA73*$K$17/1000*$O$17,0)</f>
        <v>0</v>
      </c>
      <c r="AC79" s="54" t="n">
        <f aca="false">IF(AC$5=$N$17,AB73*$K$17/1000*$O$17,0)</f>
        <v>0</v>
      </c>
      <c r="AD79" s="54" t="n">
        <f aca="false">IF(AD$5=$N$17,AC73*$K$17/1000*$O$17,0)</f>
        <v>0</v>
      </c>
      <c r="AE79" s="54" t="n">
        <f aca="false">IF(AE$5=$N$17,AD73*$K$17/1000*$O$17,0)</f>
        <v>0</v>
      </c>
      <c r="AF79" s="54" t="n">
        <f aca="false">IF(AF$5=$N$17,AE73*$K$17/1000*$O$17,0)</f>
        <v>0</v>
      </c>
      <c r="AG79" s="54" t="n">
        <f aca="false">IF(AG$5=$N$17,AF73*$K$17/1000*$O$17,0)</f>
        <v>0</v>
      </c>
      <c r="AI79" s="54" t="n">
        <f aca="false">SUMIF($F$7:$AG$7,AI$7,$F79:$AG79)</f>
        <v>0</v>
      </c>
      <c r="AJ79" s="54" t="n">
        <f aca="false">SUMIF($F$7:$AG$7,AJ$7,$F79:$AG79)</f>
        <v>0</v>
      </c>
      <c r="AK79" s="54" t="n">
        <f aca="false">SUMIF($F$7:$AG$7,AK$7,$F79:$AG79)</f>
        <v>0</v>
      </c>
      <c r="AL79" s="54" t="n">
        <f aca="false">SUMIF($F$7:$AG$7,AL$7,$F79:$AG79)</f>
        <v>0</v>
      </c>
      <c r="AM79" s="54" t="n">
        <f aca="false">SUMIF($F$7:$AG$7,AM$7,$F79:$AG79)</f>
        <v>0</v>
      </c>
      <c r="AN79" s="54" t="n">
        <f aca="false">SUMIF($F$7:$AG$7,AN$7,$F79:$AG79)</f>
        <v>0</v>
      </c>
      <c r="AO79" s="54" t="n">
        <f aca="false">SUMIF($F$7:$AG$7,AO$7,$F79:$AG79)</f>
        <v>0</v>
      </c>
    </row>
    <row r="80" customFormat="false" ht="15" hidden="false" customHeight="false" outlineLevel="0" collapsed="false">
      <c r="A80" s="112" t="s">
        <v>2557</v>
      </c>
      <c r="B80" s="24" t="s">
        <v>809</v>
      </c>
      <c r="C80" s="24" t="s">
        <v>672</v>
      </c>
      <c r="D80" s="24"/>
      <c r="F80" s="146" t="n">
        <f aca="false">IF(DilMethod=3,MAX(0,F73*$K$17/1000*DilPx-F76)/DilPx,F73*$K$17/1000*$P$17)</f>
        <v>0</v>
      </c>
      <c r="G80" s="146" t="n">
        <f aca="false">IF(DilMethod=3,MAX(0,G73*$K$17/1000*DilPx-G76)/DilPx,G73*$K$17/1000*$P$17)</f>
        <v>0</v>
      </c>
      <c r="H80" s="146" t="n">
        <f aca="false">IF(DilMethod=3,MAX(0,H73*$K$17/1000*DilPx-H76)/DilPx,H73*$K$17/1000*$P$17)</f>
        <v>0</v>
      </c>
      <c r="I80" s="146" t="n">
        <f aca="false">IF(DilMethod=3,MAX(0,I73*$K$17/1000*DilPx-I76)/DilPx,I73*$K$17/1000*$P$17)</f>
        <v>0</v>
      </c>
      <c r="J80" s="146" t="n">
        <f aca="false">IF(DilMethod=3,MAX(0,J73*$K$17/1000*DilPx-J76)/DilPx,J73*$K$17/1000*$P$17)</f>
        <v>0</v>
      </c>
      <c r="K80" s="146" t="n">
        <f aca="false">IF(DilMethod=3,MAX(0,K73*$K$17/1000*DilPx-K76)/DilPx,K73*$K$17/1000*$P$17)</f>
        <v>0</v>
      </c>
      <c r="L80" s="146" t="n">
        <f aca="false">IF(DilMethod=3,MAX(0,L73*$K$17/1000*DilPx-L76)/DilPx,L73*$K$17/1000*$P$17)</f>
        <v>0</v>
      </c>
      <c r="M80" s="146" t="n">
        <f aca="false">IF(DilMethod=3,MAX(0,M73*$K$17/1000*DilPx-M76)/DilPx,M73*$K$17/1000*$P$17)</f>
        <v>0</v>
      </c>
      <c r="N80" s="146" t="n">
        <f aca="false">IF(DilMethod=3,MAX(0,N73*$K$17/1000*DilPx-N76)/DilPx,N73*$K$17/1000*$P$17)</f>
        <v>0</v>
      </c>
      <c r="O80" s="146" t="n">
        <f aca="false">IF(DilMethod=3,MAX(0,O73*$K$17/1000*DilPx-O76)/DilPx,O73*$K$17/1000*$P$17)</f>
        <v>0</v>
      </c>
      <c r="P80" s="54" t="n">
        <f aca="false">IF(DilMethod=3,MAX(0,P73*$K$17/1000*DilPx-P76)/DilPx,P73*$K$17/1000*$P$17)</f>
        <v>0</v>
      </c>
      <c r="Q80" s="54" t="n">
        <f aca="false">IF(DilMethod=3,MAX(0,Q73*$K$17/1000*DilPx-Q76)/DilPx,Q73*$K$17/1000*$P$17)</f>
        <v>0</v>
      </c>
      <c r="R80" s="54" t="n">
        <f aca="false">IF(DilMethod=3,MAX(0,R73*$K$17/1000*DilPx-R76)/DilPx,R73*$K$17/1000*$P$17)</f>
        <v>0</v>
      </c>
      <c r="S80" s="54" t="n">
        <f aca="false">IF(DilMethod=3,MAX(0,S73*$K$17/1000*DilPx-S76)/DilPx,S73*$K$17/1000*$P$17)</f>
        <v>0</v>
      </c>
      <c r="T80" s="54" t="n">
        <f aca="false">IF(DilMethod=3,MAX(0,T73*$K$17/1000*DilPx-T76)/DilPx,T73*$K$17/1000*$P$17)</f>
        <v>0</v>
      </c>
      <c r="U80" s="54" t="n">
        <f aca="false">IF(DilMethod=3,MAX(0,U73*$K$17/1000*DilPx-U76)/DilPx,U73*$K$17/1000*$P$17)</f>
        <v>0</v>
      </c>
      <c r="V80" s="54" t="n">
        <f aca="false">IF(DilMethod=3,MAX(0,V73*$K$17/1000*DilPx-V76)/DilPx,V73*$K$17/1000*$P$17)</f>
        <v>0</v>
      </c>
      <c r="W80" s="54" t="n">
        <f aca="false">IF(DilMethod=3,MAX(0,W73*$K$17/1000*DilPx-W76)/DilPx,W73*$K$17/1000*$P$17)</f>
        <v>0</v>
      </c>
      <c r="X80" s="54" t="n">
        <f aca="false">IF(DilMethod=3,MAX(0,X73*$K$17/1000*DilPx-X76)/DilPx,X73*$K$17/1000*$P$17)</f>
        <v>0</v>
      </c>
      <c r="Y80" s="54" t="n">
        <f aca="false">IF(DilMethod=3,MAX(0,Y73*$K$17/1000*DilPx-Y76)/DilPx,Y73*$K$17/1000*$P$17)</f>
        <v>0</v>
      </c>
      <c r="Z80" s="54" t="n">
        <f aca="false">IF(DilMethod=3,MAX(0,Z73*$K$17/1000*DilPx-Z76)/DilPx,Z73*$K$17/1000*$P$17)</f>
        <v>0</v>
      </c>
      <c r="AA80" s="54" t="n">
        <f aca="false">IF(DilMethod=3,MAX(0,AA73*$K$17/1000*DilPx-AA76)/DilPx,AA73*$K$17/1000*$P$17)</f>
        <v>0</v>
      </c>
      <c r="AB80" s="54" t="n">
        <f aca="false">IF(DilMethod=3,MAX(0,AB73*$K$17/1000*DilPx-AB76)/DilPx,AB73*$K$17/1000*$P$17)</f>
        <v>0</v>
      </c>
      <c r="AC80" s="54" t="n">
        <f aca="false">IF(DilMethod=3,MAX(0,AC73*$K$17/1000*DilPx-AC76)/DilPx,AC73*$K$17/1000*$P$17)</f>
        <v>0</v>
      </c>
      <c r="AD80" s="54" t="n">
        <f aca="false">IF(DilMethod=3,MAX(0,AD73*$K$17/1000*DilPx-AD76)/DilPx,AD73*$K$17/1000*$P$17)</f>
        <v>0</v>
      </c>
      <c r="AE80" s="54" t="n">
        <f aca="false">IF(DilMethod=3,MAX(0,AE73*$K$17/1000*DilPx-AE76)/DilPx,AE73*$K$17/1000*$P$17)</f>
        <v>0</v>
      </c>
      <c r="AF80" s="54" t="n">
        <f aca="false">IF(DilMethod=3,MAX(0,AF73*$K$17/1000*DilPx-AF76)/DilPx,AF73*$K$17/1000*$P$17)</f>
        <v>0</v>
      </c>
      <c r="AG80" s="54" t="n">
        <f aca="false">IF(DilMethod=3,MAX(0,AG73*$K$17/1000*DilPx-AG76)/DilPx,AG73*$K$17/1000*$P$17)</f>
        <v>0</v>
      </c>
      <c r="AI80" s="54" t="n">
        <f aca="false">INDEX($F80:$AG80,1,MATCH(AI$7,$F$7:$AG$7,1))</f>
        <v>0</v>
      </c>
      <c r="AJ80" s="54" t="n">
        <f aca="false">INDEX($F80:$AG80,1,MATCH(AJ$7,$F$7:$AG$7,1))</f>
        <v>0</v>
      </c>
      <c r="AK80" s="54" t="n">
        <f aca="false">INDEX($F80:$AG80,1,MATCH(AK$7,$F$7:$AG$7,1))</f>
        <v>0</v>
      </c>
      <c r="AL80" s="54" t="n">
        <f aca="false">INDEX($F80:$AG80,1,MATCH(AL$7,$F$7:$AG$7,1))</f>
        <v>0</v>
      </c>
      <c r="AM80" s="54" t="n">
        <f aca="false">INDEX($F80:$AG80,1,MATCH(AM$7,$F$7:$AG$7,1))</f>
        <v>0</v>
      </c>
      <c r="AN80" s="54" t="n">
        <f aca="false">INDEX($F80:$AG80,1,MATCH(AN$7,$F$7:$AG$7,1))</f>
        <v>0</v>
      </c>
      <c r="AO80" s="54" t="n">
        <f aca="false">INDEX($F80:$AG80,1,MATCH(AO$7,$F$7:$AG$7,1))</f>
        <v>0</v>
      </c>
    </row>
    <row r="81" customFormat="false" ht="15" hidden="false" customHeight="false" outlineLevel="0" collapsed="false">
      <c r="A81" s="112" t="s">
        <v>2558</v>
      </c>
      <c r="B81" s="24" t="s">
        <v>745</v>
      </c>
      <c r="C81" s="24" t="s">
        <v>672</v>
      </c>
      <c r="D81" s="24"/>
      <c r="F81" s="130" t="n">
        <f aca="false">F76*IF(DilMethod=3,1,1-$P$17)</f>
        <v>0</v>
      </c>
      <c r="G81" s="130" t="n">
        <f aca="false">G76*IF(DilMethod=3,1,1-$P$17)</f>
        <v>0</v>
      </c>
      <c r="H81" s="130" t="n">
        <f aca="false">H76*IF(DilMethod=3,1,1-$P$17)</f>
        <v>0</v>
      </c>
      <c r="I81" s="130" t="n">
        <f aca="false">I76*IF(DilMethod=3,1,1-$P$17)</f>
        <v>0</v>
      </c>
      <c r="J81" s="130" t="n">
        <f aca="false">J76*IF(DilMethod=3,1,1-$P$17)</f>
        <v>0</v>
      </c>
      <c r="K81" s="130" t="n">
        <f aca="false">K76*IF(DilMethod=3,1,1-$P$17)</f>
        <v>0</v>
      </c>
      <c r="L81" s="130" t="n">
        <f aca="false">L76*IF(DilMethod=3,1,1-$P$17)</f>
        <v>0</v>
      </c>
      <c r="M81" s="130" t="n">
        <f aca="false">M76*IF(DilMethod=3,1,1-$P$17)</f>
        <v>0</v>
      </c>
      <c r="N81" s="130" t="n">
        <f aca="false">N76*IF(DilMethod=3,1,1-$P$17)</f>
        <v>1751.50862068966</v>
      </c>
      <c r="O81" s="130" t="n">
        <f aca="false">O76*IF(DilMethod=3,1,1-$P$17)</f>
        <v>1763.98902821317</v>
      </c>
      <c r="P81" s="131" t="n">
        <f aca="false">P76*IF(DilMethod=3,1,1-$P$17)</f>
        <v>1776.6065830721</v>
      </c>
      <c r="Q81" s="131" t="n">
        <f aca="false">Q76*IF(DilMethod=3,1,1-$P$17)</f>
        <v>1789.22413793103</v>
      </c>
      <c r="R81" s="131" t="n">
        <f aca="false">R76*IF(DilMethod=3,1,1-$P$17)</f>
        <v>1801.56739811912</v>
      </c>
      <c r="S81" s="131" t="n">
        <f aca="false">S76*IF(DilMethod=3,1,1-$P$17)</f>
        <v>1814.04780564263</v>
      </c>
      <c r="T81" s="131" t="n">
        <f aca="false">T76*IF(DilMethod=3,1,1-$P$17)</f>
        <v>1826.66536050157</v>
      </c>
      <c r="U81" s="131" t="n">
        <f aca="false">U76*IF(DilMethod=3,1,1-$P$17)</f>
        <v>1839.2829153605</v>
      </c>
      <c r="V81" s="131" t="n">
        <f aca="false">V76*IF(DilMethod=3,1,1-$P$17)</f>
        <v>1851.76332288401</v>
      </c>
      <c r="W81" s="131" t="n">
        <f aca="false">W76*IF(DilMethod=3,1,1-$P$17)</f>
        <v>1864.24373040752</v>
      </c>
      <c r="X81" s="131" t="n">
        <f aca="false">X76*IF(DilMethod=3,1,1-$P$17)</f>
        <v>1876.86128526646</v>
      </c>
      <c r="Y81" s="131" t="n">
        <f aca="false">Y76*IF(DilMethod=3,1,1-$P$17)</f>
        <v>1889.47884012539</v>
      </c>
      <c r="Z81" s="131" t="n">
        <f aca="false">Z76*IF(DilMethod=3,1,1-$P$17)</f>
        <v>1901.82210031348</v>
      </c>
      <c r="AA81" s="131" t="n">
        <f aca="false">AA76*IF(DilMethod=3,1,1-$P$17)</f>
        <v>1914.30250783699</v>
      </c>
      <c r="AB81" s="131" t="n">
        <f aca="false">AB76*IF(DilMethod=3,1,1-$P$17)</f>
        <v>1926.92006269592</v>
      </c>
      <c r="AC81" s="131" t="n">
        <f aca="false">AC76*IF(DilMethod=3,1,1-$P$17)</f>
        <v>1939.53761755486</v>
      </c>
      <c r="AD81" s="131" t="n">
        <f aca="false">AD76*IF(DilMethod=3,1,1-$P$17)</f>
        <v>1951.88087774295</v>
      </c>
      <c r="AE81" s="131" t="n">
        <f aca="false">AE76*IF(DilMethod=3,1,1-$P$17)</f>
        <v>1964.36128526646</v>
      </c>
      <c r="AF81" s="131" t="n">
        <f aca="false">AF76*IF(DilMethod=3,1,1-$P$17)</f>
        <v>1976.97884012539</v>
      </c>
      <c r="AG81" s="131" t="n">
        <f aca="false">AG76*IF(DilMethod=3,1,1-$P$17)</f>
        <v>1989.59639498433</v>
      </c>
      <c r="AI81" s="131" t="n">
        <f aca="false">INDEX($F81:$AG81,1,MATCH(AI$7,$F$7:$AG$7,1))</f>
        <v>0</v>
      </c>
      <c r="AJ81" s="131" t="n">
        <f aca="false">INDEX($F81:$AG81,1,MATCH(AJ$7,$F$7:$AG$7,1))</f>
        <v>0</v>
      </c>
      <c r="AK81" s="131" t="n">
        <f aca="false">INDEX($F81:$AG81,1,MATCH(AK$7,$F$7:$AG$7,1))</f>
        <v>1789.22413793103</v>
      </c>
      <c r="AL81" s="131" t="n">
        <f aca="false">INDEX($F81:$AG81,1,MATCH(AL$7,$F$7:$AG$7,1))</f>
        <v>1839.2829153605</v>
      </c>
      <c r="AM81" s="131" t="n">
        <f aca="false">INDEX($F81:$AG81,1,MATCH(AM$7,$F$7:$AG$7,1))</f>
        <v>1889.47884012539</v>
      </c>
      <c r="AN81" s="131" t="n">
        <f aca="false">INDEX($F81:$AG81,1,MATCH(AN$7,$F$7:$AG$7,1))</f>
        <v>1939.53761755486</v>
      </c>
      <c r="AO81" s="131" t="n">
        <f aca="false">INDEX($F81:$AG81,1,MATCH(AO$7,$F$7:$AG$7,1))</f>
        <v>1989.59639498433</v>
      </c>
    </row>
    <row r="82" customFormat="false" ht="15" hidden="false" customHeight="false" outlineLevel="0" collapsed="false">
      <c r="A82" s="112" t="s">
        <v>2559</v>
      </c>
      <c r="B82" s="24" t="s">
        <v>745</v>
      </c>
      <c r="C82" s="24" t="s">
        <v>736</v>
      </c>
      <c r="D82" s="24"/>
      <c r="F82" s="130" t="n">
        <f aca="false">IF(AND(F$5&gt;=$M$18,F$5&lt;$N$18),$E$18-$F$18-IF(F$5&gt;=$H$18,$G$18,0),0)*($H$18&lt;&gt;0)+IF(AND(F$5&gt;=$M$18,F$5&lt;$N$18),$E$18-$F$18,0)*($H$18=0)</f>
        <v>0</v>
      </c>
      <c r="G82" s="130" t="n">
        <f aca="false">IF(AND(G$5&gt;=$M$18,G$5&lt;$N$18),$E$18-$F$18-IF(G$5&gt;=$H$18,$G$18,0),0)*($H$18&lt;&gt;0)+IF(AND(G$5&gt;=$M$18,G$5&lt;$N$18),$E$18-$F$18,0)*($H$18=0)</f>
        <v>0</v>
      </c>
      <c r="H82" s="130" t="n">
        <f aca="false">IF(AND(H$5&gt;=$M$18,H$5&lt;$N$18),$E$18-$F$18-IF(H$5&gt;=$H$18,$G$18,0),0)*($H$18&lt;&gt;0)+IF(AND(H$5&gt;=$M$18,H$5&lt;$N$18),$E$18-$F$18,0)*($H$18=0)</f>
        <v>0</v>
      </c>
      <c r="I82" s="130" t="n">
        <f aca="false">IF(AND(I$5&gt;=$M$18,I$5&lt;$N$18),$E$18-$F$18-IF(I$5&gt;=$H$18,$G$18,0),0)*($H$18&lt;&gt;0)+IF(AND(I$5&gt;=$M$18,I$5&lt;$N$18),$E$18-$F$18,0)*($H$18=0)</f>
        <v>0</v>
      </c>
      <c r="J82" s="130" t="n">
        <f aca="false">IF(AND(J$5&gt;=$M$18,J$5&lt;$N$18),$E$18-$F$18-IF(J$5&gt;=$H$18,$G$18,0),0)*($H$18&lt;&gt;0)+IF(AND(J$5&gt;=$M$18,J$5&lt;$N$18),$E$18-$F$18,0)*($H$18=0)</f>
        <v>0</v>
      </c>
      <c r="K82" s="130" t="n">
        <f aca="false">IF(AND(K$5&gt;=$M$18,K$5&lt;$N$18),$E$18-$F$18-IF(K$5&gt;=$H$18,$G$18,0),0)*($H$18&lt;&gt;0)+IF(AND(K$5&gt;=$M$18,K$5&lt;$N$18),$E$18-$F$18,0)*($H$18=0)</f>
        <v>0</v>
      </c>
      <c r="L82" s="130" t="n">
        <f aca="false">IF(AND(L$5&gt;=$M$18,L$5&lt;$N$18),$E$18-$F$18-IF(L$5&gt;=$H$18,$G$18,0),0)*($H$18&lt;&gt;0)+IF(AND(L$5&gt;=$M$18,L$5&lt;$N$18),$E$18-$F$18,0)*($H$18=0)</f>
        <v>0</v>
      </c>
      <c r="M82" s="130" t="n">
        <f aca="false">IF(AND(M$5&gt;=$M$18,M$5&lt;$N$18),$E$18-$F$18-IF(M$5&gt;=$H$18,$G$18,0),0)*($H$18&lt;&gt;0)+IF(AND(M$5&gt;=$M$18,M$5&lt;$N$18),$E$18-$F$18,0)*($H$18=0)</f>
        <v>0</v>
      </c>
      <c r="N82" s="130" t="n">
        <f aca="false">IF(AND(N$5&gt;=$M$18,N$5&lt;$N$18),$E$18-$F$18-IF(N$5&gt;=$H$18,$G$18,0),0)*($H$18&lt;&gt;0)+IF(AND(N$5&gt;=$M$18,N$5&lt;$N$18),$E$18-$F$18,0)*($H$18=0)</f>
        <v>0</v>
      </c>
      <c r="O82" s="130" t="n">
        <f aca="false">IF(AND(O$5&gt;=$M$18,O$5&lt;$N$18),$E$18-$F$18-IF(O$5&gt;=$H$18,$G$18,0),0)*($H$18&lt;&gt;0)+IF(AND(O$5&gt;=$M$18,O$5&lt;$N$18),$E$18-$F$18,0)*($H$18=0)</f>
        <v>0</v>
      </c>
      <c r="P82" s="131" t="n">
        <f aca="false">IF(AND(P$5&gt;=$M$18,P$5&lt;$N$18),$E$18-$F$18-IF(P$5&gt;=$H$18,$G$18,0),0)*($H$18&lt;&gt;0)+IF(AND(P$5&gt;=$M$18,P$5&lt;$N$18),$E$18-$F$18,0)*($H$18=0)</f>
        <v>3450</v>
      </c>
      <c r="Q82" s="131" t="n">
        <f aca="false">IF(AND(Q$5&gt;=$M$18,Q$5&lt;$N$18),$E$18-$F$18-IF(Q$5&gt;=$H$18,$G$18,0),0)*($H$18&lt;&gt;0)+IF(AND(Q$5&gt;=$M$18,Q$5&lt;$N$18),$E$18-$F$18,0)*($H$18=0)</f>
        <v>3450</v>
      </c>
      <c r="R82" s="131" t="n">
        <f aca="false">IF(AND(R$5&gt;=$M$18,R$5&lt;$N$18),$E$18-$F$18-IF(R$5&gt;=$H$18,$G$18,0),0)*($H$18&lt;&gt;0)+IF(AND(R$5&gt;=$M$18,R$5&lt;$N$18),$E$18-$F$18,0)*($H$18=0)</f>
        <v>3450</v>
      </c>
      <c r="S82" s="131" t="n">
        <f aca="false">IF(AND(S$5&gt;=$M$18,S$5&lt;$N$18),$E$18-$F$18-IF(S$5&gt;=$H$18,$G$18,0),0)*($H$18&lt;&gt;0)+IF(AND(S$5&gt;=$M$18,S$5&lt;$N$18),$E$18-$F$18,0)*($H$18=0)</f>
        <v>3450</v>
      </c>
      <c r="T82" s="131" t="n">
        <f aca="false">IF(AND(T$5&gt;=$M$18,T$5&lt;$N$18),$E$18-$F$18-IF(T$5&gt;=$H$18,$G$18,0),0)*($H$18&lt;&gt;0)+IF(AND(T$5&gt;=$M$18,T$5&lt;$N$18),$E$18-$F$18,0)*($H$18=0)</f>
        <v>3450</v>
      </c>
      <c r="U82" s="131" t="n">
        <f aca="false">IF(AND(U$5&gt;=$M$18,U$5&lt;$N$18),$E$18-$F$18-IF(U$5&gt;=$H$18,$G$18,0),0)*($H$18&lt;&gt;0)+IF(AND(U$5&gt;=$M$18,U$5&lt;$N$18),$E$18-$F$18,0)*($H$18=0)</f>
        <v>3450</v>
      </c>
      <c r="V82" s="131" t="n">
        <f aca="false">IF(AND(V$5&gt;=$M$18,V$5&lt;$N$18),$E$18-$F$18-IF(V$5&gt;=$H$18,$G$18,0),0)*($H$18&lt;&gt;0)+IF(AND(V$5&gt;=$M$18,V$5&lt;$N$18),$E$18-$F$18,0)*($H$18=0)</f>
        <v>3450</v>
      </c>
      <c r="W82" s="131" t="n">
        <f aca="false">IF(AND(W$5&gt;=$M$18,W$5&lt;$N$18),$E$18-$F$18-IF(W$5&gt;=$H$18,$G$18,0),0)*($H$18&lt;&gt;0)+IF(AND(W$5&gt;=$M$18,W$5&lt;$N$18),$E$18-$F$18,0)*($H$18=0)</f>
        <v>3450</v>
      </c>
      <c r="X82" s="131" t="n">
        <f aca="false">IF(AND(X$5&gt;=$M$18,X$5&lt;$N$18),$E$18-$F$18-IF(X$5&gt;=$H$18,$G$18,0),0)*($H$18&lt;&gt;0)+IF(AND(X$5&gt;=$M$18,X$5&lt;$N$18),$E$18-$F$18,0)*($H$18=0)</f>
        <v>3450</v>
      </c>
      <c r="Y82" s="131" t="n">
        <f aca="false">IF(AND(Y$5&gt;=$M$18,Y$5&lt;$N$18),$E$18-$F$18-IF(Y$5&gt;=$H$18,$G$18,0),0)*($H$18&lt;&gt;0)+IF(AND(Y$5&gt;=$M$18,Y$5&lt;$N$18),$E$18-$F$18,0)*($H$18=0)</f>
        <v>3450</v>
      </c>
      <c r="Z82" s="131" t="n">
        <f aca="false">IF(AND(Z$5&gt;=$M$18,Z$5&lt;$N$18),$E$18-$F$18-IF(Z$5&gt;=$H$18,$G$18,0),0)*($H$18&lt;&gt;0)+IF(AND(Z$5&gt;=$M$18,Z$5&lt;$N$18),$E$18-$F$18,0)*($H$18=0)</f>
        <v>3450</v>
      </c>
      <c r="AA82" s="131" t="n">
        <f aca="false">IF(AND(AA$5&gt;=$M$18,AA$5&lt;$N$18),$E$18-$F$18-IF(AA$5&gt;=$H$18,$G$18,0),0)*($H$18&lt;&gt;0)+IF(AND(AA$5&gt;=$M$18,AA$5&lt;$N$18),$E$18-$F$18,0)*($H$18=0)</f>
        <v>3450</v>
      </c>
      <c r="AB82" s="131" t="n">
        <f aca="false">IF(AND(AB$5&gt;=$M$18,AB$5&lt;$N$18),$E$18-$F$18-IF(AB$5&gt;=$H$18,$G$18,0),0)*($H$18&lt;&gt;0)+IF(AND(AB$5&gt;=$M$18,AB$5&lt;$N$18),$E$18-$F$18,0)*($H$18=0)</f>
        <v>3450</v>
      </c>
      <c r="AC82" s="131" t="n">
        <f aca="false">IF(AND(AC$5&gt;=$M$18,AC$5&lt;$N$18),$E$18-$F$18-IF(AC$5&gt;=$H$18,$G$18,0),0)*($H$18&lt;&gt;0)+IF(AND(AC$5&gt;=$M$18,AC$5&lt;$N$18),$E$18-$F$18,0)*($H$18=0)</f>
        <v>3450</v>
      </c>
      <c r="AD82" s="131" t="n">
        <f aca="false">IF(AND(AD$5&gt;=$M$18,AD$5&lt;$N$18),$E$18-$F$18-IF(AD$5&gt;=$H$18,$G$18,0),0)*($H$18&lt;&gt;0)+IF(AND(AD$5&gt;=$M$18,AD$5&lt;$N$18),$E$18-$F$18,0)*($H$18=0)</f>
        <v>0</v>
      </c>
      <c r="AE82" s="131" t="n">
        <f aca="false">IF(AND(AE$5&gt;=$M$18,AE$5&lt;$N$18),$E$18-$F$18-IF(AE$5&gt;=$H$18,$G$18,0),0)*($H$18&lt;&gt;0)+IF(AND(AE$5&gt;=$M$18,AE$5&lt;$N$18),$E$18-$F$18,0)*($H$18=0)</f>
        <v>0</v>
      </c>
      <c r="AF82" s="131" t="n">
        <f aca="false">IF(AND(AF$5&gt;=$M$18,AF$5&lt;$N$18),$E$18-$F$18-IF(AF$5&gt;=$H$18,$G$18,0),0)*($H$18&lt;&gt;0)+IF(AND(AF$5&gt;=$M$18,AF$5&lt;$N$18),$E$18-$F$18,0)*($H$18=0)</f>
        <v>0</v>
      </c>
      <c r="AG82" s="131" t="n">
        <f aca="false">IF(AND(AG$5&gt;=$M$18,AG$5&lt;$N$18),$E$18-$F$18-IF(AG$5&gt;=$H$18,$G$18,0),0)*($H$18&lt;&gt;0)+IF(AND(AG$5&gt;=$M$18,AG$5&lt;$N$18),$E$18-$F$18,0)*($H$18=0)</f>
        <v>0</v>
      </c>
      <c r="AI82" s="131" t="n">
        <f aca="false">INDEX($F82:$AG82,1,MATCH(AI$7,$F$7:$AG$7,1))</f>
        <v>0</v>
      </c>
      <c r="AJ82" s="131" t="n">
        <f aca="false">INDEX($F82:$AG82,1,MATCH(AJ$7,$F$7:$AG$7,1))</f>
        <v>0</v>
      </c>
      <c r="AK82" s="131" t="n">
        <f aca="false">INDEX($F82:$AG82,1,MATCH(AK$7,$F$7:$AG$7,1))</f>
        <v>3450</v>
      </c>
      <c r="AL82" s="131" t="n">
        <f aca="false">INDEX($F82:$AG82,1,MATCH(AL$7,$F$7:$AG$7,1))</f>
        <v>3450</v>
      </c>
      <c r="AM82" s="131" t="n">
        <f aca="false">INDEX($F82:$AG82,1,MATCH(AM$7,$F$7:$AG$7,1))</f>
        <v>3450</v>
      </c>
      <c r="AN82" s="131" t="n">
        <f aca="false">INDEX($F82:$AG82,1,MATCH(AN$7,$F$7:$AG$7,1))</f>
        <v>3450</v>
      </c>
      <c r="AO82" s="131" t="n">
        <f aca="false">INDEX($F82:$AG82,1,MATCH(AO$7,$F$7:$AG$7,1))</f>
        <v>0</v>
      </c>
    </row>
    <row r="83" customFormat="false" ht="15" hidden="false" customHeight="false" outlineLevel="0" collapsed="false">
      <c r="A83" s="112" t="s">
        <v>2560</v>
      </c>
      <c r="B83" s="24" t="s">
        <v>745</v>
      </c>
      <c r="C83" s="24" t="s">
        <v>736</v>
      </c>
      <c r="D83" s="24"/>
      <c r="F83" s="130" t="n">
        <f aca="false">F82*$C$18/4</f>
        <v>0</v>
      </c>
      <c r="G83" s="130" t="n">
        <f aca="false">G82*$C$18/4</f>
        <v>0</v>
      </c>
      <c r="H83" s="130" t="n">
        <f aca="false">H82*$C$18/4</f>
        <v>0</v>
      </c>
      <c r="I83" s="130" t="n">
        <f aca="false">I82*$C$18/4</f>
        <v>0</v>
      </c>
      <c r="J83" s="130" t="n">
        <f aca="false">J82*$C$18/4</f>
        <v>0</v>
      </c>
      <c r="K83" s="130" t="n">
        <f aca="false">K82*$C$18/4</f>
        <v>0</v>
      </c>
      <c r="L83" s="130" t="n">
        <f aca="false">L82*$C$18/4</f>
        <v>0</v>
      </c>
      <c r="M83" s="130" t="n">
        <f aca="false">M82*$C$18/4</f>
        <v>0</v>
      </c>
      <c r="N83" s="130" t="n">
        <f aca="false">N82*$C$18/4</f>
        <v>0</v>
      </c>
      <c r="O83" s="130" t="n">
        <f aca="false">O82*$C$18/4</f>
        <v>0</v>
      </c>
      <c r="P83" s="131" t="n">
        <f aca="false">P82*$C$18/4</f>
        <v>4.3125</v>
      </c>
      <c r="Q83" s="131" t="n">
        <f aca="false">Q82*$C$18/4</f>
        <v>4.3125</v>
      </c>
      <c r="R83" s="131" t="n">
        <f aca="false">R82*$C$18/4</f>
        <v>4.3125</v>
      </c>
      <c r="S83" s="131" t="n">
        <f aca="false">S82*$C$18/4</f>
        <v>4.3125</v>
      </c>
      <c r="T83" s="131" t="n">
        <f aca="false">T82*$C$18/4</f>
        <v>4.3125</v>
      </c>
      <c r="U83" s="131" t="n">
        <f aca="false">U82*$C$18/4</f>
        <v>4.3125</v>
      </c>
      <c r="V83" s="131" t="n">
        <f aca="false">V82*$C$18/4</f>
        <v>4.3125</v>
      </c>
      <c r="W83" s="131" t="n">
        <f aca="false">W82*$C$18/4</f>
        <v>4.3125</v>
      </c>
      <c r="X83" s="131" t="n">
        <f aca="false">X82*$C$18/4</f>
        <v>4.3125</v>
      </c>
      <c r="Y83" s="131" t="n">
        <f aca="false">Y82*$C$18/4</f>
        <v>4.3125</v>
      </c>
      <c r="Z83" s="131" t="n">
        <f aca="false">Z82*$C$18/4</f>
        <v>4.3125</v>
      </c>
      <c r="AA83" s="131" t="n">
        <f aca="false">AA82*$C$18/4</f>
        <v>4.3125</v>
      </c>
      <c r="AB83" s="131" t="n">
        <f aca="false">AB82*$C$18/4</f>
        <v>4.3125</v>
      </c>
      <c r="AC83" s="131" t="n">
        <f aca="false">AC82*$C$18/4</f>
        <v>4.3125</v>
      </c>
      <c r="AD83" s="131" t="n">
        <f aca="false">AD82*$C$18/4</f>
        <v>0</v>
      </c>
      <c r="AE83" s="131" t="n">
        <f aca="false">AE82*$C$18/4</f>
        <v>0</v>
      </c>
      <c r="AF83" s="131" t="n">
        <f aca="false">AF82*$C$18/4</f>
        <v>0</v>
      </c>
      <c r="AG83" s="131" t="n">
        <f aca="false">AG82*$C$18/4</f>
        <v>0</v>
      </c>
      <c r="AI83" s="131" t="n">
        <f aca="false">SUMIF($F$7:$AG$7,AI$7,$F83:$AG83)</f>
        <v>0</v>
      </c>
      <c r="AJ83" s="131" t="n">
        <f aca="false">SUMIF($F$7:$AG$7,AJ$7,$F83:$AG83)</f>
        <v>0</v>
      </c>
      <c r="AK83" s="131" t="n">
        <f aca="false">SUMIF($F$7:$AG$7,AK$7,$F83:$AG83)</f>
        <v>8.625</v>
      </c>
      <c r="AL83" s="131" t="n">
        <f aca="false">SUMIF($F$7:$AG$7,AL$7,$F83:$AG83)</f>
        <v>17.25</v>
      </c>
      <c r="AM83" s="131" t="n">
        <f aca="false">SUMIF($F$7:$AG$7,AM$7,$F83:$AG83)</f>
        <v>17.25</v>
      </c>
      <c r="AN83" s="131" t="n">
        <f aca="false">SUMIF($F$7:$AG$7,AN$7,$F83:$AG83)</f>
        <v>17.25</v>
      </c>
      <c r="AO83" s="131" t="n">
        <f aca="false">SUMIF($F$7:$AG$7,AO$7,$F83:$AG83)</f>
        <v>0</v>
      </c>
    </row>
    <row r="84" customFormat="false" ht="15" hidden="false" customHeight="false" outlineLevel="0" collapsed="false">
      <c r="A84" s="112" t="s">
        <v>2561</v>
      </c>
      <c r="B84" s="24" t="s">
        <v>745</v>
      </c>
      <c r="C84" s="24" t="s">
        <v>736</v>
      </c>
      <c r="D84" s="24"/>
      <c r="F84" s="130" t="n">
        <f aca="false">F82*($J$18-1)/(($D$18-$B$18)/91.3125)</f>
        <v>0</v>
      </c>
      <c r="G84" s="130" t="n">
        <f aca="false">G82*($J$18-1)/(($D$18-$B$18)/91.3125)</f>
        <v>0</v>
      </c>
      <c r="H84" s="130" t="n">
        <f aca="false">H82*($J$18-1)/(($D$18-$B$18)/91.3125)</f>
        <v>0</v>
      </c>
      <c r="I84" s="130" t="n">
        <f aca="false">I82*($J$18-1)/(($D$18-$B$18)/91.3125)</f>
        <v>0</v>
      </c>
      <c r="J84" s="130" t="n">
        <f aca="false">J82*($J$18-1)/(($D$18-$B$18)/91.3125)</f>
        <v>0</v>
      </c>
      <c r="K84" s="130" t="n">
        <f aca="false">K82*($J$18-1)/(($D$18-$B$18)/91.3125)</f>
        <v>0</v>
      </c>
      <c r="L84" s="130" t="n">
        <f aca="false">L82*($J$18-1)/(($D$18-$B$18)/91.3125)</f>
        <v>0</v>
      </c>
      <c r="M84" s="130" t="n">
        <f aca="false">M82*($J$18-1)/(($D$18-$B$18)/91.3125)</f>
        <v>0</v>
      </c>
      <c r="N84" s="130" t="n">
        <f aca="false">N82*($J$18-1)/(($D$18-$B$18)/91.3125)</f>
        <v>0</v>
      </c>
      <c r="O84" s="130" t="n">
        <f aca="false">O82*($J$18-1)/(($D$18-$B$18)/91.3125)</f>
        <v>0</v>
      </c>
      <c r="P84" s="131" t="n">
        <f aca="false">P82*($J$18-1)/(($D$18-$B$18)/91.3125)</f>
        <v>24.7858477576711</v>
      </c>
      <c r="Q84" s="131" t="n">
        <f aca="false">Q82*($J$18-1)/(($D$18-$B$18)/91.3125)</f>
        <v>24.7858477576711</v>
      </c>
      <c r="R84" s="131" t="n">
        <f aca="false">R82*($J$18-1)/(($D$18-$B$18)/91.3125)</f>
        <v>24.7858477576711</v>
      </c>
      <c r="S84" s="131" t="n">
        <f aca="false">S82*($J$18-1)/(($D$18-$B$18)/91.3125)</f>
        <v>24.7858477576711</v>
      </c>
      <c r="T84" s="131" t="n">
        <f aca="false">T82*($J$18-1)/(($D$18-$B$18)/91.3125)</f>
        <v>24.7858477576711</v>
      </c>
      <c r="U84" s="131" t="n">
        <f aca="false">U82*($J$18-1)/(($D$18-$B$18)/91.3125)</f>
        <v>24.7858477576711</v>
      </c>
      <c r="V84" s="131" t="n">
        <f aca="false">V82*($J$18-1)/(($D$18-$B$18)/91.3125)</f>
        <v>24.7858477576711</v>
      </c>
      <c r="W84" s="131" t="n">
        <f aca="false">W82*($J$18-1)/(($D$18-$B$18)/91.3125)</f>
        <v>24.7858477576711</v>
      </c>
      <c r="X84" s="131" t="n">
        <f aca="false">X82*($J$18-1)/(($D$18-$B$18)/91.3125)</f>
        <v>24.7858477576711</v>
      </c>
      <c r="Y84" s="131" t="n">
        <f aca="false">Y82*($J$18-1)/(($D$18-$B$18)/91.3125)</f>
        <v>24.7858477576711</v>
      </c>
      <c r="Z84" s="131" t="n">
        <f aca="false">Z82*($J$18-1)/(($D$18-$B$18)/91.3125)</f>
        <v>24.7858477576711</v>
      </c>
      <c r="AA84" s="131" t="n">
        <f aca="false">AA82*($J$18-1)/(($D$18-$B$18)/91.3125)</f>
        <v>24.7858477576711</v>
      </c>
      <c r="AB84" s="131" t="n">
        <f aca="false">AB82*($J$18-1)/(($D$18-$B$18)/91.3125)</f>
        <v>24.7858477576711</v>
      </c>
      <c r="AC84" s="131" t="n">
        <f aca="false">AC82*($J$18-1)/(($D$18-$B$18)/91.3125)</f>
        <v>24.7858477576711</v>
      </c>
      <c r="AD84" s="131" t="n">
        <f aca="false">AD82*($J$18-1)/(($D$18-$B$18)/91.3125)</f>
        <v>0</v>
      </c>
      <c r="AE84" s="131" t="n">
        <f aca="false">AE82*($J$18-1)/(($D$18-$B$18)/91.3125)</f>
        <v>0</v>
      </c>
      <c r="AF84" s="131" t="n">
        <f aca="false">AF82*($J$18-1)/(($D$18-$B$18)/91.3125)</f>
        <v>0</v>
      </c>
      <c r="AG84" s="131" t="n">
        <f aca="false">AG82*($J$18-1)/(($D$18-$B$18)/91.3125)</f>
        <v>0</v>
      </c>
      <c r="AI84" s="131" t="n">
        <f aca="false">SUMIF($F$7:$AG$7,AI$7,$F84:$AG84)</f>
        <v>0</v>
      </c>
      <c r="AJ84" s="131" t="n">
        <f aca="false">SUMIF($F$7:$AG$7,AJ$7,$F84:$AG84)</f>
        <v>0</v>
      </c>
      <c r="AK84" s="131" t="n">
        <f aca="false">SUMIF($F$7:$AG$7,AK$7,$F84:$AG84)</f>
        <v>49.5716955153423</v>
      </c>
      <c r="AL84" s="131" t="n">
        <f aca="false">SUMIF($F$7:$AG$7,AL$7,$F84:$AG84)</f>
        <v>99.1433910306846</v>
      </c>
      <c r="AM84" s="131" t="n">
        <f aca="false">SUMIF($F$7:$AG$7,AM$7,$F84:$AG84)</f>
        <v>99.1433910306846</v>
      </c>
      <c r="AN84" s="131" t="n">
        <f aca="false">SUMIF($F$7:$AG$7,AN$7,$F84:$AG84)</f>
        <v>99.1433910306846</v>
      </c>
      <c r="AO84" s="131" t="n">
        <f aca="false">SUMIF($F$7:$AG$7,AO$7,$F84:$AG84)</f>
        <v>0</v>
      </c>
    </row>
    <row r="85" customFormat="false" ht="15" hidden="false" customHeight="false" outlineLevel="0" collapsed="false">
      <c r="A85" s="112" t="s">
        <v>2562</v>
      </c>
      <c r="B85" s="24" t="s">
        <v>745</v>
      </c>
      <c r="C85" s="24" t="s">
        <v>736</v>
      </c>
      <c r="D85" s="24"/>
      <c r="F85" s="130" t="n">
        <f aca="false">F82*(1+($J$18-1)*MIN(1,MAX(0,(F$4-$B$18)/($D$18-$B$18))))</f>
        <v>0</v>
      </c>
      <c r="G85" s="130" t="n">
        <f aca="false">G82*(1+($J$18-1)*MIN(1,MAX(0,(G$4-$B$18)/($D$18-$B$18))))</f>
        <v>0</v>
      </c>
      <c r="H85" s="130" t="n">
        <f aca="false">H82*(1+($J$18-1)*MIN(1,MAX(0,(H$4-$B$18)/($D$18-$B$18))))</f>
        <v>0</v>
      </c>
      <c r="I85" s="130" t="n">
        <f aca="false">I82*(1+($J$18-1)*MIN(1,MAX(0,(I$4-$B$18)/($D$18-$B$18))))</f>
        <v>0</v>
      </c>
      <c r="J85" s="130" t="n">
        <f aca="false">J82*(1+($J$18-1)*MIN(1,MAX(0,(J$4-$B$18)/($D$18-$B$18))))</f>
        <v>0</v>
      </c>
      <c r="K85" s="130" t="n">
        <f aca="false">K82*(1+($J$18-1)*MIN(1,MAX(0,(K$4-$B$18)/($D$18-$B$18))))</f>
        <v>0</v>
      </c>
      <c r="L85" s="130" t="n">
        <f aca="false">L82*(1+($J$18-1)*MIN(1,MAX(0,(L$4-$B$18)/($D$18-$B$18))))</f>
        <v>0</v>
      </c>
      <c r="M85" s="130" t="n">
        <f aca="false">M82*(1+($J$18-1)*MIN(1,MAX(0,(M$4-$B$18)/($D$18-$B$18))))</f>
        <v>0</v>
      </c>
      <c r="N85" s="130" t="n">
        <f aca="false">N82*(1+($J$18-1)*MIN(1,MAX(0,(N$4-$B$18)/($D$18-$B$18))))</f>
        <v>0</v>
      </c>
      <c r="O85" s="130" t="n">
        <f aca="false">O82*(1+($J$18-1)*MIN(1,MAX(0,(O$4-$B$18)/($D$18-$B$18))))</f>
        <v>0</v>
      </c>
      <c r="P85" s="131" t="n">
        <f aca="false">P82*(1+($J$18-1)*MIN(1,MAX(0,(P$4-$B$18)/($D$18-$B$18))))</f>
        <v>3460.04327301338</v>
      </c>
      <c r="Q85" s="131" t="n">
        <f aca="false">Q82*(1+($J$18-1)*MIN(1,MAX(0,(Q$4-$B$18)/($D$18-$B$18))))</f>
        <v>3485.01573564123</v>
      </c>
      <c r="R85" s="131" t="n">
        <f aca="false">R82*(1+($J$18-1)*MIN(1,MAX(0,(R$4-$B$18)/($D$18-$B$18))))</f>
        <v>3509.44531864674</v>
      </c>
      <c r="S85" s="131" t="n">
        <f aca="false">S82*(1+($J$18-1)*MIN(1,MAX(0,(S$4-$B$18)/($D$18-$B$18))))</f>
        <v>3534.14634146341</v>
      </c>
      <c r="T85" s="131" t="n">
        <f aca="false">T82*(1+($J$18-1)*MIN(1,MAX(0,(T$4-$B$18)/($D$18-$B$18))))</f>
        <v>3559.11880409127</v>
      </c>
      <c r="U85" s="131" t="n">
        <f aca="false">U82*(1+($J$18-1)*MIN(1,MAX(0,(U$4-$B$18)/($D$18-$B$18))))</f>
        <v>3584.09126671912</v>
      </c>
      <c r="V85" s="131" t="n">
        <f aca="false">V82*(1+($J$18-1)*MIN(1,MAX(0,(V$4-$B$18)/($D$18-$B$18))))</f>
        <v>3608.7922895358</v>
      </c>
      <c r="W85" s="131" t="n">
        <f aca="false">W82*(1+($J$18-1)*MIN(1,MAX(0,(W$4-$B$18)/($D$18-$B$18))))</f>
        <v>3633.49331235248</v>
      </c>
      <c r="X85" s="131" t="n">
        <f aca="false">X82*(1+($J$18-1)*MIN(1,MAX(0,(X$4-$B$18)/($D$18-$B$18))))</f>
        <v>3658.46577498033</v>
      </c>
      <c r="Y85" s="131" t="n">
        <f aca="false">Y82*(1+($J$18-1)*MIN(1,MAX(0,(Y$4-$B$18)/($D$18-$B$18))))</f>
        <v>3683.43823760818</v>
      </c>
      <c r="Z85" s="131" t="n">
        <f aca="false">Z82*(1+($J$18-1)*MIN(1,MAX(0,(Z$4-$B$18)/($D$18-$B$18))))</f>
        <v>3707.86782061369</v>
      </c>
      <c r="AA85" s="131" t="n">
        <f aca="false">AA82*(1+($J$18-1)*MIN(1,MAX(0,(AA$4-$B$18)/($D$18-$B$18))))</f>
        <v>3732.56884343037</v>
      </c>
      <c r="AB85" s="131" t="n">
        <f aca="false">AB82*(1+($J$18-1)*MIN(1,MAX(0,(AB$4-$B$18)/($D$18-$B$18))))</f>
        <v>3757.54130605822</v>
      </c>
      <c r="AC85" s="131" t="n">
        <f aca="false">AC82*(1+($J$18-1)*MIN(1,MAX(0,(AC$4-$B$18)/($D$18-$B$18))))</f>
        <v>3782.51376868607</v>
      </c>
      <c r="AD85" s="131" t="n">
        <f aca="false">AD82*(1+($J$18-1)*MIN(1,MAX(0,(AD$4-$B$18)/($D$18-$B$18))))</f>
        <v>0</v>
      </c>
      <c r="AE85" s="131" t="n">
        <f aca="false">AE82*(1+($J$18-1)*MIN(1,MAX(0,(AE$4-$B$18)/($D$18-$B$18))))</f>
        <v>0</v>
      </c>
      <c r="AF85" s="131" t="n">
        <f aca="false">AF82*(1+($J$18-1)*MIN(1,MAX(0,(AF$4-$B$18)/($D$18-$B$18))))</f>
        <v>0</v>
      </c>
      <c r="AG85" s="131" t="n">
        <f aca="false">AG82*(1+($J$18-1)*MIN(1,MAX(0,(AG$4-$B$18)/($D$18-$B$18))))</f>
        <v>0</v>
      </c>
      <c r="AI85" s="131" t="n">
        <f aca="false">INDEX($F85:$AG85,1,MATCH(AI$7,$F$7:$AG$7,1))</f>
        <v>0</v>
      </c>
      <c r="AJ85" s="131" t="n">
        <f aca="false">INDEX($F85:$AG85,1,MATCH(AJ$7,$F$7:$AG$7,1))</f>
        <v>0</v>
      </c>
      <c r="AK85" s="131" t="n">
        <f aca="false">INDEX($F85:$AG85,1,MATCH(AK$7,$F$7:$AG$7,1))</f>
        <v>3485.01573564123</v>
      </c>
      <c r="AL85" s="131" t="n">
        <f aca="false">INDEX($F85:$AG85,1,MATCH(AL$7,$F$7:$AG$7,1))</f>
        <v>3584.09126671912</v>
      </c>
      <c r="AM85" s="131" t="n">
        <f aca="false">INDEX($F85:$AG85,1,MATCH(AM$7,$F$7:$AG$7,1))</f>
        <v>3683.43823760818</v>
      </c>
      <c r="AN85" s="131" t="n">
        <f aca="false">INDEX($F85:$AG85,1,MATCH(AN$7,$F$7:$AG$7,1))</f>
        <v>3782.51376868607</v>
      </c>
      <c r="AO85" s="131" t="n">
        <f aca="false">INDEX($F85:$AG85,1,MATCH(AO$7,$F$7:$AG$7,1))</f>
        <v>0</v>
      </c>
    </row>
    <row r="86" customFormat="false" ht="15" hidden="false" customHeight="false" outlineLevel="0" collapsed="false">
      <c r="A86" s="112" t="s">
        <v>2563</v>
      </c>
      <c r="B86" s="24" t="s">
        <v>745</v>
      </c>
      <c r="C86" s="24" t="s">
        <v>736</v>
      </c>
      <c r="D86" s="24"/>
      <c r="F86" s="130" t="n">
        <f aca="false">F82*($S$18+($J$18-$S$18)*MIN(1,MAX(0,(F$4-$T$18)/($D$18-$T$18))))</f>
        <v>0</v>
      </c>
      <c r="G86" s="130" t="n">
        <f aca="false">G82*($S$18+($J$18-$S$18)*MIN(1,MAX(0,(G$4-$T$18)/($D$18-$T$18))))</f>
        <v>0</v>
      </c>
      <c r="H86" s="130" t="n">
        <f aca="false">H82*($S$18+($J$18-$S$18)*MIN(1,MAX(0,(H$4-$T$18)/($D$18-$T$18))))</f>
        <v>0</v>
      </c>
      <c r="I86" s="130" t="n">
        <f aca="false">I82*($S$18+($J$18-$S$18)*MIN(1,MAX(0,(I$4-$T$18)/($D$18-$T$18))))</f>
        <v>0</v>
      </c>
      <c r="J86" s="130" t="n">
        <f aca="false">J82*($S$18+($J$18-$S$18)*MIN(1,MAX(0,(J$4-$T$18)/($D$18-$T$18))))</f>
        <v>0</v>
      </c>
      <c r="K86" s="130" t="n">
        <f aca="false">K82*($S$18+($J$18-$S$18)*MIN(1,MAX(0,(K$4-$T$18)/($D$18-$T$18))))</f>
        <v>0</v>
      </c>
      <c r="L86" s="130" t="n">
        <f aca="false">L82*($S$18+($J$18-$S$18)*MIN(1,MAX(0,(L$4-$T$18)/($D$18-$T$18))))</f>
        <v>0</v>
      </c>
      <c r="M86" s="130" t="n">
        <f aca="false">M82*($S$18+($J$18-$S$18)*MIN(1,MAX(0,(M$4-$T$18)/($D$18-$T$18))))</f>
        <v>0</v>
      </c>
      <c r="N86" s="130" t="n">
        <f aca="false">N82*($S$18+($J$18-$S$18)*MIN(1,MAX(0,(N$4-$T$18)/($D$18-$T$18))))</f>
        <v>0</v>
      </c>
      <c r="O86" s="130" t="n">
        <f aca="false">O82*($S$18+($J$18-$S$18)*MIN(1,MAX(0,(O$4-$T$18)/($D$18-$T$18))))</f>
        <v>0</v>
      </c>
      <c r="P86" s="131" t="n">
        <f aca="false">P82*($S$18+($J$18-$S$18)*MIN(1,MAX(0,(P$4-$T$18)/($D$18-$T$18))))</f>
        <v>3460.04327301338</v>
      </c>
      <c r="Q86" s="131" t="n">
        <f aca="false">Q82*($S$18+($J$18-$S$18)*MIN(1,MAX(0,(Q$4-$T$18)/($D$18-$T$18))))</f>
        <v>3485.01573564123</v>
      </c>
      <c r="R86" s="131" t="n">
        <f aca="false">R82*($S$18+($J$18-$S$18)*MIN(1,MAX(0,(R$4-$T$18)/($D$18-$T$18))))</f>
        <v>3509.44531864674</v>
      </c>
      <c r="S86" s="131" t="n">
        <f aca="false">S82*($S$18+($J$18-$S$18)*MIN(1,MAX(0,(S$4-$T$18)/($D$18-$T$18))))</f>
        <v>3534.14634146341</v>
      </c>
      <c r="T86" s="131" t="n">
        <f aca="false">T82*($S$18+($J$18-$S$18)*MIN(1,MAX(0,(T$4-$T$18)/($D$18-$T$18))))</f>
        <v>3559.11880409127</v>
      </c>
      <c r="U86" s="131" t="n">
        <f aca="false">U82*($S$18+($J$18-$S$18)*MIN(1,MAX(0,(U$4-$T$18)/($D$18-$T$18))))</f>
        <v>3584.09126671912</v>
      </c>
      <c r="V86" s="131" t="n">
        <f aca="false">V82*($S$18+($J$18-$S$18)*MIN(1,MAX(0,(V$4-$T$18)/($D$18-$T$18))))</f>
        <v>3608.7922895358</v>
      </c>
      <c r="W86" s="131" t="n">
        <f aca="false">W82*($S$18+($J$18-$S$18)*MIN(1,MAX(0,(W$4-$T$18)/($D$18-$T$18))))</f>
        <v>3633.49331235248</v>
      </c>
      <c r="X86" s="131" t="n">
        <f aca="false">X82*($S$18+($J$18-$S$18)*MIN(1,MAX(0,(X$4-$T$18)/($D$18-$T$18))))</f>
        <v>3658.46577498033</v>
      </c>
      <c r="Y86" s="131" t="n">
        <f aca="false">Y82*($S$18+($J$18-$S$18)*MIN(1,MAX(0,(Y$4-$T$18)/($D$18-$T$18))))</f>
        <v>3683.43823760818</v>
      </c>
      <c r="Z86" s="131" t="n">
        <f aca="false">Z82*($S$18+($J$18-$S$18)*MIN(1,MAX(0,(Z$4-$T$18)/($D$18-$T$18))))</f>
        <v>3707.86782061369</v>
      </c>
      <c r="AA86" s="131" t="n">
        <f aca="false">AA82*($S$18+($J$18-$S$18)*MIN(1,MAX(0,(AA$4-$T$18)/($D$18-$T$18))))</f>
        <v>3732.56884343037</v>
      </c>
      <c r="AB86" s="131" t="n">
        <f aca="false">AB82*($S$18+($J$18-$S$18)*MIN(1,MAX(0,(AB$4-$T$18)/($D$18-$T$18))))</f>
        <v>3757.54130605822</v>
      </c>
      <c r="AC86" s="131" t="n">
        <f aca="false">AC82*($S$18+($J$18-$S$18)*MIN(1,MAX(0,(AC$4-$T$18)/($D$18-$T$18))))</f>
        <v>3782.51376868607</v>
      </c>
      <c r="AD86" s="131" t="n">
        <f aca="false">AD82*($S$18+($J$18-$S$18)*MIN(1,MAX(0,(AD$4-$T$18)/($D$18-$T$18))))</f>
        <v>0</v>
      </c>
      <c r="AE86" s="131" t="n">
        <f aca="false">AE82*($S$18+($J$18-$S$18)*MIN(1,MAX(0,(AE$4-$T$18)/($D$18-$T$18))))</f>
        <v>0</v>
      </c>
      <c r="AF86" s="131" t="n">
        <f aca="false">AF82*($S$18+($J$18-$S$18)*MIN(1,MAX(0,(AF$4-$T$18)/($D$18-$T$18))))</f>
        <v>0</v>
      </c>
      <c r="AG86" s="131" t="n">
        <f aca="false">AG82*($S$18+($J$18-$S$18)*MIN(1,MAX(0,(AG$4-$T$18)/($D$18-$T$18))))</f>
        <v>0</v>
      </c>
      <c r="AI86" s="131" t="n">
        <f aca="false">INDEX($F86:$AG86,1,MATCH(AI$7,$F$7:$AG$7,1))</f>
        <v>0</v>
      </c>
      <c r="AJ86" s="131" t="n">
        <f aca="false">INDEX($F86:$AG86,1,MATCH(AJ$7,$F$7:$AG$7,1))</f>
        <v>0</v>
      </c>
      <c r="AK86" s="131" t="n">
        <f aca="false">INDEX($F86:$AG86,1,MATCH(AK$7,$F$7:$AG$7,1))</f>
        <v>3485.01573564123</v>
      </c>
      <c r="AL86" s="131" t="n">
        <f aca="false">INDEX($F86:$AG86,1,MATCH(AL$7,$F$7:$AG$7,1))</f>
        <v>3584.09126671912</v>
      </c>
      <c r="AM86" s="131" t="n">
        <f aca="false">INDEX($F86:$AG86,1,MATCH(AM$7,$F$7:$AG$7,1))</f>
        <v>3683.43823760818</v>
      </c>
      <c r="AN86" s="131" t="n">
        <f aca="false">INDEX($F86:$AG86,1,MATCH(AN$7,$F$7:$AG$7,1))</f>
        <v>3782.51376868607</v>
      </c>
      <c r="AO86" s="131" t="n">
        <f aca="false">INDEX($F86:$AG86,1,MATCH(AO$7,$F$7:$AG$7,1))</f>
        <v>0</v>
      </c>
    </row>
    <row r="87" customFormat="false" ht="15" hidden="false" customHeight="false" outlineLevel="0" collapsed="false">
      <c r="A87" s="112" t="s">
        <v>2564</v>
      </c>
      <c r="B87" s="24" t="s">
        <v>745</v>
      </c>
      <c r="C87" s="24" t="s">
        <v>736</v>
      </c>
      <c r="D87" s="24"/>
      <c r="F87" s="130" t="n">
        <f aca="false">IF(F$5=$N$18,E82*$J$18*(1-$O$18),0)</f>
        <v>0</v>
      </c>
      <c r="G87" s="130" t="n">
        <f aca="false">IF(G$5=$N$18,F82*$J$18*(1-$O$18),0)</f>
        <v>0</v>
      </c>
      <c r="H87" s="130" t="n">
        <f aca="false">IF(H$5=$N$18,G82*$J$18*(1-$O$18),0)</f>
        <v>0</v>
      </c>
      <c r="I87" s="130" t="n">
        <f aca="false">IF(I$5=$N$18,H82*$J$18*(1-$O$18),0)</f>
        <v>0</v>
      </c>
      <c r="J87" s="130" t="n">
        <f aca="false">IF(J$5=$N$18,I82*$J$18*(1-$O$18),0)</f>
        <v>0</v>
      </c>
      <c r="K87" s="130" t="n">
        <f aca="false">IF(K$5=$N$18,J82*$J$18*(1-$O$18),0)</f>
        <v>0</v>
      </c>
      <c r="L87" s="130" t="n">
        <f aca="false">IF(L$5=$N$18,K82*$J$18*(1-$O$18),0)</f>
        <v>0</v>
      </c>
      <c r="M87" s="130" t="n">
        <f aca="false">IF(M$5=$N$18,L82*$J$18*(1-$O$18),0)</f>
        <v>0</v>
      </c>
      <c r="N87" s="130" t="n">
        <f aca="false">IF(N$5=$N$18,M82*$J$18*(1-$O$18),0)</f>
        <v>0</v>
      </c>
      <c r="O87" s="130" t="n">
        <f aca="false">IF(O$5=$N$18,N82*$J$18*(1-$O$18),0)</f>
        <v>0</v>
      </c>
      <c r="P87" s="131" t="n">
        <f aca="false">IF(P$5=$N$18,O82*$J$18*(1-$O$18),0)</f>
        <v>0</v>
      </c>
      <c r="Q87" s="131" t="n">
        <f aca="false">IF(Q$5=$N$18,P82*$J$18*(1-$O$18),0)</f>
        <v>0</v>
      </c>
      <c r="R87" s="131" t="n">
        <f aca="false">IF(R$5=$N$18,Q82*$J$18*(1-$O$18),0)</f>
        <v>0</v>
      </c>
      <c r="S87" s="131" t="n">
        <f aca="false">IF(S$5=$N$18,R82*$J$18*(1-$O$18),0)</f>
        <v>0</v>
      </c>
      <c r="T87" s="131" t="n">
        <f aca="false">IF(T$5=$N$18,S82*$J$18*(1-$O$18),0)</f>
        <v>0</v>
      </c>
      <c r="U87" s="131" t="n">
        <f aca="false">IF(U$5=$N$18,T82*$J$18*(1-$O$18),0)</f>
        <v>0</v>
      </c>
      <c r="V87" s="131" t="n">
        <f aca="false">IF(V$5=$N$18,U82*$J$18*(1-$O$18),0)</f>
        <v>0</v>
      </c>
      <c r="W87" s="131" t="n">
        <f aca="false">IF(W$5=$N$18,V82*$J$18*(1-$O$18),0)</f>
        <v>0</v>
      </c>
      <c r="X87" s="131" t="n">
        <f aca="false">IF(X$5=$N$18,W82*$J$18*(1-$O$18),0)</f>
        <v>0</v>
      </c>
      <c r="Y87" s="131" t="n">
        <f aca="false">IF(Y$5=$N$18,X82*$J$18*(1-$O$18),0)</f>
        <v>0</v>
      </c>
      <c r="Z87" s="131" t="n">
        <f aca="false">IF(Z$5=$N$18,Y82*$J$18*(1-$O$18),0)</f>
        <v>0</v>
      </c>
      <c r="AA87" s="131" t="n">
        <f aca="false">IF(AA$5=$N$18,Z82*$J$18*(1-$O$18),0)</f>
        <v>0</v>
      </c>
      <c r="AB87" s="131" t="n">
        <f aca="false">IF(AB$5=$N$18,AA82*$J$18*(1-$O$18),0)</f>
        <v>0</v>
      </c>
      <c r="AC87" s="131" t="n">
        <f aca="false">IF(AC$5=$N$18,AB82*$J$18*(1-$O$18),0)</f>
        <v>0</v>
      </c>
      <c r="AD87" s="131" t="n">
        <f aca="false">IF(AD$5=$N$18,AC82*$J$18*(1-$O$18),0)</f>
        <v>3795</v>
      </c>
      <c r="AE87" s="131" t="n">
        <f aca="false">IF(AE$5=$N$18,AD82*$J$18*(1-$O$18),0)</f>
        <v>0</v>
      </c>
      <c r="AF87" s="131" t="n">
        <f aca="false">IF(AF$5=$N$18,AE82*$J$18*(1-$O$18),0)</f>
        <v>0</v>
      </c>
      <c r="AG87" s="131" t="n">
        <f aca="false">IF(AG$5=$N$18,AF82*$J$18*(1-$O$18),0)</f>
        <v>0</v>
      </c>
      <c r="AI87" s="131" t="n">
        <f aca="false">SUMIF($F$7:$AG$7,AI$7,$F87:$AG87)</f>
        <v>0</v>
      </c>
      <c r="AJ87" s="131" t="n">
        <f aca="false">SUMIF($F$7:$AG$7,AJ$7,$F87:$AG87)</f>
        <v>0</v>
      </c>
      <c r="AK87" s="131" t="n">
        <f aca="false">SUMIF($F$7:$AG$7,AK$7,$F87:$AG87)</f>
        <v>0</v>
      </c>
      <c r="AL87" s="131" t="n">
        <f aca="false">SUMIF($F$7:$AG$7,AL$7,$F87:$AG87)</f>
        <v>0</v>
      </c>
      <c r="AM87" s="131" t="n">
        <f aca="false">SUMIF($F$7:$AG$7,AM$7,$F87:$AG87)</f>
        <v>0</v>
      </c>
      <c r="AN87" s="131" t="n">
        <f aca="false">SUMIF($F$7:$AG$7,AN$7,$F87:$AG87)</f>
        <v>0</v>
      </c>
      <c r="AO87" s="131" t="n">
        <f aca="false">SUMIF($F$7:$AG$7,AO$7,$F87:$AG87)</f>
        <v>3795</v>
      </c>
    </row>
    <row r="88" customFormat="false" ht="15" hidden="false" customHeight="false" outlineLevel="0" collapsed="false">
      <c r="A88" s="112" t="s">
        <v>2565</v>
      </c>
      <c r="B88" s="24" t="s">
        <v>809</v>
      </c>
      <c r="C88" s="24" t="s">
        <v>736</v>
      </c>
      <c r="D88" s="24"/>
      <c r="F88" s="146" t="n">
        <f aca="false">IF(F$5=$N$18,E82*$K$18/1000*$O$18,0)</f>
        <v>0</v>
      </c>
      <c r="G88" s="146" t="n">
        <f aca="false">IF(G$5=$N$18,F82*$K$18/1000*$O$18,0)</f>
        <v>0</v>
      </c>
      <c r="H88" s="146" t="n">
        <f aca="false">IF(H$5=$N$18,G82*$K$18/1000*$O$18,0)</f>
        <v>0</v>
      </c>
      <c r="I88" s="146" t="n">
        <f aca="false">IF(I$5=$N$18,H82*$K$18/1000*$O$18,0)</f>
        <v>0</v>
      </c>
      <c r="J88" s="146" t="n">
        <f aca="false">IF(J$5=$N$18,I82*$K$18/1000*$O$18,0)</f>
        <v>0</v>
      </c>
      <c r="K88" s="146" t="n">
        <f aca="false">IF(K$5=$N$18,J82*$K$18/1000*$O$18,0)</f>
        <v>0</v>
      </c>
      <c r="L88" s="146" t="n">
        <f aca="false">IF(L$5=$N$18,K82*$K$18/1000*$O$18,0)</f>
        <v>0</v>
      </c>
      <c r="M88" s="146" t="n">
        <f aca="false">IF(M$5=$N$18,L82*$K$18/1000*$O$18,0)</f>
        <v>0</v>
      </c>
      <c r="N88" s="146" t="n">
        <f aca="false">IF(N$5=$N$18,M82*$K$18/1000*$O$18,0)</f>
        <v>0</v>
      </c>
      <c r="O88" s="146" t="n">
        <f aca="false">IF(O$5=$N$18,N82*$K$18/1000*$O$18,0)</f>
        <v>0</v>
      </c>
      <c r="P88" s="54" t="n">
        <f aca="false">IF(P$5=$N$18,O82*$K$18/1000*$O$18,0)</f>
        <v>0</v>
      </c>
      <c r="Q88" s="54" t="n">
        <f aca="false">IF(Q$5=$N$18,P82*$K$18/1000*$O$18,0)</f>
        <v>0</v>
      </c>
      <c r="R88" s="54" t="n">
        <f aca="false">IF(R$5=$N$18,Q82*$K$18/1000*$O$18,0)</f>
        <v>0</v>
      </c>
      <c r="S88" s="54" t="n">
        <f aca="false">IF(S$5=$N$18,R82*$K$18/1000*$O$18,0)</f>
        <v>0</v>
      </c>
      <c r="T88" s="54" t="n">
        <f aca="false">IF(T$5=$N$18,S82*$K$18/1000*$O$18,0)</f>
        <v>0</v>
      </c>
      <c r="U88" s="54" t="n">
        <f aca="false">IF(U$5=$N$18,T82*$K$18/1000*$O$18,0)</f>
        <v>0</v>
      </c>
      <c r="V88" s="54" t="n">
        <f aca="false">IF(V$5=$N$18,U82*$K$18/1000*$O$18,0)</f>
        <v>0</v>
      </c>
      <c r="W88" s="54" t="n">
        <f aca="false">IF(W$5=$N$18,V82*$K$18/1000*$O$18,0)</f>
        <v>0</v>
      </c>
      <c r="X88" s="54" t="n">
        <f aca="false">IF(X$5=$N$18,W82*$K$18/1000*$O$18,0)</f>
        <v>0</v>
      </c>
      <c r="Y88" s="54" t="n">
        <f aca="false">IF(Y$5=$N$18,X82*$K$18/1000*$O$18,0)</f>
        <v>0</v>
      </c>
      <c r="Z88" s="54" t="n">
        <f aca="false">IF(Z$5=$N$18,Y82*$K$18/1000*$O$18,0)</f>
        <v>0</v>
      </c>
      <c r="AA88" s="54" t="n">
        <f aca="false">IF(AA$5=$N$18,Z82*$K$18/1000*$O$18,0)</f>
        <v>0</v>
      </c>
      <c r="AB88" s="54" t="n">
        <f aca="false">IF(AB$5=$N$18,AA82*$K$18/1000*$O$18,0)</f>
        <v>0</v>
      </c>
      <c r="AC88" s="54" t="n">
        <f aca="false">IF(AC$5=$N$18,AB82*$K$18/1000*$O$18,0)</f>
        <v>0</v>
      </c>
      <c r="AD88" s="54" t="n">
        <f aca="false">IF(AD$5=$N$18,AC82*$K$18/1000*$O$18,0)</f>
        <v>0</v>
      </c>
      <c r="AE88" s="54" t="n">
        <f aca="false">IF(AE$5=$N$18,AD82*$K$18/1000*$O$18,0)</f>
        <v>0</v>
      </c>
      <c r="AF88" s="54" t="n">
        <f aca="false">IF(AF$5=$N$18,AE82*$K$18/1000*$O$18,0)</f>
        <v>0</v>
      </c>
      <c r="AG88" s="54" t="n">
        <f aca="false">IF(AG$5=$N$18,AF82*$K$18/1000*$O$18,0)</f>
        <v>0</v>
      </c>
      <c r="AI88" s="54" t="n">
        <f aca="false">SUMIF($F$7:$AG$7,AI$7,$F88:$AG88)</f>
        <v>0</v>
      </c>
      <c r="AJ88" s="54" t="n">
        <f aca="false">SUMIF($F$7:$AG$7,AJ$7,$F88:$AG88)</f>
        <v>0</v>
      </c>
      <c r="AK88" s="54" t="n">
        <f aca="false">SUMIF($F$7:$AG$7,AK$7,$F88:$AG88)</f>
        <v>0</v>
      </c>
      <c r="AL88" s="54" t="n">
        <f aca="false">SUMIF($F$7:$AG$7,AL$7,$F88:$AG88)</f>
        <v>0</v>
      </c>
      <c r="AM88" s="54" t="n">
        <f aca="false">SUMIF($F$7:$AG$7,AM$7,$F88:$AG88)</f>
        <v>0</v>
      </c>
      <c r="AN88" s="54" t="n">
        <f aca="false">SUMIF($F$7:$AG$7,AN$7,$F88:$AG88)</f>
        <v>0</v>
      </c>
      <c r="AO88" s="54" t="n">
        <f aca="false">SUMIF($F$7:$AG$7,AO$7,$F88:$AG88)</f>
        <v>0</v>
      </c>
    </row>
    <row r="89" customFormat="false" ht="15" hidden="false" customHeight="false" outlineLevel="0" collapsed="false">
      <c r="A89" s="112" t="s">
        <v>2566</v>
      </c>
      <c r="B89" s="24" t="s">
        <v>809</v>
      </c>
      <c r="C89" s="24" t="s">
        <v>672</v>
      </c>
      <c r="D89" s="24"/>
      <c r="F89" s="146" t="n">
        <f aca="false">IF(DilMethod=3,MAX(0,F82*$K$18/1000*DilPx-F85)/DilPx,F82*$K$18/1000*$P$18)</f>
        <v>0</v>
      </c>
      <c r="G89" s="146" t="n">
        <f aca="false">IF(DilMethod=3,MAX(0,G82*$K$18/1000*DilPx-G85)/DilPx,G82*$K$18/1000*$P$18)</f>
        <v>0</v>
      </c>
      <c r="H89" s="146" t="n">
        <f aca="false">IF(DilMethod=3,MAX(0,H82*$K$18/1000*DilPx-H85)/DilPx,H82*$K$18/1000*$P$18)</f>
        <v>0</v>
      </c>
      <c r="I89" s="146" t="n">
        <f aca="false">IF(DilMethod=3,MAX(0,I82*$K$18/1000*DilPx-I85)/DilPx,I82*$K$18/1000*$P$18)</f>
        <v>0</v>
      </c>
      <c r="J89" s="146" t="n">
        <f aca="false">IF(DilMethod=3,MAX(0,J82*$K$18/1000*DilPx-J85)/DilPx,J82*$K$18/1000*$P$18)</f>
        <v>0</v>
      </c>
      <c r="K89" s="146" t="n">
        <f aca="false">IF(DilMethod=3,MAX(0,K82*$K$18/1000*DilPx-K85)/DilPx,K82*$K$18/1000*$P$18)</f>
        <v>0</v>
      </c>
      <c r="L89" s="146" t="n">
        <f aca="false">IF(DilMethod=3,MAX(0,L82*$K$18/1000*DilPx-L85)/DilPx,L82*$K$18/1000*$P$18)</f>
        <v>0</v>
      </c>
      <c r="M89" s="146" t="n">
        <f aca="false">IF(DilMethod=3,MAX(0,M82*$K$18/1000*DilPx-M85)/DilPx,M82*$K$18/1000*$P$18)</f>
        <v>0</v>
      </c>
      <c r="N89" s="146" t="n">
        <f aca="false">IF(DilMethod=3,MAX(0,N82*$K$18/1000*DilPx-N85)/DilPx,N82*$K$18/1000*$P$18)</f>
        <v>0</v>
      </c>
      <c r="O89" s="146" t="n">
        <f aca="false">IF(DilMethod=3,MAX(0,O82*$K$18/1000*DilPx-O85)/DilPx,O82*$K$18/1000*$P$18)</f>
        <v>0</v>
      </c>
      <c r="P89" s="54" t="n">
        <f aca="false">IF(DilMethod=3,MAX(0,P82*$K$18/1000*DilPx-P85)/DilPx,P82*$K$18/1000*$P$18)</f>
        <v>0</v>
      </c>
      <c r="Q89" s="54" t="n">
        <f aca="false">IF(DilMethod=3,MAX(0,Q82*$K$18/1000*DilPx-Q85)/DilPx,Q82*$K$18/1000*$P$18)</f>
        <v>0</v>
      </c>
      <c r="R89" s="54" t="n">
        <f aca="false">IF(DilMethod=3,MAX(0,R82*$K$18/1000*DilPx-R85)/DilPx,R82*$K$18/1000*$P$18)</f>
        <v>0</v>
      </c>
      <c r="S89" s="54" t="n">
        <f aca="false">IF(DilMethod=3,MAX(0,S82*$K$18/1000*DilPx-S85)/DilPx,S82*$K$18/1000*$P$18)</f>
        <v>0</v>
      </c>
      <c r="T89" s="54" t="n">
        <f aca="false">IF(DilMethod=3,MAX(0,T82*$K$18/1000*DilPx-T85)/DilPx,T82*$K$18/1000*$P$18)</f>
        <v>0</v>
      </c>
      <c r="U89" s="54" t="n">
        <f aca="false">IF(DilMethod=3,MAX(0,U82*$K$18/1000*DilPx-U85)/DilPx,U82*$K$18/1000*$P$18)</f>
        <v>0</v>
      </c>
      <c r="V89" s="54" t="n">
        <f aca="false">IF(DilMethod=3,MAX(0,V82*$K$18/1000*DilPx-V85)/DilPx,V82*$K$18/1000*$P$18)</f>
        <v>0</v>
      </c>
      <c r="W89" s="54" t="n">
        <f aca="false">IF(DilMethod=3,MAX(0,W82*$K$18/1000*DilPx-W85)/DilPx,W82*$K$18/1000*$P$18)</f>
        <v>0</v>
      </c>
      <c r="X89" s="54" t="n">
        <f aca="false">IF(DilMethod=3,MAX(0,X82*$K$18/1000*DilPx-X85)/DilPx,X82*$K$18/1000*$P$18)</f>
        <v>0</v>
      </c>
      <c r="Y89" s="54" t="n">
        <f aca="false">IF(DilMethod=3,MAX(0,Y82*$K$18/1000*DilPx-Y85)/DilPx,Y82*$K$18/1000*$P$18)</f>
        <v>0</v>
      </c>
      <c r="Z89" s="54" t="n">
        <f aca="false">IF(DilMethod=3,MAX(0,Z82*$K$18/1000*DilPx-Z85)/DilPx,Z82*$K$18/1000*$P$18)</f>
        <v>0</v>
      </c>
      <c r="AA89" s="54" t="n">
        <f aca="false">IF(DilMethod=3,MAX(0,AA82*$K$18/1000*DilPx-AA85)/DilPx,AA82*$K$18/1000*$P$18)</f>
        <v>0</v>
      </c>
      <c r="AB89" s="54" t="n">
        <f aca="false">IF(DilMethod=3,MAX(0,AB82*$K$18/1000*DilPx-AB85)/DilPx,AB82*$K$18/1000*$P$18)</f>
        <v>0</v>
      </c>
      <c r="AC89" s="54" t="n">
        <f aca="false">IF(DilMethod=3,MAX(0,AC82*$K$18/1000*DilPx-AC85)/DilPx,AC82*$K$18/1000*$P$18)</f>
        <v>0</v>
      </c>
      <c r="AD89" s="54" t="n">
        <f aca="false">IF(DilMethod=3,MAX(0,AD82*$K$18/1000*DilPx-AD85)/DilPx,AD82*$K$18/1000*$P$18)</f>
        <v>0</v>
      </c>
      <c r="AE89" s="54" t="n">
        <f aca="false">IF(DilMethod=3,MAX(0,AE82*$K$18/1000*DilPx-AE85)/DilPx,AE82*$K$18/1000*$P$18)</f>
        <v>0</v>
      </c>
      <c r="AF89" s="54" t="n">
        <f aca="false">IF(DilMethod=3,MAX(0,AF82*$K$18/1000*DilPx-AF85)/DilPx,AF82*$K$18/1000*$P$18)</f>
        <v>0</v>
      </c>
      <c r="AG89" s="54" t="n">
        <f aca="false">IF(DilMethod=3,MAX(0,AG82*$K$18/1000*DilPx-AG85)/DilPx,AG82*$K$18/1000*$P$18)</f>
        <v>0</v>
      </c>
      <c r="AI89" s="54" t="n">
        <f aca="false">INDEX($F89:$AG89,1,MATCH(AI$7,$F$7:$AG$7,1))</f>
        <v>0</v>
      </c>
      <c r="AJ89" s="54" t="n">
        <f aca="false">INDEX($F89:$AG89,1,MATCH(AJ$7,$F$7:$AG$7,1))</f>
        <v>0</v>
      </c>
      <c r="AK89" s="54" t="n">
        <f aca="false">INDEX($F89:$AG89,1,MATCH(AK$7,$F$7:$AG$7,1))</f>
        <v>0</v>
      </c>
      <c r="AL89" s="54" t="n">
        <f aca="false">INDEX($F89:$AG89,1,MATCH(AL$7,$F$7:$AG$7,1))</f>
        <v>0</v>
      </c>
      <c r="AM89" s="54" t="n">
        <f aca="false">INDEX($F89:$AG89,1,MATCH(AM$7,$F$7:$AG$7,1))</f>
        <v>0</v>
      </c>
      <c r="AN89" s="54" t="n">
        <f aca="false">INDEX($F89:$AG89,1,MATCH(AN$7,$F$7:$AG$7,1))</f>
        <v>0</v>
      </c>
      <c r="AO89" s="54" t="n">
        <f aca="false">INDEX($F89:$AG89,1,MATCH(AO$7,$F$7:$AG$7,1))</f>
        <v>0</v>
      </c>
    </row>
    <row r="90" customFormat="false" ht="15" hidden="false" customHeight="false" outlineLevel="0" collapsed="false">
      <c r="A90" s="112" t="s">
        <v>2567</v>
      </c>
      <c r="B90" s="24" t="s">
        <v>745</v>
      </c>
      <c r="C90" s="24" t="s">
        <v>672</v>
      </c>
      <c r="D90" s="24"/>
      <c r="F90" s="130" t="n">
        <f aca="false">F85*IF(DilMethod=3,1,1-$P$18)</f>
        <v>0</v>
      </c>
      <c r="G90" s="130" t="n">
        <f aca="false">G85*IF(DilMethod=3,1,1-$P$18)</f>
        <v>0</v>
      </c>
      <c r="H90" s="130" t="n">
        <f aca="false">H85*IF(DilMethod=3,1,1-$P$18)</f>
        <v>0</v>
      </c>
      <c r="I90" s="130" t="n">
        <f aca="false">I85*IF(DilMethod=3,1,1-$P$18)</f>
        <v>0</v>
      </c>
      <c r="J90" s="130" t="n">
        <f aca="false">J85*IF(DilMethod=3,1,1-$P$18)</f>
        <v>0</v>
      </c>
      <c r="K90" s="130" t="n">
        <f aca="false">K85*IF(DilMethod=3,1,1-$P$18)</f>
        <v>0</v>
      </c>
      <c r="L90" s="130" t="n">
        <f aca="false">L85*IF(DilMethod=3,1,1-$P$18)</f>
        <v>0</v>
      </c>
      <c r="M90" s="130" t="n">
        <f aca="false">M85*IF(DilMethod=3,1,1-$P$18)</f>
        <v>0</v>
      </c>
      <c r="N90" s="130" t="n">
        <f aca="false">N85*IF(DilMethod=3,1,1-$P$18)</f>
        <v>0</v>
      </c>
      <c r="O90" s="130" t="n">
        <f aca="false">O85*IF(DilMethod=3,1,1-$P$18)</f>
        <v>0</v>
      </c>
      <c r="P90" s="131" t="n">
        <f aca="false">P85*IF(DilMethod=3,1,1-$P$18)</f>
        <v>3460.04327301338</v>
      </c>
      <c r="Q90" s="131" t="n">
        <f aca="false">Q85*IF(DilMethod=3,1,1-$P$18)</f>
        <v>3485.01573564123</v>
      </c>
      <c r="R90" s="131" t="n">
        <f aca="false">R85*IF(DilMethod=3,1,1-$P$18)</f>
        <v>3509.44531864674</v>
      </c>
      <c r="S90" s="131" t="n">
        <f aca="false">S85*IF(DilMethod=3,1,1-$P$18)</f>
        <v>3534.14634146341</v>
      </c>
      <c r="T90" s="131" t="n">
        <f aca="false">T85*IF(DilMethod=3,1,1-$P$18)</f>
        <v>3559.11880409127</v>
      </c>
      <c r="U90" s="131" t="n">
        <f aca="false">U85*IF(DilMethod=3,1,1-$P$18)</f>
        <v>3584.09126671912</v>
      </c>
      <c r="V90" s="131" t="n">
        <f aca="false">V85*IF(DilMethod=3,1,1-$P$18)</f>
        <v>3608.7922895358</v>
      </c>
      <c r="W90" s="131" t="n">
        <f aca="false">W85*IF(DilMethod=3,1,1-$P$18)</f>
        <v>3633.49331235248</v>
      </c>
      <c r="X90" s="131" t="n">
        <f aca="false">X85*IF(DilMethod=3,1,1-$P$18)</f>
        <v>3658.46577498033</v>
      </c>
      <c r="Y90" s="131" t="n">
        <f aca="false">Y85*IF(DilMethod=3,1,1-$P$18)</f>
        <v>3683.43823760818</v>
      </c>
      <c r="Z90" s="131" t="n">
        <f aca="false">Z85*IF(DilMethod=3,1,1-$P$18)</f>
        <v>3707.86782061369</v>
      </c>
      <c r="AA90" s="131" t="n">
        <f aca="false">AA85*IF(DilMethod=3,1,1-$P$18)</f>
        <v>3732.56884343037</v>
      </c>
      <c r="AB90" s="131" t="n">
        <f aca="false">AB85*IF(DilMethod=3,1,1-$P$18)</f>
        <v>3757.54130605822</v>
      </c>
      <c r="AC90" s="131" t="n">
        <f aca="false">AC85*IF(DilMethod=3,1,1-$P$18)</f>
        <v>3782.51376868607</v>
      </c>
      <c r="AD90" s="131" t="n">
        <f aca="false">AD85*IF(DilMethod=3,1,1-$P$18)</f>
        <v>0</v>
      </c>
      <c r="AE90" s="131" t="n">
        <f aca="false">AE85*IF(DilMethod=3,1,1-$P$18)</f>
        <v>0</v>
      </c>
      <c r="AF90" s="131" t="n">
        <f aca="false">AF85*IF(DilMethod=3,1,1-$P$18)</f>
        <v>0</v>
      </c>
      <c r="AG90" s="131" t="n">
        <f aca="false">AG85*IF(DilMethod=3,1,1-$P$18)</f>
        <v>0</v>
      </c>
      <c r="AI90" s="131" t="n">
        <f aca="false">INDEX($F90:$AG90,1,MATCH(AI$7,$F$7:$AG$7,1))</f>
        <v>0</v>
      </c>
      <c r="AJ90" s="131" t="n">
        <f aca="false">INDEX($F90:$AG90,1,MATCH(AJ$7,$F$7:$AG$7,1))</f>
        <v>0</v>
      </c>
      <c r="AK90" s="131" t="n">
        <f aca="false">INDEX($F90:$AG90,1,MATCH(AK$7,$F$7:$AG$7,1))</f>
        <v>3485.01573564123</v>
      </c>
      <c r="AL90" s="131" t="n">
        <f aca="false">INDEX($F90:$AG90,1,MATCH(AL$7,$F$7:$AG$7,1))</f>
        <v>3584.09126671912</v>
      </c>
      <c r="AM90" s="131" t="n">
        <f aca="false">INDEX($F90:$AG90,1,MATCH(AM$7,$F$7:$AG$7,1))</f>
        <v>3683.43823760818</v>
      </c>
      <c r="AN90" s="131" t="n">
        <f aca="false">INDEX($F90:$AG90,1,MATCH(AN$7,$F$7:$AG$7,1))</f>
        <v>3782.51376868607</v>
      </c>
      <c r="AO90" s="131" t="n">
        <f aca="false">INDEX($F90:$AG90,1,MATCH(AO$7,$F$7:$AG$7,1))</f>
        <v>0</v>
      </c>
    </row>
    <row r="91" customFormat="false" ht="15" hidden="false" customHeight="false" outlineLevel="0" collapsed="false">
      <c r="A91" s="112" t="s">
        <v>2568</v>
      </c>
      <c r="B91" s="24" t="s">
        <v>745</v>
      </c>
      <c r="C91" s="24" t="s">
        <v>736</v>
      </c>
      <c r="D91" s="24"/>
      <c r="F91" s="130" t="n">
        <f aca="false">IF(AND(F$5&gt;=$M$19,F$5&lt;$N$19),$E$19-$F$19-IF(F$5&gt;=$H$19,$G$19,0),0)*($H$19&lt;&gt;0)+IF(AND(F$5&gt;=$M$19,F$5&lt;$N$19),$E$19-$F$19,0)*($H$19=0)</f>
        <v>0</v>
      </c>
      <c r="G91" s="130" t="n">
        <f aca="false">IF(AND(G$5&gt;=$M$19,G$5&lt;$N$19),$E$19-$F$19-IF(G$5&gt;=$H$19,$G$19,0),0)*($H$19&lt;&gt;0)+IF(AND(G$5&gt;=$M$19,G$5&lt;$N$19),$E$19-$F$19,0)*($H$19=0)</f>
        <v>0</v>
      </c>
      <c r="H91" s="130" t="n">
        <f aca="false">IF(AND(H$5&gt;=$M$19,H$5&lt;$N$19),$E$19-$F$19-IF(H$5&gt;=$H$19,$G$19,0),0)*($H$19&lt;&gt;0)+IF(AND(H$5&gt;=$M$19,H$5&lt;$N$19),$E$19-$F$19,0)*($H$19=0)</f>
        <v>0</v>
      </c>
      <c r="I91" s="130" t="n">
        <f aca="false">IF(AND(I$5&gt;=$M$19,I$5&lt;$N$19),$E$19-$F$19-IF(I$5&gt;=$H$19,$G$19,0),0)*($H$19&lt;&gt;0)+IF(AND(I$5&gt;=$M$19,I$5&lt;$N$19),$E$19-$F$19,0)*($H$19=0)</f>
        <v>0</v>
      </c>
      <c r="J91" s="130" t="n">
        <f aca="false">IF(AND(J$5&gt;=$M$19,J$5&lt;$N$19),$E$19-$F$19-IF(J$5&gt;=$H$19,$G$19,0),0)*($H$19&lt;&gt;0)+IF(AND(J$5&gt;=$M$19,J$5&lt;$N$19),$E$19-$F$19,0)*($H$19=0)</f>
        <v>0</v>
      </c>
      <c r="K91" s="130" t="n">
        <f aca="false">IF(AND(K$5&gt;=$M$19,K$5&lt;$N$19),$E$19-$F$19-IF(K$5&gt;=$H$19,$G$19,0),0)*($H$19&lt;&gt;0)+IF(AND(K$5&gt;=$M$19,K$5&lt;$N$19),$E$19-$F$19,0)*($H$19=0)</f>
        <v>0</v>
      </c>
      <c r="L91" s="130" t="n">
        <f aca="false">IF(AND(L$5&gt;=$M$19,L$5&lt;$N$19),$E$19-$F$19-IF(L$5&gt;=$H$19,$G$19,0),0)*($H$19&lt;&gt;0)+IF(AND(L$5&gt;=$M$19,L$5&lt;$N$19),$E$19-$F$19,0)*($H$19=0)</f>
        <v>0</v>
      </c>
      <c r="M91" s="130" t="n">
        <f aca="false">IF(AND(M$5&gt;=$M$19,M$5&lt;$N$19),$E$19-$F$19-IF(M$5&gt;=$H$19,$G$19,0),0)*($H$19&lt;&gt;0)+IF(AND(M$5&gt;=$M$19,M$5&lt;$N$19),$E$19-$F$19,0)*($H$19=0)</f>
        <v>0</v>
      </c>
      <c r="N91" s="130" t="n">
        <f aca="false">IF(AND(N$5&gt;=$M$19,N$5&lt;$N$19),$E$19-$F$19-IF(N$5&gt;=$H$19,$G$19,0),0)*($H$19&lt;&gt;0)+IF(AND(N$5&gt;=$M$19,N$5&lt;$N$19),$E$19-$F$19,0)*($H$19=0)</f>
        <v>0</v>
      </c>
      <c r="O91" s="130" t="n">
        <f aca="false">IF(AND(O$5&gt;=$M$19,O$5&lt;$N$19),$E$19-$F$19-IF(O$5&gt;=$H$19,$G$19,0),0)*($H$19&lt;&gt;0)+IF(AND(O$5&gt;=$M$19,O$5&lt;$N$19),$E$19-$F$19,0)*($H$19=0)</f>
        <v>0</v>
      </c>
      <c r="P91" s="131" t="n">
        <f aca="false">IF(AND(P$5&gt;=$M$19,P$5&lt;$N$19),$E$19-$F$19-IF(P$5&gt;=$H$19,$G$19,0),0)*($H$19&lt;&gt;0)+IF(AND(P$5&gt;=$M$19,P$5&lt;$N$19),$E$19-$F$19,0)*($H$19=0)</f>
        <v>2300</v>
      </c>
      <c r="Q91" s="131" t="n">
        <f aca="false">IF(AND(Q$5&gt;=$M$19,Q$5&lt;$N$19),$E$19-$F$19-IF(Q$5&gt;=$H$19,$G$19,0),0)*($H$19&lt;&gt;0)+IF(AND(Q$5&gt;=$M$19,Q$5&lt;$N$19),$E$19-$F$19,0)*($H$19=0)</f>
        <v>2300</v>
      </c>
      <c r="R91" s="131" t="n">
        <f aca="false">IF(AND(R$5&gt;=$M$19,R$5&lt;$N$19),$E$19-$F$19-IF(R$5&gt;=$H$19,$G$19,0),0)*($H$19&lt;&gt;0)+IF(AND(R$5&gt;=$M$19,R$5&lt;$N$19),$E$19-$F$19,0)*($H$19=0)</f>
        <v>2300</v>
      </c>
      <c r="S91" s="131" t="n">
        <f aca="false">IF(AND(S$5&gt;=$M$19,S$5&lt;$N$19),$E$19-$F$19-IF(S$5&gt;=$H$19,$G$19,0),0)*($H$19&lt;&gt;0)+IF(AND(S$5&gt;=$M$19,S$5&lt;$N$19),$E$19-$F$19,0)*($H$19=0)</f>
        <v>2300</v>
      </c>
      <c r="T91" s="131" t="n">
        <f aca="false">IF(AND(T$5&gt;=$M$19,T$5&lt;$N$19),$E$19-$F$19-IF(T$5&gt;=$H$19,$G$19,0),0)*($H$19&lt;&gt;0)+IF(AND(T$5&gt;=$M$19,T$5&lt;$N$19),$E$19-$F$19,0)*($H$19=0)</f>
        <v>2300</v>
      </c>
      <c r="U91" s="131" t="n">
        <f aca="false">IF(AND(U$5&gt;=$M$19,U$5&lt;$N$19),$E$19-$F$19-IF(U$5&gt;=$H$19,$G$19,0),0)*($H$19&lt;&gt;0)+IF(AND(U$5&gt;=$M$19,U$5&lt;$N$19),$E$19-$F$19,0)*($H$19=0)</f>
        <v>2300</v>
      </c>
      <c r="V91" s="131" t="n">
        <f aca="false">IF(AND(V$5&gt;=$M$19,V$5&lt;$N$19),$E$19-$F$19-IF(V$5&gt;=$H$19,$G$19,0),0)*($H$19&lt;&gt;0)+IF(AND(V$5&gt;=$M$19,V$5&lt;$N$19),$E$19-$F$19,0)*($H$19=0)</f>
        <v>2300</v>
      </c>
      <c r="W91" s="131" t="n">
        <f aca="false">IF(AND(W$5&gt;=$M$19,W$5&lt;$N$19),$E$19-$F$19-IF(W$5&gt;=$H$19,$G$19,0),0)*($H$19&lt;&gt;0)+IF(AND(W$5&gt;=$M$19,W$5&lt;$N$19),$E$19-$F$19,0)*($H$19=0)</f>
        <v>2300</v>
      </c>
      <c r="X91" s="131" t="n">
        <f aca="false">IF(AND(X$5&gt;=$M$19,X$5&lt;$N$19),$E$19-$F$19-IF(X$5&gt;=$H$19,$G$19,0),0)*($H$19&lt;&gt;0)+IF(AND(X$5&gt;=$M$19,X$5&lt;$N$19),$E$19-$F$19,0)*($H$19=0)</f>
        <v>2300</v>
      </c>
      <c r="Y91" s="131" t="n">
        <f aca="false">IF(AND(Y$5&gt;=$M$19,Y$5&lt;$N$19),$E$19-$F$19-IF(Y$5&gt;=$H$19,$G$19,0),0)*($H$19&lt;&gt;0)+IF(AND(Y$5&gt;=$M$19,Y$5&lt;$N$19),$E$19-$F$19,0)*($H$19=0)</f>
        <v>2300</v>
      </c>
      <c r="Z91" s="131" t="n">
        <f aca="false">IF(AND(Z$5&gt;=$M$19,Z$5&lt;$N$19),$E$19-$F$19-IF(Z$5&gt;=$H$19,$G$19,0),0)*($H$19&lt;&gt;0)+IF(AND(Z$5&gt;=$M$19,Z$5&lt;$N$19),$E$19-$F$19,0)*($H$19=0)</f>
        <v>2300</v>
      </c>
      <c r="AA91" s="131" t="n">
        <f aca="false">IF(AND(AA$5&gt;=$M$19,AA$5&lt;$N$19),$E$19-$F$19-IF(AA$5&gt;=$H$19,$G$19,0),0)*($H$19&lt;&gt;0)+IF(AND(AA$5&gt;=$M$19,AA$5&lt;$N$19),$E$19-$F$19,0)*($H$19=0)</f>
        <v>2300</v>
      </c>
      <c r="AB91" s="131" t="n">
        <f aca="false">IF(AND(AB$5&gt;=$M$19,AB$5&lt;$N$19),$E$19-$F$19-IF(AB$5&gt;=$H$19,$G$19,0),0)*($H$19&lt;&gt;0)+IF(AND(AB$5&gt;=$M$19,AB$5&lt;$N$19),$E$19-$F$19,0)*($H$19=0)</f>
        <v>2300</v>
      </c>
      <c r="AC91" s="131" t="n">
        <f aca="false">IF(AND(AC$5&gt;=$M$19,AC$5&lt;$N$19),$E$19-$F$19-IF(AC$5&gt;=$H$19,$G$19,0),0)*($H$19&lt;&gt;0)+IF(AND(AC$5&gt;=$M$19,AC$5&lt;$N$19),$E$19-$F$19,0)*($H$19=0)</f>
        <v>2300</v>
      </c>
      <c r="AD91" s="131" t="n">
        <f aca="false">IF(AND(AD$5&gt;=$M$19,AD$5&lt;$N$19),$E$19-$F$19-IF(AD$5&gt;=$H$19,$G$19,0),0)*($H$19&lt;&gt;0)+IF(AND(AD$5&gt;=$M$19,AD$5&lt;$N$19),$E$19-$F$19,0)*($H$19=0)</f>
        <v>2300</v>
      </c>
      <c r="AE91" s="131" t="n">
        <f aca="false">IF(AND(AE$5&gt;=$M$19,AE$5&lt;$N$19),$E$19-$F$19-IF(AE$5&gt;=$H$19,$G$19,0),0)*($H$19&lt;&gt;0)+IF(AND(AE$5&gt;=$M$19,AE$5&lt;$N$19),$E$19-$F$19,0)*($H$19=0)</f>
        <v>2300</v>
      </c>
      <c r="AF91" s="131" t="n">
        <f aca="false">IF(AND(AF$5&gt;=$M$19,AF$5&lt;$N$19),$E$19-$F$19-IF(AF$5&gt;=$H$19,$G$19,0),0)*($H$19&lt;&gt;0)+IF(AND(AF$5&gt;=$M$19,AF$5&lt;$N$19),$E$19-$F$19,0)*($H$19=0)</f>
        <v>2300</v>
      </c>
      <c r="AG91" s="131" t="n">
        <f aca="false">IF(AND(AG$5&gt;=$M$19,AG$5&lt;$N$19),$E$19-$F$19-IF(AG$5&gt;=$H$19,$G$19,0),0)*($H$19&lt;&gt;0)+IF(AND(AG$5&gt;=$M$19,AG$5&lt;$N$19),$E$19-$F$19,0)*($H$19=0)</f>
        <v>2300</v>
      </c>
      <c r="AI91" s="131" t="n">
        <f aca="false">INDEX($F91:$AG91,1,MATCH(AI$7,$F$7:$AG$7,1))</f>
        <v>0</v>
      </c>
      <c r="AJ91" s="131" t="n">
        <f aca="false">INDEX($F91:$AG91,1,MATCH(AJ$7,$F$7:$AG$7,1))</f>
        <v>0</v>
      </c>
      <c r="AK91" s="131" t="n">
        <f aca="false">INDEX($F91:$AG91,1,MATCH(AK$7,$F$7:$AG$7,1))</f>
        <v>2300</v>
      </c>
      <c r="AL91" s="131" t="n">
        <f aca="false">INDEX($F91:$AG91,1,MATCH(AL$7,$F$7:$AG$7,1))</f>
        <v>2300</v>
      </c>
      <c r="AM91" s="131" t="n">
        <f aca="false">INDEX($F91:$AG91,1,MATCH(AM$7,$F$7:$AG$7,1))</f>
        <v>2300</v>
      </c>
      <c r="AN91" s="131" t="n">
        <f aca="false">INDEX($F91:$AG91,1,MATCH(AN$7,$F$7:$AG$7,1))</f>
        <v>2300</v>
      </c>
      <c r="AO91" s="131" t="n">
        <f aca="false">INDEX($F91:$AG91,1,MATCH(AO$7,$F$7:$AG$7,1))</f>
        <v>2300</v>
      </c>
    </row>
    <row r="92" customFormat="false" ht="15" hidden="false" customHeight="false" outlineLevel="0" collapsed="false">
      <c r="A92" s="112" t="s">
        <v>2569</v>
      </c>
      <c r="B92" s="24" t="s">
        <v>745</v>
      </c>
      <c r="C92" s="24" t="s">
        <v>736</v>
      </c>
      <c r="D92" s="24"/>
      <c r="F92" s="130" t="n">
        <f aca="false">F91*$C$19/4</f>
        <v>0</v>
      </c>
      <c r="G92" s="130" t="n">
        <f aca="false">G91*$C$19/4</f>
        <v>0</v>
      </c>
      <c r="H92" s="130" t="n">
        <f aca="false">H91*$C$19/4</f>
        <v>0</v>
      </c>
      <c r="I92" s="130" t="n">
        <f aca="false">I91*$C$19/4</f>
        <v>0</v>
      </c>
      <c r="J92" s="130" t="n">
        <f aca="false">J91*$C$19/4</f>
        <v>0</v>
      </c>
      <c r="K92" s="130" t="n">
        <f aca="false">K91*$C$19/4</f>
        <v>0</v>
      </c>
      <c r="L92" s="130" t="n">
        <f aca="false">L91*$C$19/4</f>
        <v>0</v>
      </c>
      <c r="M92" s="130" t="n">
        <f aca="false">M91*$C$19/4</f>
        <v>0</v>
      </c>
      <c r="N92" s="130" t="n">
        <f aca="false">N91*$C$19/4</f>
        <v>0</v>
      </c>
      <c r="O92" s="130" t="n">
        <f aca="false">O91*$C$19/4</f>
        <v>0</v>
      </c>
      <c r="P92" s="131" t="n">
        <f aca="false">P91*$C$19/4</f>
        <v>25.875</v>
      </c>
      <c r="Q92" s="131" t="n">
        <f aca="false">Q91*$C$19/4</f>
        <v>25.875</v>
      </c>
      <c r="R92" s="131" t="n">
        <f aca="false">R91*$C$19/4</f>
        <v>25.875</v>
      </c>
      <c r="S92" s="131" t="n">
        <f aca="false">S91*$C$19/4</f>
        <v>25.875</v>
      </c>
      <c r="T92" s="131" t="n">
        <f aca="false">T91*$C$19/4</f>
        <v>25.875</v>
      </c>
      <c r="U92" s="131" t="n">
        <f aca="false">U91*$C$19/4</f>
        <v>25.875</v>
      </c>
      <c r="V92" s="131" t="n">
        <f aca="false">V91*$C$19/4</f>
        <v>25.875</v>
      </c>
      <c r="W92" s="131" t="n">
        <f aca="false">W91*$C$19/4</f>
        <v>25.875</v>
      </c>
      <c r="X92" s="131" t="n">
        <f aca="false">X91*$C$19/4</f>
        <v>25.875</v>
      </c>
      <c r="Y92" s="131" t="n">
        <f aca="false">Y91*$C$19/4</f>
        <v>25.875</v>
      </c>
      <c r="Z92" s="131" t="n">
        <f aca="false">Z91*$C$19/4</f>
        <v>25.875</v>
      </c>
      <c r="AA92" s="131" t="n">
        <f aca="false">AA91*$C$19/4</f>
        <v>25.875</v>
      </c>
      <c r="AB92" s="131" t="n">
        <f aca="false">AB91*$C$19/4</f>
        <v>25.875</v>
      </c>
      <c r="AC92" s="131" t="n">
        <f aca="false">AC91*$C$19/4</f>
        <v>25.875</v>
      </c>
      <c r="AD92" s="131" t="n">
        <f aca="false">AD91*$C$19/4</f>
        <v>25.875</v>
      </c>
      <c r="AE92" s="131" t="n">
        <f aca="false">AE91*$C$19/4</f>
        <v>25.875</v>
      </c>
      <c r="AF92" s="131" t="n">
        <f aca="false">AF91*$C$19/4</f>
        <v>25.875</v>
      </c>
      <c r="AG92" s="131" t="n">
        <f aca="false">AG91*$C$19/4</f>
        <v>25.875</v>
      </c>
      <c r="AI92" s="131" t="n">
        <f aca="false">SUMIF($F$7:$AG$7,AI$7,$F92:$AG92)</f>
        <v>0</v>
      </c>
      <c r="AJ92" s="131" t="n">
        <f aca="false">SUMIF($F$7:$AG$7,AJ$7,$F92:$AG92)</f>
        <v>0</v>
      </c>
      <c r="AK92" s="131" t="n">
        <f aca="false">SUMIF($F$7:$AG$7,AK$7,$F92:$AG92)</f>
        <v>51.75</v>
      </c>
      <c r="AL92" s="131" t="n">
        <f aca="false">SUMIF($F$7:$AG$7,AL$7,$F92:$AG92)</f>
        <v>103.5</v>
      </c>
      <c r="AM92" s="131" t="n">
        <f aca="false">SUMIF($F$7:$AG$7,AM$7,$F92:$AG92)</f>
        <v>103.5</v>
      </c>
      <c r="AN92" s="131" t="n">
        <f aca="false">SUMIF($F$7:$AG$7,AN$7,$F92:$AG92)</f>
        <v>103.5</v>
      </c>
      <c r="AO92" s="131" t="n">
        <f aca="false">SUMIF($F$7:$AG$7,AO$7,$F92:$AG92)</f>
        <v>103.5</v>
      </c>
    </row>
    <row r="93" customFormat="false" ht="15" hidden="false" customHeight="false" outlineLevel="0" collapsed="false">
      <c r="A93" s="112" t="s">
        <v>2570</v>
      </c>
      <c r="B93" s="24" t="s">
        <v>745</v>
      </c>
      <c r="C93" s="24" t="s">
        <v>736</v>
      </c>
      <c r="D93" s="24"/>
      <c r="F93" s="130" t="n">
        <f aca="false">F91*($J$19-1)/(($D$19-$B$19)/91.3125)</f>
        <v>0</v>
      </c>
      <c r="G93" s="130" t="n">
        <f aca="false">G91*($J$19-1)/(($D$19-$B$19)/91.3125)</f>
        <v>0</v>
      </c>
      <c r="H93" s="130" t="n">
        <f aca="false">H91*($J$19-1)/(($D$19-$B$19)/91.3125)</f>
        <v>0</v>
      </c>
      <c r="I93" s="130" t="n">
        <f aca="false">I91*($J$19-1)/(($D$19-$B$19)/91.3125)</f>
        <v>0</v>
      </c>
      <c r="J93" s="130" t="n">
        <f aca="false">J91*($J$19-1)/(($D$19-$B$19)/91.3125)</f>
        <v>0</v>
      </c>
      <c r="K93" s="130" t="n">
        <f aca="false">K91*($J$19-1)/(($D$19-$B$19)/91.3125)</f>
        <v>0</v>
      </c>
      <c r="L93" s="130" t="n">
        <f aca="false">L91*($J$19-1)/(($D$19-$B$19)/91.3125)</f>
        <v>0</v>
      </c>
      <c r="M93" s="130" t="n">
        <f aca="false">M91*($J$19-1)/(($D$19-$B$19)/91.3125)</f>
        <v>0</v>
      </c>
      <c r="N93" s="130" t="n">
        <f aca="false">N91*($J$19-1)/(($D$19-$B$19)/91.3125)</f>
        <v>0</v>
      </c>
      <c r="O93" s="130" t="n">
        <f aca="false">O91*($J$19-1)/(($D$19-$B$19)/91.3125)</f>
        <v>0</v>
      </c>
      <c r="P93" s="131" t="n">
        <f aca="false">P91*($J$19-1)/(($D$19-$B$19)/91.3125)</f>
        <v>19.2184068448023</v>
      </c>
      <c r="Q93" s="131" t="n">
        <f aca="false">Q91*($J$19-1)/(($D$19-$B$19)/91.3125)</f>
        <v>19.2184068448023</v>
      </c>
      <c r="R93" s="131" t="n">
        <f aca="false">R91*($J$19-1)/(($D$19-$B$19)/91.3125)</f>
        <v>19.2184068448023</v>
      </c>
      <c r="S93" s="131" t="n">
        <f aca="false">S91*($J$19-1)/(($D$19-$B$19)/91.3125)</f>
        <v>19.2184068448023</v>
      </c>
      <c r="T93" s="131" t="n">
        <f aca="false">T91*($J$19-1)/(($D$19-$B$19)/91.3125)</f>
        <v>19.2184068448023</v>
      </c>
      <c r="U93" s="131" t="n">
        <f aca="false">U91*($J$19-1)/(($D$19-$B$19)/91.3125)</f>
        <v>19.2184068448023</v>
      </c>
      <c r="V93" s="131" t="n">
        <f aca="false">V91*($J$19-1)/(($D$19-$B$19)/91.3125)</f>
        <v>19.2184068448023</v>
      </c>
      <c r="W93" s="131" t="n">
        <f aca="false">W91*($J$19-1)/(($D$19-$B$19)/91.3125)</f>
        <v>19.2184068448023</v>
      </c>
      <c r="X93" s="131" t="n">
        <f aca="false">X91*($J$19-1)/(($D$19-$B$19)/91.3125)</f>
        <v>19.2184068448023</v>
      </c>
      <c r="Y93" s="131" t="n">
        <f aca="false">Y91*($J$19-1)/(($D$19-$B$19)/91.3125)</f>
        <v>19.2184068448023</v>
      </c>
      <c r="Z93" s="131" t="n">
        <f aca="false">Z91*($J$19-1)/(($D$19-$B$19)/91.3125)</f>
        <v>19.2184068448023</v>
      </c>
      <c r="AA93" s="131" t="n">
        <f aca="false">AA91*($J$19-1)/(($D$19-$B$19)/91.3125)</f>
        <v>19.2184068448023</v>
      </c>
      <c r="AB93" s="131" t="n">
        <f aca="false">AB91*($J$19-1)/(($D$19-$B$19)/91.3125)</f>
        <v>19.2184068448023</v>
      </c>
      <c r="AC93" s="131" t="n">
        <f aca="false">AC91*($J$19-1)/(($D$19-$B$19)/91.3125)</f>
        <v>19.2184068448023</v>
      </c>
      <c r="AD93" s="131" t="n">
        <f aca="false">AD91*($J$19-1)/(($D$19-$B$19)/91.3125)</f>
        <v>19.2184068448023</v>
      </c>
      <c r="AE93" s="131" t="n">
        <f aca="false">AE91*($J$19-1)/(($D$19-$B$19)/91.3125)</f>
        <v>19.2184068448023</v>
      </c>
      <c r="AF93" s="131" t="n">
        <f aca="false">AF91*($J$19-1)/(($D$19-$B$19)/91.3125)</f>
        <v>19.2184068448023</v>
      </c>
      <c r="AG93" s="131" t="n">
        <f aca="false">AG91*($J$19-1)/(($D$19-$B$19)/91.3125)</f>
        <v>19.2184068448023</v>
      </c>
      <c r="AI93" s="131" t="n">
        <f aca="false">SUMIF($F$7:$AG$7,AI$7,$F93:$AG93)</f>
        <v>0</v>
      </c>
      <c r="AJ93" s="131" t="n">
        <f aca="false">SUMIF($F$7:$AG$7,AJ$7,$F93:$AG93)</f>
        <v>0</v>
      </c>
      <c r="AK93" s="131" t="n">
        <f aca="false">SUMIF($F$7:$AG$7,AK$7,$F93:$AG93)</f>
        <v>38.4368136896047</v>
      </c>
      <c r="AL93" s="131" t="n">
        <f aca="false">SUMIF($F$7:$AG$7,AL$7,$F93:$AG93)</f>
        <v>76.8736273792094</v>
      </c>
      <c r="AM93" s="131" t="n">
        <f aca="false">SUMIF($F$7:$AG$7,AM$7,$F93:$AG93)</f>
        <v>76.8736273792094</v>
      </c>
      <c r="AN93" s="131" t="n">
        <f aca="false">SUMIF($F$7:$AG$7,AN$7,$F93:$AG93)</f>
        <v>76.8736273792094</v>
      </c>
      <c r="AO93" s="131" t="n">
        <f aca="false">SUMIF($F$7:$AG$7,AO$7,$F93:$AG93)</f>
        <v>76.8736273792094</v>
      </c>
    </row>
    <row r="94" customFormat="false" ht="15" hidden="false" customHeight="false" outlineLevel="0" collapsed="false">
      <c r="A94" s="112" t="s">
        <v>2571</v>
      </c>
      <c r="B94" s="24" t="s">
        <v>745</v>
      </c>
      <c r="C94" s="24" t="s">
        <v>736</v>
      </c>
      <c r="D94" s="24"/>
      <c r="F94" s="130" t="n">
        <f aca="false">F91*(1+($J$19-1)*MIN(1,MAX(0,(F$4-$B$19)/($D$19-$B$19))))</f>
        <v>0</v>
      </c>
      <c r="G94" s="130" t="n">
        <f aca="false">G91*(1+($J$19-1)*MIN(1,MAX(0,(G$4-$B$19)/($D$19-$B$19))))</f>
        <v>0</v>
      </c>
      <c r="H94" s="130" t="n">
        <f aca="false">H91*(1+($J$19-1)*MIN(1,MAX(0,(H$4-$B$19)/($D$19-$B$19))))</f>
        <v>0</v>
      </c>
      <c r="I94" s="130" t="n">
        <f aca="false">I91*(1+($J$19-1)*MIN(1,MAX(0,(I$4-$B$19)/($D$19-$B$19))))</f>
        <v>0</v>
      </c>
      <c r="J94" s="130" t="n">
        <f aca="false">J91*(1+($J$19-1)*MIN(1,MAX(0,(J$4-$B$19)/($D$19-$B$19))))</f>
        <v>0</v>
      </c>
      <c r="K94" s="130" t="n">
        <f aca="false">K91*(1+($J$19-1)*MIN(1,MAX(0,(K$4-$B$19)/($D$19-$B$19))))</f>
        <v>0</v>
      </c>
      <c r="L94" s="130" t="n">
        <f aca="false">L91*(1+($J$19-1)*MIN(1,MAX(0,(L$4-$B$19)/($D$19-$B$19))))</f>
        <v>0</v>
      </c>
      <c r="M94" s="130" t="n">
        <f aca="false">M91*(1+($J$19-1)*MIN(1,MAX(0,(M$4-$B$19)/($D$19-$B$19))))</f>
        <v>0</v>
      </c>
      <c r="N94" s="130" t="n">
        <f aca="false">N91*(1+($J$19-1)*MIN(1,MAX(0,(N$4-$B$19)/($D$19-$B$19))))</f>
        <v>0</v>
      </c>
      <c r="O94" s="130" t="n">
        <f aca="false">O91*(1+($J$19-1)*MIN(1,MAX(0,(O$4-$B$19)/($D$19-$B$19))))</f>
        <v>0</v>
      </c>
      <c r="P94" s="131" t="n">
        <f aca="false">P91*(1+($J$19-1)*MIN(1,MAX(0,(P$4-$B$19)/($D$19-$B$19))))</f>
        <v>2307.78733528551</v>
      </c>
      <c r="Q94" s="131" t="n">
        <f aca="false">Q91*(1+($J$19-1)*MIN(1,MAX(0,(Q$4-$B$19)/($D$19-$B$19))))</f>
        <v>2327.15043923865</v>
      </c>
      <c r="R94" s="131" t="n">
        <f aca="false">R91*(1+($J$19-1)*MIN(1,MAX(0,(R$4-$B$19)/($D$19-$B$19))))</f>
        <v>2346.09260614934</v>
      </c>
      <c r="S94" s="131" t="n">
        <f aca="false">S91*(1+($J$19-1)*MIN(1,MAX(0,(S$4-$B$19)/($D$19-$B$19))))</f>
        <v>2365.24524158126</v>
      </c>
      <c r="T94" s="131" t="n">
        <f aca="false">T91*(1+($J$19-1)*MIN(1,MAX(0,(T$4-$B$19)/($D$19-$B$19))))</f>
        <v>2384.60834553441</v>
      </c>
      <c r="U94" s="131" t="n">
        <f aca="false">U91*(1+($J$19-1)*MIN(1,MAX(0,(U$4-$B$19)/($D$19-$B$19))))</f>
        <v>2403.97144948756</v>
      </c>
      <c r="V94" s="131" t="n">
        <f aca="false">V91*(1+($J$19-1)*MIN(1,MAX(0,(V$4-$B$19)/($D$19-$B$19))))</f>
        <v>2423.12408491947</v>
      </c>
      <c r="W94" s="131" t="n">
        <f aca="false">W91*(1+($J$19-1)*MIN(1,MAX(0,(W$4-$B$19)/($D$19-$B$19))))</f>
        <v>2442.27672035139</v>
      </c>
      <c r="X94" s="131" t="n">
        <f aca="false">X91*(1+($J$19-1)*MIN(1,MAX(0,(X$4-$B$19)/($D$19-$B$19))))</f>
        <v>2461.63982430454</v>
      </c>
      <c r="Y94" s="131" t="n">
        <f aca="false">Y91*(1+($J$19-1)*MIN(1,MAX(0,(Y$4-$B$19)/($D$19-$B$19))))</f>
        <v>2481.00292825769</v>
      </c>
      <c r="Z94" s="131" t="n">
        <f aca="false">Z91*(1+($J$19-1)*MIN(1,MAX(0,(Z$4-$B$19)/($D$19-$B$19))))</f>
        <v>2499.94509516838</v>
      </c>
      <c r="AA94" s="131" t="n">
        <f aca="false">AA91*(1+($J$19-1)*MIN(1,MAX(0,(AA$4-$B$19)/($D$19-$B$19))))</f>
        <v>2519.09773060029</v>
      </c>
      <c r="AB94" s="131" t="n">
        <f aca="false">AB91*(1+($J$19-1)*MIN(1,MAX(0,(AB$4-$B$19)/($D$19-$B$19))))</f>
        <v>2538.46083455344</v>
      </c>
      <c r="AC94" s="131" t="n">
        <f aca="false">AC91*(1+($J$19-1)*MIN(1,MAX(0,(AC$4-$B$19)/($D$19-$B$19))))</f>
        <v>2557.82393850659</v>
      </c>
      <c r="AD94" s="131" t="n">
        <f aca="false">AD91*(1+($J$19-1)*MIN(1,MAX(0,(AD$4-$B$19)/($D$19-$B$19))))</f>
        <v>2576.76610541728</v>
      </c>
      <c r="AE94" s="131" t="n">
        <f aca="false">AE91*(1+($J$19-1)*MIN(1,MAX(0,(AE$4-$B$19)/($D$19-$B$19))))</f>
        <v>2595.9187408492</v>
      </c>
      <c r="AF94" s="131" t="n">
        <f aca="false">AF91*(1+($J$19-1)*MIN(1,MAX(0,(AF$4-$B$19)/($D$19-$B$19))))</f>
        <v>2615.28184480234</v>
      </c>
      <c r="AG94" s="131" t="n">
        <f aca="false">AG91*(1+($J$19-1)*MIN(1,MAX(0,(AG$4-$B$19)/($D$19-$B$19))))</f>
        <v>2634.64494875549</v>
      </c>
      <c r="AI94" s="131" t="n">
        <f aca="false">INDEX($F94:$AG94,1,MATCH(AI$7,$F$7:$AG$7,1))</f>
        <v>0</v>
      </c>
      <c r="AJ94" s="131" t="n">
        <f aca="false">INDEX($F94:$AG94,1,MATCH(AJ$7,$F$7:$AG$7,1))</f>
        <v>0</v>
      </c>
      <c r="AK94" s="131" t="n">
        <f aca="false">INDEX($F94:$AG94,1,MATCH(AK$7,$F$7:$AG$7,1))</f>
        <v>2327.15043923865</v>
      </c>
      <c r="AL94" s="131" t="n">
        <f aca="false">INDEX($F94:$AG94,1,MATCH(AL$7,$F$7:$AG$7,1))</f>
        <v>2403.97144948756</v>
      </c>
      <c r="AM94" s="131" t="n">
        <f aca="false">INDEX($F94:$AG94,1,MATCH(AM$7,$F$7:$AG$7,1))</f>
        <v>2481.00292825769</v>
      </c>
      <c r="AN94" s="131" t="n">
        <f aca="false">INDEX($F94:$AG94,1,MATCH(AN$7,$F$7:$AG$7,1))</f>
        <v>2557.82393850659</v>
      </c>
      <c r="AO94" s="131" t="n">
        <f aca="false">INDEX($F94:$AG94,1,MATCH(AO$7,$F$7:$AG$7,1))</f>
        <v>2634.64494875549</v>
      </c>
    </row>
    <row r="95" customFormat="false" ht="15" hidden="false" customHeight="false" outlineLevel="0" collapsed="false">
      <c r="A95" s="112" t="s">
        <v>2572</v>
      </c>
      <c r="B95" s="24" t="s">
        <v>745</v>
      </c>
      <c r="C95" s="24" t="s">
        <v>736</v>
      </c>
      <c r="D95" s="24"/>
      <c r="F95" s="130" t="n">
        <f aca="false">F91*($S$19+($J$19-$S$19)*MIN(1,MAX(0,(F$4-$T$19)/($D$19-$T$19))))</f>
        <v>0</v>
      </c>
      <c r="G95" s="130" t="n">
        <f aca="false">G91*($S$19+($J$19-$S$19)*MIN(1,MAX(0,(G$4-$T$19)/($D$19-$T$19))))</f>
        <v>0</v>
      </c>
      <c r="H95" s="130" t="n">
        <f aca="false">H91*($S$19+($J$19-$S$19)*MIN(1,MAX(0,(H$4-$T$19)/($D$19-$T$19))))</f>
        <v>0</v>
      </c>
      <c r="I95" s="130" t="n">
        <f aca="false">I91*($S$19+($J$19-$S$19)*MIN(1,MAX(0,(I$4-$T$19)/($D$19-$T$19))))</f>
        <v>0</v>
      </c>
      <c r="J95" s="130" t="n">
        <f aca="false">J91*($S$19+($J$19-$S$19)*MIN(1,MAX(0,(J$4-$T$19)/($D$19-$T$19))))</f>
        <v>0</v>
      </c>
      <c r="K95" s="130" t="n">
        <f aca="false">K91*($S$19+($J$19-$S$19)*MIN(1,MAX(0,(K$4-$T$19)/($D$19-$T$19))))</f>
        <v>0</v>
      </c>
      <c r="L95" s="130" t="n">
        <f aca="false">L91*($S$19+($J$19-$S$19)*MIN(1,MAX(0,(L$4-$T$19)/($D$19-$T$19))))</f>
        <v>0</v>
      </c>
      <c r="M95" s="130" t="n">
        <f aca="false">M91*($S$19+($J$19-$S$19)*MIN(1,MAX(0,(M$4-$T$19)/($D$19-$T$19))))</f>
        <v>0</v>
      </c>
      <c r="N95" s="130" t="n">
        <f aca="false">N91*($S$19+($J$19-$S$19)*MIN(1,MAX(0,(N$4-$T$19)/($D$19-$T$19))))</f>
        <v>0</v>
      </c>
      <c r="O95" s="130" t="n">
        <f aca="false">O91*($S$19+($J$19-$S$19)*MIN(1,MAX(0,(O$4-$T$19)/($D$19-$T$19))))</f>
        <v>0</v>
      </c>
      <c r="P95" s="131" t="n">
        <f aca="false">P91*($S$19+($J$19-$S$19)*MIN(1,MAX(0,(P$4-$T$19)/($D$19-$T$19))))</f>
        <v>2307.78733528551</v>
      </c>
      <c r="Q95" s="131" t="n">
        <f aca="false">Q91*($S$19+($J$19-$S$19)*MIN(1,MAX(0,(Q$4-$T$19)/($D$19-$T$19))))</f>
        <v>2327.15043923865</v>
      </c>
      <c r="R95" s="131" t="n">
        <f aca="false">R91*($S$19+($J$19-$S$19)*MIN(1,MAX(0,(R$4-$T$19)/($D$19-$T$19))))</f>
        <v>2346.09260614934</v>
      </c>
      <c r="S95" s="131" t="n">
        <f aca="false">S91*($S$19+($J$19-$S$19)*MIN(1,MAX(0,(S$4-$T$19)/($D$19-$T$19))))</f>
        <v>2365.24524158126</v>
      </c>
      <c r="T95" s="131" t="n">
        <f aca="false">T91*($S$19+($J$19-$S$19)*MIN(1,MAX(0,(T$4-$T$19)/($D$19-$T$19))))</f>
        <v>2384.60834553441</v>
      </c>
      <c r="U95" s="131" t="n">
        <f aca="false">U91*($S$19+($J$19-$S$19)*MIN(1,MAX(0,(U$4-$T$19)/($D$19-$T$19))))</f>
        <v>2403.97144948756</v>
      </c>
      <c r="V95" s="131" t="n">
        <f aca="false">V91*($S$19+($J$19-$S$19)*MIN(1,MAX(0,(V$4-$T$19)/($D$19-$T$19))))</f>
        <v>2423.12408491947</v>
      </c>
      <c r="W95" s="131" t="n">
        <f aca="false">W91*($S$19+($J$19-$S$19)*MIN(1,MAX(0,(W$4-$T$19)/($D$19-$T$19))))</f>
        <v>2442.27672035139</v>
      </c>
      <c r="X95" s="131" t="n">
        <f aca="false">X91*($S$19+($J$19-$S$19)*MIN(1,MAX(0,(X$4-$T$19)/($D$19-$T$19))))</f>
        <v>2461.63982430454</v>
      </c>
      <c r="Y95" s="131" t="n">
        <f aca="false">Y91*($S$19+($J$19-$S$19)*MIN(1,MAX(0,(Y$4-$T$19)/($D$19-$T$19))))</f>
        <v>2481.00292825769</v>
      </c>
      <c r="Z95" s="131" t="n">
        <f aca="false">Z91*($S$19+($J$19-$S$19)*MIN(1,MAX(0,(Z$4-$T$19)/($D$19-$T$19))))</f>
        <v>2499.94509516838</v>
      </c>
      <c r="AA95" s="131" t="n">
        <f aca="false">AA91*($S$19+($J$19-$S$19)*MIN(1,MAX(0,(AA$4-$T$19)/($D$19-$T$19))))</f>
        <v>2519.09773060029</v>
      </c>
      <c r="AB95" s="131" t="n">
        <f aca="false">AB91*($S$19+($J$19-$S$19)*MIN(1,MAX(0,(AB$4-$T$19)/($D$19-$T$19))))</f>
        <v>2538.46083455344</v>
      </c>
      <c r="AC95" s="131" t="n">
        <f aca="false">AC91*($S$19+($J$19-$S$19)*MIN(1,MAX(0,(AC$4-$T$19)/($D$19-$T$19))))</f>
        <v>2557.82393850659</v>
      </c>
      <c r="AD95" s="131" t="n">
        <f aca="false">AD91*($S$19+($J$19-$S$19)*MIN(1,MAX(0,(AD$4-$T$19)/($D$19-$T$19))))</f>
        <v>2576.76610541728</v>
      </c>
      <c r="AE95" s="131" t="n">
        <f aca="false">AE91*($S$19+($J$19-$S$19)*MIN(1,MAX(0,(AE$4-$T$19)/($D$19-$T$19))))</f>
        <v>2595.9187408492</v>
      </c>
      <c r="AF95" s="131" t="n">
        <f aca="false">AF91*($S$19+($J$19-$S$19)*MIN(1,MAX(0,(AF$4-$T$19)/($D$19-$T$19))))</f>
        <v>2615.28184480234</v>
      </c>
      <c r="AG95" s="131" t="n">
        <f aca="false">AG91*($S$19+($J$19-$S$19)*MIN(1,MAX(0,(AG$4-$T$19)/($D$19-$T$19))))</f>
        <v>2634.64494875549</v>
      </c>
      <c r="AI95" s="131" t="n">
        <f aca="false">INDEX($F95:$AG95,1,MATCH(AI$7,$F$7:$AG$7,1))</f>
        <v>0</v>
      </c>
      <c r="AJ95" s="131" t="n">
        <f aca="false">INDEX($F95:$AG95,1,MATCH(AJ$7,$F$7:$AG$7,1))</f>
        <v>0</v>
      </c>
      <c r="AK95" s="131" t="n">
        <f aca="false">INDEX($F95:$AG95,1,MATCH(AK$7,$F$7:$AG$7,1))</f>
        <v>2327.15043923865</v>
      </c>
      <c r="AL95" s="131" t="n">
        <f aca="false">INDEX($F95:$AG95,1,MATCH(AL$7,$F$7:$AG$7,1))</f>
        <v>2403.97144948756</v>
      </c>
      <c r="AM95" s="131" t="n">
        <f aca="false">INDEX($F95:$AG95,1,MATCH(AM$7,$F$7:$AG$7,1))</f>
        <v>2481.00292825769</v>
      </c>
      <c r="AN95" s="131" t="n">
        <f aca="false">INDEX($F95:$AG95,1,MATCH(AN$7,$F$7:$AG$7,1))</f>
        <v>2557.82393850659</v>
      </c>
      <c r="AO95" s="131" t="n">
        <f aca="false">INDEX($F95:$AG95,1,MATCH(AO$7,$F$7:$AG$7,1))</f>
        <v>2634.64494875549</v>
      </c>
    </row>
    <row r="96" customFormat="false" ht="15" hidden="false" customHeight="false" outlineLevel="0" collapsed="false">
      <c r="A96" s="112" t="s">
        <v>2573</v>
      </c>
      <c r="B96" s="24" t="s">
        <v>745</v>
      </c>
      <c r="C96" s="24" t="s">
        <v>736</v>
      </c>
      <c r="D96" s="24"/>
      <c r="F96" s="130" t="n">
        <f aca="false">IF(F$5=$N$19,E91*$J$19*(1-$O$19),0)</f>
        <v>0</v>
      </c>
      <c r="G96" s="130" t="n">
        <f aca="false">IF(G$5=$N$19,F91*$J$19*(1-$O$19),0)</f>
        <v>0</v>
      </c>
      <c r="H96" s="130" t="n">
        <f aca="false">IF(H$5=$N$19,G91*$J$19*(1-$O$19),0)</f>
        <v>0</v>
      </c>
      <c r="I96" s="130" t="n">
        <f aca="false">IF(I$5=$N$19,H91*$J$19*(1-$O$19),0)</f>
        <v>0</v>
      </c>
      <c r="J96" s="130" t="n">
        <f aca="false">IF(J$5=$N$19,I91*$J$19*(1-$O$19),0)</f>
        <v>0</v>
      </c>
      <c r="K96" s="130" t="n">
        <f aca="false">IF(K$5=$N$19,J91*$J$19*(1-$O$19),0)</f>
        <v>0</v>
      </c>
      <c r="L96" s="130" t="n">
        <f aca="false">IF(L$5=$N$19,K91*$J$19*(1-$O$19),0)</f>
        <v>0</v>
      </c>
      <c r="M96" s="130" t="n">
        <f aca="false">IF(M$5=$N$19,L91*$J$19*(1-$O$19),0)</f>
        <v>0</v>
      </c>
      <c r="N96" s="130" t="n">
        <f aca="false">IF(N$5=$N$19,M91*$J$19*(1-$O$19),0)</f>
        <v>0</v>
      </c>
      <c r="O96" s="130" t="n">
        <f aca="false">IF(O$5=$N$19,N91*$J$19*(1-$O$19),0)</f>
        <v>0</v>
      </c>
      <c r="P96" s="131" t="n">
        <f aca="false">IF(P$5=$N$19,O91*$J$19*(1-$O$19),0)</f>
        <v>0</v>
      </c>
      <c r="Q96" s="131" t="n">
        <f aca="false">IF(Q$5=$N$19,P91*$J$19*(1-$O$19),0)</f>
        <v>0</v>
      </c>
      <c r="R96" s="131" t="n">
        <f aca="false">IF(R$5=$N$19,Q91*$J$19*(1-$O$19),0)</f>
        <v>0</v>
      </c>
      <c r="S96" s="131" t="n">
        <f aca="false">IF(S$5=$N$19,R91*$J$19*(1-$O$19),0)</f>
        <v>0</v>
      </c>
      <c r="T96" s="131" t="n">
        <f aca="false">IF(T$5=$N$19,S91*$J$19*(1-$O$19),0)</f>
        <v>0</v>
      </c>
      <c r="U96" s="131" t="n">
        <f aca="false">IF(U$5=$N$19,T91*$J$19*(1-$O$19),0)</f>
        <v>0</v>
      </c>
      <c r="V96" s="131" t="n">
        <f aca="false">IF(V$5=$N$19,U91*$J$19*(1-$O$19),0)</f>
        <v>0</v>
      </c>
      <c r="W96" s="131" t="n">
        <f aca="false">IF(W$5=$N$19,V91*$J$19*(1-$O$19),0)</f>
        <v>0</v>
      </c>
      <c r="X96" s="131" t="n">
        <f aca="false">IF(X$5=$N$19,W91*$J$19*(1-$O$19),0)</f>
        <v>0</v>
      </c>
      <c r="Y96" s="131" t="n">
        <f aca="false">IF(Y$5=$N$19,X91*$J$19*(1-$O$19),0)</f>
        <v>0</v>
      </c>
      <c r="Z96" s="131" t="n">
        <f aca="false">IF(Z$5=$N$19,Y91*$J$19*(1-$O$19),0)</f>
        <v>0</v>
      </c>
      <c r="AA96" s="131" t="n">
        <f aca="false">IF(AA$5=$N$19,Z91*$J$19*(1-$O$19),0)</f>
        <v>0</v>
      </c>
      <c r="AB96" s="131" t="n">
        <f aca="false">IF(AB$5=$N$19,AA91*$J$19*(1-$O$19),0)</f>
        <v>0</v>
      </c>
      <c r="AC96" s="131" t="n">
        <f aca="false">IF(AC$5=$N$19,AB91*$J$19*(1-$O$19),0)</f>
        <v>0</v>
      </c>
      <c r="AD96" s="131" t="n">
        <f aca="false">IF(AD$5=$N$19,AC91*$J$19*(1-$O$19),0)</f>
        <v>0</v>
      </c>
      <c r="AE96" s="131" t="n">
        <f aca="false">IF(AE$5=$N$19,AD91*$J$19*(1-$O$19),0)</f>
        <v>0</v>
      </c>
      <c r="AF96" s="131" t="n">
        <f aca="false">IF(AF$5=$N$19,AE91*$J$19*(1-$O$19),0)</f>
        <v>0</v>
      </c>
      <c r="AG96" s="131" t="n">
        <f aca="false">IF(AG$5=$N$19,AF91*$J$19*(1-$O$19),0)</f>
        <v>0</v>
      </c>
      <c r="AI96" s="131" t="n">
        <f aca="false">SUMIF($F$7:$AG$7,AI$7,$F96:$AG96)</f>
        <v>0</v>
      </c>
      <c r="AJ96" s="131" t="n">
        <f aca="false">SUMIF($F$7:$AG$7,AJ$7,$F96:$AG96)</f>
        <v>0</v>
      </c>
      <c r="AK96" s="131" t="n">
        <f aca="false">SUMIF($F$7:$AG$7,AK$7,$F96:$AG96)</f>
        <v>0</v>
      </c>
      <c r="AL96" s="131" t="n">
        <f aca="false">SUMIF($F$7:$AG$7,AL$7,$F96:$AG96)</f>
        <v>0</v>
      </c>
      <c r="AM96" s="131" t="n">
        <f aca="false">SUMIF($F$7:$AG$7,AM$7,$F96:$AG96)</f>
        <v>0</v>
      </c>
      <c r="AN96" s="131" t="n">
        <f aca="false">SUMIF($F$7:$AG$7,AN$7,$F96:$AG96)</f>
        <v>0</v>
      </c>
      <c r="AO96" s="131" t="n">
        <f aca="false">SUMIF($F$7:$AG$7,AO$7,$F96:$AG96)</f>
        <v>0</v>
      </c>
    </row>
    <row r="97" customFormat="false" ht="15" hidden="false" customHeight="false" outlineLevel="0" collapsed="false">
      <c r="A97" s="112" t="s">
        <v>2574</v>
      </c>
      <c r="B97" s="24" t="s">
        <v>809</v>
      </c>
      <c r="C97" s="24" t="s">
        <v>736</v>
      </c>
      <c r="D97" s="24"/>
      <c r="F97" s="146" t="n">
        <f aca="false">IF(F$5=$N$19,E91*$K$19/1000*$O$19,0)</f>
        <v>0</v>
      </c>
      <c r="G97" s="146" t="n">
        <f aca="false">IF(G$5=$N$19,F91*$K$19/1000*$O$19,0)</f>
        <v>0</v>
      </c>
      <c r="H97" s="146" t="n">
        <f aca="false">IF(H$5=$N$19,G91*$K$19/1000*$O$19,0)</f>
        <v>0</v>
      </c>
      <c r="I97" s="146" t="n">
        <f aca="false">IF(I$5=$N$19,H91*$K$19/1000*$O$19,0)</f>
        <v>0</v>
      </c>
      <c r="J97" s="146" t="n">
        <f aca="false">IF(J$5=$N$19,I91*$K$19/1000*$O$19,0)</f>
        <v>0</v>
      </c>
      <c r="K97" s="146" t="n">
        <f aca="false">IF(K$5=$N$19,J91*$K$19/1000*$O$19,0)</f>
        <v>0</v>
      </c>
      <c r="L97" s="146" t="n">
        <f aca="false">IF(L$5=$N$19,K91*$K$19/1000*$O$19,0)</f>
        <v>0</v>
      </c>
      <c r="M97" s="146" t="n">
        <f aca="false">IF(M$5=$N$19,L91*$K$19/1000*$O$19,0)</f>
        <v>0</v>
      </c>
      <c r="N97" s="146" t="n">
        <f aca="false">IF(N$5=$N$19,M91*$K$19/1000*$O$19,0)</f>
        <v>0</v>
      </c>
      <c r="O97" s="146" t="n">
        <f aca="false">IF(O$5=$N$19,N91*$K$19/1000*$O$19,0)</f>
        <v>0</v>
      </c>
      <c r="P97" s="54" t="n">
        <f aca="false">IF(P$5=$N$19,O91*$K$19/1000*$O$19,0)</f>
        <v>0</v>
      </c>
      <c r="Q97" s="54" t="n">
        <f aca="false">IF(Q$5=$N$19,P91*$K$19/1000*$O$19,0)</f>
        <v>0</v>
      </c>
      <c r="R97" s="54" t="n">
        <f aca="false">IF(R$5=$N$19,Q91*$K$19/1000*$O$19,0)</f>
        <v>0</v>
      </c>
      <c r="S97" s="54" t="n">
        <f aca="false">IF(S$5=$N$19,R91*$K$19/1000*$O$19,0)</f>
        <v>0</v>
      </c>
      <c r="T97" s="54" t="n">
        <f aca="false">IF(T$5=$N$19,S91*$K$19/1000*$O$19,0)</f>
        <v>0</v>
      </c>
      <c r="U97" s="54" t="n">
        <f aca="false">IF(U$5=$N$19,T91*$K$19/1000*$O$19,0)</f>
        <v>0</v>
      </c>
      <c r="V97" s="54" t="n">
        <f aca="false">IF(V$5=$N$19,U91*$K$19/1000*$O$19,0)</f>
        <v>0</v>
      </c>
      <c r="W97" s="54" t="n">
        <f aca="false">IF(W$5=$N$19,V91*$K$19/1000*$O$19,0)</f>
        <v>0</v>
      </c>
      <c r="X97" s="54" t="n">
        <f aca="false">IF(X$5=$N$19,W91*$K$19/1000*$O$19,0)</f>
        <v>0</v>
      </c>
      <c r="Y97" s="54" t="n">
        <f aca="false">IF(Y$5=$N$19,X91*$K$19/1000*$O$19,0)</f>
        <v>0</v>
      </c>
      <c r="Z97" s="54" t="n">
        <f aca="false">IF(Z$5=$N$19,Y91*$K$19/1000*$O$19,0)</f>
        <v>0</v>
      </c>
      <c r="AA97" s="54" t="n">
        <f aca="false">IF(AA$5=$N$19,Z91*$K$19/1000*$O$19,0)</f>
        <v>0</v>
      </c>
      <c r="AB97" s="54" t="n">
        <f aca="false">IF(AB$5=$N$19,AA91*$K$19/1000*$O$19,0)</f>
        <v>0</v>
      </c>
      <c r="AC97" s="54" t="n">
        <f aca="false">IF(AC$5=$N$19,AB91*$K$19/1000*$O$19,0)</f>
        <v>0</v>
      </c>
      <c r="AD97" s="54" t="n">
        <f aca="false">IF(AD$5=$N$19,AC91*$K$19/1000*$O$19,0)</f>
        <v>0</v>
      </c>
      <c r="AE97" s="54" t="n">
        <f aca="false">IF(AE$5=$N$19,AD91*$K$19/1000*$O$19,0)</f>
        <v>0</v>
      </c>
      <c r="AF97" s="54" t="n">
        <f aca="false">IF(AF$5=$N$19,AE91*$K$19/1000*$O$19,0)</f>
        <v>0</v>
      </c>
      <c r="AG97" s="54" t="n">
        <f aca="false">IF(AG$5=$N$19,AF91*$K$19/1000*$O$19,0)</f>
        <v>0</v>
      </c>
      <c r="AI97" s="54" t="n">
        <f aca="false">SUMIF($F$7:$AG$7,AI$7,$F97:$AG97)</f>
        <v>0</v>
      </c>
      <c r="AJ97" s="54" t="n">
        <f aca="false">SUMIF($F$7:$AG$7,AJ$7,$F97:$AG97)</f>
        <v>0</v>
      </c>
      <c r="AK97" s="54" t="n">
        <f aca="false">SUMIF($F$7:$AG$7,AK$7,$F97:$AG97)</f>
        <v>0</v>
      </c>
      <c r="AL97" s="54" t="n">
        <f aca="false">SUMIF($F$7:$AG$7,AL$7,$F97:$AG97)</f>
        <v>0</v>
      </c>
      <c r="AM97" s="54" t="n">
        <f aca="false">SUMIF($F$7:$AG$7,AM$7,$F97:$AG97)</f>
        <v>0</v>
      </c>
      <c r="AN97" s="54" t="n">
        <f aca="false">SUMIF($F$7:$AG$7,AN$7,$F97:$AG97)</f>
        <v>0</v>
      </c>
      <c r="AO97" s="54" t="n">
        <f aca="false">SUMIF($F$7:$AG$7,AO$7,$F97:$AG97)</f>
        <v>0</v>
      </c>
    </row>
    <row r="98" customFormat="false" ht="15" hidden="false" customHeight="false" outlineLevel="0" collapsed="false">
      <c r="A98" s="112" t="s">
        <v>2575</v>
      </c>
      <c r="B98" s="24" t="s">
        <v>809</v>
      </c>
      <c r="C98" s="24" t="s">
        <v>672</v>
      </c>
      <c r="D98" s="24"/>
      <c r="F98" s="146" t="n">
        <f aca="false">IF(DilMethod=3,MAX(0,F91*$K$19/1000*DilPx-F94)/DilPx,F91*$K$19/1000*$P$19)</f>
        <v>0</v>
      </c>
      <c r="G98" s="146" t="n">
        <f aca="false">IF(DilMethod=3,MAX(0,G91*$K$19/1000*DilPx-G94)/DilPx,G91*$K$19/1000*$P$19)</f>
        <v>0</v>
      </c>
      <c r="H98" s="146" t="n">
        <f aca="false">IF(DilMethod=3,MAX(0,H91*$K$19/1000*DilPx-H94)/DilPx,H91*$K$19/1000*$P$19)</f>
        <v>0</v>
      </c>
      <c r="I98" s="146" t="n">
        <f aca="false">IF(DilMethod=3,MAX(0,I91*$K$19/1000*DilPx-I94)/DilPx,I91*$K$19/1000*$P$19)</f>
        <v>0</v>
      </c>
      <c r="J98" s="146" t="n">
        <f aca="false">IF(DilMethod=3,MAX(0,J91*$K$19/1000*DilPx-J94)/DilPx,J91*$K$19/1000*$P$19)</f>
        <v>0</v>
      </c>
      <c r="K98" s="146" t="n">
        <f aca="false">IF(DilMethod=3,MAX(0,K91*$K$19/1000*DilPx-K94)/DilPx,K91*$K$19/1000*$P$19)</f>
        <v>0</v>
      </c>
      <c r="L98" s="146" t="n">
        <f aca="false">IF(DilMethod=3,MAX(0,L91*$K$19/1000*DilPx-L94)/DilPx,L91*$K$19/1000*$P$19)</f>
        <v>0</v>
      </c>
      <c r="M98" s="146" t="n">
        <f aca="false">IF(DilMethod=3,MAX(0,M91*$K$19/1000*DilPx-M94)/DilPx,M91*$K$19/1000*$P$19)</f>
        <v>0</v>
      </c>
      <c r="N98" s="146" t="n">
        <f aca="false">IF(DilMethod=3,MAX(0,N91*$K$19/1000*DilPx-N94)/DilPx,N91*$K$19/1000*$P$19)</f>
        <v>0</v>
      </c>
      <c r="O98" s="146" t="n">
        <f aca="false">IF(DilMethod=3,MAX(0,O91*$K$19/1000*DilPx-O94)/DilPx,O91*$K$19/1000*$P$19)</f>
        <v>0</v>
      </c>
      <c r="P98" s="54" t="n">
        <f aca="false">IF(DilMethod=3,MAX(0,P91*$K$19/1000*DilPx-P94)/DilPx,P91*$K$19/1000*$P$19)</f>
        <v>0</v>
      </c>
      <c r="Q98" s="54" t="n">
        <f aca="false">IF(DilMethod=3,MAX(0,Q91*$K$19/1000*DilPx-Q94)/DilPx,Q91*$K$19/1000*$P$19)</f>
        <v>0</v>
      </c>
      <c r="R98" s="54" t="n">
        <f aca="false">IF(DilMethod=3,MAX(0,R91*$K$19/1000*DilPx-R94)/DilPx,R91*$K$19/1000*$P$19)</f>
        <v>0</v>
      </c>
      <c r="S98" s="54" t="n">
        <f aca="false">IF(DilMethod=3,MAX(0,S91*$K$19/1000*DilPx-S94)/DilPx,S91*$K$19/1000*$P$19)</f>
        <v>0</v>
      </c>
      <c r="T98" s="54" t="n">
        <f aca="false">IF(DilMethod=3,MAX(0,T91*$K$19/1000*DilPx-T94)/DilPx,T91*$K$19/1000*$P$19)</f>
        <v>0</v>
      </c>
      <c r="U98" s="54" t="n">
        <f aca="false">IF(DilMethod=3,MAX(0,U91*$K$19/1000*DilPx-U94)/DilPx,U91*$K$19/1000*$P$19)</f>
        <v>0</v>
      </c>
      <c r="V98" s="54" t="n">
        <f aca="false">IF(DilMethod=3,MAX(0,V91*$K$19/1000*DilPx-V94)/DilPx,V91*$K$19/1000*$P$19)</f>
        <v>0</v>
      </c>
      <c r="W98" s="54" t="n">
        <f aca="false">IF(DilMethod=3,MAX(0,W91*$K$19/1000*DilPx-W94)/DilPx,W91*$K$19/1000*$P$19)</f>
        <v>0</v>
      </c>
      <c r="X98" s="54" t="n">
        <f aca="false">IF(DilMethod=3,MAX(0,X91*$K$19/1000*DilPx-X94)/DilPx,X91*$K$19/1000*$P$19)</f>
        <v>0</v>
      </c>
      <c r="Y98" s="54" t="n">
        <f aca="false">IF(DilMethod=3,MAX(0,Y91*$K$19/1000*DilPx-Y94)/DilPx,Y91*$K$19/1000*$P$19)</f>
        <v>0</v>
      </c>
      <c r="Z98" s="54" t="n">
        <f aca="false">IF(DilMethod=3,MAX(0,Z91*$K$19/1000*DilPx-Z94)/DilPx,Z91*$K$19/1000*$P$19)</f>
        <v>0</v>
      </c>
      <c r="AA98" s="54" t="n">
        <f aca="false">IF(DilMethod=3,MAX(0,AA91*$K$19/1000*DilPx-AA94)/DilPx,AA91*$K$19/1000*$P$19)</f>
        <v>0</v>
      </c>
      <c r="AB98" s="54" t="n">
        <f aca="false">IF(DilMethod=3,MAX(0,AB91*$K$19/1000*DilPx-AB94)/DilPx,AB91*$K$19/1000*$P$19)</f>
        <v>0</v>
      </c>
      <c r="AC98" s="54" t="n">
        <f aca="false">IF(DilMethod=3,MAX(0,AC91*$K$19/1000*DilPx-AC94)/DilPx,AC91*$K$19/1000*$P$19)</f>
        <v>0</v>
      </c>
      <c r="AD98" s="54" t="n">
        <f aca="false">IF(DilMethod=3,MAX(0,AD91*$K$19/1000*DilPx-AD94)/DilPx,AD91*$K$19/1000*$P$19)</f>
        <v>0</v>
      </c>
      <c r="AE98" s="54" t="n">
        <f aca="false">IF(DilMethod=3,MAX(0,AE91*$K$19/1000*DilPx-AE94)/DilPx,AE91*$K$19/1000*$P$19)</f>
        <v>0</v>
      </c>
      <c r="AF98" s="54" t="n">
        <f aca="false">IF(DilMethod=3,MAX(0,AF91*$K$19/1000*DilPx-AF94)/DilPx,AF91*$K$19/1000*$P$19)</f>
        <v>0</v>
      </c>
      <c r="AG98" s="54" t="n">
        <f aca="false">IF(DilMethod=3,MAX(0,AG91*$K$19/1000*DilPx-AG94)/DilPx,AG91*$K$19/1000*$P$19)</f>
        <v>0</v>
      </c>
      <c r="AI98" s="54" t="n">
        <f aca="false">INDEX($F98:$AG98,1,MATCH(AI$7,$F$7:$AG$7,1))</f>
        <v>0</v>
      </c>
      <c r="AJ98" s="54" t="n">
        <f aca="false">INDEX($F98:$AG98,1,MATCH(AJ$7,$F$7:$AG$7,1))</f>
        <v>0</v>
      </c>
      <c r="AK98" s="54" t="n">
        <f aca="false">INDEX($F98:$AG98,1,MATCH(AK$7,$F$7:$AG$7,1))</f>
        <v>0</v>
      </c>
      <c r="AL98" s="54" t="n">
        <f aca="false">INDEX($F98:$AG98,1,MATCH(AL$7,$F$7:$AG$7,1))</f>
        <v>0</v>
      </c>
      <c r="AM98" s="54" t="n">
        <f aca="false">INDEX($F98:$AG98,1,MATCH(AM$7,$F$7:$AG$7,1))</f>
        <v>0</v>
      </c>
      <c r="AN98" s="54" t="n">
        <f aca="false">INDEX($F98:$AG98,1,MATCH(AN$7,$F$7:$AG$7,1))</f>
        <v>0</v>
      </c>
      <c r="AO98" s="54" t="n">
        <f aca="false">INDEX($F98:$AG98,1,MATCH(AO$7,$F$7:$AG$7,1))</f>
        <v>0</v>
      </c>
    </row>
    <row r="99" customFormat="false" ht="15" hidden="false" customHeight="false" outlineLevel="0" collapsed="false">
      <c r="A99" s="112" t="s">
        <v>2576</v>
      </c>
      <c r="B99" s="24" t="s">
        <v>745</v>
      </c>
      <c r="C99" s="24" t="s">
        <v>672</v>
      </c>
      <c r="D99" s="24"/>
      <c r="F99" s="130" t="n">
        <f aca="false">F94*IF(DilMethod=3,1,1-$P$19)</f>
        <v>0</v>
      </c>
      <c r="G99" s="130" t="n">
        <f aca="false">G94*IF(DilMethod=3,1,1-$P$19)</f>
        <v>0</v>
      </c>
      <c r="H99" s="130" t="n">
        <f aca="false">H94*IF(DilMethod=3,1,1-$P$19)</f>
        <v>0</v>
      </c>
      <c r="I99" s="130" t="n">
        <f aca="false">I94*IF(DilMethod=3,1,1-$P$19)</f>
        <v>0</v>
      </c>
      <c r="J99" s="130" t="n">
        <f aca="false">J94*IF(DilMethod=3,1,1-$P$19)</f>
        <v>0</v>
      </c>
      <c r="K99" s="130" t="n">
        <f aca="false">K94*IF(DilMethod=3,1,1-$P$19)</f>
        <v>0</v>
      </c>
      <c r="L99" s="130" t="n">
        <f aca="false">L94*IF(DilMethod=3,1,1-$P$19)</f>
        <v>0</v>
      </c>
      <c r="M99" s="130" t="n">
        <f aca="false">M94*IF(DilMethod=3,1,1-$P$19)</f>
        <v>0</v>
      </c>
      <c r="N99" s="130" t="n">
        <f aca="false">N94*IF(DilMethod=3,1,1-$P$19)</f>
        <v>0</v>
      </c>
      <c r="O99" s="130" t="n">
        <f aca="false">O94*IF(DilMethod=3,1,1-$P$19)</f>
        <v>0</v>
      </c>
      <c r="P99" s="131" t="n">
        <f aca="false">P94*IF(DilMethod=3,1,1-$P$19)</f>
        <v>2307.78733528551</v>
      </c>
      <c r="Q99" s="131" t="n">
        <f aca="false">Q94*IF(DilMethod=3,1,1-$P$19)</f>
        <v>2327.15043923865</v>
      </c>
      <c r="R99" s="131" t="n">
        <f aca="false">R94*IF(DilMethod=3,1,1-$P$19)</f>
        <v>2346.09260614934</v>
      </c>
      <c r="S99" s="131" t="n">
        <f aca="false">S94*IF(DilMethod=3,1,1-$P$19)</f>
        <v>2365.24524158126</v>
      </c>
      <c r="T99" s="131" t="n">
        <f aca="false">T94*IF(DilMethod=3,1,1-$P$19)</f>
        <v>2384.60834553441</v>
      </c>
      <c r="U99" s="131" t="n">
        <f aca="false">U94*IF(DilMethod=3,1,1-$P$19)</f>
        <v>2403.97144948756</v>
      </c>
      <c r="V99" s="131" t="n">
        <f aca="false">V94*IF(DilMethod=3,1,1-$P$19)</f>
        <v>2423.12408491947</v>
      </c>
      <c r="W99" s="131" t="n">
        <f aca="false">W94*IF(DilMethod=3,1,1-$P$19)</f>
        <v>2442.27672035139</v>
      </c>
      <c r="X99" s="131" t="n">
        <f aca="false">X94*IF(DilMethod=3,1,1-$P$19)</f>
        <v>2461.63982430454</v>
      </c>
      <c r="Y99" s="131" t="n">
        <f aca="false">Y94*IF(DilMethod=3,1,1-$P$19)</f>
        <v>2481.00292825769</v>
      </c>
      <c r="Z99" s="131" t="n">
        <f aca="false">Z94*IF(DilMethod=3,1,1-$P$19)</f>
        <v>2499.94509516838</v>
      </c>
      <c r="AA99" s="131" t="n">
        <f aca="false">AA94*IF(DilMethod=3,1,1-$P$19)</f>
        <v>2519.09773060029</v>
      </c>
      <c r="AB99" s="131" t="n">
        <f aca="false">AB94*IF(DilMethod=3,1,1-$P$19)</f>
        <v>2538.46083455344</v>
      </c>
      <c r="AC99" s="131" t="n">
        <f aca="false">AC94*IF(DilMethod=3,1,1-$P$19)</f>
        <v>2557.82393850659</v>
      </c>
      <c r="AD99" s="131" t="n">
        <f aca="false">AD94*IF(DilMethod=3,1,1-$P$19)</f>
        <v>2576.76610541728</v>
      </c>
      <c r="AE99" s="131" t="n">
        <f aca="false">AE94*IF(DilMethod=3,1,1-$P$19)</f>
        <v>2595.9187408492</v>
      </c>
      <c r="AF99" s="131" t="n">
        <f aca="false">AF94*IF(DilMethod=3,1,1-$P$19)</f>
        <v>2615.28184480234</v>
      </c>
      <c r="AG99" s="131" t="n">
        <f aca="false">AG94*IF(DilMethod=3,1,1-$P$19)</f>
        <v>2634.64494875549</v>
      </c>
      <c r="AI99" s="131" t="n">
        <f aca="false">INDEX($F99:$AG99,1,MATCH(AI$7,$F$7:$AG$7,1))</f>
        <v>0</v>
      </c>
      <c r="AJ99" s="131" t="n">
        <f aca="false">INDEX($F99:$AG99,1,MATCH(AJ$7,$F$7:$AG$7,1))</f>
        <v>0</v>
      </c>
      <c r="AK99" s="131" t="n">
        <f aca="false">INDEX($F99:$AG99,1,MATCH(AK$7,$F$7:$AG$7,1))</f>
        <v>2327.15043923865</v>
      </c>
      <c r="AL99" s="131" t="n">
        <f aca="false">INDEX($F99:$AG99,1,MATCH(AL$7,$F$7:$AG$7,1))</f>
        <v>2403.97144948756</v>
      </c>
      <c r="AM99" s="131" t="n">
        <f aca="false">INDEX($F99:$AG99,1,MATCH(AM$7,$F$7:$AG$7,1))</f>
        <v>2481.00292825769</v>
      </c>
      <c r="AN99" s="131" t="n">
        <f aca="false">INDEX($F99:$AG99,1,MATCH(AN$7,$F$7:$AG$7,1))</f>
        <v>2557.82393850659</v>
      </c>
      <c r="AO99" s="131" t="n">
        <f aca="false">INDEX($F99:$AG99,1,MATCH(AO$7,$F$7:$AG$7,1))</f>
        <v>2634.64494875549</v>
      </c>
    </row>
    <row r="100" customFormat="false" ht="15" hidden="false" customHeight="false" outlineLevel="0" collapsed="false">
      <c r="A100" s="112" t="s">
        <v>2577</v>
      </c>
      <c r="B100" s="24" t="s">
        <v>745</v>
      </c>
      <c r="C100" s="24" t="s">
        <v>736</v>
      </c>
      <c r="D100" s="24"/>
      <c r="F100" s="130" t="n">
        <f aca="false">IF(AND(F$5&gt;=$M$20,F$5&lt;$N$20),$E$20-$F$20-IF(F$5&gt;=$H$20,$G$20,0),0)*($H$20&lt;&gt;0)+IF(AND(F$5&gt;=$M$20,F$5&lt;$N$20),$E$20-$F$20,0)*($H$20=0)</f>
        <v>0</v>
      </c>
      <c r="G100" s="130" t="n">
        <f aca="false">IF(AND(G$5&gt;=$M$20,G$5&lt;$N$20),$E$20-$F$20-IF(G$5&gt;=$H$20,$G$20,0),0)*($H$20&lt;&gt;0)+IF(AND(G$5&gt;=$M$20,G$5&lt;$N$20),$E$20-$F$20,0)*($H$20=0)</f>
        <v>0</v>
      </c>
      <c r="H100" s="130" t="n">
        <f aca="false">IF(AND(H$5&gt;=$M$20,H$5&lt;$N$20),$E$20-$F$20-IF(H$5&gt;=$H$20,$G$20,0),0)*($H$20&lt;&gt;0)+IF(AND(H$5&gt;=$M$20,H$5&lt;$N$20),$E$20-$F$20,0)*($H$20=0)</f>
        <v>0</v>
      </c>
      <c r="I100" s="130" t="n">
        <f aca="false">IF(AND(I$5&gt;=$M$20,I$5&lt;$N$20),$E$20-$F$20-IF(I$5&gt;=$H$20,$G$20,0),0)*($H$20&lt;&gt;0)+IF(AND(I$5&gt;=$M$20,I$5&lt;$N$20),$E$20-$F$20,0)*($H$20=0)</f>
        <v>0</v>
      </c>
      <c r="J100" s="130" t="n">
        <f aca="false">IF(AND(J$5&gt;=$M$20,J$5&lt;$N$20),$E$20-$F$20-IF(J$5&gt;=$H$20,$G$20,0),0)*($H$20&lt;&gt;0)+IF(AND(J$5&gt;=$M$20,J$5&lt;$N$20),$E$20-$F$20,0)*($H$20=0)</f>
        <v>0</v>
      </c>
      <c r="K100" s="130" t="n">
        <f aca="false">IF(AND(K$5&gt;=$M$20,K$5&lt;$N$20),$E$20-$F$20-IF(K$5&gt;=$H$20,$G$20,0),0)*($H$20&lt;&gt;0)+IF(AND(K$5&gt;=$M$20,K$5&lt;$N$20),$E$20-$F$20,0)*($H$20=0)</f>
        <v>0</v>
      </c>
      <c r="L100" s="130" t="n">
        <f aca="false">IF(AND(L$5&gt;=$M$20,L$5&lt;$N$20),$E$20-$F$20-IF(L$5&gt;=$H$20,$G$20,0),0)*($H$20&lt;&gt;0)+IF(AND(L$5&gt;=$M$20,L$5&lt;$N$20),$E$20-$F$20,0)*($H$20=0)</f>
        <v>0</v>
      </c>
      <c r="M100" s="130" t="n">
        <f aca="false">IF(AND(M$5&gt;=$M$20,M$5&lt;$N$20),$E$20-$F$20-IF(M$5&gt;=$H$20,$G$20,0),0)*($H$20&lt;&gt;0)+IF(AND(M$5&gt;=$M$20,M$5&lt;$N$20),$E$20-$F$20,0)*($H$20=0)</f>
        <v>0</v>
      </c>
      <c r="N100" s="130" t="n">
        <f aca="false">IF(AND(N$5&gt;=$M$20,N$5&lt;$N$20),$E$20-$F$20-IF(N$5&gt;=$H$20,$G$20,0),0)*($H$20&lt;&gt;0)+IF(AND(N$5&gt;=$M$20,N$5&lt;$N$20),$E$20-$F$20,0)*($H$20=0)</f>
        <v>0</v>
      </c>
      <c r="O100" s="130" t="n">
        <f aca="false">IF(AND(O$5&gt;=$M$20,O$5&lt;$N$20),$E$20-$F$20-IF(O$5&gt;=$H$20,$G$20,0),0)*($H$20&lt;&gt;0)+IF(AND(O$5&gt;=$M$20,O$5&lt;$N$20),$E$20-$F$20,0)*($H$20=0)</f>
        <v>0</v>
      </c>
      <c r="P100" s="131" t="n">
        <f aca="false">IF(AND(P$5&gt;=$M$20,P$5&lt;$N$20),$E$20-$F$20-IF(P$5&gt;=$H$20,$G$20,0),0)*($H$20&lt;&gt;0)+IF(AND(P$5&gt;=$M$20,P$5&lt;$N$20),$E$20-$F$20,0)*($H$20=0)</f>
        <v>0</v>
      </c>
      <c r="Q100" s="131" t="n">
        <f aca="false">IF(AND(Q$5&gt;=$M$20,Q$5&lt;$N$20),$E$20-$F$20-IF(Q$5&gt;=$H$20,$G$20,0),0)*($H$20&lt;&gt;0)+IF(AND(Q$5&gt;=$M$20,Q$5&lt;$N$20),$E$20-$F$20,0)*($H$20=0)</f>
        <v>0</v>
      </c>
      <c r="R100" s="131" t="n">
        <f aca="false">IF(AND(R$5&gt;=$M$20,R$5&lt;$N$20),$E$20-$F$20-IF(R$5&gt;=$H$20,$G$20,0),0)*($H$20&lt;&gt;0)+IF(AND(R$5&gt;=$M$20,R$5&lt;$N$20),$E$20-$F$20,0)*($H$20=0)</f>
        <v>3840</v>
      </c>
      <c r="S100" s="131" t="n">
        <f aca="false">IF(AND(S$5&gt;=$M$20,S$5&lt;$N$20),$E$20-$F$20-IF(S$5&gt;=$H$20,$G$20,0),0)*($H$20&lt;&gt;0)+IF(AND(S$5&gt;=$M$20,S$5&lt;$N$20),$E$20-$F$20,0)*($H$20=0)</f>
        <v>3840</v>
      </c>
      <c r="T100" s="131" t="n">
        <f aca="false">IF(AND(T$5&gt;=$M$20,T$5&lt;$N$20),$E$20-$F$20-IF(T$5&gt;=$H$20,$G$20,0),0)*($H$20&lt;&gt;0)+IF(AND(T$5&gt;=$M$20,T$5&lt;$N$20),$E$20-$F$20,0)*($H$20=0)</f>
        <v>3840</v>
      </c>
      <c r="U100" s="131" t="n">
        <f aca="false">IF(AND(U$5&gt;=$M$20,U$5&lt;$N$20),$E$20-$F$20-IF(U$5&gt;=$H$20,$G$20,0),0)*($H$20&lt;&gt;0)+IF(AND(U$5&gt;=$M$20,U$5&lt;$N$20),$E$20-$F$20,0)*($H$20=0)</f>
        <v>3840</v>
      </c>
      <c r="V100" s="131" t="n">
        <f aca="false">IF(AND(V$5&gt;=$M$20,V$5&lt;$N$20),$E$20-$F$20-IF(V$5&gt;=$H$20,$G$20,0),0)*($H$20&lt;&gt;0)+IF(AND(V$5&gt;=$M$20,V$5&lt;$N$20),$E$20-$F$20,0)*($H$20=0)</f>
        <v>3840</v>
      </c>
      <c r="W100" s="131" t="n">
        <f aca="false">IF(AND(W$5&gt;=$M$20,W$5&lt;$N$20),$E$20-$F$20-IF(W$5&gt;=$H$20,$G$20,0),0)*($H$20&lt;&gt;0)+IF(AND(W$5&gt;=$M$20,W$5&lt;$N$20),$E$20-$F$20,0)*($H$20=0)</f>
        <v>3840</v>
      </c>
      <c r="X100" s="131" t="n">
        <f aca="false">IF(AND(X$5&gt;=$M$20,X$5&lt;$N$20),$E$20-$F$20-IF(X$5&gt;=$H$20,$G$20,0),0)*($H$20&lt;&gt;0)+IF(AND(X$5&gt;=$M$20,X$5&lt;$N$20),$E$20-$F$20,0)*($H$20=0)</f>
        <v>3840</v>
      </c>
      <c r="Y100" s="131" t="n">
        <f aca="false">IF(AND(Y$5&gt;=$M$20,Y$5&lt;$N$20),$E$20-$F$20-IF(Y$5&gt;=$H$20,$G$20,0),0)*($H$20&lt;&gt;0)+IF(AND(Y$5&gt;=$M$20,Y$5&lt;$N$20),$E$20-$F$20,0)*($H$20=0)</f>
        <v>3840</v>
      </c>
      <c r="Z100" s="131" t="n">
        <f aca="false">IF(AND(Z$5&gt;=$M$20,Z$5&lt;$N$20),$E$20-$F$20-IF(Z$5&gt;=$H$20,$G$20,0),0)*($H$20&lt;&gt;0)+IF(AND(Z$5&gt;=$M$20,Z$5&lt;$N$20),$E$20-$F$20,0)*($H$20=0)</f>
        <v>3840</v>
      </c>
      <c r="AA100" s="131" t="n">
        <f aca="false">IF(AND(AA$5&gt;=$M$20,AA$5&lt;$N$20),$E$20-$F$20-IF(AA$5&gt;=$H$20,$G$20,0),0)*($H$20&lt;&gt;0)+IF(AND(AA$5&gt;=$M$20,AA$5&lt;$N$20),$E$20-$F$20,0)*($H$20=0)</f>
        <v>3840</v>
      </c>
      <c r="AB100" s="131" t="n">
        <f aca="false">IF(AND(AB$5&gt;=$M$20,AB$5&lt;$N$20),$E$20-$F$20-IF(AB$5&gt;=$H$20,$G$20,0),0)*($H$20&lt;&gt;0)+IF(AND(AB$5&gt;=$M$20,AB$5&lt;$N$20),$E$20-$F$20,0)*($H$20=0)</f>
        <v>3840</v>
      </c>
      <c r="AC100" s="131" t="n">
        <f aca="false">IF(AND(AC$5&gt;=$M$20,AC$5&lt;$N$20),$E$20-$F$20-IF(AC$5&gt;=$H$20,$G$20,0),0)*($H$20&lt;&gt;0)+IF(AND(AC$5&gt;=$M$20,AC$5&lt;$N$20),$E$20-$F$20,0)*($H$20=0)</f>
        <v>3840</v>
      </c>
      <c r="AD100" s="131" t="n">
        <f aca="false">IF(AND(AD$5&gt;=$M$20,AD$5&lt;$N$20),$E$20-$F$20-IF(AD$5&gt;=$H$20,$G$20,0),0)*($H$20&lt;&gt;0)+IF(AND(AD$5&gt;=$M$20,AD$5&lt;$N$20),$E$20-$F$20,0)*($H$20=0)</f>
        <v>3840</v>
      </c>
      <c r="AE100" s="131" t="n">
        <f aca="false">IF(AND(AE$5&gt;=$M$20,AE$5&lt;$N$20),$E$20-$F$20-IF(AE$5&gt;=$H$20,$G$20,0),0)*($H$20&lt;&gt;0)+IF(AND(AE$5&gt;=$M$20,AE$5&lt;$N$20),$E$20-$F$20,0)*($H$20=0)</f>
        <v>3840</v>
      </c>
      <c r="AF100" s="131" t="n">
        <f aca="false">IF(AND(AF$5&gt;=$M$20,AF$5&lt;$N$20),$E$20-$F$20-IF(AF$5&gt;=$H$20,$G$20,0),0)*($H$20&lt;&gt;0)+IF(AND(AF$5&gt;=$M$20,AF$5&lt;$N$20),$E$20-$F$20,0)*($H$20=0)</f>
        <v>0</v>
      </c>
      <c r="AG100" s="131" t="n">
        <f aca="false">IF(AND(AG$5&gt;=$M$20,AG$5&lt;$N$20),$E$20-$F$20-IF(AG$5&gt;=$H$20,$G$20,0),0)*($H$20&lt;&gt;0)+IF(AND(AG$5&gt;=$M$20,AG$5&lt;$N$20),$E$20-$F$20,0)*($H$20=0)</f>
        <v>0</v>
      </c>
      <c r="AI100" s="131" t="n">
        <f aca="false">INDEX($F100:$AG100,1,MATCH(AI$7,$F$7:$AG$7,1))</f>
        <v>0</v>
      </c>
      <c r="AJ100" s="131" t="n">
        <f aca="false">INDEX($F100:$AG100,1,MATCH(AJ$7,$F$7:$AG$7,1))</f>
        <v>0</v>
      </c>
      <c r="AK100" s="131" t="n">
        <f aca="false">INDEX($F100:$AG100,1,MATCH(AK$7,$F$7:$AG$7,1))</f>
        <v>0</v>
      </c>
      <c r="AL100" s="131" t="n">
        <f aca="false">INDEX($F100:$AG100,1,MATCH(AL$7,$F$7:$AG$7,1))</f>
        <v>3840</v>
      </c>
      <c r="AM100" s="131" t="n">
        <f aca="false">INDEX($F100:$AG100,1,MATCH(AM$7,$F$7:$AG$7,1))</f>
        <v>3840</v>
      </c>
      <c r="AN100" s="131" t="n">
        <f aca="false">INDEX($F100:$AG100,1,MATCH(AN$7,$F$7:$AG$7,1))</f>
        <v>3840</v>
      </c>
      <c r="AO100" s="131" t="n">
        <f aca="false">INDEX($F100:$AG100,1,MATCH(AO$7,$F$7:$AG$7,1))</f>
        <v>0</v>
      </c>
    </row>
    <row r="101" customFormat="false" ht="15" hidden="false" customHeight="false" outlineLevel="0" collapsed="false">
      <c r="A101" s="112" t="s">
        <v>2578</v>
      </c>
      <c r="B101" s="24" t="s">
        <v>745</v>
      </c>
      <c r="C101" s="24" t="s">
        <v>736</v>
      </c>
      <c r="D101" s="24"/>
      <c r="F101" s="130" t="n">
        <f aca="false">F100*$C$20/4</f>
        <v>0</v>
      </c>
      <c r="G101" s="130" t="n">
        <f aca="false">G100*$C$20/4</f>
        <v>0</v>
      </c>
      <c r="H101" s="130" t="n">
        <f aca="false">H100*$C$20/4</f>
        <v>0</v>
      </c>
      <c r="I101" s="130" t="n">
        <f aca="false">I100*$C$20/4</f>
        <v>0</v>
      </c>
      <c r="J101" s="130" t="n">
        <f aca="false">J100*$C$20/4</f>
        <v>0</v>
      </c>
      <c r="K101" s="130" t="n">
        <f aca="false">K100*$C$20/4</f>
        <v>0</v>
      </c>
      <c r="L101" s="130" t="n">
        <f aca="false">L100*$C$20/4</f>
        <v>0</v>
      </c>
      <c r="M101" s="130" t="n">
        <f aca="false">M100*$C$20/4</f>
        <v>0</v>
      </c>
      <c r="N101" s="130" t="n">
        <f aca="false">N100*$C$20/4</f>
        <v>0</v>
      </c>
      <c r="O101" s="130" t="n">
        <f aca="false">O100*$C$20/4</f>
        <v>0</v>
      </c>
      <c r="P101" s="131" t="n">
        <f aca="false">P100*$C$20/4</f>
        <v>0</v>
      </c>
      <c r="Q101" s="131" t="n">
        <f aca="false">Q100*$C$20/4</f>
        <v>0</v>
      </c>
      <c r="R101" s="131" t="n">
        <f aca="false">R100*$C$20/4</f>
        <v>4.8</v>
      </c>
      <c r="S101" s="131" t="n">
        <f aca="false">S100*$C$20/4</f>
        <v>4.8</v>
      </c>
      <c r="T101" s="131" t="n">
        <f aca="false">T100*$C$20/4</f>
        <v>4.8</v>
      </c>
      <c r="U101" s="131" t="n">
        <f aca="false">U100*$C$20/4</f>
        <v>4.8</v>
      </c>
      <c r="V101" s="131" t="n">
        <f aca="false">V100*$C$20/4</f>
        <v>4.8</v>
      </c>
      <c r="W101" s="131" t="n">
        <f aca="false">W100*$C$20/4</f>
        <v>4.8</v>
      </c>
      <c r="X101" s="131" t="n">
        <f aca="false">X100*$C$20/4</f>
        <v>4.8</v>
      </c>
      <c r="Y101" s="131" t="n">
        <f aca="false">Y100*$C$20/4</f>
        <v>4.8</v>
      </c>
      <c r="Z101" s="131" t="n">
        <f aca="false">Z100*$C$20/4</f>
        <v>4.8</v>
      </c>
      <c r="AA101" s="131" t="n">
        <f aca="false">AA100*$C$20/4</f>
        <v>4.8</v>
      </c>
      <c r="AB101" s="131" t="n">
        <f aca="false">AB100*$C$20/4</f>
        <v>4.8</v>
      </c>
      <c r="AC101" s="131" t="n">
        <f aca="false">AC100*$C$20/4</f>
        <v>4.8</v>
      </c>
      <c r="AD101" s="131" t="n">
        <f aca="false">AD100*$C$20/4</f>
        <v>4.8</v>
      </c>
      <c r="AE101" s="131" t="n">
        <f aca="false">AE100*$C$20/4</f>
        <v>4.8</v>
      </c>
      <c r="AF101" s="131" t="n">
        <f aca="false">AF100*$C$20/4</f>
        <v>0</v>
      </c>
      <c r="AG101" s="131" t="n">
        <f aca="false">AG100*$C$20/4</f>
        <v>0</v>
      </c>
      <c r="AI101" s="131" t="n">
        <f aca="false">SUMIF($F$7:$AG$7,AI$7,$F101:$AG101)</f>
        <v>0</v>
      </c>
      <c r="AJ101" s="131" t="n">
        <f aca="false">SUMIF($F$7:$AG$7,AJ$7,$F101:$AG101)</f>
        <v>0</v>
      </c>
      <c r="AK101" s="131" t="n">
        <f aca="false">SUMIF($F$7:$AG$7,AK$7,$F101:$AG101)</f>
        <v>0</v>
      </c>
      <c r="AL101" s="131" t="n">
        <f aca="false">SUMIF($F$7:$AG$7,AL$7,$F101:$AG101)</f>
        <v>19.2</v>
      </c>
      <c r="AM101" s="131" t="n">
        <f aca="false">SUMIF($F$7:$AG$7,AM$7,$F101:$AG101)</f>
        <v>19.2</v>
      </c>
      <c r="AN101" s="131" t="n">
        <f aca="false">SUMIF($F$7:$AG$7,AN$7,$F101:$AG101)</f>
        <v>19.2</v>
      </c>
      <c r="AO101" s="131" t="n">
        <f aca="false">SUMIF($F$7:$AG$7,AO$7,$F101:$AG101)</f>
        <v>9.6</v>
      </c>
    </row>
    <row r="102" customFormat="false" ht="15" hidden="false" customHeight="false" outlineLevel="0" collapsed="false">
      <c r="A102" s="112" t="s">
        <v>2579</v>
      </c>
      <c r="B102" s="24" t="s">
        <v>745</v>
      </c>
      <c r="C102" s="24" t="s">
        <v>736</v>
      </c>
      <c r="D102" s="24"/>
      <c r="F102" s="130" t="n">
        <f aca="false">F100*($J$20-1)/(($D$20-$B$20)/91.3125)</f>
        <v>0</v>
      </c>
      <c r="G102" s="130" t="n">
        <f aca="false">G100*($J$20-1)/(($D$20-$B$20)/91.3125)</f>
        <v>0</v>
      </c>
      <c r="H102" s="130" t="n">
        <f aca="false">H100*($J$20-1)/(($D$20-$B$20)/91.3125)</f>
        <v>0</v>
      </c>
      <c r="I102" s="130" t="n">
        <f aca="false">I100*($J$20-1)/(($D$20-$B$20)/91.3125)</f>
        <v>0</v>
      </c>
      <c r="J102" s="130" t="n">
        <f aca="false">J100*($J$20-1)/(($D$20-$B$20)/91.3125)</f>
        <v>0</v>
      </c>
      <c r="K102" s="130" t="n">
        <f aca="false">K100*($J$20-1)/(($D$20-$B$20)/91.3125)</f>
        <v>0</v>
      </c>
      <c r="L102" s="130" t="n">
        <f aca="false">L100*($J$20-1)/(($D$20-$B$20)/91.3125)</f>
        <v>0</v>
      </c>
      <c r="M102" s="130" t="n">
        <f aca="false">M100*($J$20-1)/(($D$20-$B$20)/91.3125)</f>
        <v>0</v>
      </c>
      <c r="N102" s="130" t="n">
        <f aca="false">N100*($J$20-1)/(($D$20-$B$20)/91.3125)</f>
        <v>0</v>
      </c>
      <c r="O102" s="130" t="n">
        <f aca="false">O100*($J$20-1)/(($D$20-$B$20)/91.3125)</f>
        <v>0</v>
      </c>
      <c r="P102" s="131" t="n">
        <f aca="false">P100*($J$20-1)/(($D$20-$B$20)/91.3125)</f>
        <v>0</v>
      </c>
      <c r="Q102" s="131" t="n">
        <f aca="false">Q100*($J$20-1)/(($D$20-$B$20)/91.3125)</f>
        <v>0</v>
      </c>
      <c r="R102" s="131" t="n">
        <f aca="false">R100*($J$20-1)/(($D$20-$B$20)/91.3125)</f>
        <v>27.4581049334378</v>
      </c>
      <c r="S102" s="131" t="n">
        <f aca="false">S100*($J$20-1)/(($D$20-$B$20)/91.3125)</f>
        <v>27.4581049334378</v>
      </c>
      <c r="T102" s="131" t="n">
        <f aca="false">T100*($J$20-1)/(($D$20-$B$20)/91.3125)</f>
        <v>27.4581049334378</v>
      </c>
      <c r="U102" s="131" t="n">
        <f aca="false">U100*($J$20-1)/(($D$20-$B$20)/91.3125)</f>
        <v>27.4581049334378</v>
      </c>
      <c r="V102" s="131" t="n">
        <f aca="false">V100*($J$20-1)/(($D$20-$B$20)/91.3125)</f>
        <v>27.4581049334378</v>
      </c>
      <c r="W102" s="131" t="n">
        <f aca="false">W100*($J$20-1)/(($D$20-$B$20)/91.3125)</f>
        <v>27.4581049334378</v>
      </c>
      <c r="X102" s="131" t="n">
        <f aca="false">X100*($J$20-1)/(($D$20-$B$20)/91.3125)</f>
        <v>27.4581049334378</v>
      </c>
      <c r="Y102" s="131" t="n">
        <f aca="false">Y100*($J$20-1)/(($D$20-$B$20)/91.3125)</f>
        <v>27.4581049334378</v>
      </c>
      <c r="Z102" s="131" t="n">
        <f aca="false">Z100*($J$20-1)/(($D$20-$B$20)/91.3125)</f>
        <v>27.4581049334378</v>
      </c>
      <c r="AA102" s="131" t="n">
        <f aca="false">AA100*($J$20-1)/(($D$20-$B$20)/91.3125)</f>
        <v>27.4581049334378</v>
      </c>
      <c r="AB102" s="131" t="n">
        <f aca="false">AB100*($J$20-1)/(($D$20-$B$20)/91.3125)</f>
        <v>27.4581049334378</v>
      </c>
      <c r="AC102" s="131" t="n">
        <f aca="false">AC100*($J$20-1)/(($D$20-$B$20)/91.3125)</f>
        <v>27.4581049334378</v>
      </c>
      <c r="AD102" s="131" t="n">
        <f aca="false">AD100*($J$20-1)/(($D$20-$B$20)/91.3125)</f>
        <v>27.4581049334378</v>
      </c>
      <c r="AE102" s="131" t="n">
        <f aca="false">AE100*($J$20-1)/(($D$20-$B$20)/91.3125)</f>
        <v>27.4581049334378</v>
      </c>
      <c r="AF102" s="131" t="n">
        <f aca="false">AF100*($J$20-1)/(($D$20-$B$20)/91.3125)</f>
        <v>0</v>
      </c>
      <c r="AG102" s="131" t="n">
        <f aca="false">AG100*($J$20-1)/(($D$20-$B$20)/91.3125)</f>
        <v>0</v>
      </c>
      <c r="AI102" s="131" t="n">
        <f aca="false">SUMIF($F$7:$AG$7,AI$7,$F102:$AG102)</f>
        <v>0</v>
      </c>
      <c r="AJ102" s="131" t="n">
        <f aca="false">SUMIF($F$7:$AG$7,AJ$7,$F102:$AG102)</f>
        <v>0</v>
      </c>
      <c r="AK102" s="131" t="n">
        <f aca="false">SUMIF($F$7:$AG$7,AK$7,$F102:$AG102)</f>
        <v>0</v>
      </c>
      <c r="AL102" s="131" t="n">
        <f aca="false">SUMIF($F$7:$AG$7,AL$7,$F102:$AG102)</f>
        <v>109.832419733751</v>
      </c>
      <c r="AM102" s="131" t="n">
        <f aca="false">SUMIF($F$7:$AG$7,AM$7,$F102:$AG102)</f>
        <v>109.832419733751</v>
      </c>
      <c r="AN102" s="131" t="n">
        <f aca="false">SUMIF($F$7:$AG$7,AN$7,$F102:$AG102)</f>
        <v>109.832419733751</v>
      </c>
      <c r="AO102" s="131" t="n">
        <f aca="false">SUMIF($F$7:$AG$7,AO$7,$F102:$AG102)</f>
        <v>54.9162098668755</v>
      </c>
    </row>
    <row r="103" customFormat="false" ht="15" hidden="false" customHeight="false" outlineLevel="0" collapsed="false">
      <c r="A103" s="112" t="s">
        <v>2580</v>
      </c>
      <c r="B103" s="24" t="s">
        <v>745</v>
      </c>
      <c r="C103" s="24" t="s">
        <v>736</v>
      </c>
      <c r="D103" s="24"/>
      <c r="F103" s="130" t="n">
        <f aca="false">F100*(1+($J$20-1)*MIN(1,MAX(0,(F$4-$B$20)/($D$20-$B$20))))</f>
        <v>0</v>
      </c>
      <c r="G103" s="130" t="n">
        <f aca="false">G100*(1+($J$20-1)*MIN(1,MAX(0,(G$4-$B$20)/($D$20-$B$20))))</f>
        <v>0</v>
      </c>
      <c r="H103" s="130" t="n">
        <f aca="false">H100*(1+($J$20-1)*MIN(1,MAX(0,(H$4-$B$20)/($D$20-$B$20))))</f>
        <v>0</v>
      </c>
      <c r="I103" s="130" t="n">
        <f aca="false">I100*(1+($J$20-1)*MIN(1,MAX(0,(I$4-$B$20)/($D$20-$B$20))))</f>
        <v>0</v>
      </c>
      <c r="J103" s="130" t="n">
        <f aca="false">J100*(1+($J$20-1)*MIN(1,MAX(0,(J$4-$B$20)/($D$20-$B$20))))</f>
        <v>0</v>
      </c>
      <c r="K103" s="130" t="n">
        <f aca="false">K100*(1+($J$20-1)*MIN(1,MAX(0,(K$4-$B$20)/($D$20-$B$20))))</f>
        <v>0</v>
      </c>
      <c r="L103" s="130" t="n">
        <f aca="false">L100*(1+($J$20-1)*MIN(1,MAX(0,(L$4-$B$20)/($D$20-$B$20))))</f>
        <v>0</v>
      </c>
      <c r="M103" s="130" t="n">
        <f aca="false">M100*(1+($J$20-1)*MIN(1,MAX(0,(M$4-$B$20)/($D$20-$B$20))))</f>
        <v>0</v>
      </c>
      <c r="N103" s="130" t="n">
        <f aca="false">N100*(1+($J$20-1)*MIN(1,MAX(0,(N$4-$B$20)/($D$20-$B$20))))</f>
        <v>0</v>
      </c>
      <c r="O103" s="130" t="n">
        <f aca="false">O100*(1+($J$20-1)*MIN(1,MAX(0,(O$4-$B$20)/($D$20-$B$20))))</f>
        <v>0</v>
      </c>
      <c r="P103" s="131" t="n">
        <f aca="false">P100*(1+($J$20-1)*MIN(1,MAX(0,(P$4-$B$20)/($D$20-$B$20))))</f>
        <v>0</v>
      </c>
      <c r="Q103" s="131" t="n">
        <f aca="false">Q100*(1+($J$20-1)*MIN(1,MAX(0,(Q$4-$B$20)/($D$20-$B$20))))</f>
        <v>0</v>
      </c>
      <c r="R103" s="131" t="n">
        <f aca="false">R100*(1+($J$20-1)*MIN(1,MAX(0,(R$4-$B$20)/($D$20-$B$20))))</f>
        <v>3853.53171495693</v>
      </c>
      <c r="S103" s="131" t="n">
        <f aca="false">S100*(1+($J$20-1)*MIN(1,MAX(0,(S$4-$B$20)/($D$20-$B$20))))</f>
        <v>3880.89584964761</v>
      </c>
      <c r="T103" s="131" t="n">
        <f aca="false">T100*(1+($J$20-1)*MIN(1,MAX(0,(T$4-$B$20)/($D$20-$B$20))))</f>
        <v>3908.56068911511</v>
      </c>
      <c r="U103" s="131" t="n">
        <f aca="false">U100*(1+($J$20-1)*MIN(1,MAX(0,(U$4-$B$20)/($D$20-$B$20))))</f>
        <v>3936.22552858262</v>
      </c>
      <c r="V103" s="131" t="n">
        <f aca="false">V100*(1+($J$20-1)*MIN(1,MAX(0,(V$4-$B$20)/($D$20-$B$20))))</f>
        <v>3963.5896632733</v>
      </c>
      <c r="W103" s="131" t="n">
        <f aca="false">W100*(1+($J$20-1)*MIN(1,MAX(0,(W$4-$B$20)/($D$20-$B$20))))</f>
        <v>3990.95379796398</v>
      </c>
      <c r="X103" s="131" t="n">
        <f aca="false">X100*(1+($J$20-1)*MIN(1,MAX(0,(X$4-$B$20)/($D$20-$B$20))))</f>
        <v>4018.61863743148</v>
      </c>
      <c r="Y103" s="131" t="n">
        <f aca="false">Y100*(1+($J$20-1)*MIN(1,MAX(0,(Y$4-$B$20)/($D$20-$B$20))))</f>
        <v>4046.28347689898</v>
      </c>
      <c r="Z103" s="131" t="n">
        <f aca="false">Z100*(1+($J$20-1)*MIN(1,MAX(0,(Z$4-$B$20)/($D$20-$B$20))))</f>
        <v>4073.34690681284</v>
      </c>
      <c r="AA103" s="131" t="n">
        <f aca="false">AA100*(1+($J$20-1)*MIN(1,MAX(0,(AA$4-$B$20)/($D$20-$B$20))))</f>
        <v>4100.71104150352</v>
      </c>
      <c r="AB103" s="131" t="n">
        <f aca="false">AB100*(1+($J$20-1)*MIN(1,MAX(0,(AB$4-$B$20)/($D$20-$B$20))))</f>
        <v>4128.37588097103</v>
      </c>
      <c r="AC103" s="131" t="n">
        <f aca="false">AC100*(1+($J$20-1)*MIN(1,MAX(0,(AC$4-$B$20)/($D$20-$B$20))))</f>
        <v>4156.04072043853</v>
      </c>
      <c r="AD103" s="131" t="n">
        <f aca="false">AD100*(1+($J$20-1)*MIN(1,MAX(0,(AD$4-$B$20)/($D$20-$B$20))))</f>
        <v>4183.10415035239</v>
      </c>
      <c r="AE103" s="131" t="n">
        <f aca="false">AE100*(1+($J$20-1)*MIN(1,MAX(0,(AE$4-$B$20)/($D$20-$B$20))))</f>
        <v>4210.46828504307</v>
      </c>
      <c r="AF103" s="131" t="n">
        <f aca="false">AF100*(1+($J$20-1)*MIN(1,MAX(0,(AF$4-$B$20)/($D$20-$B$20))))</f>
        <v>0</v>
      </c>
      <c r="AG103" s="131" t="n">
        <f aca="false">AG100*(1+($J$20-1)*MIN(1,MAX(0,(AG$4-$B$20)/($D$20-$B$20))))</f>
        <v>0</v>
      </c>
      <c r="AI103" s="131" t="n">
        <f aca="false">INDEX($F103:$AG103,1,MATCH(AI$7,$F$7:$AG$7,1))</f>
        <v>0</v>
      </c>
      <c r="AJ103" s="131" t="n">
        <f aca="false">INDEX($F103:$AG103,1,MATCH(AJ$7,$F$7:$AG$7,1))</f>
        <v>0</v>
      </c>
      <c r="AK103" s="131" t="n">
        <f aca="false">INDEX($F103:$AG103,1,MATCH(AK$7,$F$7:$AG$7,1))</f>
        <v>0</v>
      </c>
      <c r="AL103" s="131" t="n">
        <f aca="false">INDEX($F103:$AG103,1,MATCH(AL$7,$F$7:$AG$7,1))</f>
        <v>3936.22552858262</v>
      </c>
      <c r="AM103" s="131" t="n">
        <f aca="false">INDEX($F103:$AG103,1,MATCH(AM$7,$F$7:$AG$7,1))</f>
        <v>4046.28347689898</v>
      </c>
      <c r="AN103" s="131" t="n">
        <f aca="false">INDEX($F103:$AG103,1,MATCH(AN$7,$F$7:$AG$7,1))</f>
        <v>4156.04072043853</v>
      </c>
      <c r="AO103" s="131" t="n">
        <f aca="false">INDEX($F103:$AG103,1,MATCH(AO$7,$F$7:$AG$7,1))</f>
        <v>0</v>
      </c>
    </row>
    <row r="104" customFormat="false" ht="15" hidden="false" customHeight="false" outlineLevel="0" collapsed="false">
      <c r="A104" s="112" t="s">
        <v>2581</v>
      </c>
      <c r="B104" s="24" t="s">
        <v>745</v>
      </c>
      <c r="C104" s="24" t="s">
        <v>736</v>
      </c>
      <c r="D104" s="24"/>
      <c r="F104" s="130" t="n">
        <f aca="false">F100*($S$20+($J$20-$S$20)*MIN(1,MAX(0,(F$4-$T$20)/($D$20-$T$20))))</f>
        <v>0</v>
      </c>
      <c r="G104" s="130" t="n">
        <f aca="false">G100*($S$20+($J$20-$S$20)*MIN(1,MAX(0,(G$4-$T$20)/($D$20-$T$20))))</f>
        <v>0</v>
      </c>
      <c r="H104" s="130" t="n">
        <f aca="false">H100*($S$20+($J$20-$S$20)*MIN(1,MAX(0,(H$4-$T$20)/($D$20-$T$20))))</f>
        <v>0</v>
      </c>
      <c r="I104" s="130" t="n">
        <f aca="false">I100*($S$20+($J$20-$S$20)*MIN(1,MAX(0,(I$4-$T$20)/($D$20-$T$20))))</f>
        <v>0</v>
      </c>
      <c r="J104" s="130" t="n">
        <f aca="false">J100*($S$20+($J$20-$S$20)*MIN(1,MAX(0,(J$4-$T$20)/($D$20-$T$20))))</f>
        <v>0</v>
      </c>
      <c r="K104" s="130" t="n">
        <f aca="false">K100*($S$20+($J$20-$S$20)*MIN(1,MAX(0,(K$4-$T$20)/($D$20-$T$20))))</f>
        <v>0</v>
      </c>
      <c r="L104" s="130" t="n">
        <f aca="false">L100*($S$20+($J$20-$S$20)*MIN(1,MAX(0,(L$4-$T$20)/($D$20-$T$20))))</f>
        <v>0</v>
      </c>
      <c r="M104" s="130" t="n">
        <f aca="false">M100*($S$20+($J$20-$S$20)*MIN(1,MAX(0,(M$4-$T$20)/($D$20-$T$20))))</f>
        <v>0</v>
      </c>
      <c r="N104" s="130" t="n">
        <f aca="false">N100*($S$20+($J$20-$S$20)*MIN(1,MAX(0,(N$4-$T$20)/($D$20-$T$20))))</f>
        <v>0</v>
      </c>
      <c r="O104" s="130" t="n">
        <f aca="false">O100*($S$20+($J$20-$S$20)*MIN(1,MAX(0,(O$4-$T$20)/($D$20-$T$20))))</f>
        <v>0</v>
      </c>
      <c r="P104" s="131" t="n">
        <f aca="false">P100*($S$20+($J$20-$S$20)*MIN(1,MAX(0,(P$4-$T$20)/($D$20-$T$20))))</f>
        <v>0</v>
      </c>
      <c r="Q104" s="131" t="n">
        <f aca="false">Q100*($S$20+($J$20-$S$20)*MIN(1,MAX(0,(Q$4-$T$20)/($D$20-$T$20))))</f>
        <v>0</v>
      </c>
      <c r="R104" s="131" t="n">
        <f aca="false">R100*($S$20+($J$20-$S$20)*MIN(1,MAX(0,(R$4-$T$20)/($D$20-$T$20))))</f>
        <v>3853.53171495693</v>
      </c>
      <c r="S104" s="131" t="n">
        <f aca="false">S100*($S$20+($J$20-$S$20)*MIN(1,MAX(0,(S$4-$T$20)/($D$20-$T$20))))</f>
        <v>3880.89584964761</v>
      </c>
      <c r="T104" s="131" t="n">
        <f aca="false">T100*($S$20+($J$20-$S$20)*MIN(1,MAX(0,(T$4-$T$20)/($D$20-$T$20))))</f>
        <v>3908.56068911511</v>
      </c>
      <c r="U104" s="131" t="n">
        <f aca="false">U100*($S$20+($J$20-$S$20)*MIN(1,MAX(0,(U$4-$T$20)/($D$20-$T$20))))</f>
        <v>3936.22552858262</v>
      </c>
      <c r="V104" s="131" t="n">
        <f aca="false">V100*($S$20+($J$20-$S$20)*MIN(1,MAX(0,(V$4-$T$20)/($D$20-$T$20))))</f>
        <v>3963.5896632733</v>
      </c>
      <c r="W104" s="131" t="n">
        <f aca="false">W100*($S$20+($J$20-$S$20)*MIN(1,MAX(0,(W$4-$T$20)/($D$20-$T$20))))</f>
        <v>3990.95379796398</v>
      </c>
      <c r="X104" s="131" t="n">
        <f aca="false">X100*($S$20+($J$20-$S$20)*MIN(1,MAX(0,(X$4-$T$20)/($D$20-$T$20))))</f>
        <v>4018.61863743148</v>
      </c>
      <c r="Y104" s="131" t="n">
        <f aca="false">Y100*($S$20+($J$20-$S$20)*MIN(1,MAX(0,(Y$4-$T$20)/($D$20-$T$20))))</f>
        <v>4046.28347689898</v>
      </c>
      <c r="Z104" s="131" t="n">
        <f aca="false">Z100*($S$20+($J$20-$S$20)*MIN(1,MAX(0,(Z$4-$T$20)/($D$20-$T$20))))</f>
        <v>4073.34690681284</v>
      </c>
      <c r="AA104" s="131" t="n">
        <f aca="false">AA100*($S$20+($J$20-$S$20)*MIN(1,MAX(0,(AA$4-$T$20)/($D$20-$T$20))))</f>
        <v>4100.71104150352</v>
      </c>
      <c r="AB104" s="131" t="n">
        <f aca="false">AB100*($S$20+($J$20-$S$20)*MIN(1,MAX(0,(AB$4-$T$20)/($D$20-$T$20))))</f>
        <v>4128.37588097103</v>
      </c>
      <c r="AC104" s="131" t="n">
        <f aca="false">AC100*($S$20+($J$20-$S$20)*MIN(1,MAX(0,(AC$4-$T$20)/($D$20-$T$20))))</f>
        <v>4156.04072043853</v>
      </c>
      <c r="AD104" s="131" t="n">
        <f aca="false">AD100*($S$20+($J$20-$S$20)*MIN(1,MAX(0,(AD$4-$T$20)/($D$20-$T$20))))</f>
        <v>4183.10415035239</v>
      </c>
      <c r="AE104" s="131" t="n">
        <f aca="false">AE100*($S$20+($J$20-$S$20)*MIN(1,MAX(0,(AE$4-$T$20)/($D$20-$T$20))))</f>
        <v>4210.46828504307</v>
      </c>
      <c r="AF104" s="131" t="n">
        <f aca="false">AF100*($S$20+($J$20-$S$20)*MIN(1,MAX(0,(AF$4-$T$20)/($D$20-$T$20))))</f>
        <v>0</v>
      </c>
      <c r="AG104" s="131" t="n">
        <f aca="false">AG100*($S$20+($J$20-$S$20)*MIN(1,MAX(0,(AG$4-$T$20)/($D$20-$T$20))))</f>
        <v>0</v>
      </c>
      <c r="AI104" s="131" t="n">
        <f aca="false">INDEX($F104:$AG104,1,MATCH(AI$7,$F$7:$AG$7,1))</f>
        <v>0</v>
      </c>
      <c r="AJ104" s="131" t="n">
        <f aca="false">INDEX($F104:$AG104,1,MATCH(AJ$7,$F$7:$AG$7,1))</f>
        <v>0</v>
      </c>
      <c r="AK104" s="131" t="n">
        <f aca="false">INDEX($F104:$AG104,1,MATCH(AK$7,$F$7:$AG$7,1))</f>
        <v>0</v>
      </c>
      <c r="AL104" s="131" t="n">
        <f aca="false">INDEX($F104:$AG104,1,MATCH(AL$7,$F$7:$AG$7,1))</f>
        <v>3936.22552858262</v>
      </c>
      <c r="AM104" s="131" t="n">
        <f aca="false">INDEX($F104:$AG104,1,MATCH(AM$7,$F$7:$AG$7,1))</f>
        <v>4046.28347689898</v>
      </c>
      <c r="AN104" s="131" t="n">
        <f aca="false">INDEX($F104:$AG104,1,MATCH(AN$7,$F$7:$AG$7,1))</f>
        <v>4156.04072043853</v>
      </c>
      <c r="AO104" s="131" t="n">
        <f aca="false">INDEX($F104:$AG104,1,MATCH(AO$7,$F$7:$AG$7,1))</f>
        <v>0</v>
      </c>
    </row>
    <row r="105" customFormat="false" ht="15" hidden="false" customHeight="false" outlineLevel="0" collapsed="false">
      <c r="A105" s="112" t="s">
        <v>2582</v>
      </c>
      <c r="B105" s="24" t="s">
        <v>745</v>
      </c>
      <c r="C105" s="24" t="s">
        <v>736</v>
      </c>
      <c r="D105" s="24"/>
      <c r="F105" s="130" t="n">
        <f aca="false">IF(F$5=$N$20,E100*$J$20*(1-$O$20),0)</f>
        <v>0</v>
      </c>
      <c r="G105" s="130" t="n">
        <f aca="false">IF(G$5=$N$20,F100*$J$20*(1-$O$20),0)</f>
        <v>0</v>
      </c>
      <c r="H105" s="130" t="n">
        <f aca="false">IF(H$5=$N$20,G100*$J$20*(1-$O$20),0)</f>
        <v>0</v>
      </c>
      <c r="I105" s="130" t="n">
        <f aca="false">IF(I$5=$N$20,H100*$J$20*(1-$O$20),0)</f>
        <v>0</v>
      </c>
      <c r="J105" s="130" t="n">
        <f aca="false">IF(J$5=$N$20,I100*$J$20*(1-$O$20),0)</f>
        <v>0</v>
      </c>
      <c r="K105" s="130" t="n">
        <f aca="false">IF(K$5=$N$20,J100*$J$20*(1-$O$20),0)</f>
        <v>0</v>
      </c>
      <c r="L105" s="130" t="n">
        <f aca="false">IF(L$5=$N$20,K100*$J$20*(1-$O$20),0)</f>
        <v>0</v>
      </c>
      <c r="M105" s="130" t="n">
        <f aca="false">IF(M$5=$N$20,L100*$J$20*(1-$O$20),0)</f>
        <v>0</v>
      </c>
      <c r="N105" s="130" t="n">
        <f aca="false">IF(N$5=$N$20,M100*$J$20*(1-$O$20),0)</f>
        <v>0</v>
      </c>
      <c r="O105" s="130" t="n">
        <f aca="false">IF(O$5=$N$20,N100*$J$20*(1-$O$20),0)</f>
        <v>0</v>
      </c>
      <c r="P105" s="131" t="n">
        <f aca="false">IF(P$5=$N$20,O100*$J$20*(1-$O$20),0)</f>
        <v>0</v>
      </c>
      <c r="Q105" s="131" t="n">
        <f aca="false">IF(Q$5=$N$20,P100*$J$20*(1-$O$20),0)</f>
        <v>0</v>
      </c>
      <c r="R105" s="131" t="n">
        <f aca="false">IF(R$5=$N$20,Q100*$J$20*(1-$O$20),0)</f>
        <v>0</v>
      </c>
      <c r="S105" s="131" t="n">
        <f aca="false">IF(S$5=$N$20,R100*$J$20*(1-$O$20),0)</f>
        <v>0</v>
      </c>
      <c r="T105" s="131" t="n">
        <f aca="false">IF(T$5=$N$20,S100*$J$20*(1-$O$20),0)</f>
        <v>0</v>
      </c>
      <c r="U105" s="131" t="n">
        <f aca="false">IF(U$5=$N$20,T100*$J$20*(1-$O$20),0)</f>
        <v>0</v>
      </c>
      <c r="V105" s="131" t="n">
        <f aca="false">IF(V$5=$N$20,U100*$J$20*(1-$O$20),0)</f>
        <v>0</v>
      </c>
      <c r="W105" s="131" t="n">
        <f aca="false">IF(W$5=$N$20,V100*$J$20*(1-$O$20),0)</f>
        <v>0</v>
      </c>
      <c r="X105" s="131" t="n">
        <f aca="false">IF(X$5=$N$20,W100*$J$20*(1-$O$20),0)</f>
        <v>0</v>
      </c>
      <c r="Y105" s="131" t="n">
        <f aca="false">IF(Y$5=$N$20,X100*$J$20*(1-$O$20),0)</f>
        <v>0</v>
      </c>
      <c r="Z105" s="131" t="n">
        <f aca="false">IF(Z$5=$N$20,Y100*$J$20*(1-$O$20),0)</f>
        <v>0</v>
      </c>
      <c r="AA105" s="131" t="n">
        <f aca="false">IF(AA$5=$N$20,Z100*$J$20*(1-$O$20),0)</f>
        <v>0</v>
      </c>
      <c r="AB105" s="131" t="n">
        <f aca="false">IF(AB$5=$N$20,AA100*$J$20*(1-$O$20),0)</f>
        <v>0</v>
      </c>
      <c r="AC105" s="131" t="n">
        <f aca="false">IF(AC$5=$N$20,AB100*$J$20*(1-$O$20),0)</f>
        <v>0</v>
      </c>
      <c r="AD105" s="131" t="n">
        <f aca="false">IF(AD$5=$N$20,AC100*$J$20*(1-$O$20),0)</f>
        <v>0</v>
      </c>
      <c r="AE105" s="131" t="n">
        <f aca="false">IF(AE$5=$N$20,AD100*$J$20*(1-$O$20),0)</f>
        <v>0</v>
      </c>
      <c r="AF105" s="131" t="n">
        <f aca="false">IF(AF$5=$N$20,AE100*$J$20*(1-$O$20),0)</f>
        <v>4224</v>
      </c>
      <c r="AG105" s="131" t="n">
        <f aca="false">IF(AG$5=$N$20,AF100*$J$20*(1-$O$20),0)</f>
        <v>0</v>
      </c>
      <c r="AI105" s="131" t="n">
        <f aca="false">SUMIF($F$7:$AG$7,AI$7,$F105:$AG105)</f>
        <v>0</v>
      </c>
      <c r="AJ105" s="131" t="n">
        <f aca="false">SUMIF($F$7:$AG$7,AJ$7,$F105:$AG105)</f>
        <v>0</v>
      </c>
      <c r="AK105" s="131" t="n">
        <f aca="false">SUMIF($F$7:$AG$7,AK$7,$F105:$AG105)</f>
        <v>0</v>
      </c>
      <c r="AL105" s="131" t="n">
        <f aca="false">SUMIF($F$7:$AG$7,AL$7,$F105:$AG105)</f>
        <v>0</v>
      </c>
      <c r="AM105" s="131" t="n">
        <f aca="false">SUMIF($F$7:$AG$7,AM$7,$F105:$AG105)</f>
        <v>0</v>
      </c>
      <c r="AN105" s="131" t="n">
        <f aca="false">SUMIF($F$7:$AG$7,AN$7,$F105:$AG105)</f>
        <v>0</v>
      </c>
      <c r="AO105" s="131" t="n">
        <f aca="false">SUMIF($F$7:$AG$7,AO$7,$F105:$AG105)</f>
        <v>4224</v>
      </c>
    </row>
    <row r="106" customFormat="false" ht="15" hidden="false" customHeight="false" outlineLevel="0" collapsed="false">
      <c r="A106" s="112" t="s">
        <v>2583</v>
      </c>
      <c r="B106" s="24" t="s">
        <v>809</v>
      </c>
      <c r="C106" s="24" t="s">
        <v>736</v>
      </c>
      <c r="D106" s="24"/>
      <c r="F106" s="146" t="n">
        <f aca="false">IF(F$5=$N$20,E100*$K$20/1000*$O$20,0)</f>
        <v>0</v>
      </c>
      <c r="G106" s="146" t="n">
        <f aca="false">IF(G$5=$N$20,F100*$K$20/1000*$O$20,0)</f>
        <v>0</v>
      </c>
      <c r="H106" s="146" t="n">
        <f aca="false">IF(H$5=$N$20,G100*$K$20/1000*$O$20,0)</f>
        <v>0</v>
      </c>
      <c r="I106" s="146" t="n">
        <f aca="false">IF(I$5=$N$20,H100*$K$20/1000*$O$20,0)</f>
        <v>0</v>
      </c>
      <c r="J106" s="146" t="n">
        <f aca="false">IF(J$5=$N$20,I100*$K$20/1000*$O$20,0)</f>
        <v>0</v>
      </c>
      <c r="K106" s="146" t="n">
        <f aca="false">IF(K$5=$N$20,J100*$K$20/1000*$O$20,0)</f>
        <v>0</v>
      </c>
      <c r="L106" s="146" t="n">
        <f aca="false">IF(L$5=$N$20,K100*$K$20/1000*$O$20,0)</f>
        <v>0</v>
      </c>
      <c r="M106" s="146" t="n">
        <f aca="false">IF(M$5=$N$20,L100*$K$20/1000*$O$20,0)</f>
        <v>0</v>
      </c>
      <c r="N106" s="146" t="n">
        <f aca="false">IF(N$5=$N$20,M100*$K$20/1000*$O$20,0)</f>
        <v>0</v>
      </c>
      <c r="O106" s="146" t="n">
        <f aca="false">IF(O$5=$N$20,N100*$K$20/1000*$O$20,0)</f>
        <v>0</v>
      </c>
      <c r="P106" s="54" t="n">
        <f aca="false">IF(P$5=$N$20,O100*$K$20/1000*$O$20,0)</f>
        <v>0</v>
      </c>
      <c r="Q106" s="54" t="n">
        <f aca="false">IF(Q$5=$N$20,P100*$K$20/1000*$O$20,0)</f>
        <v>0</v>
      </c>
      <c r="R106" s="54" t="n">
        <f aca="false">IF(R$5=$N$20,Q100*$K$20/1000*$O$20,0)</f>
        <v>0</v>
      </c>
      <c r="S106" s="54" t="n">
        <f aca="false">IF(S$5=$N$20,R100*$K$20/1000*$O$20,0)</f>
        <v>0</v>
      </c>
      <c r="T106" s="54" t="n">
        <f aca="false">IF(T$5=$N$20,S100*$K$20/1000*$O$20,0)</f>
        <v>0</v>
      </c>
      <c r="U106" s="54" t="n">
        <f aca="false">IF(U$5=$N$20,T100*$K$20/1000*$O$20,0)</f>
        <v>0</v>
      </c>
      <c r="V106" s="54" t="n">
        <f aca="false">IF(V$5=$N$20,U100*$K$20/1000*$O$20,0)</f>
        <v>0</v>
      </c>
      <c r="W106" s="54" t="n">
        <f aca="false">IF(W$5=$N$20,V100*$K$20/1000*$O$20,0)</f>
        <v>0</v>
      </c>
      <c r="X106" s="54" t="n">
        <f aca="false">IF(X$5=$N$20,W100*$K$20/1000*$O$20,0)</f>
        <v>0</v>
      </c>
      <c r="Y106" s="54" t="n">
        <f aca="false">IF(Y$5=$N$20,X100*$K$20/1000*$O$20,0)</f>
        <v>0</v>
      </c>
      <c r="Z106" s="54" t="n">
        <f aca="false">IF(Z$5=$N$20,Y100*$K$20/1000*$O$20,0)</f>
        <v>0</v>
      </c>
      <c r="AA106" s="54" t="n">
        <f aca="false">IF(AA$5=$N$20,Z100*$K$20/1000*$O$20,0)</f>
        <v>0</v>
      </c>
      <c r="AB106" s="54" t="n">
        <f aca="false">IF(AB$5=$N$20,AA100*$K$20/1000*$O$20,0)</f>
        <v>0</v>
      </c>
      <c r="AC106" s="54" t="n">
        <f aca="false">IF(AC$5=$N$20,AB100*$K$20/1000*$O$20,0)</f>
        <v>0</v>
      </c>
      <c r="AD106" s="54" t="n">
        <f aca="false">IF(AD$5=$N$20,AC100*$K$20/1000*$O$20,0)</f>
        <v>0</v>
      </c>
      <c r="AE106" s="54" t="n">
        <f aca="false">IF(AE$5=$N$20,AD100*$K$20/1000*$O$20,0)</f>
        <v>0</v>
      </c>
      <c r="AF106" s="54" t="n">
        <f aca="false">IF(AF$5=$N$20,AE100*$K$20/1000*$O$20,0)</f>
        <v>0</v>
      </c>
      <c r="AG106" s="54" t="n">
        <f aca="false">IF(AG$5=$N$20,AF100*$K$20/1000*$O$20,0)</f>
        <v>0</v>
      </c>
      <c r="AI106" s="54" t="n">
        <f aca="false">SUMIF($F$7:$AG$7,AI$7,$F106:$AG106)</f>
        <v>0</v>
      </c>
      <c r="AJ106" s="54" t="n">
        <f aca="false">SUMIF($F$7:$AG$7,AJ$7,$F106:$AG106)</f>
        <v>0</v>
      </c>
      <c r="AK106" s="54" t="n">
        <f aca="false">SUMIF($F$7:$AG$7,AK$7,$F106:$AG106)</f>
        <v>0</v>
      </c>
      <c r="AL106" s="54" t="n">
        <f aca="false">SUMIF($F$7:$AG$7,AL$7,$F106:$AG106)</f>
        <v>0</v>
      </c>
      <c r="AM106" s="54" t="n">
        <f aca="false">SUMIF($F$7:$AG$7,AM$7,$F106:$AG106)</f>
        <v>0</v>
      </c>
      <c r="AN106" s="54" t="n">
        <f aca="false">SUMIF($F$7:$AG$7,AN$7,$F106:$AG106)</f>
        <v>0</v>
      </c>
      <c r="AO106" s="54" t="n">
        <f aca="false">SUMIF($F$7:$AG$7,AO$7,$F106:$AG106)</f>
        <v>0</v>
      </c>
    </row>
    <row r="107" customFormat="false" ht="15" hidden="false" customHeight="false" outlineLevel="0" collapsed="false">
      <c r="A107" s="112" t="s">
        <v>2584</v>
      </c>
      <c r="B107" s="24" t="s">
        <v>809</v>
      </c>
      <c r="C107" s="24" t="s">
        <v>672</v>
      </c>
      <c r="D107" s="24"/>
      <c r="F107" s="146" t="n">
        <f aca="false">IF(DilMethod=3,MAX(0,F100*$K$20/1000*DilPx-F103)/DilPx,F100*$K$20/1000*$P$20)</f>
        <v>0</v>
      </c>
      <c r="G107" s="146" t="n">
        <f aca="false">IF(DilMethod=3,MAX(0,G100*$K$20/1000*DilPx-G103)/DilPx,G100*$K$20/1000*$P$20)</f>
        <v>0</v>
      </c>
      <c r="H107" s="146" t="n">
        <f aca="false">IF(DilMethod=3,MAX(0,H100*$K$20/1000*DilPx-H103)/DilPx,H100*$K$20/1000*$P$20)</f>
        <v>0</v>
      </c>
      <c r="I107" s="146" t="n">
        <f aca="false">IF(DilMethod=3,MAX(0,I100*$K$20/1000*DilPx-I103)/DilPx,I100*$K$20/1000*$P$20)</f>
        <v>0</v>
      </c>
      <c r="J107" s="146" t="n">
        <f aca="false">IF(DilMethod=3,MAX(0,J100*$K$20/1000*DilPx-J103)/DilPx,J100*$K$20/1000*$P$20)</f>
        <v>0</v>
      </c>
      <c r="K107" s="146" t="n">
        <f aca="false">IF(DilMethod=3,MAX(0,K100*$K$20/1000*DilPx-K103)/DilPx,K100*$K$20/1000*$P$20)</f>
        <v>0</v>
      </c>
      <c r="L107" s="146" t="n">
        <f aca="false">IF(DilMethod=3,MAX(0,L100*$K$20/1000*DilPx-L103)/DilPx,L100*$K$20/1000*$P$20)</f>
        <v>0</v>
      </c>
      <c r="M107" s="146" t="n">
        <f aca="false">IF(DilMethod=3,MAX(0,M100*$K$20/1000*DilPx-M103)/DilPx,M100*$K$20/1000*$P$20)</f>
        <v>0</v>
      </c>
      <c r="N107" s="146" t="n">
        <f aca="false">IF(DilMethod=3,MAX(0,N100*$K$20/1000*DilPx-N103)/DilPx,N100*$K$20/1000*$P$20)</f>
        <v>0</v>
      </c>
      <c r="O107" s="146" t="n">
        <f aca="false">IF(DilMethod=3,MAX(0,O100*$K$20/1000*DilPx-O103)/DilPx,O100*$K$20/1000*$P$20)</f>
        <v>0</v>
      </c>
      <c r="P107" s="54" t="n">
        <f aca="false">IF(DilMethod=3,MAX(0,P100*$K$20/1000*DilPx-P103)/DilPx,P100*$K$20/1000*$P$20)</f>
        <v>0</v>
      </c>
      <c r="Q107" s="54" t="n">
        <f aca="false">IF(DilMethod=3,MAX(0,Q100*$K$20/1000*DilPx-Q103)/DilPx,Q100*$K$20/1000*$P$20)</f>
        <v>0</v>
      </c>
      <c r="R107" s="54" t="n">
        <f aca="false">IF(DilMethod=3,MAX(0,R100*$K$20/1000*DilPx-R103)/DilPx,R100*$K$20/1000*$P$20)</f>
        <v>0</v>
      </c>
      <c r="S107" s="54" t="n">
        <f aca="false">IF(DilMethod=3,MAX(0,S100*$K$20/1000*DilPx-S103)/DilPx,S100*$K$20/1000*$P$20)</f>
        <v>0</v>
      </c>
      <c r="T107" s="54" t="n">
        <f aca="false">IF(DilMethod=3,MAX(0,T100*$K$20/1000*DilPx-T103)/DilPx,T100*$K$20/1000*$P$20)</f>
        <v>0</v>
      </c>
      <c r="U107" s="54" t="n">
        <f aca="false">IF(DilMethod=3,MAX(0,U100*$K$20/1000*DilPx-U103)/DilPx,U100*$K$20/1000*$P$20)</f>
        <v>0</v>
      </c>
      <c r="V107" s="54" t="n">
        <f aca="false">IF(DilMethod=3,MAX(0,V100*$K$20/1000*DilPx-V103)/DilPx,V100*$K$20/1000*$P$20)</f>
        <v>0</v>
      </c>
      <c r="W107" s="54" t="n">
        <f aca="false">IF(DilMethod=3,MAX(0,W100*$K$20/1000*DilPx-W103)/DilPx,W100*$K$20/1000*$P$20)</f>
        <v>0</v>
      </c>
      <c r="X107" s="54" t="n">
        <f aca="false">IF(DilMethod=3,MAX(0,X100*$K$20/1000*DilPx-X103)/DilPx,X100*$K$20/1000*$P$20)</f>
        <v>0</v>
      </c>
      <c r="Y107" s="54" t="n">
        <f aca="false">IF(DilMethod=3,MAX(0,Y100*$K$20/1000*DilPx-Y103)/DilPx,Y100*$K$20/1000*$P$20)</f>
        <v>0</v>
      </c>
      <c r="Z107" s="54" t="n">
        <f aca="false">IF(DilMethod=3,MAX(0,Z100*$K$20/1000*DilPx-Z103)/DilPx,Z100*$K$20/1000*$P$20)</f>
        <v>0</v>
      </c>
      <c r="AA107" s="54" t="n">
        <f aca="false">IF(DilMethod=3,MAX(0,AA100*$K$20/1000*DilPx-AA103)/DilPx,AA100*$K$20/1000*$P$20)</f>
        <v>0</v>
      </c>
      <c r="AB107" s="54" t="n">
        <f aca="false">IF(DilMethod=3,MAX(0,AB100*$K$20/1000*DilPx-AB103)/DilPx,AB100*$K$20/1000*$P$20)</f>
        <v>0</v>
      </c>
      <c r="AC107" s="54" t="n">
        <f aca="false">IF(DilMethod=3,MAX(0,AC100*$K$20/1000*DilPx-AC103)/DilPx,AC100*$K$20/1000*$P$20)</f>
        <v>0</v>
      </c>
      <c r="AD107" s="54" t="n">
        <f aca="false">IF(DilMethod=3,MAX(0,AD100*$K$20/1000*DilPx-AD103)/DilPx,AD100*$K$20/1000*$P$20)</f>
        <v>0</v>
      </c>
      <c r="AE107" s="54" t="n">
        <f aca="false">IF(DilMethod=3,MAX(0,AE100*$K$20/1000*DilPx-AE103)/DilPx,AE100*$K$20/1000*$P$20)</f>
        <v>0</v>
      </c>
      <c r="AF107" s="54" t="n">
        <f aca="false">IF(DilMethod=3,MAX(0,AF100*$K$20/1000*DilPx-AF103)/DilPx,AF100*$K$20/1000*$P$20)</f>
        <v>0</v>
      </c>
      <c r="AG107" s="54" t="n">
        <f aca="false">IF(DilMethod=3,MAX(0,AG100*$K$20/1000*DilPx-AG103)/DilPx,AG100*$K$20/1000*$P$20)</f>
        <v>0</v>
      </c>
      <c r="AI107" s="54" t="n">
        <f aca="false">INDEX($F107:$AG107,1,MATCH(AI$7,$F$7:$AG$7,1))</f>
        <v>0</v>
      </c>
      <c r="AJ107" s="54" t="n">
        <f aca="false">INDEX($F107:$AG107,1,MATCH(AJ$7,$F$7:$AG$7,1))</f>
        <v>0</v>
      </c>
      <c r="AK107" s="54" t="n">
        <f aca="false">INDEX($F107:$AG107,1,MATCH(AK$7,$F$7:$AG$7,1))</f>
        <v>0</v>
      </c>
      <c r="AL107" s="54" t="n">
        <f aca="false">INDEX($F107:$AG107,1,MATCH(AL$7,$F$7:$AG$7,1))</f>
        <v>0</v>
      </c>
      <c r="AM107" s="54" t="n">
        <f aca="false">INDEX($F107:$AG107,1,MATCH(AM$7,$F$7:$AG$7,1))</f>
        <v>0</v>
      </c>
      <c r="AN107" s="54" t="n">
        <f aca="false">INDEX($F107:$AG107,1,MATCH(AN$7,$F$7:$AG$7,1))</f>
        <v>0</v>
      </c>
      <c r="AO107" s="54" t="n">
        <f aca="false">INDEX($F107:$AG107,1,MATCH(AO$7,$F$7:$AG$7,1))</f>
        <v>0</v>
      </c>
    </row>
    <row r="108" customFormat="false" ht="15" hidden="false" customHeight="false" outlineLevel="0" collapsed="false">
      <c r="A108" s="112" t="s">
        <v>2585</v>
      </c>
      <c r="B108" s="24" t="s">
        <v>745</v>
      </c>
      <c r="C108" s="24" t="s">
        <v>672</v>
      </c>
      <c r="D108" s="24"/>
      <c r="F108" s="130" t="n">
        <f aca="false">F103*IF(DilMethod=3,1,1-$P$20)</f>
        <v>0</v>
      </c>
      <c r="G108" s="130" t="n">
        <f aca="false">G103*IF(DilMethod=3,1,1-$P$20)</f>
        <v>0</v>
      </c>
      <c r="H108" s="130" t="n">
        <f aca="false">H103*IF(DilMethod=3,1,1-$P$20)</f>
        <v>0</v>
      </c>
      <c r="I108" s="130" t="n">
        <f aca="false">I103*IF(DilMethod=3,1,1-$P$20)</f>
        <v>0</v>
      </c>
      <c r="J108" s="130" t="n">
        <f aca="false">J103*IF(DilMethod=3,1,1-$P$20)</f>
        <v>0</v>
      </c>
      <c r="K108" s="130" t="n">
        <f aca="false">K103*IF(DilMethod=3,1,1-$P$20)</f>
        <v>0</v>
      </c>
      <c r="L108" s="130" t="n">
        <f aca="false">L103*IF(DilMethod=3,1,1-$P$20)</f>
        <v>0</v>
      </c>
      <c r="M108" s="130" t="n">
        <f aca="false">M103*IF(DilMethod=3,1,1-$P$20)</f>
        <v>0</v>
      </c>
      <c r="N108" s="130" t="n">
        <f aca="false">N103*IF(DilMethod=3,1,1-$P$20)</f>
        <v>0</v>
      </c>
      <c r="O108" s="130" t="n">
        <f aca="false">O103*IF(DilMethod=3,1,1-$P$20)</f>
        <v>0</v>
      </c>
      <c r="P108" s="131" t="n">
        <f aca="false">P103*IF(DilMethod=3,1,1-$P$20)</f>
        <v>0</v>
      </c>
      <c r="Q108" s="131" t="n">
        <f aca="false">Q103*IF(DilMethod=3,1,1-$P$20)</f>
        <v>0</v>
      </c>
      <c r="R108" s="131" t="n">
        <f aca="false">R103*IF(DilMethod=3,1,1-$P$20)</f>
        <v>3853.53171495693</v>
      </c>
      <c r="S108" s="131" t="n">
        <f aca="false">S103*IF(DilMethod=3,1,1-$P$20)</f>
        <v>3880.89584964761</v>
      </c>
      <c r="T108" s="131" t="n">
        <f aca="false">T103*IF(DilMethod=3,1,1-$P$20)</f>
        <v>3908.56068911511</v>
      </c>
      <c r="U108" s="131" t="n">
        <f aca="false">U103*IF(DilMethod=3,1,1-$P$20)</f>
        <v>3936.22552858262</v>
      </c>
      <c r="V108" s="131" t="n">
        <f aca="false">V103*IF(DilMethod=3,1,1-$P$20)</f>
        <v>3963.5896632733</v>
      </c>
      <c r="W108" s="131" t="n">
        <f aca="false">W103*IF(DilMethod=3,1,1-$P$20)</f>
        <v>3990.95379796398</v>
      </c>
      <c r="X108" s="131" t="n">
        <f aca="false">X103*IF(DilMethod=3,1,1-$P$20)</f>
        <v>4018.61863743148</v>
      </c>
      <c r="Y108" s="131" t="n">
        <f aca="false">Y103*IF(DilMethod=3,1,1-$P$20)</f>
        <v>4046.28347689898</v>
      </c>
      <c r="Z108" s="131" t="n">
        <f aca="false">Z103*IF(DilMethod=3,1,1-$P$20)</f>
        <v>4073.34690681284</v>
      </c>
      <c r="AA108" s="131" t="n">
        <f aca="false">AA103*IF(DilMethod=3,1,1-$P$20)</f>
        <v>4100.71104150352</v>
      </c>
      <c r="AB108" s="131" t="n">
        <f aca="false">AB103*IF(DilMethod=3,1,1-$P$20)</f>
        <v>4128.37588097103</v>
      </c>
      <c r="AC108" s="131" t="n">
        <f aca="false">AC103*IF(DilMethod=3,1,1-$P$20)</f>
        <v>4156.04072043853</v>
      </c>
      <c r="AD108" s="131" t="n">
        <f aca="false">AD103*IF(DilMethod=3,1,1-$P$20)</f>
        <v>4183.10415035239</v>
      </c>
      <c r="AE108" s="131" t="n">
        <f aca="false">AE103*IF(DilMethod=3,1,1-$P$20)</f>
        <v>4210.46828504307</v>
      </c>
      <c r="AF108" s="131" t="n">
        <f aca="false">AF103*IF(DilMethod=3,1,1-$P$20)</f>
        <v>0</v>
      </c>
      <c r="AG108" s="131" t="n">
        <f aca="false">AG103*IF(DilMethod=3,1,1-$P$20)</f>
        <v>0</v>
      </c>
      <c r="AI108" s="131" t="n">
        <f aca="false">INDEX($F108:$AG108,1,MATCH(AI$7,$F$7:$AG$7,1))</f>
        <v>0</v>
      </c>
      <c r="AJ108" s="131" t="n">
        <f aca="false">INDEX($F108:$AG108,1,MATCH(AJ$7,$F$7:$AG$7,1))</f>
        <v>0</v>
      </c>
      <c r="AK108" s="131" t="n">
        <f aca="false">INDEX($F108:$AG108,1,MATCH(AK$7,$F$7:$AG$7,1))</f>
        <v>0</v>
      </c>
      <c r="AL108" s="131" t="n">
        <f aca="false">INDEX($F108:$AG108,1,MATCH(AL$7,$F$7:$AG$7,1))</f>
        <v>3936.22552858262</v>
      </c>
      <c r="AM108" s="131" t="n">
        <f aca="false">INDEX($F108:$AG108,1,MATCH(AM$7,$F$7:$AG$7,1))</f>
        <v>4046.28347689898</v>
      </c>
      <c r="AN108" s="131" t="n">
        <f aca="false">INDEX($F108:$AG108,1,MATCH(AN$7,$F$7:$AG$7,1))</f>
        <v>4156.04072043853</v>
      </c>
      <c r="AO108" s="131" t="n">
        <f aca="false">INDEX($F108:$AG108,1,MATCH(AO$7,$F$7:$AG$7,1))</f>
        <v>0</v>
      </c>
    </row>
    <row r="109" customFormat="false" ht="15" hidden="false" customHeight="false" outlineLevel="0" collapsed="false">
      <c r="A109" s="112" t="s">
        <v>2586</v>
      </c>
      <c r="B109" s="24" t="s">
        <v>745</v>
      </c>
      <c r="C109" s="24" t="s">
        <v>736</v>
      </c>
      <c r="D109" s="24"/>
      <c r="F109" s="130" t="n">
        <f aca="false">IF(AND(F$5&gt;=$M$21,F$5&lt;$N$21),$E$21-$F$21-IF(F$5&gt;=$H$21,$G$21,0),0)*($H$21&lt;&gt;0)+IF(AND(F$5&gt;=$M$21,F$5&lt;$N$21),$E$21-$F$21,0)*($H$21=0)</f>
        <v>0</v>
      </c>
      <c r="G109" s="130" t="n">
        <f aca="false">IF(AND(G$5&gt;=$M$21,G$5&lt;$N$21),$E$21-$F$21-IF(G$5&gt;=$H$21,$G$21,0),0)*($H$21&lt;&gt;0)+IF(AND(G$5&gt;=$M$21,G$5&lt;$N$21),$E$21-$F$21,0)*($H$21=0)</f>
        <v>0</v>
      </c>
      <c r="H109" s="130" t="n">
        <f aca="false">IF(AND(H$5&gt;=$M$21,H$5&lt;$N$21),$E$21-$F$21-IF(H$5&gt;=$H$21,$G$21,0),0)*($H$21&lt;&gt;0)+IF(AND(H$5&gt;=$M$21,H$5&lt;$N$21),$E$21-$F$21,0)*($H$21=0)</f>
        <v>0</v>
      </c>
      <c r="I109" s="130" t="n">
        <f aca="false">IF(AND(I$5&gt;=$M$21,I$5&lt;$N$21),$E$21-$F$21-IF(I$5&gt;=$H$21,$G$21,0),0)*($H$21&lt;&gt;0)+IF(AND(I$5&gt;=$M$21,I$5&lt;$N$21),$E$21-$F$21,0)*($H$21=0)</f>
        <v>0</v>
      </c>
      <c r="J109" s="130" t="n">
        <f aca="false">IF(AND(J$5&gt;=$M$21,J$5&lt;$N$21),$E$21-$F$21-IF(J$5&gt;=$H$21,$G$21,0),0)*($H$21&lt;&gt;0)+IF(AND(J$5&gt;=$M$21,J$5&lt;$N$21),$E$21-$F$21,0)*($H$21=0)</f>
        <v>0</v>
      </c>
      <c r="K109" s="130" t="n">
        <f aca="false">IF(AND(K$5&gt;=$M$21,K$5&lt;$N$21),$E$21-$F$21-IF(K$5&gt;=$H$21,$G$21,0),0)*($H$21&lt;&gt;0)+IF(AND(K$5&gt;=$M$21,K$5&lt;$N$21),$E$21-$F$21,0)*($H$21=0)</f>
        <v>0</v>
      </c>
      <c r="L109" s="130" t="n">
        <f aca="false">IF(AND(L$5&gt;=$M$21,L$5&lt;$N$21),$E$21-$F$21-IF(L$5&gt;=$H$21,$G$21,0),0)*($H$21&lt;&gt;0)+IF(AND(L$5&gt;=$M$21,L$5&lt;$N$21),$E$21-$F$21,0)*($H$21=0)</f>
        <v>0</v>
      </c>
      <c r="M109" s="130" t="n">
        <f aca="false">IF(AND(M$5&gt;=$M$21,M$5&lt;$N$21),$E$21-$F$21-IF(M$5&gt;=$H$21,$G$21,0),0)*($H$21&lt;&gt;0)+IF(AND(M$5&gt;=$M$21,M$5&lt;$N$21),$E$21-$F$21,0)*($H$21=0)</f>
        <v>0</v>
      </c>
      <c r="N109" s="130" t="n">
        <f aca="false">IF(AND(N$5&gt;=$M$21,N$5&lt;$N$21),$E$21-$F$21-IF(N$5&gt;=$H$21,$G$21,0),0)*($H$21&lt;&gt;0)+IF(AND(N$5&gt;=$M$21,N$5&lt;$N$21),$E$21-$F$21,0)*($H$21=0)</f>
        <v>0</v>
      </c>
      <c r="O109" s="130" t="n">
        <f aca="false">IF(AND(O$5&gt;=$M$21,O$5&lt;$N$21),$E$21-$F$21-IF(O$5&gt;=$H$21,$G$21,0),0)*($H$21&lt;&gt;0)+IF(AND(O$5&gt;=$M$21,O$5&lt;$N$21),$E$21-$F$21,0)*($H$21=0)</f>
        <v>0</v>
      </c>
      <c r="P109" s="131" t="n">
        <f aca="false">IF(AND(P$5&gt;=$M$21,P$5&lt;$N$21),$E$21-$F$21-IF(P$5&gt;=$H$21,$G$21,0),0)*($H$21&lt;&gt;0)+IF(AND(P$5&gt;=$M$21,P$5&lt;$N$21),$E$21-$F$21,0)*($H$21=0)</f>
        <v>0</v>
      </c>
      <c r="Q109" s="131" t="n">
        <f aca="false">IF(AND(Q$5&gt;=$M$21,Q$5&lt;$N$21),$E$21-$F$21-IF(Q$5&gt;=$H$21,$G$21,0),0)*($H$21&lt;&gt;0)+IF(AND(Q$5&gt;=$M$21,Q$5&lt;$N$21),$E$21-$F$21,0)*($H$21=0)</f>
        <v>0</v>
      </c>
      <c r="R109" s="131" t="n">
        <f aca="false">IF(AND(R$5&gt;=$M$21,R$5&lt;$N$21),$E$21-$F$21-IF(R$5&gt;=$H$21,$G$21,0),0)*($H$21&lt;&gt;0)+IF(AND(R$5&gt;=$M$21,R$5&lt;$N$21),$E$21-$F$21,0)*($H$21=0)</f>
        <v>2560</v>
      </c>
      <c r="S109" s="131" t="n">
        <f aca="false">IF(AND(S$5&gt;=$M$21,S$5&lt;$N$21),$E$21-$F$21-IF(S$5&gt;=$H$21,$G$21,0),0)*($H$21&lt;&gt;0)+IF(AND(S$5&gt;=$M$21,S$5&lt;$N$21),$E$21-$F$21,0)*($H$21=0)</f>
        <v>2560</v>
      </c>
      <c r="T109" s="131" t="n">
        <f aca="false">IF(AND(T$5&gt;=$M$21,T$5&lt;$N$21),$E$21-$F$21-IF(T$5&gt;=$H$21,$G$21,0),0)*($H$21&lt;&gt;0)+IF(AND(T$5&gt;=$M$21,T$5&lt;$N$21),$E$21-$F$21,0)*($H$21=0)</f>
        <v>2560</v>
      </c>
      <c r="U109" s="131" t="n">
        <f aca="false">IF(AND(U$5&gt;=$M$21,U$5&lt;$N$21),$E$21-$F$21-IF(U$5&gt;=$H$21,$G$21,0),0)*($H$21&lt;&gt;0)+IF(AND(U$5&gt;=$M$21,U$5&lt;$N$21),$E$21-$F$21,0)*($H$21=0)</f>
        <v>2560</v>
      </c>
      <c r="V109" s="131" t="n">
        <f aca="false">IF(AND(V$5&gt;=$M$21,V$5&lt;$N$21),$E$21-$F$21-IF(V$5&gt;=$H$21,$G$21,0),0)*($H$21&lt;&gt;0)+IF(AND(V$5&gt;=$M$21,V$5&lt;$N$21),$E$21-$F$21,0)*($H$21=0)</f>
        <v>2560</v>
      </c>
      <c r="W109" s="131" t="n">
        <f aca="false">IF(AND(W$5&gt;=$M$21,W$5&lt;$N$21),$E$21-$F$21-IF(W$5&gt;=$H$21,$G$21,0),0)*($H$21&lt;&gt;0)+IF(AND(W$5&gt;=$M$21,W$5&lt;$N$21),$E$21-$F$21,0)*($H$21=0)</f>
        <v>2560</v>
      </c>
      <c r="X109" s="131" t="n">
        <f aca="false">IF(AND(X$5&gt;=$M$21,X$5&lt;$N$21),$E$21-$F$21-IF(X$5&gt;=$H$21,$G$21,0),0)*($H$21&lt;&gt;0)+IF(AND(X$5&gt;=$M$21,X$5&lt;$N$21),$E$21-$F$21,0)*($H$21=0)</f>
        <v>2560</v>
      </c>
      <c r="Y109" s="131" t="n">
        <f aca="false">IF(AND(Y$5&gt;=$M$21,Y$5&lt;$N$21),$E$21-$F$21-IF(Y$5&gt;=$H$21,$G$21,0),0)*($H$21&lt;&gt;0)+IF(AND(Y$5&gt;=$M$21,Y$5&lt;$N$21),$E$21-$F$21,0)*($H$21=0)</f>
        <v>2560</v>
      </c>
      <c r="Z109" s="131" t="n">
        <f aca="false">IF(AND(Z$5&gt;=$M$21,Z$5&lt;$N$21),$E$21-$F$21-IF(Z$5&gt;=$H$21,$G$21,0),0)*($H$21&lt;&gt;0)+IF(AND(Z$5&gt;=$M$21,Z$5&lt;$N$21),$E$21-$F$21,0)*($H$21=0)</f>
        <v>2560</v>
      </c>
      <c r="AA109" s="131" t="n">
        <f aca="false">IF(AND(AA$5&gt;=$M$21,AA$5&lt;$N$21),$E$21-$F$21-IF(AA$5&gt;=$H$21,$G$21,0),0)*($H$21&lt;&gt;0)+IF(AND(AA$5&gt;=$M$21,AA$5&lt;$N$21),$E$21-$F$21,0)*($H$21=0)</f>
        <v>2560</v>
      </c>
      <c r="AB109" s="131" t="n">
        <f aca="false">IF(AND(AB$5&gt;=$M$21,AB$5&lt;$N$21),$E$21-$F$21-IF(AB$5&gt;=$H$21,$G$21,0),0)*($H$21&lt;&gt;0)+IF(AND(AB$5&gt;=$M$21,AB$5&lt;$N$21),$E$21-$F$21,0)*($H$21=0)</f>
        <v>2560</v>
      </c>
      <c r="AC109" s="131" t="n">
        <f aca="false">IF(AND(AC$5&gt;=$M$21,AC$5&lt;$N$21),$E$21-$F$21-IF(AC$5&gt;=$H$21,$G$21,0),0)*($H$21&lt;&gt;0)+IF(AND(AC$5&gt;=$M$21,AC$5&lt;$N$21),$E$21-$F$21,0)*($H$21=0)</f>
        <v>2560</v>
      </c>
      <c r="AD109" s="131" t="n">
        <f aca="false">IF(AND(AD$5&gt;=$M$21,AD$5&lt;$N$21),$E$21-$F$21-IF(AD$5&gt;=$H$21,$G$21,0),0)*($H$21&lt;&gt;0)+IF(AND(AD$5&gt;=$M$21,AD$5&lt;$N$21),$E$21-$F$21,0)*($H$21=0)</f>
        <v>2560</v>
      </c>
      <c r="AE109" s="131" t="n">
        <f aca="false">IF(AND(AE$5&gt;=$M$21,AE$5&lt;$N$21),$E$21-$F$21-IF(AE$5&gt;=$H$21,$G$21,0),0)*($H$21&lt;&gt;0)+IF(AND(AE$5&gt;=$M$21,AE$5&lt;$N$21),$E$21-$F$21,0)*($H$21=0)</f>
        <v>2560</v>
      </c>
      <c r="AF109" s="131" t="n">
        <f aca="false">IF(AND(AF$5&gt;=$M$21,AF$5&lt;$N$21),$E$21-$F$21-IF(AF$5&gt;=$H$21,$G$21,0),0)*($H$21&lt;&gt;0)+IF(AND(AF$5&gt;=$M$21,AF$5&lt;$N$21),$E$21-$F$21,0)*($H$21=0)</f>
        <v>2560</v>
      </c>
      <c r="AG109" s="131" t="n">
        <f aca="false">IF(AND(AG$5&gt;=$M$21,AG$5&lt;$N$21),$E$21-$F$21-IF(AG$5&gt;=$H$21,$G$21,0),0)*($H$21&lt;&gt;0)+IF(AND(AG$5&gt;=$M$21,AG$5&lt;$N$21),$E$21-$F$21,0)*($H$21=0)</f>
        <v>2560</v>
      </c>
      <c r="AI109" s="131" t="n">
        <f aca="false">INDEX($F109:$AG109,1,MATCH(AI$7,$F$7:$AG$7,1))</f>
        <v>0</v>
      </c>
      <c r="AJ109" s="131" t="n">
        <f aca="false">INDEX($F109:$AG109,1,MATCH(AJ$7,$F$7:$AG$7,1))</f>
        <v>0</v>
      </c>
      <c r="AK109" s="131" t="n">
        <f aca="false">INDEX($F109:$AG109,1,MATCH(AK$7,$F$7:$AG$7,1))</f>
        <v>0</v>
      </c>
      <c r="AL109" s="131" t="n">
        <f aca="false">INDEX($F109:$AG109,1,MATCH(AL$7,$F$7:$AG$7,1))</f>
        <v>2560</v>
      </c>
      <c r="AM109" s="131" t="n">
        <f aca="false">INDEX($F109:$AG109,1,MATCH(AM$7,$F$7:$AG$7,1))</f>
        <v>2560</v>
      </c>
      <c r="AN109" s="131" t="n">
        <f aca="false">INDEX($F109:$AG109,1,MATCH(AN$7,$F$7:$AG$7,1))</f>
        <v>2560</v>
      </c>
      <c r="AO109" s="131" t="n">
        <f aca="false">INDEX($F109:$AG109,1,MATCH(AO$7,$F$7:$AG$7,1))</f>
        <v>2560</v>
      </c>
    </row>
    <row r="110" customFormat="false" ht="15" hidden="false" customHeight="false" outlineLevel="0" collapsed="false">
      <c r="A110" s="112" t="s">
        <v>2587</v>
      </c>
      <c r="B110" s="24" t="s">
        <v>745</v>
      </c>
      <c r="C110" s="24" t="s">
        <v>736</v>
      </c>
      <c r="D110" s="24"/>
      <c r="F110" s="130" t="n">
        <f aca="false">F109*$C$21/4</f>
        <v>0</v>
      </c>
      <c r="G110" s="130" t="n">
        <f aca="false">G109*$C$21/4</f>
        <v>0</v>
      </c>
      <c r="H110" s="130" t="n">
        <f aca="false">H109*$C$21/4</f>
        <v>0</v>
      </c>
      <c r="I110" s="130" t="n">
        <f aca="false">I109*$C$21/4</f>
        <v>0</v>
      </c>
      <c r="J110" s="130" t="n">
        <f aca="false">J109*$C$21/4</f>
        <v>0</v>
      </c>
      <c r="K110" s="130" t="n">
        <f aca="false">K109*$C$21/4</f>
        <v>0</v>
      </c>
      <c r="L110" s="130" t="n">
        <f aca="false">L109*$C$21/4</f>
        <v>0</v>
      </c>
      <c r="M110" s="130" t="n">
        <f aca="false">M109*$C$21/4</f>
        <v>0</v>
      </c>
      <c r="N110" s="130" t="n">
        <f aca="false">N109*$C$21/4</f>
        <v>0</v>
      </c>
      <c r="O110" s="130" t="n">
        <f aca="false">O109*$C$21/4</f>
        <v>0</v>
      </c>
      <c r="P110" s="131" t="n">
        <f aca="false">P109*$C$21/4</f>
        <v>0</v>
      </c>
      <c r="Q110" s="131" t="n">
        <f aca="false">Q109*$C$21/4</f>
        <v>0</v>
      </c>
      <c r="R110" s="131" t="n">
        <f aca="false">R109*$C$21/4</f>
        <v>28.8</v>
      </c>
      <c r="S110" s="131" t="n">
        <f aca="false">S109*$C$21/4</f>
        <v>28.8</v>
      </c>
      <c r="T110" s="131" t="n">
        <f aca="false">T109*$C$21/4</f>
        <v>28.8</v>
      </c>
      <c r="U110" s="131" t="n">
        <f aca="false">U109*$C$21/4</f>
        <v>28.8</v>
      </c>
      <c r="V110" s="131" t="n">
        <f aca="false">V109*$C$21/4</f>
        <v>28.8</v>
      </c>
      <c r="W110" s="131" t="n">
        <f aca="false">W109*$C$21/4</f>
        <v>28.8</v>
      </c>
      <c r="X110" s="131" t="n">
        <f aca="false">X109*$C$21/4</f>
        <v>28.8</v>
      </c>
      <c r="Y110" s="131" t="n">
        <f aca="false">Y109*$C$21/4</f>
        <v>28.8</v>
      </c>
      <c r="Z110" s="131" t="n">
        <f aca="false">Z109*$C$21/4</f>
        <v>28.8</v>
      </c>
      <c r="AA110" s="131" t="n">
        <f aca="false">AA109*$C$21/4</f>
        <v>28.8</v>
      </c>
      <c r="AB110" s="131" t="n">
        <f aca="false">AB109*$C$21/4</f>
        <v>28.8</v>
      </c>
      <c r="AC110" s="131" t="n">
        <f aca="false">AC109*$C$21/4</f>
        <v>28.8</v>
      </c>
      <c r="AD110" s="131" t="n">
        <f aca="false">AD109*$C$21/4</f>
        <v>28.8</v>
      </c>
      <c r="AE110" s="131" t="n">
        <f aca="false">AE109*$C$21/4</f>
        <v>28.8</v>
      </c>
      <c r="AF110" s="131" t="n">
        <f aca="false">AF109*$C$21/4</f>
        <v>28.8</v>
      </c>
      <c r="AG110" s="131" t="n">
        <f aca="false">AG109*$C$21/4</f>
        <v>28.8</v>
      </c>
      <c r="AI110" s="131" t="n">
        <f aca="false">SUMIF($F$7:$AG$7,AI$7,$F110:$AG110)</f>
        <v>0</v>
      </c>
      <c r="AJ110" s="131" t="n">
        <f aca="false">SUMIF($F$7:$AG$7,AJ$7,$F110:$AG110)</f>
        <v>0</v>
      </c>
      <c r="AK110" s="131" t="n">
        <f aca="false">SUMIF($F$7:$AG$7,AK$7,$F110:$AG110)</f>
        <v>0</v>
      </c>
      <c r="AL110" s="131" t="n">
        <f aca="false">SUMIF($F$7:$AG$7,AL$7,$F110:$AG110)</f>
        <v>115.2</v>
      </c>
      <c r="AM110" s="131" t="n">
        <f aca="false">SUMIF($F$7:$AG$7,AM$7,$F110:$AG110)</f>
        <v>115.2</v>
      </c>
      <c r="AN110" s="131" t="n">
        <f aca="false">SUMIF($F$7:$AG$7,AN$7,$F110:$AG110)</f>
        <v>115.2</v>
      </c>
      <c r="AO110" s="131" t="n">
        <f aca="false">SUMIF($F$7:$AG$7,AO$7,$F110:$AG110)</f>
        <v>115.2</v>
      </c>
    </row>
    <row r="111" customFormat="false" ht="15" hidden="false" customHeight="false" outlineLevel="0" collapsed="false">
      <c r="A111" s="112" t="s">
        <v>2588</v>
      </c>
      <c r="B111" s="24" t="s">
        <v>745</v>
      </c>
      <c r="C111" s="24" t="s">
        <v>736</v>
      </c>
      <c r="D111" s="24"/>
      <c r="F111" s="130" t="n">
        <f aca="false">F109*($J$21-1)/(($D$21-$B$21)/91.3125)</f>
        <v>0</v>
      </c>
      <c r="G111" s="130" t="n">
        <f aca="false">G109*($J$21-1)/(($D$21-$B$21)/91.3125)</f>
        <v>0</v>
      </c>
      <c r="H111" s="130" t="n">
        <f aca="false">H109*($J$21-1)/(($D$21-$B$21)/91.3125)</f>
        <v>0</v>
      </c>
      <c r="I111" s="130" t="n">
        <f aca="false">I109*($J$21-1)/(($D$21-$B$21)/91.3125)</f>
        <v>0</v>
      </c>
      <c r="J111" s="130" t="n">
        <f aca="false">J109*($J$21-1)/(($D$21-$B$21)/91.3125)</f>
        <v>0</v>
      </c>
      <c r="K111" s="130" t="n">
        <f aca="false">K109*($J$21-1)/(($D$21-$B$21)/91.3125)</f>
        <v>0</v>
      </c>
      <c r="L111" s="130" t="n">
        <f aca="false">L109*($J$21-1)/(($D$21-$B$21)/91.3125)</f>
        <v>0</v>
      </c>
      <c r="M111" s="130" t="n">
        <f aca="false">M109*($J$21-1)/(($D$21-$B$21)/91.3125)</f>
        <v>0</v>
      </c>
      <c r="N111" s="130" t="n">
        <f aca="false">N109*($J$21-1)/(($D$21-$B$21)/91.3125)</f>
        <v>0</v>
      </c>
      <c r="O111" s="130" t="n">
        <f aca="false">O109*($J$21-1)/(($D$21-$B$21)/91.3125)</f>
        <v>0</v>
      </c>
      <c r="P111" s="131" t="n">
        <f aca="false">P109*($J$21-1)/(($D$21-$B$21)/91.3125)</f>
        <v>0</v>
      </c>
      <c r="Q111" s="131" t="n">
        <f aca="false">Q109*($J$21-1)/(($D$21-$B$21)/91.3125)</f>
        <v>0</v>
      </c>
      <c r="R111" s="131" t="n">
        <f aca="false">R109*($J$21-1)/(($D$21-$B$21)/91.3125)</f>
        <v>21.3440467494522</v>
      </c>
      <c r="S111" s="131" t="n">
        <f aca="false">S109*($J$21-1)/(($D$21-$B$21)/91.3125)</f>
        <v>21.3440467494522</v>
      </c>
      <c r="T111" s="131" t="n">
        <f aca="false">T109*($J$21-1)/(($D$21-$B$21)/91.3125)</f>
        <v>21.3440467494522</v>
      </c>
      <c r="U111" s="131" t="n">
        <f aca="false">U109*($J$21-1)/(($D$21-$B$21)/91.3125)</f>
        <v>21.3440467494522</v>
      </c>
      <c r="V111" s="131" t="n">
        <f aca="false">V109*($J$21-1)/(($D$21-$B$21)/91.3125)</f>
        <v>21.3440467494522</v>
      </c>
      <c r="W111" s="131" t="n">
        <f aca="false">W109*($J$21-1)/(($D$21-$B$21)/91.3125)</f>
        <v>21.3440467494522</v>
      </c>
      <c r="X111" s="131" t="n">
        <f aca="false">X109*($J$21-1)/(($D$21-$B$21)/91.3125)</f>
        <v>21.3440467494522</v>
      </c>
      <c r="Y111" s="131" t="n">
        <f aca="false">Y109*($J$21-1)/(($D$21-$B$21)/91.3125)</f>
        <v>21.3440467494522</v>
      </c>
      <c r="Z111" s="131" t="n">
        <f aca="false">Z109*($J$21-1)/(($D$21-$B$21)/91.3125)</f>
        <v>21.3440467494522</v>
      </c>
      <c r="AA111" s="131" t="n">
        <f aca="false">AA109*($J$21-1)/(($D$21-$B$21)/91.3125)</f>
        <v>21.3440467494522</v>
      </c>
      <c r="AB111" s="131" t="n">
        <f aca="false">AB109*($J$21-1)/(($D$21-$B$21)/91.3125)</f>
        <v>21.3440467494522</v>
      </c>
      <c r="AC111" s="131" t="n">
        <f aca="false">AC109*($J$21-1)/(($D$21-$B$21)/91.3125)</f>
        <v>21.3440467494522</v>
      </c>
      <c r="AD111" s="131" t="n">
        <f aca="false">AD109*($J$21-1)/(($D$21-$B$21)/91.3125)</f>
        <v>21.3440467494522</v>
      </c>
      <c r="AE111" s="131" t="n">
        <f aca="false">AE109*($J$21-1)/(($D$21-$B$21)/91.3125)</f>
        <v>21.3440467494522</v>
      </c>
      <c r="AF111" s="131" t="n">
        <f aca="false">AF109*($J$21-1)/(($D$21-$B$21)/91.3125)</f>
        <v>21.3440467494522</v>
      </c>
      <c r="AG111" s="131" t="n">
        <f aca="false">AG109*($J$21-1)/(($D$21-$B$21)/91.3125)</f>
        <v>21.3440467494522</v>
      </c>
      <c r="AI111" s="131" t="n">
        <f aca="false">SUMIF($F$7:$AG$7,AI$7,$F111:$AG111)</f>
        <v>0</v>
      </c>
      <c r="AJ111" s="131" t="n">
        <f aca="false">SUMIF($F$7:$AG$7,AJ$7,$F111:$AG111)</f>
        <v>0</v>
      </c>
      <c r="AK111" s="131" t="n">
        <f aca="false">SUMIF($F$7:$AG$7,AK$7,$F111:$AG111)</f>
        <v>0</v>
      </c>
      <c r="AL111" s="131" t="n">
        <f aca="false">SUMIF($F$7:$AG$7,AL$7,$F111:$AG111)</f>
        <v>85.3761869978086</v>
      </c>
      <c r="AM111" s="131" t="n">
        <f aca="false">SUMIF($F$7:$AG$7,AM$7,$F111:$AG111)</f>
        <v>85.3761869978086</v>
      </c>
      <c r="AN111" s="131" t="n">
        <f aca="false">SUMIF($F$7:$AG$7,AN$7,$F111:$AG111)</f>
        <v>85.3761869978086</v>
      </c>
      <c r="AO111" s="131" t="n">
        <f aca="false">SUMIF($F$7:$AG$7,AO$7,$F111:$AG111)</f>
        <v>85.3761869978086</v>
      </c>
    </row>
    <row r="112" customFormat="false" ht="15" hidden="false" customHeight="false" outlineLevel="0" collapsed="false">
      <c r="A112" s="112" t="s">
        <v>2589</v>
      </c>
      <c r="B112" s="24" t="s">
        <v>745</v>
      </c>
      <c r="C112" s="24" t="s">
        <v>736</v>
      </c>
      <c r="D112" s="24"/>
      <c r="F112" s="130" t="n">
        <f aca="false">F109*(1+($J$21-1)*MIN(1,MAX(0,(F$4-$B$21)/($D$21-$B$21))))</f>
        <v>0</v>
      </c>
      <c r="G112" s="130" t="n">
        <f aca="false">G109*(1+($J$21-1)*MIN(1,MAX(0,(G$4-$B$21)/($D$21-$B$21))))</f>
        <v>0</v>
      </c>
      <c r="H112" s="130" t="n">
        <f aca="false">H109*(1+($J$21-1)*MIN(1,MAX(0,(H$4-$B$21)/($D$21-$B$21))))</f>
        <v>0</v>
      </c>
      <c r="I112" s="130" t="n">
        <f aca="false">I109*(1+($J$21-1)*MIN(1,MAX(0,(I$4-$B$21)/($D$21-$B$21))))</f>
        <v>0</v>
      </c>
      <c r="J112" s="130" t="n">
        <f aca="false">J109*(1+($J$21-1)*MIN(1,MAX(0,(J$4-$B$21)/($D$21-$B$21))))</f>
        <v>0</v>
      </c>
      <c r="K112" s="130" t="n">
        <f aca="false">K109*(1+($J$21-1)*MIN(1,MAX(0,(K$4-$B$21)/($D$21-$B$21))))</f>
        <v>0</v>
      </c>
      <c r="L112" s="130" t="n">
        <f aca="false">L109*(1+($J$21-1)*MIN(1,MAX(0,(L$4-$B$21)/($D$21-$B$21))))</f>
        <v>0</v>
      </c>
      <c r="M112" s="130" t="n">
        <f aca="false">M109*(1+($J$21-1)*MIN(1,MAX(0,(M$4-$B$21)/($D$21-$B$21))))</f>
        <v>0</v>
      </c>
      <c r="N112" s="130" t="n">
        <f aca="false">N109*(1+($J$21-1)*MIN(1,MAX(0,(N$4-$B$21)/($D$21-$B$21))))</f>
        <v>0</v>
      </c>
      <c r="O112" s="130" t="n">
        <f aca="false">O109*(1+($J$21-1)*MIN(1,MAX(0,(O$4-$B$21)/($D$21-$B$21))))</f>
        <v>0</v>
      </c>
      <c r="P112" s="131" t="n">
        <f aca="false">P109*(1+($J$21-1)*MIN(1,MAX(0,(P$4-$B$21)/($D$21-$B$21))))</f>
        <v>0</v>
      </c>
      <c r="Q112" s="131" t="n">
        <f aca="false">Q109*(1+($J$21-1)*MIN(1,MAX(0,(Q$4-$B$21)/($D$21-$B$21))))</f>
        <v>0</v>
      </c>
      <c r="R112" s="131" t="n">
        <f aca="false">R109*(1+($J$21-1)*MIN(1,MAX(0,(R$4-$B$21)/($D$21-$B$21))))</f>
        <v>2570.51862673484</v>
      </c>
      <c r="S112" s="131" t="n">
        <f aca="false">S109*(1+($J$21-1)*MIN(1,MAX(0,(S$4-$B$21)/($D$21-$B$21))))</f>
        <v>2591.7896274653</v>
      </c>
      <c r="T112" s="131" t="n">
        <f aca="false">T109*(1+($J$21-1)*MIN(1,MAX(0,(T$4-$B$21)/($D$21-$B$21))))</f>
        <v>2613.29437545654</v>
      </c>
      <c r="U112" s="131" t="n">
        <f aca="false">U109*(1+($J$21-1)*MIN(1,MAX(0,(U$4-$B$21)/($D$21-$B$21))))</f>
        <v>2634.79912344777</v>
      </c>
      <c r="V112" s="131" t="n">
        <f aca="false">V109*(1+($J$21-1)*MIN(1,MAX(0,(V$4-$B$21)/($D$21-$B$21))))</f>
        <v>2656.07012417823</v>
      </c>
      <c r="W112" s="131" t="n">
        <f aca="false">W109*(1+($J$21-1)*MIN(1,MAX(0,(W$4-$B$21)/($D$21-$B$21))))</f>
        <v>2677.34112490869</v>
      </c>
      <c r="X112" s="131" t="n">
        <f aca="false">X109*(1+($J$21-1)*MIN(1,MAX(0,(X$4-$B$21)/($D$21-$B$21))))</f>
        <v>2698.84587289993</v>
      </c>
      <c r="Y112" s="131" t="n">
        <f aca="false">Y109*(1+($J$21-1)*MIN(1,MAX(0,(Y$4-$B$21)/($D$21-$B$21))))</f>
        <v>2720.35062089116</v>
      </c>
      <c r="Z112" s="131" t="n">
        <f aca="false">Z109*(1+($J$21-1)*MIN(1,MAX(0,(Z$4-$B$21)/($D$21-$B$21))))</f>
        <v>2741.38787436085</v>
      </c>
      <c r="AA112" s="131" t="n">
        <f aca="false">AA109*(1+($J$21-1)*MIN(1,MAX(0,(AA$4-$B$21)/($D$21-$B$21))))</f>
        <v>2762.65887509131</v>
      </c>
      <c r="AB112" s="131" t="n">
        <f aca="false">AB109*(1+($J$21-1)*MIN(1,MAX(0,(AB$4-$B$21)/($D$21-$B$21))))</f>
        <v>2784.16362308254</v>
      </c>
      <c r="AC112" s="131" t="n">
        <f aca="false">AC109*(1+($J$21-1)*MIN(1,MAX(0,(AC$4-$B$21)/($D$21-$B$21))))</f>
        <v>2805.66837107378</v>
      </c>
      <c r="AD112" s="131" t="n">
        <f aca="false">AD109*(1+($J$21-1)*MIN(1,MAX(0,(AD$4-$B$21)/($D$21-$B$21))))</f>
        <v>2826.70562454346</v>
      </c>
      <c r="AE112" s="131" t="n">
        <f aca="false">AE109*(1+($J$21-1)*MIN(1,MAX(0,(AE$4-$B$21)/($D$21-$B$21))))</f>
        <v>2847.97662527392</v>
      </c>
      <c r="AF112" s="131" t="n">
        <f aca="false">AF109*(1+($J$21-1)*MIN(1,MAX(0,(AF$4-$B$21)/($D$21-$B$21))))</f>
        <v>2869.48137326516</v>
      </c>
      <c r="AG112" s="131" t="n">
        <f aca="false">AG109*(1+($J$21-1)*MIN(1,MAX(0,(AG$4-$B$21)/($D$21-$B$21))))</f>
        <v>2890.98612125639</v>
      </c>
      <c r="AI112" s="131" t="n">
        <f aca="false">INDEX($F112:$AG112,1,MATCH(AI$7,$F$7:$AG$7,1))</f>
        <v>0</v>
      </c>
      <c r="AJ112" s="131" t="n">
        <f aca="false">INDEX($F112:$AG112,1,MATCH(AJ$7,$F$7:$AG$7,1))</f>
        <v>0</v>
      </c>
      <c r="AK112" s="131" t="n">
        <f aca="false">INDEX($F112:$AG112,1,MATCH(AK$7,$F$7:$AG$7,1))</f>
        <v>0</v>
      </c>
      <c r="AL112" s="131" t="n">
        <f aca="false">INDEX($F112:$AG112,1,MATCH(AL$7,$F$7:$AG$7,1))</f>
        <v>2634.79912344777</v>
      </c>
      <c r="AM112" s="131" t="n">
        <f aca="false">INDEX($F112:$AG112,1,MATCH(AM$7,$F$7:$AG$7,1))</f>
        <v>2720.35062089116</v>
      </c>
      <c r="AN112" s="131" t="n">
        <f aca="false">INDEX($F112:$AG112,1,MATCH(AN$7,$F$7:$AG$7,1))</f>
        <v>2805.66837107378</v>
      </c>
      <c r="AO112" s="131" t="n">
        <f aca="false">INDEX($F112:$AG112,1,MATCH(AO$7,$F$7:$AG$7,1))</f>
        <v>2890.98612125639</v>
      </c>
    </row>
    <row r="113" customFormat="false" ht="15" hidden="false" customHeight="false" outlineLevel="0" collapsed="false">
      <c r="A113" s="112" t="s">
        <v>2590</v>
      </c>
      <c r="B113" s="24" t="s">
        <v>745</v>
      </c>
      <c r="C113" s="24" t="s">
        <v>736</v>
      </c>
      <c r="D113" s="24"/>
      <c r="F113" s="130" t="n">
        <f aca="false">F109*($S$21+($J$21-$S$21)*MIN(1,MAX(0,(F$4-$T$21)/($D$21-$T$21))))</f>
        <v>0</v>
      </c>
      <c r="G113" s="130" t="n">
        <f aca="false">G109*($S$21+($J$21-$S$21)*MIN(1,MAX(0,(G$4-$T$21)/($D$21-$T$21))))</f>
        <v>0</v>
      </c>
      <c r="H113" s="130" t="n">
        <f aca="false">H109*($S$21+($J$21-$S$21)*MIN(1,MAX(0,(H$4-$T$21)/($D$21-$T$21))))</f>
        <v>0</v>
      </c>
      <c r="I113" s="130" t="n">
        <f aca="false">I109*($S$21+($J$21-$S$21)*MIN(1,MAX(0,(I$4-$T$21)/($D$21-$T$21))))</f>
        <v>0</v>
      </c>
      <c r="J113" s="130" t="n">
        <f aca="false">J109*($S$21+($J$21-$S$21)*MIN(1,MAX(0,(J$4-$T$21)/($D$21-$T$21))))</f>
        <v>0</v>
      </c>
      <c r="K113" s="130" t="n">
        <f aca="false">K109*($S$21+($J$21-$S$21)*MIN(1,MAX(0,(K$4-$T$21)/($D$21-$T$21))))</f>
        <v>0</v>
      </c>
      <c r="L113" s="130" t="n">
        <f aca="false">L109*($S$21+($J$21-$S$21)*MIN(1,MAX(0,(L$4-$T$21)/($D$21-$T$21))))</f>
        <v>0</v>
      </c>
      <c r="M113" s="130" t="n">
        <f aca="false">M109*($S$21+($J$21-$S$21)*MIN(1,MAX(0,(M$4-$T$21)/($D$21-$T$21))))</f>
        <v>0</v>
      </c>
      <c r="N113" s="130" t="n">
        <f aca="false">N109*($S$21+($J$21-$S$21)*MIN(1,MAX(0,(N$4-$T$21)/($D$21-$T$21))))</f>
        <v>0</v>
      </c>
      <c r="O113" s="130" t="n">
        <f aca="false">O109*($S$21+($J$21-$S$21)*MIN(1,MAX(0,(O$4-$T$21)/($D$21-$T$21))))</f>
        <v>0</v>
      </c>
      <c r="P113" s="131" t="n">
        <f aca="false">P109*($S$21+($J$21-$S$21)*MIN(1,MAX(0,(P$4-$T$21)/($D$21-$T$21))))</f>
        <v>0</v>
      </c>
      <c r="Q113" s="131" t="n">
        <f aca="false">Q109*($S$21+($J$21-$S$21)*MIN(1,MAX(0,(Q$4-$T$21)/($D$21-$T$21))))</f>
        <v>0</v>
      </c>
      <c r="R113" s="131" t="n">
        <f aca="false">R109*($S$21+($J$21-$S$21)*MIN(1,MAX(0,(R$4-$T$21)/($D$21-$T$21))))</f>
        <v>2570.51862673484</v>
      </c>
      <c r="S113" s="131" t="n">
        <f aca="false">S109*($S$21+($J$21-$S$21)*MIN(1,MAX(0,(S$4-$T$21)/($D$21-$T$21))))</f>
        <v>2591.7896274653</v>
      </c>
      <c r="T113" s="131" t="n">
        <f aca="false">T109*($S$21+($J$21-$S$21)*MIN(1,MAX(0,(T$4-$T$21)/($D$21-$T$21))))</f>
        <v>2613.29437545654</v>
      </c>
      <c r="U113" s="131" t="n">
        <f aca="false">U109*($S$21+($J$21-$S$21)*MIN(1,MAX(0,(U$4-$T$21)/($D$21-$T$21))))</f>
        <v>2634.79912344777</v>
      </c>
      <c r="V113" s="131" t="n">
        <f aca="false">V109*($S$21+($J$21-$S$21)*MIN(1,MAX(0,(V$4-$T$21)/($D$21-$T$21))))</f>
        <v>2656.07012417823</v>
      </c>
      <c r="W113" s="131" t="n">
        <f aca="false">W109*($S$21+($J$21-$S$21)*MIN(1,MAX(0,(W$4-$T$21)/($D$21-$T$21))))</f>
        <v>2677.34112490869</v>
      </c>
      <c r="X113" s="131" t="n">
        <f aca="false">X109*($S$21+($J$21-$S$21)*MIN(1,MAX(0,(X$4-$T$21)/($D$21-$T$21))))</f>
        <v>2698.84587289993</v>
      </c>
      <c r="Y113" s="131" t="n">
        <f aca="false">Y109*($S$21+($J$21-$S$21)*MIN(1,MAX(0,(Y$4-$T$21)/($D$21-$T$21))))</f>
        <v>2720.35062089116</v>
      </c>
      <c r="Z113" s="131" t="n">
        <f aca="false">Z109*($S$21+($J$21-$S$21)*MIN(1,MAX(0,(Z$4-$T$21)/($D$21-$T$21))))</f>
        <v>2741.38787436085</v>
      </c>
      <c r="AA113" s="131" t="n">
        <f aca="false">AA109*($S$21+($J$21-$S$21)*MIN(1,MAX(0,(AA$4-$T$21)/($D$21-$T$21))))</f>
        <v>2762.65887509131</v>
      </c>
      <c r="AB113" s="131" t="n">
        <f aca="false">AB109*($S$21+($J$21-$S$21)*MIN(1,MAX(0,(AB$4-$T$21)/($D$21-$T$21))))</f>
        <v>2784.16362308254</v>
      </c>
      <c r="AC113" s="131" t="n">
        <f aca="false">AC109*($S$21+($J$21-$S$21)*MIN(1,MAX(0,(AC$4-$T$21)/($D$21-$T$21))))</f>
        <v>2805.66837107378</v>
      </c>
      <c r="AD113" s="131" t="n">
        <f aca="false">AD109*($S$21+($J$21-$S$21)*MIN(1,MAX(0,(AD$4-$T$21)/($D$21-$T$21))))</f>
        <v>2826.70562454346</v>
      </c>
      <c r="AE113" s="131" t="n">
        <f aca="false">AE109*($S$21+($J$21-$S$21)*MIN(1,MAX(0,(AE$4-$T$21)/($D$21-$T$21))))</f>
        <v>2847.97662527392</v>
      </c>
      <c r="AF113" s="131" t="n">
        <f aca="false">AF109*($S$21+($J$21-$S$21)*MIN(1,MAX(0,(AF$4-$T$21)/($D$21-$T$21))))</f>
        <v>2869.48137326516</v>
      </c>
      <c r="AG113" s="131" t="n">
        <f aca="false">AG109*($S$21+($J$21-$S$21)*MIN(1,MAX(0,(AG$4-$T$21)/($D$21-$T$21))))</f>
        <v>2890.98612125639</v>
      </c>
      <c r="AI113" s="131" t="n">
        <f aca="false">INDEX($F113:$AG113,1,MATCH(AI$7,$F$7:$AG$7,1))</f>
        <v>0</v>
      </c>
      <c r="AJ113" s="131" t="n">
        <f aca="false">INDEX($F113:$AG113,1,MATCH(AJ$7,$F$7:$AG$7,1))</f>
        <v>0</v>
      </c>
      <c r="AK113" s="131" t="n">
        <f aca="false">INDEX($F113:$AG113,1,MATCH(AK$7,$F$7:$AG$7,1))</f>
        <v>0</v>
      </c>
      <c r="AL113" s="131" t="n">
        <f aca="false">INDEX($F113:$AG113,1,MATCH(AL$7,$F$7:$AG$7,1))</f>
        <v>2634.79912344777</v>
      </c>
      <c r="AM113" s="131" t="n">
        <f aca="false">INDEX($F113:$AG113,1,MATCH(AM$7,$F$7:$AG$7,1))</f>
        <v>2720.35062089116</v>
      </c>
      <c r="AN113" s="131" t="n">
        <f aca="false">INDEX($F113:$AG113,1,MATCH(AN$7,$F$7:$AG$7,1))</f>
        <v>2805.66837107378</v>
      </c>
      <c r="AO113" s="131" t="n">
        <f aca="false">INDEX($F113:$AG113,1,MATCH(AO$7,$F$7:$AG$7,1))</f>
        <v>2890.98612125639</v>
      </c>
    </row>
    <row r="114" customFormat="false" ht="15" hidden="false" customHeight="false" outlineLevel="0" collapsed="false">
      <c r="A114" s="112" t="s">
        <v>2591</v>
      </c>
      <c r="B114" s="24" t="s">
        <v>745</v>
      </c>
      <c r="C114" s="24" t="s">
        <v>736</v>
      </c>
      <c r="D114" s="24"/>
      <c r="F114" s="130" t="n">
        <f aca="false">IF(F$5=$N$21,E109*$J$21*(1-$O$21),0)</f>
        <v>0</v>
      </c>
      <c r="G114" s="130" t="n">
        <f aca="false">IF(G$5=$N$21,F109*$J$21*(1-$O$21),0)</f>
        <v>0</v>
      </c>
      <c r="H114" s="130" t="n">
        <f aca="false">IF(H$5=$N$21,G109*$J$21*(1-$O$21),0)</f>
        <v>0</v>
      </c>
      <c r="I114" s="130" t="n">
        <f aca="false">IF(I$5=$N$21,H109*$J$21*(1-$O$21),0)</f>
        <v>0</v>
      </c>
      <c r="J114" s="130" t="n">
        <f aca="false">IF(J$5=$N$21,I109*$J$21*(1-$O$21),0)</f>
        <v>0</v>
      </c>
      <c r="K114" s="130" t="n">
        <f aca="false">IF(K$5=$N$21,J109*$J$21*(1-$O$21),0)</f>
        <v>0</v>
      </c>
      <c r="L114" s="130" t="n">
        <f aca="false">IF(L$5=$N$21,K109*$J$21*(1-$O$21),0)</f>
        <v>0</v>
      </c>
      <c r="M114" s="130" t="n">
        <f aca="false">IF(M$5=$N$21,L109*$J$21*(1-$O$21),0)</f>
        <v>0</v>
      </c>
      <c r="N114" s="130" t="n">
        <f aca="false">IF(N$5=$N$21,M109*$J$21*(1-$O$21),0)</f>
        <v>0</v>
      </c>
      <c r="O114" s="130" t="n">
        <f aca="false">IF(O$5=$N$21,N109*$J$21*(1-$O$21),0)</f>
        <v>0</v>
      </c>
      <c r="P114" s="131" t="n">
        <f aca="false">IF(P$5=$N$21,O109*$J$21*(1-$O$21),0)</f>
        <v>0</v>
      </c>
      <c r="Q114" s="131" t="n">
        <f aca="false">IF(Q$5=$N$21,P109*$J$21*(1-$O$21),0)</f>
        <v>0</v>
      </c>
      <c r="R114" s="131" t="n">
        <f aca="false">IF(R$5=$N$21,Q109*$J$21*(1-$O$21),0)</f>
        <v>0</v>
      </c>
      <c r="S114" s="131" t="n">
        <f aca="false">IF(S$5=$N$21,R109*$J$21*(1-$O$21),0)</f>
        <v>0</v>
      </c>
      <c r="T114" s="131" t="n">
        <f aca="false">IF(T$5=$N$21,S109*$J$21*(1-$O$21),0)</f>
        <v>0</v>
      </c>
      <c r="U114" s="131" t="n">
        <f aca="false">IF(U$5=$N$21,T109*$J$21*(1-$O$21),0)</f>
        <v>0</v>
      </c>
      <c r="V114" s="131" t="n">
        <f aca="false">IF(V$5=$N$21,U109*$J$21*(1-$O$21),0)</f>
        <v>0</v>
      </c>
      <c r="W114" s="131" t="n">
        <f aca="false">IF(W$5=$N$21,V109*$J$21*(1-$O$21),0)</f>
        <v>0</v>
      </c>
      <c r="X114" s="131" t="n">
        <f aca="false">IF(X$5=$N$21,W109*$J$21*(1-$O$21),0)</f>
        <v>0</v>
      </c>
      <c r="Y114" s="131" t="n">
        <f aca="false">IF(Y$5=$N$21,X109*$J$21*(1-$O$21),0)</f>
        <v>0</v>
      </c>
      <c r="Z114" s="131" t="n">
        <f aca="false">IF(Z$5=$N$21,Y109*$J$21*(1-$O$21),0)</f>
        <v>0</v>
      </c>
      <c r="AA114" s="131" t="n">
        <f aca="false">IF(AA$5=$N$21,Z109*$J$21*(1-$O$21),0)</f>
        <v>0</v>
      </c>
      <c r="AB114" s="131" t="n">
        <f aca="false">IF(AB$5=$N$21,AA109*$J$21*(1-$O$21),0)</f>
        <v>0</v>
      </c>
      <c r="AC114" s="131" t="n">
        <f aca="false">IF(AC$5=$N$21,AB109*$J$21*(1-$O$21),0)</f>
        <v>0</v>
      </c>
      <c r="AD114" s="131" t="n">
        <f aca="false">IF(AD$5=$N$21,AC109*$J$21*(1-$O$21),0)</f>
        <v>0</v>
      </c>
      <c r="AE114" s="131" t="n">
        <f aca="false">IF(AE$5=$N$21,AD109*$J$21*(1-$O$21),0)</f>
        <v>0</v>
      </c>
      <c r="AF114" s="131" t="n">
        <f aca="false">IF(AF$5=$N$21,AE109*$J$21*(1-$O$21),0)</f>
        <v>0</v>
      </c>
      <c r="AG114" s="131" t="n">
        <f aca="false">IF(AG$5=$N$21,AF109*$J$21*(1-$O$21),0)</f>
        <v>0</v>
      </c>
      <c r="AI114" s="131" t="n">
        <f aca="false">SUMIF($F$7:$AG$7,AI$7,$F114:$AG114)</f>
        <v>0</v>
      </c>
      <c r="AJ114" s="131" t="n">
        <f aca="false">SUMIF($F$7:$AG$7,AJ$7,$F114:$AG114)</f>
        <v>0</v>
      </c>
      <c r="AK114" s="131" t="n">
        <f aca="false">SUMIF($F$7:$AG$7,AK$7,$F114:$AG114)</f>
        <v>0</v>
      </c>
      <c r="AL114" s="131" t="n">
        <f aca="false">SUMIF($F$7:$AG$7,AL$7,$F114:$AG114)</f>
        <v>0</v>
      </c>
      <c r="AM114" s="131" t="n">
        <f aca="false">SUMIF($F$7:$AG$7,AM$7,$F114:$AG114)</f>
        <v>0</v>
      </c>
      <c r="AN114" s="131" t="n">
        <f aca="false">SUMIF($F$7:$AG$7,AN$7,$F114:$AG114)</f>
        <v>0</v>
      </c>
      <c r="AO114" s="131" t="n">
        <f aca="false">SUMIF($F$7:$AG$7,AO$7,$F114:$AG114)</f>
        <v>0</v>
      </c>
    </row>
    <row r="115" customFormat="false" ht="15" hidden="false" customHeight="false" outlineLevel="0" collapsed="false">
      <c r="A115" s="112" t="s">
        <v>2592</v>
      </c>
      <c r="B115" s="24" t="s">
        <v>809</v>
      </c>
      <c r="C115" s="24" t="s">
        <v>736</v>
      </c>
      <c r="D115" s="24"/>
      <c r="F115" s="146" t="n">
        <f aca="false">IF(F$5=$N$21,E109*$K$21/1000*$O$21,0)</f>
        <v>0</v>
      </c>
      <c r="G115" s="146" t="n">
        <f aca="false">IF(G$5=$N$21,F109*$K$21/1000*$O$21,0)</f>
        <v>0</v>
      </c>
      <c r="H115" s="146" t="n">
        <f aca="false">IF(H$5=$N$21,G109*$K$21/1000*$O$21,0)</f>
        <v>0</v>
      </c>
      <c r="I115" s="146" t="n">
        <f aca="false">IF(I$5=$N$21,H109*$K$21/1000*$O$21,0)</f>
        <v>0</v>
      </c>
      <c r="J115" s="146" t="n">
        <f aca="false">IF(J$5=$N$21,I109*$K$21/1000*$O$21,0)</f>
        <v>0</v>
      </c>
      <c r="K115" s="146" t="n">
        <f aca="false">IF(K$5=$N$21,J109*$K$21/1000*$O$21,0)</f>
        <v>0</v>
      </c>
      <c r="L115" s="146" t="n">
        <f aca="false">IF(L$5=$N$21,K109*$K$21/1000*$O$21,0)</f>
        <v>0</v>
      </c>
      <c r="M115" s="146" t="n">
        <f aca="false">IF(M$5=$N$21,L109*$K$21/1000*$O$21,0)</f>
        <v>0</v>
      </c>
      <c r="N115" s="146" t="n">
        <f aca="false">IF(N$5=$N$21,M109*$K$21/1000*$O$21,0)</f>
        <v>0</v>
      </c>
      <c r="O115" s="146" t="n">
        <f aca="false">IF(O$5=$N$21,N109*$K$21/1000*$O$21,0)</f>
        <v>0</v>
      </c>
      <c r="P115" s="54" t="n">
        <f aca="false">IF(P$5=$N$21,O109*$K$21/1000*$O$21,0)</f>
        <v>0</v>
      </c>
      <c r="Q115" s="54" t="n">
        <f aca="false">IF(Q$5=$N$21,P109*$K$21/1000*$O$21,0)</f>
        <v>0</v>
      </c>
      <c r="R115" s="54" t="n">
        <f aca="false">IF(R$5=$N$21,Q109*$K$21/1000*$O$21,0)</f>
        <v>0</v>
      </c>
      <c r="S115" s="54" t="n">
        <f aca="false">IF(S$5=$N$21,R109*$K$21/1000*$O$21,0)</f>
        <v>0</v>
      </c>
      <c r="T115" s="54" t="n">
        <f aca="false">IF(T$5=$N$21,S109*$K$21/1000*$O$21,0)</f>
        <v>0</v>
      </c>
      <c r="U115" s="54" t="n">
        <f aca="false">IF(U$5=$N$21,T109*$K$21/1000*$O$21,0)</f>
        <v>0</v>
      </c>
      <c r="V115" s="54" t="n">
        <f aca="false">IF(V$5=$N$21,U109*$K$21/1000*$O$21,0)</f>
        <v>0</v>
      </c>
      <c r="W115" s="54" t="n">
        <f aca="false">IF(W$5=$N$21,V109*$K$21/1000*$O$21,0)</f>
        <v>0</v>
      </c>
      <c r="X115" s="54" t="n">
        <f aca="false">IF(X$5=$N$21,W109*$K$21/1000*$O$21,0)</f>
        <v>0</v>
      </c>
      <c r="Y115" s="54" t="n">
        <f aca="false">IF(Y$5=$N$21,X109*$K$21/1000*$O$21,0)</f>
        <v>0</v>
      </c>
      <c r="Z115" s="54" t="n">
        <f aca="false">IF(Z$5=$N$21,Y109*$K$21/1000*$O$21,0)</f>
        <v>0</v>
      </c>
      <c r="AA115" s="54" t="n">
        <f aca="false">IF(AA$5=$N$21,Z109*$K$21/1000*$O$21,0)</f>
        <v>0</v>
      </c>
      <c r="AB115" s="54" t="n">
        <f aca="false">IF(AB$5=$N$21,AA109*$K$21/1000*$O$21,0)</f>
        <v>0</v>
      </c>
      <c r="AC115" s="54" t="n">
        <f aca="false">IF(AC$5=$N$21,AB109*$K$21/1000*$O$21,0)</f>
        <v>0</v>
      </c>
      <c r="AD115" s="54" t="n">
        <f aca="false">IF(AD$5=$N$21,AC109*$K$21/1000*$O$21,0)</f>
        <v>0</v>
      </c>
      <c r="AE115" s="54" t="n">
        <f aca="false">IF(AE$5=$N$21,AD109*$K$21/1000*$O$21,0)</f>
        <v>0</v>
      </c>
      <c r="AF115" s="54" t="n">
        <f aca="false">IF(AF$5=$N$21,AE109*$K$21/1000*$O$21,0)</f>
        <v>0</v>
      </c>
      <c r="AG115" s="54" t="n">
        <f aca="false">IF(AG$5=$N$21,AF109*$K$21/1000*$O$21,0)</f>
        <v>0</v>
      </c>
      <c r="AI115" s="54" t="n">
        <f aca="false">SUMIF($F$7:$AG$7,AI$7,$F115:$AG115)</f>
        <v>0</v>
      </c>
      <c r="AJ115" s="54" t="n">
        <f aca="false">SUMIF($F$7:$AG$7,AJ$7,$F115:$AG115)</f>
        <v>0</v>
      </c>
      <c r="AK115" s="54" t="n">
        <f aca="false">SUMIF($F$7:$AG$7,AK$7,$F115:$AG115)</f>
        <v>0</v>
      </c>
      <c r="AL115" s="54" t="n">
        <f aca="false">SUMIF($F$7:$AG$7,AL$7,$F115:$AG115)</f>
        <v>0</v>
      </c>
      <c r="AM115" s="54" t="n">
        <f aca="false">SUMIF($F$7:$AG$7,AM$7,$F115:$AG115)</f>
        <v>0</v>
      </c>
      <c r="AN115" s="54" t="n">
        <f aca="false">SUMIF($F$7:$AG$7,AN$7,$F115:$AG115)</f>
        <v>0</v>
      </c>
      <c r="AO115" s="54" t="n">
        <f aca="false">SUMIF($F$7:$AG$7,AO$7,$F115:$AG115)</f>
        <v>0</v>
      </c>
    </row>
    <row r="116" customFormat="false" ht="15" hidden="false" customHeight="false" outlineLevel="0" collapsed="false">
      <c r="A116" s="112" t="s">
        <v>2593</v>
      </c>
      <c r="B116" s="24" t="s">
        <v>809</v>
      </c>
      <c r="C116" s="24" t="s">
        <v>672</v>
      </c>
      <c r="D116" s="24"/>
      <c r="F116" s="146" t="n">
        <f aca="false">IF(DilMethod=3,MAX(0,F109*$K$21/1000*DilPx-F112)/DilPx,F109*$K$21/1000*$P$21)</f>
        <v>0</v>
      </c>
      <c r="G116" s="146" t="n">
        <f aca="false">IF(DilMethod=3,MAX(0,G109*$K$21/1000*DilPx-G112)/DilPx,G109*$K$21/1000*$P$21)</f>
        <v>0</v>
      </c>
      <c r="H116" s="146" t="n">
        <f aca="false">IF(DilMethod=3,MAX(0,H109*$K$21/1000*DilPx-H112)/DilPx,H109*$K$21/1000*$P$21)</f>
        <v>0</v>
      </c>
      <c r="I116" s="146" t="n">
        <f aca="false">IF(DilMethod=3,MAX(0,I109*$K$21/1000*DilPx-I112)/DilPx,I109*$K$21/1000*$P$21)</f>
        <v>0</v>
      </c>
      <c r="J116" s="146" t="n">
        <f aca="false">IF(DilMethod=3,MAX(0,J109*$K$21/1000*DilPx-J112)/DilPx,J109*$K$21/1000*$P$21)</f>
        <v>0</v>
      </c>
      <c r="K116" s="146" t="n">
        <f aca="false">IF(DilMethod=3,MAX(0,K109*$K$21/1000*DilPx-K112)/DilPx,K109*$K$21/1000*$P$21)</f>
        <v>0</v>
      </c>
      <c r="L116" s="146" t="n">
        <f aca="false">IF(DilMethod=3,MAX(0,L109*$K$21/1000*DilPx-L112)/DilPx,L109*$K$21/1000*$P$21)</f>
        <v>0</v>
      </c>
      <c r="M116" s="146" t="n">
        <f aca="false">IF(DilMethod=3,MAX(0,M109*$K$21/1000*DilPx-M112)/DilPx,M109*$K$21/1000*$P$21)</f>
        <v>0</v>
      </c>
      <c r="N116" s="146" t="n">
        <f aca="false">IF(DilMethod=3,MAX(0,N109*$K$21/1000*DilPx-N112)/DilPx,N109*$K$21/1000*$P$21)</f>
        <v>0</v>
      </c>
      <c r="O116" s="146" t="n">
        <f aca="false">IF(DilMethod=3,MAX(0,O109*$K$21/1000*DilPx-O112)/DilPx,O109*$K$21/1000*$P$21)</f>
        <v>0</v>
      </c>
      <c r="P116" s="54" t="n">
        <f aca="false">IF(DilMethod=3,MAX(0,P109*$K$21/1000*DilPx-P112)/DilPx,P109*$K$21/1000*$P$21)</f>
        <v>0</v>
      </c>
      <c r="Q116" s="54" t="n">
        <f aca="false">IF(DilMethod=3,MAX(0,Q109*$K$21/1000*DilPx-Q112)/DilPx,Q109*$K$21/1000*$P$21)</f>
        <v>0</v>
      </c>
      <c r="R116" s="54" t="n">
        <f aca="false">IF(DilMethod=3,MAX(0,R109*$K$21/1000*DilPx-R112)/DilPx,R109*$K$21/1000*$P$21)</f>
        <v>0</v>
      </c>
      <c r="S116" s="54" t="n">
        <f aca="false">IF(DilMethod=3,MAX(0,S109*$K$21/1000*DilPx-S112)/DilPx,S109*$K$21/1000*$P$21)</f>
        <v>0</v>
      </c>
      <c r="T116" s="54" t="n">
        <f aca="false">IF(DilMethod=3,MAX(0,T109*$K$21/1000*DilPx-T112)/DilPx,T109*$K$21/1000*$P$21)</f>
        <v>0</v>
      </c>
      <c r="U116" s="54" t="n">
        <f aca="false">IF(DilMethod=3,MAX(0,U109*$K$21/1000*DilPx-U112)/DilPx,U109*$K$21/1000*$P$21)</f>
        <v>0</v>
      </c>
      <c r="V116" s="54" t="n">
        <f aca="false">IF(DilMethod=3,MAX(0,V109*$K$21/1000*DilPx-V112)/DilPx,V109*$K$21/1000*$P$21)</f>
        <v>0</v>
      </c>
      <c r="W116" s="54" t="n">
        <f aca="false">IF(DilMethod=3,MAX(0,W109*$K$21/1000*DilPx-W112)/DilPx,W109*$K$21/1000*$P$21)</f>
        <v>0</v>
      </c>
      <c r="X116" s="54" t="n">
        <f aca="false">IF(DilMethod=3,MAX(0,X109*$K$21/1000*DilPx-X112)/DilPx,X109*$K$21/1000*$P$21)</f>
        <v>0</v>
      </c>
      <c r="Y116" s="54" t="n">
        <f aca="false">IF(DilMethod=3,MAX(0,Y109*$K$21/1000*DilPx-Y112)/DilPx,Y109*$K$21/1000*$P$21)</f>
        <v>0</v>
      </c>
      <c r="Z116" s="54" t="n">
        <f aca="false">IF(DilMethod=3,MAX(0,Z109*$K$21/1000*DilPx-Z112)/DilPx,Z109*$K$21/1000*$P$21)</f>
        <v>0</v>
      </c>
      <c r="AA116" s="54" t="n">
        <f aca="false">IF(DilMethod=3,MAX(0,AA109*$K$21/1000*DilPx-AA112)/DilPx,AA109*$K$21/1000*$P$21)</f>
        <v>0</v>
      </c>
      <c r="AB116" s="54" t="n">
        <f aca="false">IF(DilMethod=3,MAX(0,AB109*$K$21/1000*DilPx-AB112)/DilPx,AB109*$K$21/1000*$P$21)</f>
        <v>0</v>
      </c>
      <c r="AC116" s="54" t="n">
        <f aca="false">IF(DilMethod=3,MAX(0,AC109*$K$21/1000*DilPx-AC112)/DilPx,AC109*$K$21/1000*$P$21)</f>
        <v>0</v>
      </c>
      <c r="AD116" s="54" t="n">
        <f aca="false">IF(DilMethod=3,MAX(0,AD109*$K$21/1000*DilPx-AD112)/DilPx,AD109*$K$21/1000*$P$21)</f>
        <v>0</v>
      </c>
      <c r="AE116" s="54" t="n">
        <f aca="false">IF(DilMethod=3,MAX(0,AE109*$K$21/1000*DilPx-AE112)/DilPx,AE109*$K$21/1000*$P$21)</f>
        <v>0</v>
      </c>
      <c r="AF116" s="54" t="n">
        <f aca="false">IF(DilMethod=3,MAX(0,AF109*$K$21/1000*DilPx-AF112)/DilPx,AF109*$K$21/1000*$P$21)</f>
        <v>0</v>
      </c>
      <c r="AG116" s="54" t="n">
        <f aca="false">IF(DilMethod=3,MAX(0,AG109*$K$21/1000*DilPx-AG112)/DilPx,AG109*$K$21/1000*$P$21)</f>
        <v>0</v>
      </c>
      <c r="AI116" s="54" t="n">
        <f aca="false">INDEX($F116:$AG116,1,MATCH(AI$7,$F$7:$AG$7,1))</f>
        <v>0</v>
      </c>
      <c r="AJ116" s="54" t="n">
        <f aca="false">INDEX($F116:$AG116,1,MATCH(AJ$7,$F$7:$AG$7,1))</f>
        <v>0</v>
      </c>
      <c r="AK116" s="54" t="n">
        <f aca="false">INDEX($F116:$AG116,1,MATCH(AK$7,$F$7:$AG$7,1))</f>
        <v>0</v>
      </c>
      <c r="AL116" s="54" t="n">
        <f aca="false">INDEX($F116:$AG116,1,MATCH(AL$7,$F$7:$AG$7,1))</f>
        <v>0</v>
      </c>
      <c r="AM116" s="54" t="n">
        <f aca="false">INDEX($F116:$AG116,1,MATCH(AM$7,$F$7:$AG$7,1))</f>
        <v>0</v>
      </c>
      <c r="AN116" s="54" t="n">
        <f aca="false">INDEX($F116:$AG116,1,MATCH(AN$7,$F$7:$AG$7,1))</f>
        <v>0</v>
      </c>
      <c r="AO116" s="54" t="n">
        <f aca="false">INDEX($F116:$AG116,1,MATCH(AO$7,$F$7:$AG$7,1))</f>
        <v>0</v>
      </c>
    </row>
    <row r="117" customFormat="false" ht="15" hidden="false" customHeight="false" outlineLevel="0" collapsed="false">
      <c r="A117" s="112" t="s">
        <v>2594</v>
      </c>
      <c r="B117" s="24" t="s">
        <v>745</v>
      </c>
      <c r="C117" s="24" t="s">
        <v>672</v>
      </c>
      <c r="D117" s="24"/>
      <c r="F117" s="130" t="n">
        <f aca="false">F112*IF(DilMethod=3,1,1-$P$21)</f>
        <v>0</v>
      </c>
      <c r="G117" s="130" t="n">
        <f aca="false">G112*IF(DilMethod=3,1,1-$P$21)</f>
        <v>0</v>
      </c>
      <c r="H117" s="130" t="n">
        <f aca="false">H112*IF(DilMethod=3,1,1-$P$21)</f>
        <v>0</v>
      </c>
      <c r="I117" s="130" t="n">
        <f aca="false">I112*IF(DilMethod=3,1,1-$P$21)</f>
        <v>0</v>
      </c>
      <c r="J117" s="130" t="n">
        <f aca="false">J112*IF(DilMethod=3,1,1-$P$21)</f>
        <v>0</v>
      </c>
      <c r="K117" s="130" t="n">
        <f aca="false">K112*IF(DilMethod=3,1,1-$P$21)</f>
        <v>0</v>
      </c>
      <c r="L117" s="130" t="n">
        <f aca="false">L112*IF(DilMethod=3,1,1-$P$21)</f>
        <v>0</v>
      </c>
      <c r="M117" s="130" t="n">
        <f aca="false">M112*IF(DilMethod=3,1,1-$P$21)</f>
        <v>0</v>
      </c>
      <c r="N117" s="130" t="n">
        <f aca="false">N112*IF(DilMethod=3,1,1-$P$21)</f>
        <v>0</v>
      </c>
      <c r="O117" s="130" t="n">
        <f aca="false">O112*IF(DilMethod=3,1,1-$P$21)</f>
        <v>0</v>
      </c>
      <c r="P117" s="131" t="n">
        <f aca="false">P112*IF(DilMethod=3,1,1-$P$21)</f>
        <v>0</v>
      </c>
      <c r="Q117" s="131" t="n">
        <f aca="false">Q112*IF(DilMethod=3,1,1-$P$21)</f>
        <v>0</v>
      </c>
      <c r="R117" s="131" t="n">
        <f aca="false">R112*IF(DilMethod=3,1,1-$P$21)</f>
        <v>2570.51862673484</v>
      </c>
      <c r="S117" s="131" t="n">
        <f aca="false">S112*IF(DilMethod=3,1,1-$P$21)</f>
        <v>2591.7896274653</v>
      </c>
      <c r="T117" s="131" t="n">
        <f aca="false">T112*IF(DilMethod=3,1,1-$P$21)</f>
        <v>2613.29437545654</v>
      </c>
      <c r="U117" s="131" t="n">
        <f aca="false">U112*IF(DilMethod=3,1,1-$P$21)</f>
        <v>2634.79912344777</v>
      </c>
      <c r="V117" s="131" t="n">
        <f aca="false">V112*IF(DilMethod=3,1,1-$P$21)</f>
        <v>2656.07012417823</v>
      </c>
      <c r="W117" s="131" t="n">
        <f aca="false">W112*IF(DilMethod=3,1,1-$P$21)</f>
        <v>2677.34112490869</v>
      </c>
      <c r="X117" s="131" t="n">
        <f aca="false">X112*IF(DilMethod=3,1,1-$P$21)</f>
        <v>2698.84587289993</v>
      </c>
      <c r="Y117" s="131" t="n">
        <f aca="false">Y112*IF(DilMethod=3,1,1-$P$21)</f>
        <v>2720.35062089116</v>
      </c>
      <c r="Z117" s="131" t="n">
        <f aca="false">Z112*IF(DilMethod=3,1,1-$P$21)</f>
        <v>2741.38787436085</v>
      </c>
      <c r="AA117" s="131" t="n">
        <f aca="false">AA112*IF(DilMethod=3,1,1-$P$21)</f>
        <v>2762.65887509131</v>
      </c>
      <c r="AB117" s="131" t="n">
        <f aca="false">AB112*IF(DilMethod=3,1,1-$P$21)</f>
        <v>2784.16362308254</v>
      </c>
      <c r="AC117" s="131" t="n">
        <f aca="false">AC112*IF(DilMethod=3,1,1-$P$21)</f>
        <v>2805.66837107378</v>
      </c>
      <c r="AD117" s="131" t="n">
        <f aca="false">AD112*IF(DilMethod=3,1,1-$P$21)</f>
        <v>2826.70562454346</v>
      </c>
      <c r="AE117" s="131" t="n">
        <f aca="false">AE112*IF(DilMethod=3,1,1-$P$21)</f>
        <v>2847.97662527392</v>
      </c>
      <c r="AF117" s="131" t="n">
        <f aca="false">AF112*IF(DilMethod=3,1,1-$P$21)</f>
        <v>2869.48137326516</v>
      </c>
      <c r="AG117" s="131" t="n">
        <f aca="false">AG112*IF(DilMethod=3,1,1-$P$21)</f>
        <v>2890.98612125639</v>
      </c>
      <c r="AI117" s="131" t="n">
        <f aca="false">INDEX($F117:$AG117,1,MATCH(AI$7,$F$7:$AG$7,1))</f>
        <v>0</v>
      </c>
      <c r="AJ117" s="131" t="n">
        <f aca="false">INDEX($F117:$AG117,1,MATCH(AJ$7,$F$7:$AG$7,1))</f>
        <v>0</v>
      </c>
      <c r="AK117" s="131" t="n">
        <f aca="false">INDEX($F117:$AG117,1,MATCH(AK$7,$F$7:$AG$7,1))</f>
        <v>0</v>
      </c>
      <c r="AL117" s="131" t="n">
        <f aca="false">INDEX($F117:$AG117,1,MATCH(AL$7,$F$7:$AG$7,1))</f>
        <v>2634.79912344777</v>
      </c>
      <c r="AM117" s="131" t="n">
        <f aca="false">INDEX($F117:$AG117,1,MATCH(AM$7,$F$7:$AG$7,1))</f>
        <v>2720.35062089116</v>
      </c>
      <c r="AN117" s="131" t="n">
        <f aca="false">INDEX($F117:$AG117,1,MATCH(AN$7,$F$7:$AG$7,1))</f>
        <v>2805.66837107378</v>
      </c>
      <c r="AO117" s="131" t="n">
        <f aca="false">INDEX($F117:$AG117,1,MATCH(AO$7,$F$7:$AG$7,1))</f>
        <v>2890.98612125639</v>
      </c>
    </row>
    <row r="118" customFormat="false" ht="15" hidden="false" customHeight="false" outlineLevel="0" collapsed="false">
      <c r="A118" s="112" t="s">
        <v>2595</v>
      </c>
      <c r="B118" s="24" t="s">
        <v>745</v>
      </c>
      <c r="C118" s="24" t="s">
        <v>736</v>
      </c>
      <c r="D118" s="24"/>
      <c r="F118" s="130" t="n">
        <f aca="false">IF(AND(F$5&gt;=$M$22,F$5&lt;$N$22),$E$22-$F$22-IF(F$5&gt;=$H$22,$G$22,0),0)*($H$22&lt;&gt;0)+IF(AND(F$5&gt;=$M$22,F$5&lt;$N$22),$E$22-$F$22,0)*($H$22=0)</f>
        <v>0</v>
      </c>
      <c r="G118" s="130" t="n">
        <f aca="false">IF(AND(G$5&gt;=$M$22,G$5&lt;$N$22),$E$22-$F$22-IF(G$5&gt;=$H$22,$G$22,0),0)*($H$22&lt;&gt;0)+IF(AND(G$5&gt;=$M$22,G$5&lt;$N$22),$E$22-$F$22,0)*($H$22=0)</f>
        <v>0</v>
      </c>
      <c r="H118" s="130" t="n">
        <f aca="false">IF(AND(H$5&gt;=$M$22,H$5&lt;$N$22),$E$22-$F$22-IF(H$5&gt;=$H$22,$G$22,0),0)*($H$22&lt;&gt;0)+IF(AND(H$5&gt;=$M$22,H$5&lt;$N$22),$E$22-$F$22,0)*($H$22=0)</f>
        <v>0</v>
      </c>
      <c r="I118" s="130" t="n">
        <f aca="false">IF(AND(I$5&gt;=$M$22,I$5&lt;$N$22),$E$22-$F$22-IF(I$5&gt;=$H$22,$G$22,0),0)*($H$22&lt;&gt;0)+IF(AND(I$5&gt;=$M$22,I$5&lt;$N$22),$E$22-$F$22,0)*($H$22=0)</f>
        <v>0</v>
      </c>
      <c r="J118" s="130" t="n">
        <f aca="false">IF(AND(J$5&gt;=$M$22,J$5&lt;$N$22),$E$22-$F$22-IF(J$5&gt;=$H$22,$G$22,0),0)*($H$22&lt;&gt;0)+IF(AND(J$5&gt;=$M$22,J$5&lt;$N$22),$E$22-$F$22,0)*($H$22=0)</f>
        <v>0</v>
      </c>
      <c r="K118" s="130" t="n">
        <f aca="false">IF(AND(K$5&gt;=$M$22,K$5&lt;$N$22),$E$22-$F$22-IF(K$5&gt;=$H$22,$G$22,0),0)*($H$22&lt;&gt;0)+IF(AND(K$5&gt;=$M$22,K$5&lt;$N$22),$E$22-$F$22,0)*($H$22=0)</f>
        <v>0</v>
      </c>
      <c r="L118" s="130" t="n">
        <f aca="false">IF(AND(L$5&gt;=$M$22,L$5&lt;$N$22),$E$22-$F$22-IF(L$5&gt;=$H$22,$G$22,0),0)*($H$22&lt;&gt;0)+IF(AND(L$5&gt;=$M$22,L$5&lt;$N$22),$E$22-$F$22,0)*($H$22=0)</f>
        <v>0</v>
      </c>
      <c r="M118" s="130" t="n">
        <f aca="false">IF(AND(M$5&gt;=$M$22,M$5&lt;$N$22),$E$22-$F$22-IF(M$5&gt;=$H$22,$G$22,0),0)*($H$22&lt;&gt;0)+IF(AND(M$5&gt;=$M$22,M$5&lt;$N$22),$E$22-$F$22,0)*($H$22=0)</f>
        <v>0</v>
      </c>
      <c r="N118" s="130" t="n">
        <f aca="false">IF(AND(N$5&gt;=$M$22,N$5&lt;$N$22),$E$22-$F$22-IF(N$5&gt;=$H$22,$G$22,0),0)*($H$22&lt;&gt;0)+IF(AND(N$5&gt;=$M$22,N$5&lt;$N$22),$E$22-$F$22,0)*($H$22=0)</f>
        <v>0</v>
      </c>
      <c r="O118" s="130" t="n">
        <f aca="false">IF(AND(O$5&gt;=$M$22,O$5&lt;$N$22),$E$22-$F$22-IF(O$5&gt;=$H$22,$G$22,0),0)*($H$22&lt;&gt;0)+IF(AND(O$5&gt;=$M$22,O$5&lt;$N$22),$E$22-$F$22,0)*($H$22=0)</f>
        <v>0</v>
      </c>
      <c r="P118" s="131" t="n">
        <f aca="false">IF(AND(P$5&gt;=$M$22,P$5&lt;$N$22),$E$22-$F$22-IF(P$5&gt;=$H$22,$G$22,0),0)*($H$22&lt;&gt;0)+IF(AND(P$5&gt;=$M$22,P$5&lt;$N$22),$E$22-$F$22,0)*($H$22=0)</f>
        <v>0</v>
      </c>
      <c r="Q118" s="131" t="n">
        <f aca="false">IF(AND(Q$5&gt;=$M$22,Q$5&lt;$N$22),$E$22-$F$22-IF(Q$5&gt;=$H$22,$G$22,0),0)*($H$22&lt;&gt;0)+IF(AND(Q$5&gt;=$M$22,Q$5&lt;$N$22),$E$22-$F$22,0)*($H$22=0)</f>
        <v>0</v>
      </c>
      <c r="R118" s="131" t="n">
        <f aca="false">IF(AND(R$5&gt;=$M$22,R$5&lt;$N$22),$E$22-$F$22-IF(R$5&gt;=$H$22,$G$22,0),0)*($H$22&lt;&gt;0)+IF(AND(R$5&gt;=$M$22,R$5&lt;$N$22),$E$22-$F$22,0)*($H$22=0)</f>
        <v>0</v>
      </c>
      <c r="S118" s="131" t="n">
        <f aca="false">IF(AND(S$5&gt;=$M$22,S$5&lt;$N$22),$E$22-$F$22-IF(S$5&gt;=$H$22,$G$22,0),0)*($H$22&lt;&gt;0)+IF(AND(S$5&gt;=$M$22,S$5&lt;$N$22),$E$22-$F$22,0)*($H$22=0)</f>
        <v>0</v>
      </c>
      <c r="T118" s="131" t="n">
        <f aca="false">IF(AND(T$5&gt;=$M$22,T$5&lt;$N$22),$E$22-$F$22-IF(T$5&gt;=$H$22,$G$22,0),0)*($H$22&lt;&gt;0)+IF(AND(T$5&gt;=$M$22,T$5&lt;$N$22),$E$22-$F$22,0)*($H$22=0)</f>
        <v>3840</v>
      </c>
      <c r="U118" s="131" t="n">
        <f aca="false">IF(AND(U$5&gt;=$M$22,U$5&lt;$N$22),$E$22-$F$22-IF(U$5&gt;=$H$22,$G$22,0),0)*($H$22&lt;&gt;0)+IF(AND(U$5&gt;=$M$22,U$5&lt;$N$22),$E$22-$F$22,0)*($H$22=0)</f>
        <v>3840</v>
      </c>
      <c r="V118" s="131" t="n">
        <f aca="false">IF(AND(V$5&gt;=$M$22,V$5&lt;$N$22),$E$22-$F$22-IF(V$5&gt;=$H$22,$G$22,0),0)*($H$22&lt;&gt;0)+IF(AND(V$5&gt;=$M$22,V$5&lt;$N$22),$E$22-$F$22,0)*($H$22=0)</f>
        <v>3840</v>
      </c>
      <c r="W118" s="131" t="n">
        <f aca="false">IF(AND(W$5&gt;=$M$22,W$5&lt;$N$22),$E$22-$F$22-IF(W$5&gt;=$H$22,$G$22,0),0)*($H$22&lt;&gt;0)+IF(AND(W$5&gt;=$M$22,W$5&lt;$N$22),$E$22-$F$22,0)*($H$22=0)</f>
        <v>3840</v>
      </c>
      <c r="X118" s="131" t="n">
        <f aca="false">IF(AND(X$5&gt;=$M$22,X$5&lt;$N$22),$E$22-$F$22-IF(X$5&gt;=$H$22,$G$22,0),0)*($H$22&lt;&gt;0)+IF(AND(X$5&gt;=$M$22,X$5&lt;$N$22),$E$22-$F$22,0)*($H$22=0)</f>
        <v>3840</v>
      </c>
      <c r="Y118" s="131" t="n">
        <f aca="false">IF(AND(Y$5&gt;=$M$22,Y$5&lt;$N$22),$E$22-$F$22-IF(Y$5&gt;=$H$22,$G$22,0),0)*($H$22&lt;&gt;0)+IF(AND(Y$5&gt;=$M$22,Y$5&lt;$N$22),$E$22-$F$22,0)*($H$22=0)</f>
        <v>3840</v>
      </c>
      <c r="Z118" s="131" t="n">
        <f aca="false">IF(AND(Z$5&gt;=$M$22,Z$5&lt;$N$22),$E$22-$F$22-IF(Z$5&gt;=$H$22,$G$22,0),0)*($H$22&lt;&gt;0)+IF(AND(Z$5&gt;=$M$22,Z$5&lt;$N$22),$E$22-$F$22,0)*($H$22=0)</f>
        <v>3840</v>
      </c>
      <c r="AA118" s="131" t="n">
        <f aca="false">IF(AND(AA$5&gt;=$M$22,AA$5&lt;$N$22),$E$22-$F$22-IF(AA$5&gt;=$H$22,$G$22,0),0)*($H$22&lt;&gt;0)+IF(AND(AA$5&gt;=$M$22,AA$5&lt;$N$22),$E$22-$F$22,0)*($H$22=0)</f>
        <v>3840</v>
      </c>
      <c r="AB118" s="131" t="n">
        <f aca="false">IF(AND(AB$5&gt;=$M$22,AB$5&lt;$N$22),$E$22-$F$22-IF(AB$5&gt;=$H$22,$G$22,0),0)*($H$22&lt;&gt;0)+IF(AND(AB$5&gt;=$M$22,AB$5&lt;$N$22),$E$22-$F$22,0)*($H$22=0)</f>
        <v>3840</v>
      </c>
      <c r="AC118" s="131" t="n">
        <f aca="false">IF(AND(AC$5&gt;=$M$22,AC$5&lt;$N$22),$E$22-$F$22-IF(AC$5&gt;=$H$22,$G$22,0),0)*($H$22&lt;&gt;0)+IF(AND(AC$5&gt;=$M$22,AC$5&lt;$N$22),$E$22-$F$22,0)*($H$22=0)</f>
        <v>3840</v>
      </c>
      <c r="AD118" s="131" t="n">
        <f aca="false">IF(AND(AD$5&gt;=$M$22,AD$5&lt;$N$22),$E$22-$F$22-IF(AD$5&gt;=$H$22,$G$22,0),0)*($H$22&lt;&gt;0)+IF(AND(AD$5&gt;=$M$22,AD$5&lt;$N$22),$E$22-$F$22,0)*($H$22=0)</f>
        <v>3840</v>
      </c>
      <c r="AE118" s="131" t="n">
        <f aca="false">IF(AND(AE$5&gt;=$M$22,AE$5&lt;$N$22),$E$22-$F$22-IF(AE$5&gt;=$H$22,$G$22,0),0)*($H$22&lt;&gt;0)+IF(AND(AE$5&gt;=$M$22,AE$5&lt;$N$22),$E$22-$F$22,0)*($H$22=0)</f>
        <v>3840</v>
      </c>
      <c r="AF118" s="131" t="n">
        <f aca="false">IF(AND(AF$5&gt;=$M$22,AF$5&lt;$N$22),$E$22-$F$22-IF(AF$5&gt;=$H$22,$G$22,0),0)*($H$22&lt;&gt;0)+IF(AND(AF$5&gt;=$M$22,AF$5&lt;$N$22),$E$22-$F$22,0)*($H$22=0)</f>
        <v>3840</v>
      </c>
      <c r="AG118" s="131" t="n">
        <f aca="false">IF(AND(AG$5&gt;=$M$22,AG$5&lt;$N$22),$E$22-$F$22-IF(AG$5&gt;=$H$22,$G$22,0),0)*($H$22&lt;&gt;0)+IF(AND(AG$5&gt;=$M$22,AG$5&lt;$N$22),$E$22-$F$22,0)*($H$22=0)</f>
        <v>3840</v>
      </c>
      <c r="AI118" s="131" t="n">
        <f aca="false">INDEX($F118:$AG118,1,MATCH(AI$7,$F$7:$AG$7,1))</f>
        <v>0</v>
      </c>
      <c r="AJ118" s="131" t="n">
        <f aca="false">INDEX($F118:$AG118,1,MATCH(AJ$7,$F$7:$AG$7,1))</f>
        <v>0</v>
      </c>
      <c r="AK118" s="131" t="n">
        <f aca="false">INDEX($F118:$AG118,1,MATCH(AK$7,$F$7:$AG$7,1))</f>
        <v>0</v>
      </c>
      <c r="AL118" s="131" t="n">
        <f aca="false">INDEX($F118:$AG118,1,MATCH(AL$7,$F$7:$AG$7,1))</f>
        <v>3840</v>
      </c>
      <c r="AM118" s="131" t="n">
        <f aca="false">INDEX($F118:$AG118,1,MATCH(AM$7,$F$7:$AG$7,1))</f>
        <v>3840</v>
      </c>
      <c r="AN118" s="131" t="n">
        <f aca="false">INDEX($F118:$AG118,1,MATCH(AN$7,$F$7:$AG$7,1))</f>
        <v>3840</v>
      </c>
      <c r="AO118" s="131" t="n">
        <f aca="false">INDEX($F118:$AG118,1,MATCH(AO$7,$F$7:$AG$7,1))</f>
        <v>3840</v>
      </c>
    </row>
    <row r="119" customFormat="false" ht="15" hidden="false" customHeight="false" outlineLevel="0" collapsed="false">
      <c r="A119" s="112" t="s">
        <v>2596</v>
      </c>
      <c r="B119" s="24" t="s">
        <v>745</v>
      </c>
      <c r="C119" s="24" t="s">
        <v>736</v>
      </c>
      <c r="D119" s="24"/>
      <c r="F119" s="130" t="n">
        <f aca="false">F118*$C$22/4</f>
        <v>0</v>
      </c>
      <c r="G119" s="130" t="n">
        <f aca="false">G118*$C$22/4</f>
        <v>0</v>
      </c>
      <c r="H119" s="130" t="n">
        <f aca="false">H118*$C$22/4</f>
        <v>0</v>
      </c>
      <c r="I119" s="130" t="n">
        <f aca="false">I118*$C$22/4</f>
        <v>0</v>
      </c>
      <c r="J119" s="130" t="n">
        <f aca="false">J118*$C$22/4</f>
        <v>0</v>
      </c>
      <c r="K119" s="130" t="n">
        <f aca="false">K118*$C$22/4</f>
        <v>0</v>
      </c>
      <c r="L119" s="130" t="n">
        <f aca="false">L118*$C$22/4</f>
        <v>0</v>
      </c>
      <c r="M119" s="130" t="n">
        <f aca="false">M118*$C$22/4</f>
        <v>0</v>
      </c>
      <c r="N119" s="130" t="n">
        <f aca="false">N118*$C$22/4</f>
        <v>0</v>
      </c>
      <c r="O119" s="130" t="n">
        <f aca="false">O118*$C$22/4</f>
        <v>0</v>
      </c>
      <c r="P119" s="131" t="n">
        <f aca="false">P118*$C$22/4</f>
        <v>0</v>
      </c>
      <c r="Q119" s="131" t="n">
        <f aca="false">Q118*$C$22/4</f>
        <v>0</v>
      </c>
      <c r="R119" s="131" t="n">
        <f aca="false">R118*$C$22/4</f>
        <v>0</v>
      </c>
      <c r="S119" s="131" t="n">
        <f aca="false">S118*$C$22/4</f>
        <v>0</v>
      </c>
      <c r="T119" s="131" t="n">
        <f aca="false">T118*$C$22/4</f>
        <v>4.8</v>
      </c>
      <c r="U119" s="131" t="n">
        <f aca="false">U118*$C$22/4</f>
        <v>4.8</v>
      </c>
      <c r="V119" s="131" t="n">
        <f aca="false">V118*$C$22/4</f>
        <v>4.8</v>
      </c>
      <c r="W119" s="131" t="n">
        <f aca="false">W118*$C$22/4</f>
        <v>4.8</v>
      </c>
      <c r="X119" s="131" t="n">
        <f aca="false">X118*$C$22/4</f>
        <v>4.8</v>
      </c>
      <c r="Y119" s="131" t="n">
        <f aca="false">Y118*$C$22/4</f>
        <v>4.8</v>
      </c>
      <c r="Z119" s="131" t="n">
        <f aca="false">Z118*$C$22/4</f>
        <v>4.8</v>
      </c>
      <c r="AA119" s="131" t="n">
        <f aca="false">AA118*$C$22/4</f>
        <v>4.8</v>
      </c>
      <c r="AB119" s="131" t="n">
        <f aca="false">AB118*$C$22/4</f>
        <v>4.8</v>
      </c>
      <c r="AC119" s="131" t="n">
        <f aca="false">AC118*$C$22/4</f>
        <v>4.8</v>
      </c>
      <c r="AD119" s="131" t="n">
        <f aca="false">AD118*$C$22/4</f>
        <v>4.8</v>
      </c>
      <c r="AE119" s="131" t="n">
        <f aca="false">AE118*$C$22/4</f>
        <v>4.8</v>
      </c>
      <c r="AF119" s="131" t="n">
        <f aca="false">AF118*$C$22/4</f>
        <v>4.8</v>
      </c>
      <c r="AG119" s="131" t="n">
        <f aca="false">AG118*$C$22/4</f>
        <v>4.8</v>
      </c>
      <c r="AI119" s="131" t="n">
        <f aca="false">SUMIF($F$7:$AG$7,AI$7,$F119:$AG119)</f>
        <v>0</v>
      </c>
      <c r="AJ119" s="131" t="n">
        <f aca="false">SUMIF($F$7:$AG$7,AJ$7,$F119:$AG119)</f>
        <v>0</v>
      </c>
      <c r="AK119" s="131" t="n">
        <f aca="false">SUMIF($F$7:$AG$7,AK$7,$F119:$AG119)</f>
        <v>0</v>
      </c>
      <c r="AL119" s="131" t="n">
        <f aca="false">SUMIF($F$7:$AG$7,AL$7,$F119:$AG119)</f>
        <v>9.6</v>
      </c>
      <c r="AM119" s="131" t="n">
        <f aca="false">SUMIF($F$7:$AG$7,AM$7,$F119:$AG119)</f>
        <v>19.2</v>
      </c>
      <c r="AN119" s="131" t="n">
        <f aca="false">SUMIF($F$7:$AG$7,AN$7,$F119:$AG119)</f>
        <v>19.2</v>
      </c>
      <c r="AO119" s="131" t="n">
        <f aca="false">SUMIF($F$7:$AG$7,AO$7,$F119:$AG119)</f>
        <v>19.2</v>
      </c>
    </row>
    <row r="120" customFormat="false" ht="15" hidden="false" customHeight="false" outlineLevel="0" collapsed="false">
      <c r="A120" s="112" t="s">
        <v>2597</v>
      </c>
      <c r="B120" s="24" t="s">
        <v>745</v>
      </c>
      <c r="C120" s="24" t="s">
        <v>736</v>
      </c>
      <c r="D120" s="24"/>
      <c r="F120" s="130" t="n">
        <f aca="false">F118*($J$22-1)/(($D$22-$B$22)/91.3125)</f>
        <v>0</v>
      </c>
      <c r="G120" s="130" t="n">
        <f aca="false">G118*($J$22-1)/(($D$22-$B$22)/91.3125)</f>
        <v>0</v>
      </c>
      <c r="H120" s="130" t="n">
        <f aca="false">H118*($J$22-1)/(($D$22-$B$22)/91.3125)</f>
        <v>0</v>
      </c>
      <c r="I120" s="130" t="n">
        <f aca="false">I118*($J$22-1)/(($D$22-$B$22)/91.3125)</f>
        <v>0</v>
      </c>
      <c r="J120" s="130" t="n">
        <f aca="false">J118*($J$22-1)/(($D$22-$B$22)/91.3125)</f>
        <v>0</v>
      </c>
      <c r="K120" s="130" t="n">
        <f aca="false">K118*($J$22-1)/(($D$22-$B$22)/91.3125)</f>
        <v>0</v>
      </c>
      <c r="L120" s="130" t="n">
        <f aca="false">L118*($J$22-1)/(($D$22-$B$22)/91.3125)</f>
        <v>0</v>
      </c>
      <c r="M120" s="130" t="n">
        <f aca="false">M118*($J$22-1)/(($D$22-$B$22)/91.3125)</f>
        <v>0</v>
      </c>
      <c r="N120" s="130" t="n">
        <f aca="false">N118*($J$22-1)/(($D$22-$B$22)/91.3125)</f>
        <v>0</v>
      </c>
      <c r="O120" s="130" t="n">
        <f aca="false">O118*($J$22-1)/(($D$22-$B$22)/91.3125)</f>
        <v>0</v>
      </c>
      <c r="P120" s="131" t="n">
        <f aca="false">P118*($J$22-1)/(($D$22-$B$22)/91.3125)</f>
        <v>0</v>
      </c>
      <c r="Q120" s="131" t="n">
        <f aca="false">Q118*($J$22-1)/(($D$22-$B$22)/91.3125)</f>
        <v>0</v>
      </c>
      <c r="R120" s="131" t="n">
        <f aca="false">R118*($J$22-1)/(($D$22-$B$22)/91.3125)</f>
        <v>0</v>
      </c>
      <c r="S120" s="131" t="n">
        <f aca="false">S118*($J$22-1)/(($D$22-$B$22)/91.3125)</f>
        <v>0</v>
      </c>
      <c r="T120" s="131" t="n">
        <f aca="false">T118*($J$22-1)/(($D$22-$B$22)/91.3125)</f>
        <v>27.39375</v>
      </c>
      <c r="U120" s="131" t="n">
        <f aca="false">U118*($J$22-1)/(($D$22-$B$22)/91.3125)</f>
        <v>27.39375</v>
      </c>
      <c r="V120" s="131" t="n">
        <f aca="false">V118*($J$22-1)/(($D$22-$B$22)/91.3125)</f>
        <v>27.39375</v>
      </c>
      <c r="W120" s="131" t="n">
        <f aca="false">W118*($J$22-1)/(($D$22-$B$22)/91.3125)</f>
        <v>27.39375</v>
      </c>
      <c r="X120" s="131" t="n">
        <f aca="false">X118*($J$22-1)/(($D$22-$B$22)/91.3125)</f>
        <v>27.39375</v>
      </c>
      <c r="Y120" s="131" t="n">
        <f aca="false">Y118*($J$22-1)/(($D$22-$B$22)/91.3125)</f>
        <v>27.39375</v>
      </c>
      <c r="Z120" s="131" t="n">
        <f aca="false">Z118*($J$22-1)/(($D$22-$B$22)/91.3125)</f>
        <v>27.39375</v>
      </c>
      <c r="AA120" s="131" t="n">
        <f aca="false">AA118*($J$22-1)/(($D$22-$B$22)/91.3125)</f>
        <v>27.39375</v>
      </c>
      <c r="AB120" s="131" t="n">
        <f aca="false">AB118*($J$22-1)/(($D$22-$B$22)/91.3125)</f>
        <v>27.39375</v>
      </c>
      <c r="AC120" s="131" t="n">
        <f aca="false">AC118*($J$22-1)/(($D$22-$B$22)/91.3125)</f>
        <v>27.39375</v>
      </c>
      <c r="AD120" s="131" t="n">
        <f aca="false">AD118*($J$22-1)/(($D$22-$B$22)/91.3125)</f>
        <v>27.39375</v>
      </c>
      <c r="AE120" s="131" t="n">
        <f aca="false">AE118*($J$22-1)/(($D$22-$B$22)/91.3125)</f>
        <v>27.39375</v>
      </c>
      <c r="AF120" s="131" t="n">
        <f aca="false">AF118*($J$22-1)/(($D$22-$B$22)/91.3125)</f>
        <v>27.39375</v>
      </c>
      <c r="AG120" s="131" t="n">
        <f aca="false">AG118*($J$22-1)/(($D$22-$B$22)/91.3125)</f>
        <v>27.39375</v>
      </c>
      <c r="AI120" s="131" t="n">
        <f aca="false">SUMIF($F$7:$AG$7,AI$7,$F120:$AG120)</f>
        <v>0</v>
      </c>
      <c r="AJ120" s="131" t="n">
        <f aca="false">SUMIF($F$7:$AG$7,AJ$7,$F120:$AG120)</f>
        <v>0</v>
      </c>
      <c r="AK120" s="131" t="n">
        <f aca="false">SUMIF($F$7:$AG$7,AK$7,$F120:$AG120)</f>
        <v>0</v>
      </c>
      <c r="AL120" s="131" t="n">
        <f aca="false">SUMIF($F$7:$AG$7,AL$7,$F120:$AG120)</f>
        <v>54.7875000000001</v>
      </c>
      <c r="AM120" s="131" t="n">
        <f aca="false">SUMIF($F$7:$AG$7,AM$7,$F120:$AG120)</f>
        <v>109.575</v>
      </c>
      <c r="AN120" s="131" t="n">
        <f aca="false">SUMIF($F$7:$AG$7,AN$7,$F120:$AG120)</f>
        <v>109.575</v>
      </c>
      <c r="AO120" s="131" t="n">
        <f aca="false">SUMIF($F$7:$AG$7,AO$7,$F120:$AG120)</f>
        <v>109.575</v>
      </c>
    </row>
    <row r="121" customFormat="false" ht="15" hidden="false" customHeight="false" outlineLevel="0" collapsed="false">
      <c r="A121" s="112" t="s">
        <v>2598</v>
      </c>
      <c r="B121" s="24" t="s">
        <v>745</v>
      </c>
      <c r="C121" s="24" t="s">
        <v>736</v>
      </c>
      <c r="D121" s="24"/>
      <c r="F121" s="130" t="n">
        <f aca="false">F118*(1+($J$22-1)*MIN(1,MAX(0,(F$4-$B$22)/($D$22-$B$22))))</f>
        <v>0</v>
      </c>
      <c r="G121" s="130" t="n">
        <f aca="false">G118*(1+($J$22-1)*MIN(1,MAX(0,(G$4-$B$22)/($D$22-$B$22))))</f>
        <v>0</v>
      </c>
      <c r="H121" s="130" t="n">
        <f aca="false">H118*(1+($J$22-1)*MIN(1,MAX(0,(H$4-$B$22)/($D$22-$B$22))))</f>
        <v>0</v>
      </c>
      <c r="I121" s="130" t="n">
        <f aca="false">I118*(1+($J$22-1)*MIN(1,MAX(0,(I$4-$B$22)/($D$22-$B$22))))</f>
        <v>0</v>
      </c>
      <c r="J121" s="130" t="n">
        <f aca="false">J118*(1+($J$22-1)*MIN(1,MAX(0,(J$4-$B$22)/($D$22-$B$22))))</f>
        <v>0</v>
      </c>
      <c r="K121" s="130" t="n">
        <f aca="false">K118*(1+($J$22-1)*MIN(1,MAX(0,(K$4-$B$22)/($D$22-$B$22))))</f>
        <v>0</v>
      </c>
      <c r="L121" s="130" t="n">
        <f aca="false">L118*(1+($J$22-1)*MIN(1,MAX(0,(L$4-$B$22)/($D$22-$B$22))))</f>
        <v>0</v>
      </c>
      <c r="M121" s="130" t="n">
        <f aca="false">M118*(1+($J$22-1)*MIN(1,MAX(0,(M$4-$B$22)/($D$22-$B$22))))</f>
        <v>0</v>
      </c>
      <c r="N121" s="130" t="n">
        <f aca="false">N118*(1+($J$22-1)*MIN(1,MAX(0,(N$4-$B$22)/($D$22-$B$22))))</f>
        <v>0</v>
      </c>
      <c r="O121" s="130" t="n">
        <f aca="false">O118*(1+($J$22-1)*MIN(1,MAX(0,(O$4-$B$22)/($D$22-$B$22))))</f>
        <v>0</v>
      </c>
      <c r="P121" s="131" t="n">
        <f aca="false">P118*(1+($J$22-1)*MIN(1,MAX(0,(P$4-$B$22)/($D$22-$B$22))))</f>
        <v>0</v>
      </c>
      <c r="Q121" s="131" t="n">
        <f aca="false">Q118*(1+($J$22-1)*MIN(1,MAX(0,(Q$4-$B$22)/($D$22-$B$22))))</f>
        <v>0</v>
      </c>
      <c r="R121" s="131" t="n">
        <f aca="false">R118*(1+($J$22-1)*MIN(1,MAX(0,(R$4-$B$22)/($D$22-$B$22))))</f>
        <v>0</v>
      </c>
      <c r="S121" s="131" t="n">
        <f aca="false">S118*(1+($J$22-1)*MIN(1,MAX(0,(S$4-$B$22)/($D$22-$B$22))))</f>
        <v>0</v>
      </c>
      <c r="T121" s="131" t="n">
        <f aca="false">T118*(1+($J$22-1)*MIN(1,MAX(0,(T$4-$B$22)/($D$22-$B$22))))</f>
        <v>3854.1</v>
      </c>
      <c r="U121" s="131" t="n">
        <f aca="false">U118*(1+($J$22-1)*MIN(1,MAX(0,(U$4-$B$22)/($D$22-$B$22))))</f>
        <v>3881.7</v>
      </c>
      <c r="V121" s="131" t="n">
        <f aca="false">V118*(1+($J$22-1)*MIN(1,MAX(0,(V$4-$B$22)/($D$22-$B$22))))</f>
        <v>3909</v>
      </c>
      <c r="W121" s="131" t="n">
        <f aca="false">W118*(1+($J$22-1)*MIN(1,MAX(0,(W$4-$B$22)/($D$22-$B$22))))</f>
        <v>3936.3</v>
      </c>
      <c r="X121" s="131" t="n">
        <f aca="false">X118*(1+($J$22-1)*MIN(1,MAX(0,(X$4-$B$22)/($D$22-$B$22))))</f>
        <v>3963.9</v>
      </c>
      <c r="Y121" s="131" t="n">
        <f aca="false">Y118*(1+($J$22-1)*MIN(1,MAX(0,(Y$4-$B$22)/($D$22-$B$22))))</f>
        <v>3991.5</v>
      </c>
      <c r="Z121" s="131" t="n">
        <f aca="false">Z118*(1+($J$22-1)*MIN(1,MAX(0,(Z$4-$B$22)/($D$22-$B$22))))</f>
        <v>4018.5</v>
      </c>
      <c r="AA121" s="131" t="n">
        <f aca="false">AA118*(1+($J$22-1)*MIN(1,MAX(0,(AA$4-$B$22)/($D$22-$B$22))))</f>
        <v>4045.8</v>
      </c>
      <c r="AB121" s="131" t="n">
        <f aca="false">AB118*(1+($J$22-1)*MIN(1,MAX(0,(AB$4-$B$22)/($D$22-$B$22))))</f>
        <v>4073.4</v>
      </c>
      <c r="AC121" s="131" t="n">
        <f aca="false">AC118*(1+($J$22-1)*MIN(1,MAX(0,(AC$4-$B$22)/($D$22-$B$22))))</f>
        <v>4101</v>
      </c>
      <c r="AD121" s="131" t="n">
        <f aca="false">AD118*(1+($J$22-1)*MIN(1,MAX(0,(AD$4-$B$22)/($D$22-$B$22))))</f>
        <v>4128</v>
      </c>
      <c r="AE121" s="131" t="n">
        <f aca="false">AE118*(1+($J$22-1)*MIN(1,MAX(0,(AE$4-$B$22)/($D$22-$B$22))))</f>
        <v>4155.3</v>
      </c>
      <c r="AF121" s="131" t="n">
        <f aca="false">AF118*(1+($J$22-1)*MIN(1,MAX(0,(AF$4-$B$22)/($D$22-$B$22))))</f>
        <v>4182.9</v>
      </c>
      <c r="AG121" s="131" t="n">
        <f aca="false">AG118*(1+($J$22-1)*MIN(1,MAX(0,(AG$4-$B$22)/($D$22-$B$22))))</f>
        <v>4210.5</v>
      </c>
      <c r="AI121" s="131" t="n">
        <f aca="false">INDEX($F121:$AG121,1,MATCH(AI$7,$F$7:$AG$7,1))</f>
        <v>0</v>
      </c>
      <c r="AJ121" s="131" t="n">
        <f aca="false">INDEX($F121:$AG121,1,MATCH(AJ$7,$F$7:$AG$7,1))</f>
        <v>0</v>
      </c>
      <c r="AK121" s="131" t="n">
        <f aca="false">INDEX($F121:$AG121,1,MATCH(AK$7,$F$7:$AG$7,1))</f>
        <v>0</v>
      </c>
      <c r="AL121" s="131" t="n">
        <f aca="false">INDEX($F121:$AG121,1,MATCH(AL$7,$F$7:$AG$7,1))</f>
        <v>3881.7</v>
      </c>
      <c r="AM121" s="131" t="n">
        <f aca="false">INDEX($F121:$AG121,1,MATCH(AM$7,$F$7:$AG$7,1))</f>
        <v>3991.5</v>
      </c>
      <c r="AN121" s="131" t="n">
        <f aca="false">INDEX($F121:$AG121,1,MATCH(AN$7,$F$7:$AG$7,1))</f>
        <v>4101</v>
      </c>
      <c r="AO121" s="131" t="n">
        <f aca="false">INDEX($F121:$AG121,1,MATCH(AO$7,$F$7:$AG$7,1))</f>
        <v>4210.5</v>
      </c>
    </row>
    <row r="122" customFormat="false" ht="15" hidden="false" customHeight="false" outlineLevel="0" collapsed="false">
      <c r="A122" s="112" t="s">
        <v>2599</v>
      </c>
      <c r="B122" s="24" t="s">
        <v>745</v>
      </c>
      <c r="C122" s="24" t="s">
        <v>736</v>
      </c>
      <c r="D122" s="24"/>
      <c r="F122" s="130" t="n">
        <f aca="false">F118*($S$22+($J$22-$S$22)*MIN(1,MAX(0,(F$4-$T$22)/($D$22-$T$22))))</f>
        <v>0</v>
      </c>
      <c r="G122" s="130" t="n">
        <f aca="false">G118*($S$22+($J$22-$S$22)*MIN(1,MAX(0,(G$4-$T$22)/($D$22-$T$22))))</f>
        <v>0</v>
      </c>
      <c r="H122" s="130" t="n">
        <f aca="false">H118*($S$22+($J$22-$S$22)*MIN(1,MAX(0,(H$4-$T$22)/($D$22-$T$22))))</f>
        <v>0</v>
      </c>
      <c r="I122" s="130" t="n">
        <f aca="false">I118*($S$22+($J$22-$S$22)*MIN(1,MAX(0,(I$4-$T$22)/($D$22-$T$22))))</f>
        <v>0</v>
      </c>
      <c r="J122" s="130" t="n">
        <f aca="false">J118*($S$22+($J$22-$S$22)*MIN(1,MAX(0,(J$4-$T$22)/($D$22-$T$22))))</f>
        <v>0</v>
      </c>
      <c r="K122" s="130" t="n">
        <f aca="false">K118*($S$22+($J$22-$S$22)*MIN(1,MAX(0,(K$4-$T$22)/($D$22-$T$22))))</f>
        <v>0</v>
      </c>
      <c r="L122" s="130" t="n">
        <f aca="false">L118*($S$22+($J$22-$S$22)*MIN(1,MAX(0,(L$4-$T$22)/($D$22-$T$22))))</f>
        <v>0</v>
      </c>
      <c r="M122" s="130" t="n">
        <f aca="false">M118*($S$22+($J$22-$S$22)*MIN(1,MAX(0,(M$4-$T$22)/($D$22-$T$22))))</f>
        <v>0</v>
      </c>
      <c r="N122" s="130" t="n">
        <f aca="false">N118*($S$22+($J$22-$S$22)*MIN(1,MAX(0,(N$4-$T$22)/($D$22-$T$22))))</f>
        <v>0</v>
      </c>
      <c r="O122" s="130" t="n">
        <f aca="false">O118*($S$22+($J$22-$S$22)*MIN(1,MAX(0,(O$4-$T$22)/($D$22-$T$22))))</f>
        <v>0</v>
      </c>
      <c r="P122" s="131" t="n">
        <f aca="false">P118*($S$22+($J$22-$S$22)*MIN(1,MAX(0,(P$4-$T$22)/($D$22-$T$22))))</f>
        <v>0</v>
      </c>
      <c r="Q122" s="131" t="n">
        <f aca="false">Q118*($S$22+($J$22-$S$22)*MIN(1,MAX(0,(Q$4-$T$22)/($D$22-$T$22))))</f>
        <v>0</v>
      </c>
      <c r="R122" s="131" t="n">
        <f aca="false">R118*($S$22+($J$22-$S$22)*MIN(1,MAX(0,(R$4-$T$22)/($D$22-$T$22))))</f>
        <v>0</v>
      </c>
      <c r="S122" s="131" t="n">
        <f aca="false">S118*($S$22+($J$22-$S$22)*MIN(1,MAX(0,(S$4-$T$22)/($D$22-$T$22))))</f>
        <v>0</v>
      </c>
      <c r="T122" s="131" t="n">
        <f aca="false">T118*($S$22+($J$22-$S$22)*MIN(1,MAX(0,(T$4-$T$22)/($D$22-$T$22))))</f>
        <v>3854.1</v>
      </c>
      <c r="U122" s="131" t="n">
        <f aca="false">U118*($S$22+($J$22-$S$22)*MIN(1,MAX(0,(U$4-$T$22)/($D$22-$T$22))))</f>
        <v>3881.7</v>
      </c>
      <c r="V122" s="131" t="n">
        <f aca="false">V118*($S$22+($J$22-$S$22)*MIN(1,MAX(0,(V$4-$T$22)/($D$22-$T$22))))</f>
        <v>3909</v>
      </c>
      <c r="W122" s="131" t="n">
        <f aca="false">W118*($S$22+($J$22-$S$22)*MIN(1,MAX(0,(W$4-$T$22)/($D$22-$T$22))))</f>
        <v>3936.3</v>
      </c>
      <c r="X122" s="131" t="n">
        <f aca="false">X118*($S$22+($J$22-$S$22)*MIN(1,MAX(0,(X$4-$T$22)/($D$22-$T$22))))</f>
        <v>3963.9</v>
      </c>
      <c r="Y122" s="131" t="n">
        <f aca="false">Y118*($S$22+($J$22-$S$22)*MIN(1,MAX(0,(Y$4-$T$22)/($D$22-$T$22))))</f>
        <v>3991.5</v>
      </c>
      <c r="Z122" s="131" t="n">
        <f aca="false">Z118*($S$22+($J$22-$S$22)*MIN(1,MAX(0,(Z$4-$T$22)/($D$22-$T$22))))</f>
        <v>4018.5</v>
      </c>
      <c r="AA122" s="131" t="n">
        <f aca="false">AA118*($S$22+($J$22-$S$22)*MIN(1,MAX(0,(AA$4-$T$22)/($D$22-$T$22))))</f>
        <v>4045.8</v>
      </c>
      <c r="AB122" s="131" t="n">
        <f aca="false">AB118*($S$22+($J$22-$S$22)*MIN(1,MAX(0,(AB$4-$T$22)/($D$22-$T$22))))</f>
        <v>4073.4</v>
      </c>
      <c r="AC122" s="131" t="n">
        <f aca="false">AC118*($S$22+($J$22-$S$22)*MIN(1,MAX(0,(AC$4-$T$22)/($D$22-$T$22))))</f>
        <v>4101</v>
      </c>
      <c r="AD122" s="131" t="n">
        <f aca="false">AD118*($S$22+($J$22-$S$22)*MIN(1,MAX(0,(AD$4-$T$22)/($D$22-$T$22))))</f>
        <v>4128</v>
      </c>
      <c r="AE122" s="131" t="n">
        <f aca="false">AE118*($S$22+($J$22-$S$22)*MIN(1,MAX(0,(AE$4-$T$22)/($D$22-$T$22))))</f>
        <v>4155.3</v>
      </c>
      <c r="AF122" s="131" t="n">
        <f aca="false">AF118*($S$22+($J$22-$S$22)*MIN(1,MAX(0,(AF$4-$T$22)/($D$22-$T$22))))</f>
        <v>4182.9</v>
      </c>
      <c r="AG122" s="131" t="n">
        <f aca="false">AG118*($S$22+($J$22-$S$22)*MIN(1,MAX(0,(AG$4-$T$22)/($D$22-$T$22))))</f>
        <v>4210.5</v>
      </c>
      <c r="AI122" s="131" t="n">
        <f aca="false">INDEX($F122:$AG122,1,MATCH(AI$7,$F$7:$AG$7,1))</f>
        <v>0</v>
      </c>
      <c r="AJ122" s="131" t="n">
        <f aca="false">INDEX($F122:$AG122,1,MATCH(AJ$7,$F$7:$AG$7,1))</f>
        <v>0</v>
      </c>
      <c r="AK122" s="131" t="n">
        <f aca="false">INDEX($F122:$AG122,1,MATCH(AK$7,$F$7:$AG$7,1))</f>
        <v>0</v>
      </c>
      <c r="AL122" s="131" t="n">
        <f aca="false">INDEX($F122:$AG122,1,MATCH(AL$7,$F$7:$AG$7,1))</f>
        <v>3881.7</v>
      </c>
      <c r="AM122" s="131" t="n">
        <f aca="false">INDEX($F122:$AG122,1,MATCH(AM$7,$F$7:$AG$7,1))</f>
        <v>3991.5</v>
      </c>
      <c r="AN122" s="131" t="n">
        <f aca="false">INDEX($F122:$AG122,1,MATCH(AN$7,$F$7:$AG$7,1))</f>
        <v>4101</v>
      </c>
      <c r="AO122" s="131" t="n">
        <f aca="false">INDEX($F122:$AG122,1,MATCH(AO$7,$F$7:$AG$7,1))</f>
        <v>4210.5</v>
      </c>
    </row>
    <row r="123" customFormat="false" ht="15" hidden="false" customHeight="false" outlineLevel="0" collapsed="false">
      <c r="A123" s="112" t="s">
        <v>2600</v>
      </c>
      <c r="B123" s="24" t="s">
        <v>745</v>
      </c>
      <c r="C123" s="24" t="s">
        <v>736</v>
      </c>
      <c r="D123" s="24"/>
      <c r="F123" s="130" t="n">
        <f aca="false">IF(F$5=$N$22,E118*$J$22*(1-$O$22),0)</f>
        <v>0</v>
      </c>
      <c r="G123" s="130" t="n">
        <f aca="false">IF(G$5=$N$22,F118*$J$22*(1-$O$22),0)</f>
        <v>0</v>
      </c>
      <c r="H123" s="130" t="n">
        <f aca="false">IF(H$5=$N$22,G118*$J$22*(1-$O$22),0)</f>
        <v>0</v>
      </c>
      <c r="I123" s="130" t="n">
        <f aca="false">IF(I$5=$N$22,H118*$J$22*(1-$O$22),0)</f>
        <v>0</v>
      </c>
      <c r="J123" s="130" t="n">
        <f aca="false">IF(J$5=$N$22,I118*$J$22*(1-$O$22),0)</f>
        <v>0</v>
      </c>
      <c r="K123" s="130" t="n">
        <f aca="false">IF(K$5=$N$22,J118*$J$22*(1-$O$22),0)</f>
        <v>0</v>
      </c>
      <c r="L123" s="130" t="n">
        <f aca="false">IF(L$5=$N$22,K118*$J$22*(1-$O$22),0)</f>
        <v>0</v>
      </c>
      <c r="M123" s="130" t="n">
        <f aca="false">IF(M$5=$N$22,L118*$J$22*(1-$O$22),0)</f>
        <v>0</v>
      </c>
      <c r="N123" s="130" t="n">
        <f aca="false">IF(N$5=$N$22,M118*$J$22*(1-$O$22),0)</f>
        <v>0</v>
      </c>
      <c r="O123" s="130" t="n">
        <f aca="false">IF(O$5=$N$22,N118*$J$22*(1-$O$22),0)</f>
        <v>0</v>
      </c>
      <c r="P123" s="131" t="n">
        <f aca="false">IF(P$5=$N$22,O118*$J$22*(1-$O$22),0)</f>
        <v>0</v>
      </c>
      <c r="Q123" s="131" t="n">
        <f aca="false">IF(Q$5=$N$22,P118*$J$22*(1-$O$22),0)</f>
        <v>0</v>
      </c>
      <c r="R123" s="131" t="n">
        <f aca="false">IF(R$5=$N$22,Q118*$J$22*(1-$O$22),0)</f>
        <v>0</v>
      </c>
      <c r="S123" s="131" t="n">
        <f aca="false">IF(S$5=$N$22,R118*$J$22*(1-$O$22),0)</f>
        <v>0</v>
      </c>
      <c r="T123" s="131" t="n">
        <f aca="false">IF(T$5=$N$22,S118*$J$22*(1-$O$22),0)</f>
        <v>0</v>
      </c>
      <c r="U123" s="131" t="n">
        <f aca="false">IF(U$5=$N$22,T118*$J$22*(1-$O$22),0)</f>
        <v>0</v>
      </c>
      <c r="V123" s="131" t="n">
        <f aca="false">IF(V$5=$N$22,U118*$J$22*(1-$O$22),0)</f>
        <v>0</v>
      </c>
      <c r="W123" s="131" t="n">
        <f aca="false">IF(W$5=$N$22,V118*$J$22*(1-$O$22),0)</f>
        <v>0</v>
      </c>
      <c r="X123" s="131" t="n">
        <f aca="false">IF(X$5=$N$22,W118*$J$22*(1-$O$22),0)</f>
        <v>0</v>
      </c>
      <c r="Y123" s="131" t="n">
        <f aca="false">IF(Y$5=$N$22,X118*$J$22*(1-$O$22),0)</f>
        <v>0</v>
      </c>
      <c r="Z123" s="131" t="n">
        <f aca="false">IF(Z$5=$N$22,Y118*$J$22*(1-$O$22),0)</f>
        <v>0</v>
      </c>
      <c r="AA123" s="131" t="n">
        <f aca="false">IF(AA$5=$N$22,Z118*$J$22*(1-$O$22),0)</f>
        <v>0</v>
      </c>
      <c r="AB123" s="131" t="n">
        <f aca="false">IF(AB$5=$N$22,AA118*$J$22*(1-$O$22),0)</f>
        <v>0</v>
      </c>
      <c r="AC123" s="131" t="n">
        <f aca="false">IF(AC$5=$N$22,AB118*$J$22*(1-$O$22),0)</f>
        <v>0</v>
      </c>
      <c r="AD123" s="131" t="n">
        <f aca="false">IF(AD$5=$N$22,AC118*$J$22*(1-$O$22),0)</f>
        <v>0</v>
      </c>
      <c r="AE123" s="131" t="n">
        <f aca="false">IF(AE$5=$N$22,AD118*$J$22*(1-$O$22),0)</f>
        <v>0</v>
      </c>
      <c r="AF123" s="131" t="n">
        <f aca="false">IF(AF$5=$N$22,AE118*$J$22*(1-$O$22),0)</f>
        <v>0</v>
      </c>
      <c r="AG123" s="131" t="n">
        <f aca="false">IF(AG$5=$N$22,AF118*$J$22*(1-$O$22),0)</f>
        <v>0</v>
      </c>
      <c r="AI123" s="131" t="n">
        <f aca="false">SUMIF($F$7:$AG$7,AI$7,$F123:$AG123)</f>
        <v>0</v>
      </c>
      <c r="AJ123" s="131" t="n">
        <f aca="false">SUMIF($F$7:$AG$7,AJ$7,$F123:$AG123)</f>
        <v>0</v>
      </c>
      <c r="AK123" s="131" t="n">
        <f aca="false">SUMIF($F$7:$AG$7,AK$7,$F123:$AG123)</f>
        <v>0</v>
      </c>
      <c r="AL123" s="131" t="n">
        <f aca="false">SUMIF($F$7:$AG$7,AL$7,$F123:$AG123)</f>
        <v>0</v>
      </c>
      <c r="AM123" s="131" t="n">
        <f aca="false">SUMIF($F$7:$AG$7,AM$7,$F123:$AG123)</f>
        <v>0</v>
      </c>
      <c r="AN123" s="131" t="n">
        <f aca="false">SUMIF($F$7:$AG$7,AN$7,$F123:$AG123)</f>
        <v>0</v>
      </c>
      <c r="AO123" s="131" t="n">
        <f aca="false">SUMIF($F$7:$AG$7,AO$7,$F123:$AG123)</f>
        <v>0</v>
      </c>
    </row>
    <row r="124" customFormat="false" ht="15" hidden="false" customHeight="false" outlineLevel="0" collapsed="false">
      <c r="A124" s="112" t="s">
        <v>2601</v>
      </c>
      <c r="B124" s="24" t="s">
        <v>809</v>
      </c>
      <c r="C124" s="24" t="s">
        <v>736</v>
      </c>
      <c r="D124" s="24"/>
      <c r="F124" s="146" t="n">
        <f aca="false">IF(F$5=$N$22,E118*$K$22/1000*$O$22,0)</f>
        <v>0</v>
      </c>
      <c r="G124" s="146" t="n">
        <f aca="false">IF(G$5=$N$22,F118*$K$22/1000*$O$22,0)</f>
        <v>0</v>
      </c>
      <c r="H124" s="146" t="n">
        <f aca="false">IF(H$5=$N$22,G118*$K$22/1000*$O$22,0)</f>
        <v>0</v>
      </c>
      <c r="I124" s="146" t="n">
        <f aca="false">IF(I$5=$N$22,H118*$K$22/1000*$O$22,0)</f>
        <v>0</v>
      </c>
      <c r="J124" s="146" t="n">
        <f aca="false">IF(J$5=$N$22,I118*$K$22/1000*$O$22,0)</f>
        <v>0</v>
      </c>
      <c r="K124" s="146" t="n">
        <f aca="false">IF(K$5=$N$22,J118*$K$22/1000*$O$22,0)</f>
        <v>0</v>
      </c>
      <c r="L124" s="146" t="n">
        <f aca="false">IF(L$5=$N$22,K118*$K$22/1000*$O$22,0)</f>
        <v>0</v>
      </c>
      <c r="M124" s="146" t="n">
        <f aca="false">IF(M$5=$N$22,L118*$K$22/1000*$O$22,0)</f>
        <v>0</v>
      </c>
      <c r="N124" s="146" t="n">
        <f aca="false">IF(N$5=$N$22,M118*$K$22/1000*$O$22,0)</f>
        <v>0</v>
      </c>
      <c r="O124" s="146" t="n">
        <f aca="false">IF(O$5=$N$22,N118*$K$22/1000*$O$22,0)</f>
        <v>0</v>
      </c>
      <c r="P124" s="54" t="n">
        <f aca="false">IF(P$5=$N$22,O118*$K$22/1000*$O$22,0)</f>
        <v>0</v>
      </c>
      <c r="Q124" s="54" t="n">
        <f aca="false">IF(Q$5=$N$22,P118*$K$22/1000*$O$22,0)</f>
        <v>0</v>
      </c>
      <c r="R124" s="54" t="n">
        <f aca="false">IF(R$5=$N$22,Q118*$K$22/1000*$O$22,0)</f>
        <v>0</v>
      </c>
      <c r="S124" s="54" t="n">
        <f aca="false">IF(S$5=$N$22,R118*$K$22/1000*$O$22,0)</f>
        <v>0</v>
      </c>
      <c r="T124" s="54" t="n">
        <f aca="false">IF(T$5=$N$22,S118*$K$22/1000*$O$22,0)</f>
        <v>0</v>
      </c>
      <c r="U124" s="54" t="n">
        <f aca="false">IF(U$5=$N$22,T118*$K$22/1000*$O$22,0)</f>
        <v>0</v>
      </c>
      <c r="V124" s="54" t="n">
        <f aca="false">IF(V$5=$N$22,U118*$K$22/1000*$O$22,0)</f>
        <v>0</v>
      </c>
      <c r="W124" s="54" t="n">
        <f aca="false">IF(W$5=$N$22,V118*$K$22/1000*$O$22,0)</f>
        <v>0</v>
      </c>
      <c r="X124" s="54" t="n">
        <f aca="false">IF(X$5=$N$22,W118*$K$22/1000*$O$22,0)</f>
        <v>0</v>
      </c>
      <c r="Y124" s="54" t="n">
        <f aca="false">IF(Y$5=$N$22,X118*$K$22/1000*$O$22,0)</f>
        <v>0</v>
      </c>
      <c r="Z124" s="54" t="n">
        <f aca="false">IF(Z$5=$N$22,Y118*$K$22/1000*$O$22,0)</f>
        <v>0</v>
      </c>
      <c r="AA124" s="54" t="n">
        <f aca="false">IF(AA$5=$N$22,Z118*$K$22/1000*$O$22,0)</f>
        <v>0</v>
      </c>
      <c r="AB124" s="54" t="n">
        <f aca="false">IF(AB$5=$N$22,AA118*$K$22/1000*$O$22,0)</f>
        <v>0</v>
      </c>
      <c r="AC124" s="54" t="n">
        <f aca="false">IF(AC$5=$N$22,AB118*$K$22/1000*$O$22,0)</f>
        <v>0</v>
      </c>
      <c r="AD124" s="54" t="n">
        <f aca="false">IF(AD$5=$N$22,AC118*$K$22/1000*$O$22,0)</f>
        <v>0</v>
      </c>
      <c r="AE124" s="54" t="n">
        <f aca="false">IF(AE$5=$N$22,AD118*$K$22/1000*$O$22,0)</f>
        <v>0</v>
      </c>
      <c r="AF124" s="54" t="n">
        <f aca="false">IF(AF$5=$N$22,AE118*$K$22/1000*$O$22,0)</f>
        <v>0</v>
      </c>
      <c r="AG124" s="54" t="n">
        <f aca="false">IF(AG$5=$N$22,AF118*$K$22/1000*$O$22,0)</f>
        <v>0</v>
      </c>
      <c r="AI124" s="54" t="n">
        <f aca="false">SUMIF($F$7:$AG$7,AI$7,$F124:$AG124)</f>
        <v>0</v>
      </c>
      <c r="AJ124" s="54" t="n">
        <f aca="false">SUMIF($F$7:$AG$7,AJ$7,$F124:$AG124)</f>
        <v>0</v>
      </c>
      <c r="AK124" s="54" t="n">
        <f aca="false">SUMIF($F$7:$AG$7,AK$7,$F124:$AG124)</f>
        <v>0</v>
      </c>
      <c r="AL124" s="54" t="n">
        <f aca="false">SUMIF($F$7:$AG$7,AL$7,$F124:$AG124)</f>
        <v>0</v>
      </c>
      <c r="AM124" s="54" t="n">
        <f aca="false">SUMIF($F$7:$AG$7,AM$7,$F124:$AG124)</f>
        <v>0</v>
      </c>
      <c r="AN124" s="54" t="n">
        <f aca="false">SUMIF($F$7:$AG$7,AN$7,$F124:$AG124)</f>
        <v>0</v>
      </c>
      <c r="AO124" s="54" t="n">
        <f aca="false">SUMIF($F$7:$AG$7,AO$7,$F124:$AG124)</f>
        <v>0</v>
      </c>
    </row>
    <row r="125" customFormat="false" ht="15" hidden="false" customHeight="false" outlineLevel="0" collapsed="false">
      <c r="A125" s="112" t="s">
        <v>2602</v>
      </c>
      <c r="B125" s="24" t="s">
        <v>809</v>
      </c>
      <c r="C125" s="24" t="s">
        <v>672</v>
      </c>
      <c r="D125" s="24"/>
      <c r="F125" s="146" t="n">
        <f aca="false">IF(DilMethod=3,MAX(0,F118*$K$22/1000*DilPx-F121)/DilPx,F118*$K$22/1000*$P$22)</f>
        <v>0</v>
      </c>
      <c r="G125" s="146" t="n">
        <f aca="false">IF(DilMethod=3,MAX(0,G118*$K$22/1000*DilPx-G121)/DilPx,G118*$K$22/1000*$P$22)</f>
        <v>0</v>
      </c>
      <c r="H125" s="146" t="n">
        <f aca="false">IF(DilMethod=3,MAX(0,H118*$K$22/1000*DilPx-H121)/DilPx,H118*$K$22/1000*$P$22)</f>
        <v>0</v>
      </c>
      <c r="I125" s="146" t="n">
        <f aca="false">IF(DilMethod=3,MAX(0,I118*$K$22/1000*DilPx-I121)/DilPx,I118*$K$22/1000*$P$22)</f>
        <v>0</v>
      </c>
      <c r="J125" s="146" t="n">
        <f aca="false">IF(DilMethod=3,MAX(0,J118*$K$22/1000*DilPx-J121)/DilPx,J118*$K$22/1000*$P$22)</f>
        <v>0</v>
      </c>
      <c r="K125" s="146" t="n">
        <f aca="false">IF(DilMethod=3,MAX(0,K118*$K$22/1000*DilPx-K121)/DilPx,K118*$K$22/1000*$P$22)</f>
        <v>0</v>
      </c>
      <c r="L125" s="146" t="n">
        <f aca="false">IF(DilMethod=3,MAX(0,L118*$K$22/1000*DilPx-L121)/DilPx,L118*$K$22/1000*$P$22)</f>
        <v>0</v>
      </c>
      <c r="M125" s="146" t="n">
        <f aca="false">IF(DilMethod=3,MAX(0,M118*$K$22/1000*DilPx-M121)/DilPx,M118*$K$22/1000*$P$22)</f>
        <v>0</v>
      </c>
      <c r="N125" s="146" t="n">
        <f aca="false">IF(DilMethod=3,MAX(0,N118*$K$22/1000*DilPx-N121)/DilPx,N118*$K$22/1000*$P$22)</f>
        <v>0</v>
      </c>
      <c r="O125" s="146" t="n">
        <f aca="false">IF(DilMethod=3,MAX(0,O118*$K$22/1000*DilPx-O121)/DilPx,O118*$K$22/1000*$P$22)</f>
        <v>0</v>
      </c>
      <c r="P125" s="54" t="n">
        <f aca="false">IF(DilMethod=3,MAX(0,P118*$K$22/1000*DilPx-P121)/DilPx,P118*$K$22/1000*$P$22)</f>
        <v>0</v>
      </c>
      <c r="Q125" s="54" t="n">
        <f aca="false">IF(DilMethod=3,MAX(0,Q118*$K$22/1000*DilPx-Q121)/DilPx,Q118*$K$22/1000*$P$22)</f>
        <v>0</v>
      </c>
      <c r="R125" s="54" t="n">
        <f aca="false">IF(DilMethod=3,MAX(0,R118*$K$22/1000*DilPx-R121)/DilPx,R118*$K$22/1000*$P$22)</f>
        <v>0</v>
      </c>
      <c r="S125" s="54" t="n">
        <f aca="false">IF(DilMethod=3,MAX(0,S118*$K$22/1000*DilPx-S121)/DilPx,S118*$K$22/1000*$P$22)</f>
        <v>0</v>
      </c>
      <c r="T125" s="54" t="n">
        <f aca="false">IF(DilMethod=3,MAX(0,T118*$K$22/1000*DilPx-T121)/DilPx,T118*$K$22/1000*$P$22)</f>
        <v>0</v>
      </c>
      <c r="U125" s="54" t="n">
        <f aca="false">IF(DilMethod=3,MAX(0,U118*$K$22/1000*DilPx-U121)/DilPx,U118*$K$22/1000*$P$22)</f>
        <v>0</v>
      </c>
      <c r="V125" s="54" t="n">
        <f aca="false">IF(DilMethod=3,MAX(0,V118*$K$22/1000*DilPx-V121)/DilPx,V118*$K$22/1000*$P$22)</f>
        <v>0</v>
      </c>
      <c r="W125" s="54" t="n">
        <f aca="false">IF(DilMethod=3,MAX(0,W118*$K$22/1000*DilPx-W121)/DilPx,W118*$K$22/1000*$P$22)</f>
        <v>0</v>
      </c>
      <c r="X125" s="54" t="n">
        <f aca="false">IF(DilMethod=3,MAX(0,X118*$K$22/1000*DilPx-X121)/DilPx,X118*$K$22/1000*$P$22)</f>
        <v>0</v>
      </c>
      <c r="Y125" s="54" t="n">
        <f aca="false">IF(DilMethod=3,MAX(0,Y118*$K$22/1000*DilPx-Y121)/DilPx,Y118*$K$22/1000*$P$22)</f>
        <v>0</v>
      </c>
      <c r="Z125" s="54" t="n">
        <f aca="false">IF(DilMethod=3,MAX(0,Z118*$K$22/1000*DilPx-Z121)/DilPx,Z118*$K$22/1000*$P$22)</f>
        <v>0</v>
      </c>
      <c r="AA125" s="54" t="n">
        <f aca="false">IF(DilMethod=3,MAX(0,AA118*$K$22/1000*DilPx-AA121)/DilPx,AA118*$K$22/1000*$P$22)</f>
        <v>0</v>
      </c>
      <c r="AB125" s="54" t="n">
        <f aca="false">IF(DilMethod=3,MAX(0,AB118*$K$22/1000*DilPx-AB121)/DilPx,AB118*$K$22/1000*$P$22)</f>
        <v>0</v>
      </c>
      <c r="AC125" s="54" t="n">
        <f aca="false">IF(DilMethod=3,MAX(0,AC118*$K$22/1000*DilPx-AC121)/DilPx,AC118*$K$22/1000*$P$22)</f>
        <v>0</v>
      </c>
      <c r="AD125" s="54" t="n">
        <f aca="false">IF(DilMethod=3,MAX(0,AD118*$K$22/1000*DilPx-AD121)/DilPx,AD118*$K$22/1000*$P$22)</f>
        <v>0</v>
      </c>
      <c r="AE125" s="54" t="n">
        <f aca="false">IF(DilMethod=3,MAX(0,AE118*$K$22/1000*DilPx-AE121)/DilPx,AE118*$K$22/1000*$P$22)</f>
        <v>0</v>
      </c>
      <c r="AF125" s="54" t="n">
        <f aca="false">IF(DilMethod=3,MAX(0,AF118*$K$22/1000*DilPx-AF121)/DilPx,AF118*$K$22/1000*$P$22)</f>
        <v>0</v>
      </c>
      <c r="AG125" s="54" t="n">
        <f aca="false">IF(DilMethod=3,MAX(0,AG118*$K$22/1000*DilPx-AG121)/DilPx,AG118*$K$22/1000*$P$22)</f>
        <v>0</v>
      </c>
      <c r="AI125" s="54" t="n">
        <f aca="false">INDEX($F125:$AG125,1,MATCH(AI$7,$F$7:$AG$7,1))</f>
        <v>0</v>
      </c>
      <c r="AJ125" s="54" t="n">
        <f aca="false">INDEX($F125:$AG125,1,MATCH(AJ$7,$F$7:$AG$7,1))</f>
        <v>0</v>
      </c>
      <c r="AK125" s="54" t="n">
        <f aca="false">INDEX($F125:$AG125,1,MATCH(AK$7,$F$7:$AG$7,1))</f>
        <v>0</v>
      </c>
      <c r="AL125" s="54" t="n">
        <f aca="false">INDEX($F125:$AG125,1,MATCH(AL$7,$F$7:$AG$7,1))</f>
        <v>0</v>
      </c>
      <c r="AM125" s="54" t="n">
        <f aca="false">INDEX($F125:$AG125,1,MATCH(AM$7,$F$7:$AG$7,1))</f>
        <v>0</v>
      </c>
      <c r="AN125" s="54" t="n">
        <f aca="false">INDEX($F125:$AG125,1,MATCH(AN$7,$F$7:$AG$7,1))</f>
        <v>0</v>
      </c>
      <c r="AO125" s="54" t="n">
        <f aca="false">INDEX($F125:$AG125,1,MATCH(AO$7,$F$7:$AG$7,1))</f>
        <v>0</v>
      </c>
    </row>
    <row r="126" customFormat="false" ht="15" hidden="false" customHeight="false" outlineLevel="0" collapsed="false">
      <c r="A126" s="112" t="s">
        <v>2603</v>
      </c>
      <c r="B126" s="24" t="s">
        <v>745</v>
      </c>
      <c r="C126" s="24" t="s">
        <v>672</v>
      </c>
      <c r="D126" s="24"/>
      <c r="F126" s="130" t="n">
        <f aca="false">F121*IF(DilMethod=3,1,1-$P$22)</f>
        <v>0</v>
      </c>
      <c r="G126" s="130" t="n">
        <f aca="false">G121*IF(DilMethod=3,1,1-$P$22)</f>
        <v>0</v>
      </c>
      <c r="H126" s="130" t="n">
        <f aca="false">H121*IF(DilMethod=3,1,1-$P$22)</f>
        <v>0</v>
      </c>
      <c r="I126" s="130" t="n">
        <f aca="false">I121*IF(DilMethod=3,1,1-$P$22)</f>
        <v>0</v>
      </c>
      <c r="J126" s="130" t="n">
        <f aca="false">J121*IF(DilMethod=3,1,1-$P$22)</f>
        <v>0</v>
      </c>
      <c r="K126" s="130" t="n">
        <f aca="false">K121*IF(DilMethod=3,1,1-$P$22)</f>
        <v>0</v>
      </c>
      <c r="L126" s="130" t="n">
        <f aca="false">L121*IF(DilMethod=3,1,1-$P$22)</f>
        <v>0</v>
      </c>
      <c r="M126" s="130" t="n">
        <f aca="false">M121*IF(DilMethod=3,1,1-$P$22)</f>
        <v>0</v>
      </c>
      <c r="N126" s="130" t="n">
        <f aca="false">N121*IF(DilMethod=3,1,1-$P$22)</f>
        <v>0</v>
      </c>
      <c r="O126" s="130" t="n">
        <f aca="false">O121*IF(DilMethod=3,1,1-$P$22)</f>
        <v>0</v>
      </c>
      <c r="P126" s="131" t="n">
        <f aca="false">P121*IF(DilMethod=3,1,1-$P$22)</f>
        <v>0</v>
      </c>
      <c r="Q126" s="131" t="n">
        <f aca="false">Q121*IF(DilMethod=3,1,1-$P$22)</f>
        <v>0</v>
      </c>
      <c r="R126" s="131" t="n">
        <f aca="false">R121*IF(DilMethod=3,1,1-$P$22)</f>
        <v>0</v>
      </c>
      <c r="S126" s="131" t="n">
        <f aca="false">S121*IF(DilMethod=3,1,1-$P$22)</f>
        <v>0</v>
      </c>
      <c r="T126" s="131" t="n">
        <f aca="false">T121*IF(DilMethod=3,1,1-$P$22)</f>
        <v>3854.1</v>
      </c>
      <c r="U126" s="131" t="n">
        <f aca="false">U121*IF(DilMethod=3,1,1-$P$22)</f>
        <v>3881.7</v>
      </c>
      <c r="V126" s="131" t="n">
        <f aca="false">V121*IF(DilMethod=3,1,1-$P$22)</f>
        <v>3909</v>
      </c>
      <c r="W126" s="131" t="n">
        <f aca="false">W121*IF(DilMethod=3,1,1-$P$22)</f>
        <v>3936.3</v>
      </c>
      <c r="X126" s="131" t="n">
        <f aca="false">X121*IF(DilMethod=3,1,1-$P$22)</f>
        <v>3963.9</v>
      </c>
      <c r="Y126" s="131" t="n">
        <f aca="false">Y121*IF(DilMethod=3,1,1-$P$22)</f>
        <v>3991.5</v>
      </c>
      <c r="Z126" s="131" t="n">
        <f aca="false">Z121*IF(DilMethod=3,1,1-$P$22)</f>
        <v>4018.5</v>
      </c>
      <c r="AA126" s="131" t="n">
        <f aca="false">AA121*IF(DilMethod=3,1,1-$P$22)</f>
        <v>4045.8</v>
      </c>
      <c r="AB126" s="131" t="n">
        <f aca="false">AB121*IF(DilMethod=3,1,1-$P$22)</f>
        <v>4073.4</v>
      </c>
      <c r="AC126" s="131" t="n">
        <f aca="false">AC121*IF(DilMethod=3,1,1-$P$22)</f>
        <v>4101</v>
      </c>
      <c r="AD126" s="131" t="n">
        <f aca="false">AD121*IF(DilMethod=3,1,1-$P$22)</f>
        <v>4128</v>
      </c>
      <c r="AE126" s="131" t="n">
        <f aca="false">AE121*IF(DilMethod=3,1,1-$P$22)</f>
        <v>4155.3</v>
      </c>
      <c r="AF126" s="131" t="n">
        <f aca="false">AF121*IF(DilMethod=3,1,1-$P$22)</f>
        <v>4182.9</v>
      </c>
      <c r="AG126" s="131" t="n">
        <f aca="false">AG121*IF(DilMethod=3,1,1-$P$22)</f>
        <v>4210.5</v>
      </c>
      <c r="AI126" s="131" t="n">
        <f aca="false">INDEX($F126:$AG126,1,MATCH(AI$7,$F$7:$AG$7,1))</f>
        <v>0</v>
      </c>
      <c r="AJ126" s="131" t="n">
        <f aca="false">INDEX($F126:$AG126,1,MATCH(AJ$7,$F$7:$AG$7,1))</f>
        <v>0</v>
      </c>
      <c r="AK126" s="131" t="n">
        <f aca="false">INDEX($F126:$AG126,1,MATCH(AK$7,$F$7:$AG$7,1))</f>
        <v>0</v>
      </c>
      <c r="AL126" s="131" t="n">
        <f aca="false">INDEX($F126:$AG126,1,MATCH(AL$7,$F$7:$AG$7,1))</f>
        <v>3881.7</v>
      </c>
      <c r="AM126" s="131" t="n">
        <f aca="false">INDEX($F126:$AG126,1,MATCH(AM$7,$F$7:$AG$7,1))</f>
        <v>3991.5</v>
      </c>
      <c r="AN126" s="131" t="n">
        <f aca="false">INDEX($F126:$AG126,1,MATCH(AN$7,$F$7:$AG$7,1))</f>
        <v>4101</v>
      </c>
      <c r="AO126" s="131" t="n">
        <f aca="false">INDEX($F126:$AG126,1,MATCH(AO$7,$F$7:$AG$7,1))</f>
        <v>4210.5</v>
      </c>
    </row>
    <row r="127" customFormat="false" ht="15" hidden="false" customHeight="false" outlineLevel="0" collapsed="false">
      <c r="A127" s="112" t="s">
        <v>2604</v>
      </c>
      <c r="B127" s="24" t="s">
        <v>745</v>
      </c>
      <c r="C127" s="24" t="s">
        <v>736</v>
      </c>
      <c r="D127" s="24"/>
      <c r="F127" s="130" t="n">
        <f aca="false">IF(AND(F$5&gt;=$M$23,F$5&lt;$N$23),$E$23-$F$23-IF(F$5&gt;=$H$23,$G$23,0),0)*($H$23&lt;&gt;0)+IF(AND(F$5&gt;=$M$23,F$5&lt;$N$23),$E$23-$F$23,0)*($H$23=0)</f>
        <v>0</v>
      </c>
      <c r="G127" s="130" t="n">
        <f aca="false">IF(AND(G$5&gt;=$M$23,G$5&lt;$N$23),$E$23-$F$23-IF(G$5&gt;=$H$23,$G$23,0),0)*($H$23&lt;&gt;0)+IF(AND(G$5&gt;=$M$23,G$5&lt;$N$23),$E$23-$F$23,0)*($H$23=0)</f>
        <v>0</v>
      </c>
      <c r="H127" s="130" t="n">
        <f aca="false">IF(AND(H$5&gt;=$M$23,H$5&lt;$N$23),$E$23-$F$23-IF(H$5&gt;=$H$23,$G$23,0),0)*($H$23&lt;&gt;0)+IF(AND(H$5&gt;=$M$23,H$5&lt;$N$23),$E$23-$F$23,0)*($H$23=0)</f>
        <v>0</v>
      </c>
      <c r="I127" s="130" t="n">
        <f aca="false">IF(AND(I$5&gt;=$M$23,I$5&lt;$N$23),$E$23-$F$23-IF(I$5&gt;=$H$23,$G$23,0),0)*($H$23&lt;&gt;0)+IF(AND(I$5&gt;=$M$23,I$5&lt;$N$23),$E$23-$F$23,0)*($H$23=0)</f>
        <v>0</v>
      </c>
      <c r="J127" s="130" t="n">
        <f aca="false">IF(AND(J$5&gt;=$M$23,J$5&lt;$N$23),$E$23-$F$23-IF(J$5&gt;=$H$23,$G$23,0),0)*($H$23&lt;&gt;0)+IF(AND(J$5&gt;=$M$23,J$5&lt;$N$23),$E$23-$F$23,0)*($H$23=0)</f>
        <v>0</v>
      </c>
      <c r="K127" s="130" t="n">
        <f aca="false">IF(AND(K$5&gt;=$M$23,K$5&lt;$N$23),$E$23-$F$23-IF(K$5&gt;=$H$23,$G$23,0),0)*($H$23&lt;&gt;0)+IF(AND(K$5&gt;=$M$23,K$5&lt;$N$23),$E$23-$F$23,0)*($H$23=0)</f>
        <v>0</v>
      </c>
      <c r="L127" s="130" t="n">
        <f aca="false">IF(AND(L$5&gt;=$M$23,L$5&lt;$N$23),$E$23-$F$23-IF(L$5&gt;=$H$23,$G$23,0),0)*($H$23&lt;&gt;0)+IF(AND(L$5&gt;=$M$23,L$5&lt;$N$23),$E$23-$F$23,0)*($H$23=0)</f>
        <v>0</v>
      </c>
      <c r="M127" s="130" t="n">
        <f aca="false">IF(AND(M$5&gt;=$M$23,M$5&lt;$N$23),$E$23-$F$23-IF(M$5&gt;=$H$23,$G$23,0),0)*($H$23&lt;&gt;0)+IF(AND(M$5&gt;=$M$23,M$5&lt;$N$23),$E$23-$F$23,0)*($H$23=0)</f>
        <v>0</v>
      </c>
      <c r="N127" s="130" t="n">
        <f aca="false">IF(AND(N$5&gt;=$M$23,N$5&lt;$N$23),$E$23-$F$23-IF(N$5&gt;=$H$23,$G$23,0),0)*($H$23&lt;&gt;0)+IF(AND(N$5&gt;=$M$23,N$5&lt;$N$23),$E$23-$F$23,0)*($H$23=0)</f>
        <v>0</v>
      </c>
      <c r="O127" s="130" t="n">
        <f aca="false">IF(AND(O$5&gt;=$M$23,O$5&lt;$N$23),$E$23-$F$23-IF(O$5&gt;=$H$23,$G$23,0),0)*($H$23&lt;&gt;0)+IF(AND(O$5&gt;=$M$23,O$5&lt;$N$23),$E$23-$F$23,0)*($H$23=0)</f>
        <v>0</v>
      </c>
      <c r="P127" s="131" t="n">
        <f aca="false">IF(AND(P$5&gt;=$M$23,P$5&lt;$N$23),$E$23-$F$23-IF(P$5&gt;=$H$23,$G$23,0),0)*($H$23&lt;&gt;0)+IF(AND(P$5&gt;=$M$23,P$5&lt;$N$23),$E$23-$F$23,0)*($H$23=0)</f>
        <v>0</v>
      </c>
      <c r="Q127" s="131" t="n">
        <f aca="false">IF(AND(Q$5&gt;=$M$23,Q$5&lt;$N$23),$E$23-$F$23-IF(Q$5&gt;=$H$23,$G$23,0),0)*($H$23&lt;&gt;0)+IF(AND(Q$5&gt;=$M$23,Q$5&lt;$N$23),$E$23-$F$23,0)*($H$23=0)</f>
        <v>0</v>
      </c>
      <c r="R127" s="131" t="n">
        <f aca="false">IF(AND(R$5&gt;=$M$23,R$5&lt;$N$23),$E$23-$F$23-IF(R$5&gt;=$H$23,$G$23,0),0)*($H$23&lt;&gt;0)+IF(AND(R$5&gt;=$M$23,R$5&lt;$N$23),$E$23-$F$23,0)*($H$23=0)</f>
        <v>0</v>
      </c>
      <c r="S127" s="131" t="n">
        <f aca="false">IF(AND(S$5&gt;=$M$23,S$5&lt;$N$23),$E$23-$F$23-IF(S$5&gt;=$H$23,$G$23,0),0)*($H$23&lt;&gt;0)+IF(AND(S$5&gt;=$M$23,S$5&lt;$N$23),$E$23-$F$23,0)*($H$23=0)</f>
        <v>0</v>
      </c>
      <c r="T127" s="131" t="n">
        <f aca="false">IF(AND(T$5&gt;=$M$23,T$5&lt;$N$23),$E$23-$F$23-IF(T$5&gt;=$H$23,$G$23,0),0)*($H$23&lt;&gt;0)+IF(AND(T$5&gt;=$M$23,T$5&lt;$N$23),$E$23-$F$23,0)*($H$23=0)</f>
        <v>2560</v>
      </c>
      <c r="U127" s="131" t="n">
        <f aca="false">IF(AND(U$5&gt;=$M$23,U$5&lt;$N$23),$E$23-$F$23-IF(U$5&gt;=$H$23,$G$23,0),0)*($H$23&lt;&gt;0)+IF(AND(U$5&gt;=$M$23,U$5&lt;$N$23),$E$23-$F$23,0)*($H$23=0)</f>
        <v>2560</v>
      </c>
      <c r="V127" s="131" t="n">
        <f aca="false">IF(AND(V$5&gt;=$M$23,V$5&lt;$N$23),$E$23-$F$23-IF(V$5&gt;=$H$23,$G$23,0),0)*($H$23&lt;&gt;0)+IF(AND(V$5&gt;=$M$23,V$5&lt;$N$23),$E$23-$F$23,0)*($H$23=0)</f>
        <v>2560</v>
      </c>
      <c r="W127" s="131" t="n">
        <f aca="false">IF(AND(W$5&gt;=$M$23,W$5&lt;$N$23),$E$23-$F$23-IF(W$5&gt;=$H$23,$G$23,0),0)*($H$23&lt;&gt;0)+IF(AND(W$5&gt;=$M$23,W$5&lt;$N$23),$E$23-$F$23,0)*($H$23=0)</f>
        <v>2560</v>
      </c>
      <c r="X127" s="131" t="n">
        <f aca="false">IF(AND(X$5&gt;=$M$23,X$5&lt;$N$23),$E$23-$F$23-IF(X$5&gt;=$H$23,$G$23,0),0)*($H$23&lt;&gt;0)+IF(AND(X$5&gt;=$M$23,X$5&lt;$N$23),$E$23-$F$23,0)*($H$23=0)</f>
        <v>2560</v>
      </c>
      <c r="Y127" s="131" t="n">
        <f aca="false">IF(AND(Y$5&gt;=$M$23,Y$5&lt;$N$23),$E$23-$F$23-IF(Y$5&gt;=$H$23,$G$23,0),0)*($H$23&lt;&gt;0)+IF(AND(Y$5&gt;=$M$23,Y$5&lt;$N$23),$E$23-$F$23,0)*($H$23=0)</f>
        <v>2560</v>
      </c>
      <c r="Z127" s="131" t="n">
        <f aca="false">IF(AND(Z$5&gt;=$M$23,Z$5&lt;$N$23),$E$23-$F$23-IF(Z$5&gt;=$H$23,$G$23,0),0)*($H$23&lt;&gt;0)+IF(AND(Z$5&gt;=$M$23,Z$5&lt;$N$23),$E$23-$F$23,0)*($H$23=0)</f>
        <v>2560</v>
      </c>
      <c r="AA127" s="131" t="n">
        <f aca="false">IF(AND(AA$5&gt;=$M$23,AA$5&lt;$N$23),$E$23-$F$23-IF(AA$5&gt;=$H$23,$G$23,0),0)*($H$23&lt;&gt;0)+IF(AND(AA$5&gt;=$M$23,AA$5&lt;$N$23),$E$23-$F$23,0)*($H$23=0)</f>
        <v>2560</v>
      </c>
      <c r="AB127" s="131" t="n">
        <f aca="false">IF(AND(AB$5&gt;=$M$23,AB$5&lt;$N$23),$E$23-$F$23-IF(AB$5&gt;=$H$23,$G$23,0),0)*($H$23&lt;&gt;0)+IF(AND(AB$5&gt;=$M$23,AB$5&lt;$N$23),$E$23-$F$23,0)*($H$23=0)</f>
        <v>2560</v>
      </c>
      <c r="AC127" s="131" t="n">
        <f aca="false">IF(AND(AC$5&gt;=$M$23,AC$5&lt;$N$23),$E$23-$F$23-IF(AC$5&gt;=$H$23,$G$23,0),0)*($H$23&lt;&gt;0)+IF(AND(AC$5&gt;=$M$23,AC$5&lt;$N$23),$E$23-$F$23,0)*($H$23=0)</f>
        <v>2560</v>
      </c>
      <c r="AD127" s="131" t="n">
        <f aca="false">IF(AND(AD$5&gt;=$M$23,AD$5&lt;$N$23),$E$23-$F$23-IF(AD$5&gt;=$H$23,$G$23,0),0)*($H$23&lt;&gt;0)+IF(AND(AD$5&gt;=$M$23,AD$5&lt;$N$23),$E$23-$F$23,0)*($H$23=0)</f>
        <v>2560</v>
      </c>
      <c r="AE127" s="131" t="n">
        <f aca="false">IF(AND(AE$5&gt;=$M$23,AE$5&lt;$N$23),$E$23-$F$23-IF(AE$5&gt;=$H$23,$G$23,0),0)*($H$23&lt;&gt;0)+IF(AND(AE$5&gt;=$M$23,AE$5&lt;$N$23),$E$23-$F$23,0)*($H$23=0)</f>
        <v>2560</v>
      </c>
      <c r="AF127" s="131" t="n">
        <f aca="false">IF(AND(AF$5&gt;=$M$23,AF$5&lt;$N$23),$E$23-$F$23-IF(AF$5&gt;=$H$23,$G$23,0),0)*($H$23&lt;&gt;0)+IF(AND(AF$5&gt;=$M$23,AF$5&lt;$N$23),$E$23-$F$23,0)*($H$23=0)</f>
        <v>2560</v>
      </c>
      <c r="AG127" s="131" t="n">
        <f aca="false">IF(AND(AG$5&gt;=$M$23,AG$5&lt;$N$23),$E$23-$F$23-IF(AG$5&gt;=$H$23,$G$23,0),0)*($H$23&lt;&gt;0)+IF(AND(AG$5&gt;=$M$23,AG$5&lt;$N$23),$E$23-$F$23,0)*($H$23=0)</f>
        <v>2560</v>
      </c>
      <c r="AI127" s="131" t="n">
        <f aca="false">INDEX($F127:$AG127,1,MATCH(AI$7,$F$7:$AG$7,1))</f>
        <v>0</v>
      </c>
      <c r="AJ127" s="131" t="n">
        <f aca="false">INDEX($F127:$AG127,1,MATCH(AJ$7,$F$7:$AG$7,1))</f>
        <v>0</v>
      </c>
      <c r="AK127" s="131" t="n">
        <f aca="false">INDEX($F127:$AG127,1,MATCH(AK$7,$F$7:$AG$7,1))</f>
        <v>0</v>
      </c>
      <c r="AL127" s="131" t="n">
        <f aca="false">INDEX($F127:$AG127,1,MATCH(AL$7,$F$7:$AG$7,1))</f>
        <v>2560</v>
      </c>
      <c r="AM127" s="131" t="n">
        <f aca="false">INDEX($F127:$AG127,1,MATCH(AM$7,$F$7:$AG$7,1))</f>
        <v>2560</v>
      </c>
      <c r="AN127" s="131" t="n">
        <f aca="false">INDEX($F127:$AG127,1,MATCH(AN$7,$F$7:$AG$7,1))</f>
        <v>2560</v>
      </c>
      <c r="AO127" s="131" t="n">
        <f aca="false">INDEX($F127:$AG127,1,MATCH(AO$7,$F$7:$AG$7,1))</f>
        <v>2560</v>
      </c>
    </row>
    <row r="128" customFormat="false" ht="15" hidden="false" customHeight="false" outlineLevel="0" collapsed="false">
      <c r="A128" s="112" t="s">
        <v>2605</v>
      </c>
      <c r="B128" s="24" t="s">
        <v>745</v>
      </c>
      <c r="C128" s="24" t="s">
        <v>736</v>
      </c>
      <c r="D128" s="24"/>
      <c r="F128" s="130" t="n">
        <f aca="false">F127*$C$23/4</f>
        <v>0</v>
      </c>
      <c r="G128" s="130" t="n">
        <f aca="false">G127*$C$23/4</f>
        <v>0</v>
      </c>
      <c r="H128" s="130" t="n">
        <f aca="false">H127*$C$23/4</f>
        <v>0</v>
      </c>
      <c r="I128" s="130" t="n">
        <f aca="false">I127*$C$23/4</f>
        <v>0</v>
      </c>
      <c r="J128" s="130" t="n">
        <f aca="false">J127*$C$23/4</f>
        <v>0</v>
      </c>
      <c r="K128" s="130" t="n">
        <f aca="false">K127*$C$23/4</f>
        <v>0</v>
      </c>
      <c r="L128" s="130" t="n">
        <f aca="false">L127*$C$23/4</f>
        <v>0</v>
      </c>
      <c r="M128" s="130" t="n">
        <f aca="false">M127*$C$23/4</f>
        <v>0</v>
      </c>
      <c r="N128" s="130" t="n">
        <f aca="false">N127*$C$23/4</f>
        <v>0</v>
      </c>
      <c r="O128" s="130" t="n">
        <f aca="false">O127*$C$23/4</f>
        <v>0</v>
      </c>
      <c r="P128" s="131" t="n">
        <f aca="false">P127*$C$23/4</f>
        <v>0</v>
      </c>
      <c r="Q128" s="131" t="n">
        <f aca="false">Q127*$C$23/4</f>
        <v>0</v>
      </c>
      <c r="R128" s="131" t="n">
        <f aca="false">R127*$C$23/4</f>
        <v>0</v>
      </c>
      <c r="S128" s="131" t="n">
        <f aca="false">S127*$C$23/4</f>
        <v>0</v>
      </c>
      <c r="T128" s="131" t="n">
        <f aca="false">T127*$C$23/4</f>
        <v>28.8</v>
      </c>
      <c r="U128" s="131" t="n">
        <f aca="false">U127*$C$23/4</f>
        <v>28.8</v>
      </c>
      <c r="V128" s="131" t="n">
        <f aca="false">V127*$C$23/4</f>
        <v>28.8</v>
      </c>
      <c r="W128" s="131" t="n">
        <f aca="false">W127*$C$23/4</f>
        <v>28.8</v>
      </c>
      <c r="X128" s="131" t="n">
        <f aca="false">X127*$C$23/4</f>
        <v>28.8</v>
      </c>
      <c r="Y128" s="131" t="n">
        <f aca="false">Y127*$C$23/4</f>
        <v>28.8</v>
      </c>
      <c r="Z128" s="131" t="n">
        <f aca="false">Z127*$C$23/4</f>
        <v>28.8</v>
      </c>
      <c r="AA128" s="131" t="n">
        <f aca="false">AA127*$C$23/4</f>
        <v>28.8</v>
      </c>
      <c r="AB128" s="131" t="n">
        <f aca="false">AB127*$C$23/4</f>
        <v>28.8</v>
      </c>
      <c r="AC128" s="131" t="n">
        <f aca="false">AC127*$C$23/4</f>
        <v>28.8</v>
      </c>
      <c r="AD128" s="131" t="n">
        <f aca="false">AD127*$C$23/4</f>
        <v>28.8</v>
      </c>
      <c r="AE128" s="131" t="n">
        <f aca="false">AE127*$C$23/4</f>
        <v>28.8</v>
      </c>
      <c r="AF128" s="131" t="n">
        <f aca="false">AF127*$C$23/4</f>
        <v>28.8</v>
      </c>
      <c r="AG128" s="131" t="n">
        <f aca="false">AG127*$C$23/4</f>
        <v>28.8</v>
      </c>
      <c r="AI128" s="131" t="n">
        <f aca="false">SUMIF($F$7:$AG$7,AI$7,$F128:$AG128)</f>
        <v>0</v>
      </c>
      <c r="AJ128" s="131" t="n">
        <f aca="false">SUMIF($F$7:$AG$7,AJ$7,$F128:$AG128)</f>
        <v>0</v>
      </c>
      <c r="AK128" s="131" t="n">
        <f aca="false">SUMIF($F$7:$AG$7,AK$7,$F128:$AG128)</f>
        <v>0</v>
      </c>
      <c r="AL128" s="131" t="n">
        <f aca="false">SUMIF($F$7:$AG$7,AL$7,$F128:$AG128)</f>
        <v>57.6</v>
      </c>
      <c r="AM128" s="131" t="n">
        <f aca="false">SUMIF($F$7:$AG$7,AM$7,$F128:$AG128)</f>
        <v>115.2</v>
      </c>
      <c r="AN128" s="131" t="n">
        <f aca="false">SUMIF($F$7:$AG$7,AN$7,$F128:$AG128)</f>
        <v>115.2</v>
      </c>
      <c r="AO128" s="131" t="n">
        <f aca="false">SUMIF($F$7:$AG$7,AO$7,$F128:$AG128)</f>
        <v>115.2</v>
      </c>
    </row>
    <row r="129" customFormat="false" ht="15" hidden="false" customHeight="false" outlineLevel="0" collapsed="false">
      <c r="A129" s="112" t="s">
        <v>2606</v>
      </c>
      <c r="B129" s="24" t="s">
        <v>745</v>
      </c>
      <c r="C129" s="24" t="s">
        <v>736</v>
      </c>
      <c r="D129" s="24"/>
      <c r="F129" s="130" t="n">
        <f aca="false">F127*($J$23-1)/(($D$23-$B$23)/91.3125)</f>
        <v>0</v>
      </c>
      <c r="G129" s="130" t="n">
        <f aca="false">G127*($J$23-1)/(($D$23-$B$23)/91.3125)</f>
        <v>0</v>
      </c>
      <c r="H129" s="130" t="n">
        <f aca="false">H127*($J$23-1)/(($D$23-$B$23)/91.3125)</f>
        <v>0</v>
      </c>
      <c r="I129" s="130" t="n">
        <f aca="false">I127*($J$23-1)/(($D$23-$B$23)/91.3125)</f>
        <v>0</v>
      </c>
      <c r="J129" s="130" t="n">
        <f aca="false">J127*($J$23-1)/(($D$23-$B$23)/91.3125)</f>
        <v>0</v>
      </c>
      <c r="K129" s="130" t="n">
        <f aca="false">K127*($J$23-1)/(($D$23-$B$23)/91.3125)</f>
        <v>0</v>
      </c>
      <c r="L129" s="130" t="n">
        <f aca="false">L127*($J$23-1)/(($D$23-$B$23)/91.3125)</f>
        <v>0</v>
      </c>
      <c r="M129" s="130" t="n">
        <f aca="false">M127*($J$23-1)/(($D$23-$B$23)/91.3125)</f>
        <v>0</v>
      </c>
      <c r="N129" s="130" t="n">
        <f aca="false">N127*($J$23-1)/(($D$23-$B$23)/91.3125)</f>
        <v>0</v>
      </c>
      <c r="O129" s="130" t="n">
        <f aca="false">O127*($J$23-1)/(($D$23-$B$23)/91.3125)</f>
        <v>0</v>
      </c>
      <c r="P129" s="131" t="n">
        <f aca="false">P127*($J$23-1)/(($D$23-$B$23)/91.3125)</f>
        <v>0</v>
      </c>
      <c r="Q129" s="131" t="n">
        <f aca="false">Q127*($J$23-1)/(($D$23-$B$23)/91.3125)</f>
        <v>0</v>
      </c>
      <c r="R129" s="131" t="n">
        <f aca="false">R127*($J$23-1)/(($D$23-$B$23)/91.3125)</f>
        <v>0</v>
      </c>
      <c r="S129" s="131" t="n">
        <f aca="false">S127*($J$23-1)/(($D$23-$B$23)/91.3125)</f>
        <v>0</v>
      </c>
      <c r="T129" s="131" t="n">
        <f aca="false">T127*($J$23-1)/(($D$23-$B$23)/91.3125)</f>
        <v>21.3206858810653</v>
      </c>
      <c r="U129" s="131" t="n">
        <f aca="false">U127*($J$23-1)/(($D$23-$B$23)/91.3125)</f>
        <v>21.3206858810653</v>
      </c>
      <c r="V129" s="131" t="n">
        <f aca="false">V127*($J$23-1)/(($D$23-$B$23)/91.3125)</f>
        <v>21.3206858810653</v>
      </c>
      <c r="W129" s="131" t="n">
        <f aca="false">W127*($J$23-1)/(($D$23-$B$23)/91.3125)</f>
        <v>21.3206858810653</v>
      </c>
      <c r="X129" s="131" t="n">
        <f aca="false">X127*($J$23-1)/(($D$23-$B$23)/91.3125)</f>
        <v>21.3206858810653</v>
      </c>
      <c r="Y129" s="131" t="n">
        <f aca="false">Y127*($J$23-1)/(($D$23-$B$23)/91.3125)</f>
        <v>21.3206858810653</v>
      </c>
      <c r="Z129" s="131" t="n">
        <f aca="false">Z127*($J$23-1)/(($D$23-$B$23)/91.3125)</f>
        <v>21.3206858810653</v>
      </c>
      <c r="AA129" s="131" t="n">
        <f aca="false">AA127*($J$23-1)/(($D$23-$B$23)/91.3125)</f>
        <v>21.3206858810653</v>
      </c>
      <c r="AB129" s="131" t="n">
        <f aca="false">AB127*($J$23-1)/(($D$23-$B$23)/91.3125)</f>
        <v>21.3206858810653</v>
      </c>
      <c r="AC129" s="131" t="n">
        <f aca="false">AC127*($J$23-1)/(($D$23-$B$23)/91.3125)</f>
        <v>21.3206858810653</v>
      </c>
      <c r="AD129" s="131" t="n">
        <f aca="false">AD127*($J$23-1)/(($D$23-$B$23)/91.3125)</f>
        <v>21.3206858810653</v>
      </c>
      <c r="AE129" s="131" t="n">
        <f aca="false">AE127*($J$23-1)/(($D$23-$B$23)/91.3125)</f>
        <v>21.3206858810653</v>
      </c>
      <c r="AF129" s="131" t="n">
        <f aca="false">AF127*($J$23-1)/(($D$23-$B$23)/91.3125)</f>
        <v>21.3206858810653</v>
      </c>
      <c r="AG129" s="131" t="n">
        <f aca="false">AG127*($J$23-1)/(($D$23-$B$23)/91.3125)</f>
        <v>21.3206858810653</v>
      </c>
      <c r="AI129" s="131" t="n">
        <f aca="false">SUMIF($F$7:$AG$7,AI$7,$F129:$AG129)</f>
        <v>0</v>
      </c>
      <c r="AJ129" s="131" t="n">
        <f aca="false">SUMIF($F$7:$AG$7,AJ$7,$F129:$AG129)</f>
        <v>0</v>
      </c>
      <c r="AK129" s="131" t="n">
        <f aca="false">SUMIF($F$7:$AG$7,AK$7,$F129:$AG129)</f>
        <v>0</v>
      </c>
      <c r="AL129" s="131" t="n">
        <f aca="false">SUMIF($F$7:$AG$7,AL$7,$F129:$AG129)</f>
        <v>42.6413717621306</v>
      </c>
      <c r="AM129" s="131" t="n">
        <f aca="false">SUMIF($F$7:$AG$7,AM$7,$F129:$AG129)</f>
        <v>85.2827435242612</v>
      </c>
      <c r="AN129" s="131" t="n">
        <f aca="false">SUMIF($F$7:$AG$7,AN$7,$F129:$AG129)</f>
        <v>85.2827435242612</v>
      </c>
      <c r="AO129" s="131" t="n">
        <f aca="false">SUMIF($F$7:$AG$7,AO$7,$F129:$AG129)</f>
        <v>85.2827435242612</v>
      </c>
    </row>
    <row r="130" customFormat="false" ht="15" hidden="false" customHeight="false" outlineLevel="0" collapsed="false">
      <c r="A130" s="112" t="s">
        <v>2607</v>
      </c>
      <c r="B130" s="24" t="s">
        <v>745</v>
      </c>
      <c r="C130" s="24" t="s">
        <v>736</v>
      </c>
      <c r="D130" s="24"/>
      <c r="F130" s="130" t="n">
        <f aca="false">F127*(1+($J$23-1)*MIN(1,MAX(0,(F$4-$B$23)/($D$23-$B$23))))</f>
        <v>0</v>
      </c>
      <c r="G130" s="130" t="n">
        <f aca="false">G127*(1+($J$23-1)*MIN(1,MAX(0,(G$4-$B$23)/($D$23-$B$23))))</f>
        <v>0</v>
      </c>
      <c r="H130" s="130" t="n">
        <f aca="false">H127*(1+($J$23-1)*MIN(1,MAX(0,(H$4-$B$23)/($D$23-$B$23))))</f>
        <v>0</v>
      </c>
      <c r="I130" s="130" t="n">
        <f aca="false">I127*(1+($J$23-1)*MIN(1,MAX(0,(I$4-$B$23)/($D$23-$B$23))))</f>
        <v>0</v>
      </c>
      <c r="J130" s="130" t="n">
        <f aca="false">J127*(1+($J$23-1)*MIN(1,MAX(0,(J$4-$B$23)/($D$23-$B$23))))</f>
        <v>0</v>
      </c>
      <c r="K130" s="130" t="n">
        <f aca="false">K127*(1+($J$23-1)*MIN(1,MAX(0,(K$4-$B$23)/($D$23-$B$23))))</f>
        <v>0</v>
      </c>
      <c r="L130" s="130" t="n">
        <f aca="false">L127*(1+($J$23-1)*MIN(1,MAX(0,(L$4-$B$23)/($D$23-$B$23))))</f>
        <v>0</v>
      </c>
      <c r="M130" s="130" t="n">
        <f aca="false">M127*(1+($J$23-1)*MIN(1,MAX(0,(M$4-$B$23)/($D$23-$B$23))))</f>
        <v>0</v>
      </c>
      <c r="N130" s="130" t="n">
        <f aca="false">N127*(1+($J$23-1)*MIN(1,MAX(0,(N$4-$B$23)/($D$23-$B$23))))</f>
        <v>0</v>
      </c>
      <c r="O130" s="130" t="n">
        <f aca="false">O127*(1+($J$23-1)*MIN(1,MAX(0,(O$4-$B$23)/($D$23-$B$23))))</f>
        <v>0</v>
      </c>
      <c r="P130" s="131" t="n">
        <f aca="false">P127*(1+($J$23-1)*MIN(1,MAX(0,(P$4-$B$23)/($D$23-$B$23))))</f>
        <v>0</v>
      </c>
      <c r="Q130" s="131" t="n">
        <f aca="false">Q127*(1+($J$23-1)*MIN(1,MAX(0,(Q$4-$B$23)/($D$23-$B$23))))</f>
        <v>0</v>
      </c>
      <c r="R130" s="131" t="n">
        <f aca="false">R127*(1+($J$23-1)*MIN(1,MAX(0,(R$4-$B$23)/($D$23-$B$23))))</f>
        <v>0</v>
      </c>
      <c r="S130" s="131" t="n">
        <f aca="false">S127*(1+($J$23-1)*MIN(1,MAX(0,(S$4-$B$23)/($D$23-$B$23))))</f>
        <v>0</v>
      </c>
      <c r="T130" s="131" t="n">
        <f aca="false">T127*(1+($J$23-1)*MIN(1,MAX(0,(T$4-$B$23)/($D$23-$B$23))))</f>
        <v>2570.97409704487</v>
      </c>
      <c r="U130" s="131" t="n">
        <f aca="false">U127*(1+($J$23-1)*MIN(1,MAX(0,(U$4-$B$23)/($D$23-$B$23))))</f>
        <v>2592.45530828165</v>
      </c>
      <c r="V130" s="131" t="n">
        <f aca="false">V127*(1+($J$23-1)*MIN(1,MAX(0,(V$4-$B$23)/($D$23-$B$23))))</f>
        <v>2613.70302809194</v>
      </c>
      <c r="W130" s="131" t="n">
        <f aca="false">W127*(1+($J$23-1)*MIN(1,MAX(0,(W$4-$B$23)/($D$23-$B$23))))</f>
        <v>2634.95074790223</v>
      </c>
      <c r="X130" s="131" t="n">
        <f aca="false">X127*(1+($J$23-1)*MIN(1,MAX(0,(X$4-$B$23)/($D$23-$B$23))))</f>
        <v>2656.431959139</v>
      </c>
      <c r="Y130" s="131" t="n">
        <f aca="false">Y127*(1+($J$23-1)*MIN(1,MAX(0,(Y$4-$B$23)/($D$23-$B$23))))</f>
        <v>2677.91317037578</v>
      </c>
      <c r="Z130" s="131" t="n">
        <f aca="false">Z127*(1+($J$23-1)*MIN(1,MAX(0,(Z$4-$B$23)/($D$23-$B$23))))</f>
        <v>2698.92739875958</v>
      </c>
      <c r="AA130" s="131" t="n">
        <f aca="false">AA127*(1+($J$23-1)*MIN(1,MAX(0,(AA$4-$B$23)/($D$23-$B$23))))</f>
        <v>2720.17511856987</v>
      </c>
      <c r="AB130" s="131" t="n">
        <f aca="false">AB127*(1+($J$23-1)*MIN(1,MAX(0,(AB$4-$B$23)/($D$23-$B$23))))</f>
        <v>2741.65632980664</v>
      </c>
      <c r="AC130" s="131" t="n">
        <f aca="false">AC127*(1+($J$23-1)*MIN(1,MAX(0,(AC$4-$B$23)/($D$23-$B$23))))</f>
        <v>2763.13754104342</v>
      </c>
      <c r="AD130" s="131" t="n">
        <f aca="false">AD127*(1+($J$23-1)*MIN(1,MAX(0,(AD$4-$B$23)/($D$23-$B$23))))</f>
        <v>2784.15176942722</v>
      </c>
      <c r="AE130" s="131" t="n">
        <f aca="false">AE127*(1+($J$23-1)*MIN(1,MAX(0,(AE$4-$B$23)/($D$23-$B$23))))</f>
        <v>2805.3994892375</v>
      </c>
      <c r="AF130" s="131" t="n">
        <f aca="false">AF127*(1+($J$23-1)*MIN(1,MAX(0,(AF$4-$B$23)/($D$23-$B$23))))</f>
        <v>2826.88070047428</v>
      </c>
      <c r="AG130" s="131" t="n">
        <f aca="false">AG127*(1+($J$23-1)*MIN(1,MAX(0,(AG$4-$B$23)/($D$23-$B$23))))</f>
        <v>2848.36191171105</v>
      </c>
      <c r="AI130" s="131" t="n">
        <f aca="false">INDEX($F130:$AG130,1,MATCH(AI$7,$F$7:$AG$7,1))</f>
        <v>0</v>
      </c>
      <c r="AJ130" s="131" t="n">
        <f aca="false">INDEX($F130:$AG130,1,MATCH(AJ$7,$F$7:$AG$7,1))</f>
        <v>0</v>
      </c>
      <c r="AK130" s="131" t="n">
        <f aca="false">INDEX($F130:$AG130,1,MATCH(AK$7,$F$7:$AG$7,1))</f>
        <v>0</v>
      </c>
      <c r="AL130" s="131" t="n">
        <f aca="false">INDEX($F130:$AG130,1,MATCH(AL$7,$F$7:$AG$7,1))</f>
        <v>2592.45530828165</v>
      </c>
      <c r="AM130" s="131" t="n">
        <f aca="false">INDEX($F130:$AG130,1,MATCH(AM$7,$F$7:$AG$7,1))</f>
        <v>2677.91317037578</v>
      </c>
      <c r="AN130" s="131" t="n">
        <f aca="false">INDEX($F130:$AG130,1,MATCH(AN$7,$F$7:$AG$7,1))</f>
        <v>2763.13754104342</v>
      </c>
      <c r="AO130" s="131" t="n">
        <f aca="false">INDEX($F130:$AG130,1,MATCH(AO$7,$F$7:$AG$7,1))</f>
        <v>2848.36191171105</v>
      </c>
    </row>
    <row r="131" customFormat="false" ht="15" hidden="false" customHeight="false" outlineLevel="0" collapsed="false">
      <c r="A131" s="112" t="s">
        <v>2608</v>
      </c>
      <c r="B131" s="24" t="s">
        <v>745</v>
      </c>
      <c r="C131" s="24" t="s">
        <v>736</v>
      </c>
      <c r="D131" s="24"/>
      <c r="F131" s="130" t="n">
        <f aca="false">F127*($S$23+($J$23-$S$23)*MIN(1,MAX(0,(F$4-$T$23)/($D$23-$T$23))))</f>
        <v>0</v>
      </c>
      <c r="G131" s="130" t="n">
        <f aca="false">G127*($S$23+($J$23-$S$23)*MIN(1,MAX(0,(G$4-$T$23)/($D$23-$T$23))))</f>
        <v>0</v>
      </c>
      <c r="H131" s="130" t="n">
        <f aca="false">H127*($S$23+($J$23-$S$23)*MIN(1,MAX(0,(H$4-$T$23)/($D$23-$T$23))))</f>
        <v>0</v>
      </c>
      <c r="I131" s="130" t="n">
        <f aca="false">I127*($S$23+($J$23-$S$23)*MIN(1,MAX(0,(I$4-$T$23)/($D$23-$T$23))))</f>
        <v>0</v>
      </c>
      <c r="J131" s="130" t="n">
        <f aca="false">J127*($S$23+($J$23-$S$23)*MIN(1,MAX(0,(J$4-$T$23)/($D$23-$T$23))))</f>
        <v>0</v>
      </c>
      <c r="K131" s="130" t="n">
        <f aca="false">K127*($S$23+($J$23-$S$23)*MIN(1,MAX(0,(K$4-$T$23)/($D$23-$T$23))))</f>
        <v>0</v>
      </c>
      <c r="L131" s="130" t="n">
        <f aca="false">L127*($S$23+($J$23-$S$23)*MIN(1,MAX(0,(L$4-$T$23)/($D$23-$T$23))))</f>
        <v>0</v>
      </c>
      <c r="M131" s="130" t="n">
        <f aca="false">M127*($S$23+($J$23-$S$23)*MIN(1,MAX(0,(M$4-$T$23)/($D$23-$T$23))))</f>
        <v>0</v>
      </c>
      <c r="N131" s="130" t="n">
        <f aca="false">N127*($S$23+($J$23-$S$23)*MIN(1,MAX(0,(N$4-$T$23)/($D$23-$T$23))))</f>
        <v>0</v>
      </c>
      <c r="O131" s="130" t="n">
        <f aca="false">O127*($S$23+($J$23-$S$23)*MIN(1,MAX(0,(O$4-$T$23)/($D$23-$T$23))))</f>
        <v>0</v>
      </c>
      <c r="P131" s="131" t="n">
        <f aca="false">P127*($S$23+($J$23-$S$23)*MIN(1,MAX(0,(P$4-$T$23)/($D$23-$T$23))))</f>
        <v>0</v>
      </c>
      <c r="Q131" s="131" t="n">
        <f aca="false">Q127*($S$23+($J$23-$S$23)*MIN(1,MAX(0,(Q$4-$T$23)/($D$23-$T$23))))</f>
        <v>0</v>
      </c>
      <c r="R131" s="131" t="n">
        <f aca="false">R127*($S$23+($J$23-$S$23)*MIN(1,MAX(0,(R$4-$T$23)/($D$23-$T$23))))</f>
        <v>0</v>
      </c>
      <c r="S131" s="131" t="n">
        <f aca="false">S127*($S$23+($J$23-$S$23)*MIN(1,MAX(0,(S$4-$T$23)/($D$23-$T$23))))</f>
        <v>0</v>
      </c>
      <c r="T131" s="131" t="n">
        <f aca="false">T127*($S$23+($J$23-$S$23)*MIN(1,MAX(0,(T$4-$T$23)/($D$23-$T$23))))</f>
        <v>2570.97409704487</v>
      </c>
      <c r="U131" s="131" t="n">
        <f aca="false">U127*($S$23+($J$23-$S$23)*MIN(1,MAX(0,(U$4-$T$23)/($D$23-$T$23))))</f>
        <v>2592.45530828165</v>
      </c>
      <c r="V131" s="131" t="n">
        <f aca="false">V127*($S$23+($J$23-$S$23)*MIN(1,MAX(0,(V$4-$T$23)/($D$23-$T$23))))</f>
        <v>2613.70302809194</v>
      </c>
      <c r="W131" s="131" t="n">
        <f aca="false">W127*($S$23+($J$23-$S$23)*MIN(1,MAX(0,(W$4-$T$23)/($D$23-$T$23))))</f>
        <v>2634.95074790223</v>
      </c>
      <c r="X131" s="131" t="n">
        <f aca="false">X127*($S$23+($J$23-$S$23)*MIN(1,MAX(0,(X$4-$T$23)/($D$23-$T$23))))</f>
        <v>2656.431959139</v>
      </c>
      <c r="Y131" s="131" t="n">
        <f aca="false">Y127*($S$23+($J$23-$S$23)*MIN(1,MAX(0,(Y$4-$T$23)/($D$23-$T$23))))</f>
        <v>2677.91317037578</v>
      </c>
      <c r="Z131" s="131" t="n">
        <f aca="false">Z127*($S$23+($J$23-$S$23)*MIN(1,MAX(0,(Z$4-$T$23)/($D$23-$T$23))))</f>
        <v>2698.92739875958</v>
      </c>
      <c r="AA131" s="131" t="n">
        <f aca="false">AA127*($S$23+($J$23-$S$23)*MIN(1,MAX(0,(AA$4-$T$23)/($D$23-$T$23))))</f>
        <v>2720.17511856987</v>
      </c>
      <c r="AB131" s="131" t="n">
        <f aca="false">AB127*($S$23+($J$23-$S$23)*MIN(1,MAX(0,(AB$4-$T$23)/($D$23-$T$23))))</f>
        <v>2741.65632980664</v>
      </c>
      <c r="AC131" s="131" t="n">
        <f aca="false">AC127*($S$23+($J$23-$S$23)*MIN(1,MAX(0,(AC$4-$T$23)/($D$23-$T$23))))</f>
        <v>2763.13754104342</v>
      </c>
      <c r="AD131" s="131" t="n">
        <f aca="false">AD127*($S$23+($J$23-$S$23)*MIN(1,MAX(0,(AD$4-$T$23)/($D$23-$T$23))))</f>
        <v>2784.15176942722</v>
      </c>
      <c r="AE131" s="131" t="n">
        <f aca="false">AE127*($S$23+($J$23-$S$23)*MIN(1,MAX(0,(AE$4-$T$23)/($D$23-$T$23))))</f>
        <v>2805.3994892375</v>
      </c>
      <c r="AF131" s="131" t="n">
        <f aca="false">AF127*($S$23+($J$23-$S$23)*MIN(1,MAX(0,(AF$4-$T$23)/($D$23-$T$23))))</f>
        <v>2826.88070047428</v>
      </c>
      <c r="AG131" s="131" t="n">
        <f aca="false">AG127*($S$23+($J$23-$S$23)*MIN(1,MAX(0,(AG$4-$T$23)/($D$23-$T$23))))</f>
        <v>2848.36191171105</v>
      </c>
      <c r="AI131" s="131" t="n">
        <f aca="false">INDEX($F131:$AG131,1,MATCH(AI$7,$F$7:$AG$7,1))</f>
        <v>0</v>
      </c>
      <c r="AJ131" s="131" t="n">
        <f aca="false">INDEX($F131:$AG131,1,MATCH(AJ$7,$F$7:$AG$7,1))</f>
        <v>0</v>
      </c>
      <c r="AK131" s="131" t="n">
        <f aca="false">INDEX($F131:$AG131,1,MATCH(AK$7,$F$7:$AG$7,1))</f>
        <v>0</v>
      </c>
      <c r="AL131" s="131" t="n">
        <f aca="false">INDEX($F131:$AG131,1,MATCH(AL$7,$F$7:$AG$7,1))</f>
        <v>2592.45530828165</v>
      </c>
      <c r="AM131" s="131" t="n">
        <f aca="false">INDEX($F131:$AG131,1,MATCH(AM$7,$F$7:$AG$7,1))</f>
        <v>2677.91317037578</v>
      </c>
      <c r="AN131" s="131" t="n">
        <f aca="false">INDEX($F131:$AG131,1,MATCH(AN$7,$F$7:$AG$7,1))</f>
        <v>2763.13754104342</v>
      </c>
      <c r="AO131" s="131" t="n">
        <f aca="false">INDEX($F131:$AG131,1,MATCH(AO$7,$F$7:$AG$7,1))</f>
        <v>2848.36191171105</v>
      </c>
    </row>
    <row r="132" customFormat="false" ht="15" hidden="false" customHeight="false" outlineLevel="0" collapsed="false">
      <c r="A132" s="112" t="s">
        <v>2609</v>
      </c>
      <c r="B132" s="24" t="s">
        <v>745</v>
      </c>
      <c r="C132" s="24" t="s">
        <v>736</v>
      </c>
      <c r="D132" s="24"/>
      <c r="F132" s="130" t="n">
        <f aca="false">IF(F$5=$N$23,E127*$J$23*(1-$O$23),0)</f>
        <v>0</v>
      </c>
      <c r="G132" s="130" t="n">
        <f aca="false">IF(G$5=$N$23,F127*$J$23*(1-$O$23),0)</f>
        <v>0</v>
      </c>
      <c r="H132" s="130" t="n">
        <f aca="false">IF(H$5=$N$23,G127*$J$23*(1-$O$23),0)</f>
        <v>0</v>
      </c>
      <c r="I132" s="130" t="n">
        <f aca="false">IF(I$5=$N$23,H127*$J$23*(1-$O$23),0)</f>
        <v>0</v>
      </c>
      <c r="J132" s="130" t="n">
        <f aca="false">IF(J$5=$N$23,I127*$J$23*(1-$O$23),0)</f>
        <v>0</v>
      </c>
      <c r="K132" s="130" t="n">
        <f aca="false">IF(K$5=$N$23,J127*$J$23*(1-$O$23),0)</f>
        <v>0</v>
      </c>
      <c r="L132" s="130" t="n">
        <f aca="false">IF(L$5=$N$23,K127*$J$23*(1-$O$23),0)</f>
        <v>0</v>
      </c>
      <c r="M132" s="130" t="n">
        <f aca="false">IF(M$5=$N$23,L127*$J$23*(1-$O$23),0)</f>
        <v>0</v>
      </c>
      <c r="N132" s="130" t="n">
        <f aca="false">IF(N$5=$N$23,M127*$J$23*(1-$O$23),0)</f>
        <v>0</v>
      </c>
      <c r="O132" s="130" t="n">
        <f aca="false">IF(O$5=$N$23,N127*$J$23*(1-$O$23),0)</f>
        <v>0</v>
      </c>
      <c r="P132" s="131" t="n">
        <f aca="false">IF(P$5=$N$23,O127*$J$23*(1-$O$23),0)</f>
        <v>0</v>
      </c>
      <c r="Q132" s="131" t="n">
        <f aca="false">IF(Q$5=$N$23,P127*$J$23*(1-$O$23),0)</f>
        <v>0</v>
      </c>
      <c r="R132" s="131" t="n">
        <f aca="false">IF(R$5=$N$23,Q127*$J$23*(1-$O$23),0)</f>
        <v>0</v>
      </c>
      <c r="S132" s="131" t="n">
        <f aca="false">IF(S$5=$N$23,R127*$J$23*(1-$O$23),0)</f>
        <v>0</v>
      </c>
      <c r="T132" s="131" t="n">
        <f aca="false">IF(T$5=$N$23,S127*$J$23*(1-$O$23),0)</f>
        <v>0</v>
      </c>
      <c r="U132" s="131" t="n">
        <f aca="false">IF(U$5=$N$23,T127*$J$23*(1-$O$23),0)</f>
        <v>0</v>
      </c>
      <c r="V132" s="131" t="n">
        <f aca="false">IF(V$5=$N$23,U127*$J$23*(1-$O$23),0)</f>
        <v>0</v>
      </c>
      <c r="W132" s="131" t="n">
        <f aca="false">IF(W$5=$N$23,V127*$J$23*(1-$O$23),0)</f>
        <v>0</v>
      </c>
      <c r="X132" s="131" t="n">
        <f aca="false">IF(X$5=$N$23,W127*$J$23*(1-$O$23),0)</f>
        <v>0</v>
      </c>
      <c r="Y132" s="131" t="n">
        <f aca="false">IF(Y$5=$N$23,X127*$J$23*(1-$O$23),0)</f>
        <v>0</v>
      </c>
      <c r="Z132" s="131" t="n">
        <f aca="false">IF(Z$5=$N$23,Y127*$J$23*(1-$O$23),0)</f>
        <v>0</v>
      </c>
      <c r="AA132" s="131" t="n">
        <f aca="false">IF(AA$5=$N$23,Z127*$J$23*(1-$O$23),0)</f>
        <v>0</v>
      </c>
      <c r="AB132" s="131" t="n">
        <f aca="false">IF(AB$5=$N$23,AA127*$J$23*(1-$O$23),0)</f>
        <v>0</v>
      </c>
      <c r="AC132" s="131" t="n">
        <f aca="false">IF(AC$5=$N$23,AB127*$J$23*(1-$O$23),0)</f>
        <v>0</v>
      </c>
      <c r="AD132" s="131" t="n">
        <f aca="false">IF(AD$5=$N$23,AC127*$J$23*(1-$O$23),0)</f>
        <v>0</v>
      </c>
      <c r="AE132" s="131" t="n">
        <f aca="false">IF(AE$5=$N$23,AD127*$J$23*(1-$O$23),0)</f>
        <v>0</v>
      </c>
      <c r="AF132" s="131" t="n">
        <f aca="false">IF(AF$5=$N$23,AE127*$J$23*(1-$O$23),0)</f>
        <v>0</v>
      </c>
      <c r="AG132" s="131" t="n">
        <f aca="false">IF(AG$5=$N$23,AF127*$J$23*(1-$O$23),0)</f>
        <v>0</v>
      </c>
      <c r="AI132" s="131" t="n">
        <f aca="false">SUMIF($F$7:$AG$7,AI$7,$F132:$AG132)</f>
        <v>0</v>
      </c>
      <c r="AJ132" s="131" t="n">
        <f aca="false">SUMIF($F$7:$AG$7,AJ$7,$F132:$AG132)</f>
        <v>0</v>
      </c>
      <c r="AK132" s="131" t="n">
        <f aca="false">SUMIF($F$7:$AG$7,AK$7,$F132:$AG132)</f>
        <v>0</v>
      </c>
      <c r="AL132" s="131" t="n">
        <f aca="false">SUMIF($F$7:$AG$7,AL$7,$F132:$AG132)</f>
        <v>0</v>
      </c>
      <c r="AM132" s="131" t="n">
        <f aca="false">SUMIF($F$7:$AG$7,AM$7,$F132:$AG132)</f>
        <v>0</v>
      </c>
      <c r="AN132" s="131" t="n">
        <f aca="false">SUMIF($F$7:$AG$7,AN$7,$F132:$AG132)</f>
        <v>0</v>
      </c>
      <c r="AO132" s="131" t="n">
        <f aca="false">SUMIF($F$7:$AG$7,AO$7,$F132:$AG132)</f>
        <v>0</v>
      </c>
    </row>
    <row r="133" customFormat="false" ht="15" hidden="false" customHeight="false" outlineLevel="0" collapsed="false">
      <c r="A133" s="112" t="s">
        <v>2610</v>
      </c>
      <c r="B133" s="24" t="s">
        <v>809</v>
      </c>
      <c r="C133" s="24" t="s">
        <v>736</v>
      </c>
      <c r="D133" s="24"/>
      <c r="F133" s="146" t="n">
        <f aca="false">IF(F$5=$N$23,E127*$K$23/1000*$O$23,0)</f>
        <v>0</v>
      </c>
      <c r="G133" s="146" t="n">
        <f aca="false">IF(G$5=$N$23,F127*$K$23/1000*$O$23,0)</f>
        <v>0</v>
      </c>
      <c r="H133" s="146" t="n">
        <f aca="false">IF(H$5=$N$23,G127*$K$23/1000*$O$23,0)</f>
        <v>0</v>
      </c>
      <c r="I133" s="146" t="n">
        <f aca="false">IF(I$5=$N$23,H127*$K$23/1000*$O$23,0)</f>
        <v>0</v>
      </c>
      <c r="J133" s="146" t="n">
        <f aca="false">IF(J$5=$N$23,I127*$K$23/1000*$O$23,0)</f>
        <v>0</v>
      </c>
      <c r="K133" s="146" t="n">
        <f aca="false">IF(K$5=$N$23,J127*$K$23/1000*$O$23,0)</f>
        <v>0</v>
      </c>
      <c r="L133" s="146" t="n">
        <f aca="false">IF(L$5=$N$23,K127*$K$23/1000*$O$23,0)</f>
        <v>0</v>
      </c>
      <c r="M133" s="146" t="n">
        <f aca="false">IF(M$5=$N$23,L127*$K$23/1000*$O$23,0)</f>
        <v>0</v>
      </c>
      <c r="N133" s="146" t="n">
        <f aca="false">IF(N$5=$N$23,M127*$K$23/1000*$O$23,0)</f>
        <v>0</v>
      </c>
      <c r="O133" s="146" t="n">
        <f aca="false">IF(O$5=$N$23,N127*$K$23/1000*$O$23,0)</f>
        <v>0</v>
      </c>
      <c r="P133" s="54" t="n">
        <f aca="false">IF(P$5=$N$23,O127*$K$23/1000*$O$23,0)</f>
        <v>0</v>
      </c>
      <c r="Q133" s="54" t="n">
        <f aca="false">IF(Q$5=$N$23,P127*$K$23/1000*$O$23,0)</f>
        <v>0</v>
      </c>
      <c r="R133" s="54" t="n">
        <f aca="false">IF(R$5=$N$23,Q127*$K$23/1000*$O$23,0)</f>
        <v>0</v>
      </c>
      <c r="S133" s="54" t="n">
        <f aca="false">IF(S$5=$N$23,R127*$K$23/1000*$O$23,0)</f>
        <v>0</v>
      </c>
      <c r="T133" s="54" t="n">
        <f aca="false">IF(T$5=$N$23,S127*$K$23/1000*$O$23,0)</f>
        <v>0</v>
      </c>
      <c r="U133" s="54" t="n">
        <f aca="false">IF(U$5=$N$23,T127*$K$23/1000*$O$23,0)</f>
        <v>0</v>
      </c>
      <c r="V133" s="54" t="n">
        <f aca="false">IF(V$5=$N$23,U127*$K$23/1000*$O$23,0)</f>
        <v>0</v>
      </c>
      <c r="W133" s="54" t="n">
        <f aca="false">IF(W$5=$N$23,V127*$K$23/1000*$O$23,0)</f>
        <v>0</v>
      </c>
      <c r="X133" s="54" t="n">
        <f aca="false">IF(X$5=$N$23,W127*$K$23/1000*$O$23,0)</f>
        <v>0</v>
      </c>
      <c r="Y133" s="54" t="n">
        <f aca="false">IF(Y$5=$N$23,X127*$K$23/1000*$O$23,0)</f>
        <v>0</v>
      </c>
      <c r="Z133" s="54" t="n">
        <f aca="false">IF(Z$5=$N$23,Y127*$K$23/1000*$O$23,0)</f>
        <v>0</v>
      </c>
      <c r="AA133" s="54" t="n">
        <f aca="false">IF(AA$5=$N$23,Z127*$K$23/1000*$O$23,0)</f>
        <v>0</v>
      </c>
      <c r="AB133" s="54" t="n">
        <f aca="false">IF(AB$5=$N$23,AA127*$K$23/1000*$O$23,0)</f>
        <v>0</v>
      </c>
      <c r="AC133" s="54" t="n">
        <f aca="false">IF(AC$5=$N$23,AB127*$K$23/1000*$O$23,0)</f>
        <v>0</v>
      </c>
      <c r="AD133" s="54" t="n">
        <f aca="false">IF(AD$5=$N$23,AC127*$K$23/1000*$O$23,0)</f>
        <v>0</v>
      </c>
      <c r="AE133" s="54" t="n">
        <f aca="false">IF(AE$5=$N$23,AD127*$K$23/1000*$O$23,0)</f>
        <v>0</v>
      </c>
      <c r="AF133" s="54" t="n">
        <f aca="false">IF(AF$5=$N$23,AE127*$K$23/1000*$O$23,0)</f>
        <v>0</v>
      </c>
      <c r="AG133" s="54" t="n">
        <f aca="false">IF(AG$5=$N$23,AF127*$K$23/1000*$O$23,0)</f>
        <v>0</v>
      </c>
      <c r="AI133" s="54" t="n">
        <f aca="false">SUMIF($F$7:$AG$7,AI$7,$F133:$AG133)</f>
        <v>0</v>
      </c>
      <c r="AJ133" s="54" t="n">
        <f aca="false">SUMIF($F$7:$AG$7,AJ$7,$F133:$AG133)</f>
        <v>0</v>
      </c>
      <c r="AK133" s="54" t="n">
        <f aca="false">SUMIF($F$7:$AG$7,AK$7,$F133:$AG133)</f>
        <v>0</v>
      </c>
      <c r="AL133" s="54" t="n">
        <f aca="false">SUMIF($F$7:$AG$7,AL$7,$F133:$AG133)</f>
        <v>0</v>
      </c>
      <c r="AM133" s="54" t="n">
        <f aca="false">SUMIF($F$7:$AG$7,AM$7,$F133:$AG133)</f>
        <v>0</v>
      </c>
      <c r="AN133" s="54" t="n">
        <f aca="false">SUMIF($F$7:$AG$7,AN$7,$F133:$AG133)</f>
        <v>0</v>
      </c>
      <c r="AO133" s="54" t="n">
        <f aca="false">SUMIF($F$7:$AG$7,AO$7,$F133:$AG133)</f>
        <v>0</v>
      </c>
    </row>
    <row r="134" customFormat="false" ht="15" hidden="false" customHeight="false" outlineLevel="0" collapsed="false">
      <c r="A134" s="112" t="s">
        <v>2611</v>
      </c>
      <c r="B134" s="24" t="s">
        <v>809</v>
      </c>
      <c r="C134" s="24" t="s">
        <v>672</v>
      </c>
      <c r="D134" s="24"/>
      <c r="F134" s="146" t="n">
        <f aca="false">IF(DilMethod=3,MAX(0,F127*$K$23/1000*DilPx-F130)/DilPx,F127*$K$23/1000*$P$23)</f>
        <v>0</v>
      </c>
      <c r="G134" s="146" t="n">
        <f aca="false">IF(DilMethod=3,MAX(0,G127*$K$23/1000*DilPx-G130)/DilPx,G127*$K$23/1000*$P$23)</f>
        <v>0</v>
      </c>
      <c r="H134" s="146" t="n">
        <f aca="false">IF(DilMethod=3,MAX(0,H127*$K$23/1000*DilPx-H130)/DilPx,H127*$K$23/1000*$P$23)</f>
        <v>0</v>
      </c>
      <c r="I134" s="146" t="n">
        <f aca="false">IF(DilMethod=3,MAX(0,I127*$K$23/1000*DilPx-I130)/DilPx,I127*$K$23/1000*$P$23)</f>
        <v>0</v>
      </c>
      <c r="J134" s="146" t="n">
        <f aca="false">IF(DilMethod=3,MAX(0,J127*$K$23/1000*DilPx-J130)/DilPx,J127*$K$23/1000*$P$23)</f>
        <v>0</v>
      </c>
      <c r="K134" s="146" t="n">
        <f aca="false">IF(DilMethod=3,MAX(0,K127*$K$23/1000*DilPx-K130)/DilPx,K127*$K$23/1000*$P$23)</f>
        <v>0</v>
      </c>
      <c r="L134" s="146" t="n">
        <f aca="false">IF(DilMethod=3,MAX(0,L127*$K$23/1000*DilPx-L130)/DilPx,L127*$K$23/1000*$P$23)</f>
        <v>0</v>
      </c>
      <c r="M134" s="146" t="n">
        <f aca="false">IF(DilMethod=3,MAX(0,M127*$K$23/1000*DilPx-M130)/DilPx,M127*$K$23/1000*$P$23)</f>
        <v>0</v>
      </c>
      <c r="N134" s="146" t="n">
        <f aca="false">IF(DilMethod=3,MAX(0,N127*$K$23/1000*DilPx-N130)/DilPx,N127*$K$23/1000*$P$23)</f>
        <v>0</v>
      </c>
      <c r="O134" s="146" t="n">
        <f aca="false">IF(DilMethod=3,MAX(0,O127*$K$23/1000*DilPx-O130)/DilPx,O127*$K$23/1000*$P$23)</f>
        <v>0</v>
      </c>
      <c r="P134" s="54" t="n">
        <f aca="false">IF(DilMethod=3,MAX(0,P127*$K$23/1000*DilPx-P130)/DilPx,P127*$K$23/1000*$P$23)</f>
        <v>0</v>
      </c>
      <c r="Q134" s="54" t="n">
        <f aca="false">IF(DilMethod=3,MAX(0,Q127*$K$23/1000*DilPx-Q130)/DilPx,Q127*$K$23/1000*$P$23)</f>
        <v>0</v>
      </c>
      <c r="R134" s="54" t="n">
        <f aca="false">IF(DilMethod=3,MAX(0,R127*$K$23/1000*DilPx-R130)/DilPx,R127*$K$23/1000*$P$23)</f>
        <v>0</v>
      </c>
      <c r="S134" s="54" t="n">
        <f aca="false">IF(DilMethod=3,MAX(0,S127*$K$23/1000*DilPx-S130)/DilPx,S127*$K$23/1000*$P$23)</f>
        <v>0</v>
      </c>
      <c r="T134" s="54" t="n">
        <f aca="false">IF(DilMethod=3,MAX(0,T127*$K$23/1000*DilPx-T130)/DilPx,T127*$K$23/1000*$P$23)</f>
        <v>0</v>
      </c>
      <c r="U134" s="54" t="n">
        <f aca="false">IF(DilMethod=3,MAX(0,U127*$K$23/1000*DilPx-U130)/DilPx,U127*$K$23/1000*$P$23)</f>
        <v>0</v>
      </c>
      <c r="V134" s="54" t="n">
        <f aca="false">IF(DilMethod=3,MAX(0,V127*$K$23/1000*DilPx-V130)/DilPx,V127*$K$23/1000*$P$23)</f>
        <v>0</v>
      </c>
      <c r="W134" s="54" t="n">
        <f aca="false">IF(DilMethod=3,MAX(0,W127*$K$23/1000*DilPx-W130)/DilPx,W127*$K$23/1000*$P$23)</f>
        <v>0</v>
      </c>
      <c r="X134" s="54" t="n">
        <f aca="false">IF(DilMethod=3,MAX(0,X127*$K$23/1000*DilPx-X130)/DilPx,X127*$K$23/1000*$P$23)</f>
        <v>0</v>
      </c>
      <c r="Y134" s="54" t="n">
        <f aca="false">IF(DilMethod=3,MAX(0,Y127*$K$23/1000*DilPx-Y130)/DilPx,Y127*$K$23/1000*$P$23)</f>
        <v>0</v>
      </c>
      <c r="Z134" s="54" t="n">
        <f aca="false">IF(DilMethod=3,MAX(0,Z127*$K$23/1000*DilPx-Z130)/DilPx,Z127*$K$23/1000*$P$23)</f>
        <v>0</v>
      </c>
      <c r="AA134" s="54" t="n">
        <f aca="false">IF(DilMethod=3,MAX(0,AA127*$K$23/1000*DilPx-AA130)/DilPx,AA127*$K$23/1000*$P$23)</f>
        <v>0</v>
      </c>
      <c r="AB134" s="54" t="n">
        <f aca="false">IF(DilMethod=3,MAX(0,AB127*$K$23/1000*DilPx-AB130)/DilPx,AB127*$K$23/1000*$P$23)</f>
        <v>0</v>
      </c>
      <c r="AC134" s="54" t="n">
        <f aca="false">IF(DilMethod=3,MAX(0,AC127*$K$23/1000*DilPx-AC130)/DilPx,AC127*$K$23/1000*$P$23)</f>
        <v>0</v>
      </c>
      <c r="AD134" s="54" t="n">
        <f aca="false">IF(DilMethod=3,MAX(0,AD127*$K$23/1000*DilPx-AD130)/DilPx,AD127*$K$23/1000*$P$23)</f>
        <v>0</v>
      </c>
      <c r="AE134" s="54" t="n">
        <f aca="false">IF(DilMethod=3,MAX(0,AE127*$K$23/1000*DilPx-AE130)/DilPx,AE127*$K$23/1000*$P$23)</f>
        <v>0</v>
      </c>
      <c r="AF134" s="54" t="n">
        <f aca="false">IF(DilMethod=3,MAX(0,AF127*$K$23/1000*DilPx-AF130)/DilPx,AF127*$K$23/1000*$P$23)</f>
        <v>0</v>
      </c>
      <c r="AG134" s="54" t="n">
        <f aca="false">IF(DilMethod=3,MAX(0,AG127*$K$23/1000*DilPx-AG130)/DilPx,AG127*$K$23/1000*$P$23)</f>
        <v>0</v>
      </c>
      <c r="AI134" s="54" t="n">
        <f aca="false">INDEX($F134:$AG134,1,MATCH(AI$7,$F$7:$AG$7,1))</f>
        <v>0</v>
      </c>
      <c r="AJ134" s="54" t="n">
        <f aca="false">INDEX($F134:$AG134,1,MATCH(AJ$7,$F$7:$AG$7,1))</f>
        <v>0</v>
      </c>
      <c r="AK134" s="54" t="n">
        <f aca="false">INDEX($F134:$AG134,1,MATCH(AK$7,$F$7:$AG$7,1))</f>
        <v>0</v>
      </c>
      <c r="AL134" s="54" t="n">
        <f aca="false">INDEX($F134:$AG134,1,MATCH(AL$7,$F$7:$AG$7,1))</f>
        <v>0</v>
      </c>
      <c r="AM134" s="54" t="n">
        <f aca="false">INDEX($F134:$AG134,1,MATCH(AM$7,$F$7:$AG$7,1))</f>
        <v>0</v>
      </c>
      <c r="AN134" s="54" t="n">
        <f aca="false">INDEX($F134:$AG134,1,MATCH(AN$7,$F$7:$AG$7,1))</f>
        <v>0</v>
      </c>
      <c r="AO134" s="54" t="n">
        <f aca="false">INDEX($F134:$AG134,1,MATCH(AO$7,$F$7:$AG$7,1))</f>
        <v>0</v>
      </c>
    </row>
    <row r="135" customFormat="false" ht="15" hidden="false" customHeight="false" outlineLevel="0" collapsed="false">
      <c r="A135" s="112" t="s">
        <v>2612</v>
      </c>
      <c r="B135" s="24" t="s">
        <v>745</v>
      </c>
      <c r="C135" s="24" t="s">
        <v>672</v>
      </c>
      <c r="D135" s="24"/>
      <c r="F135" s="130" t="n">
        <f aca="false">F130*IF(DilMethod=3,1,1-$P$23)</f>
        <v>0</v>
      </c>
      <c r="G135" s="130" t="n">
        <f aca="false">G130*IF(DilMethod=3,1,1-$P$23)</f>
        <v>0</v>
      </c>
      <c r="H135" s="130" t="n">
        <f aca="false">H130*IF(DilMethod=3,1,1-$P$23)</f>
        <v>0</v>
      </c>
      <c r="I135" s="130" t="n">
        <f aca="false">I130*IF(DilMethod=3,1,1-$P$23)</f>
        <v>0</v>
      </c>
      <c r="J135" s="130" t="n">
        <f aca="false">J130*IF(DilMethod=3,1,1-$P$23)</f>
        <v>0</v>
      </c>
      <c r="K135" s="130" t="n">
        <f aca="false">K130*IF(DilMethod=3,1,1-$P$23)</f>
        <v>0</v>
      </c>
      <c r="L135" s="130" t="n">
        <f aca="false">L130*IF(DilMethod=3,1,1-$P$23)</f>
        <v>0</v>
      </c>
      <c r="M135" s="130" t="n">
        <f aca="false">M130*IF(DilMethod=3,1,1-$P$23)</f>
        <v>0</v>
      </c>
      <c r="N135" s="130" t="n">
        <f aca="false">N130*IF(DilMethod=3,1,1-$P$23)</f>
        <v>0</v>
      </c>
      <c r="O135" s="130" t="n">
        <f aca="false">O130*IF(DilMethod=3,1,1-$P$23)</f>
        <v>0</v>
      </c>
      <c r="P135" s="131" t="n">
        <f aca="false">P130*IF(DilMethod=3,1,1-$P$23)</f>
        <v>0</v>
      </c>
      <c r="Q135" s="131" t="n">
        <f aca="false">Q130*IF(DilMethod=3,1,1-$P$23)</f>
        <v>0</v>
      </c>
      <c r="R135" s="131" t="n">
        <f aca="false">R130*IF(DilMethod=3,1,1-$P$23)</f>
        <v>0</v>
      </c>
      <c r="S135" s="131" t="n">
        <f aca="false">S130*IF(DilMethod=3,1,1-$P$23)</f>
        <v>0</v>
      </c>
      <c r="T135" s="131" t="n">
        <f aca="false">T130*IF(DilMethod=3,1,1-$P$23)</f>
        <v>2570.97409704487</v>
      </c>
      <c r="U135" s="131" t="n">
        <f aca="false">U130*IF(DilMethod=3,1,1-$P$23)</f>
        <v>2592.45530828165</v>
      </c>
      <c r="V135" s="131" t="n">
        <f aca="false">V130*IF(DilMethod=3,1,1-$P$23)</f>
        <v>2613.70302809194</v>
      </c>
      <c r="W135" s="131" t="n">
        <f aca="false">W130*IF(DilMethod=3,1,1-$P$23)</f>
        <v>2634.95074790223</v>
      </c>
      <c r="X135" s="131" t="n">
        <f aca="false">X130*IF(DilMethod=3,1,1-$P$23)</f>
        <v>2656.431959139</v>
      </c>
      <c r="Y135" s="131" t="n">
        <f aca="false">Y130*IF(DilMethod=3,1,1-$P$23)</f>
        <v>2677.91317037578</v>
      </c>
      <c r="Z135" s="131" t="n">
        <f aca="false">Z130*IF(DilMethod=3,1,1-$P$23)</f>
        <v>2698.92739875958</v>
      </c>
      <c r="AA135" s="131" t="n">
        <f aca="false">AA130*IF(DilMethod=3,1,1-$P$23)</f>
        <v>2720.17511856987</v>
      </c>
      <c r="AB135" s="131" t="n">
        <f aca="false">AB130*IF(DilMethod=3,1,1-$P$23)</f>
        <v>2741.65632980664</v>
      </c>
      <c r="AC135" s="131" t="n">
        <f aca="false">AC130*IF(DilMethod=3,1,1-$P$23)</f>
        <v>2763.13754104342</v>
      </c>
      <c r="AD135" s="131" t="n">
        <f aca="false">AD130*IF(DilMethod=3,1,1-$P$23)</f>
        <v>2784.15176942722</v>
      </c>
      <c r="AE135" s="131" t="n">
        <f aca="false">AE130*IF(DilMethod=3,1,1-$P$23)</f>
        <v>2805.3994892375</v>
      </c>
      <c r="AF135" s="131" t="n">
        <f aca="false">AF130*IF(DilMethod=3,1,1-$P$23)</f>
        <v>2826.88070047428</v>
      </c>
      <c r="AG135" s="131" t="n">
        <f aca="false">AG130*IF(DilMethod=3,1,1-$P$23)</f>
        <v>2848.36191171105</v>
      </c>
      <c r="AI135" s="131" t="n">
        <f aca="false">INDEX($F135:$AG135,1,MATCH(AI$7,$F$7:$AG$7,1))</f>
        <v>0</v>
      </c>
      <c r="AJ135" s="131" t="n">
        <f aca="false">INDEX($F135:$AG135,1,MATCH(AJ$7,$F$7:$AG$7,1))</f>
        <v>0</v>
      </c>
      <c r="AK135" s="131" t="n">
        <f aca="false">INDEX($F135:$AG135,1,MATCH(AK$7,$F$7:$AG$7,1))</f>
        <v>0</v>
      </c>
      <c r="AL135" s="131" t="n">
        <f aca="false">INDEX($F135:$AG135,1,MATCH(AL$7,$F$7:$AG$7,1))</f>
        <v>2592.45530828165</v>
      </c>
      <c r="AM135" s="131" t="n">
        <f aca="false">INDEX($F135:$AG135,1,MATCH(AM$7,$F$7:$AG$7,1))</f>
        <v>2677.91317037578</v>
      </c>
      <c r="AN135" s="131" t="n">
        <f aca="false">INDEX($F135:$AG135,1,MATCH(AN$7,$F$7:$AG$7,1))</f>
        <v>2763.13754104342</v>
      </c>
      <c r="AO135" s="131" t="n">
        <f aca="false">INDEX($F135:$AG135,1,MATCH(AO$7,$F$7:$AG$7,1))</f>
        <v>2848.36191171105</v>
      </c>
    </row>
    <row r="137" customFormat="false" ht="15" hidden="false" customHeight="false" outlineLevel="0" collapsed="false">
      <c r="A137" s="64" t="s">
        <v>2613</v>
      </c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</row>
    <row r="138" customFormat="false" ht="15" hidden="false" customHeight="false" outlineLevel="0" collapsed="false">
      <c r="A138" s="3" t="s">
        <v>2614</v>
      </c>
      <c r="B138" s="24" t="s">
        <v>745</v>
      </c>
      <c r="C138" s="24" t="s">
        <v>672</v>
      </c>
      <c r="D138" s="24"/>
      <c r="F138" s="132" t="n">
        <f aca="false">F28+F37+F46+F55+F64+F73+F82+F91+F100+F109+F118+F127</f>
        <v>0</v>
      </c>
      <c r="G138" s="132" t="n">
        <f aca="false">G28+G37+G46+G55+G64+G73+G82+G91+G100+G109+G118+G127</f>
        <v>0</v>
      </c>
      <c r="H138" s="132" t="n">
        <f aca="false">H28+H37+H46+H55+H64+H73+H82+H91+H100+H109+H118+H127</f>
        <v>0</v>
      </c>
      <c r="I138" s="132" t="n">
        <f aca="false">I28+I37+I46+I55+I64+I73+I82+I91+I100+I109+I118+I127</f>
        <v>0</v>
      </c>
      <c r="J138" s="132" t="n">
        <f aca="false">J28+J37+J46+J55+J64+J73+J82+J91+J100+J109+J118+J127</f>
        <v>0</v>
      </c>
      <c r="K138" s="132" t="n">
        <f aca="false">K28+K37+K46+K55+K64+K73+K82+K91+K100+K109+K118+K127</f>
        <v>975</v>
      </c>
      <c r="L138" s="132" t="n">
        <f aca="false">L28+L37+L46+L55+L64+L73+L82+L91+L100+L109+L118+L127</f>
        <v>4137.5</v>
      </c>
      <c r="M138" s="132" t="n">
        <f aca="false">M28+M37+M46+M55+M64+M73+M82+M91+M100+M109+M118+M127</f>
        <v>4137.5</v>
      </c>
      <c r="N138" s="132" t="n">
        <f aca="false">N28+N37+N46+N55+N64+N73+N82+N91+N100+N109+N118+N127</f>
        <v>8475</v>
      </c>
      <c r="O138" s="132" t="n">
        <f aca="false">O28+O37+O46+O55+O64+O73+O82+O91+O100+O109+O118+O127</f>
        <v>8475</v>
      </c>
      <c r="P138" s="104" t="n">
        <f aca="false">P28+P37+P46+P55+P64+P73+P82+P91+P100+P109+P118+P127</f>
        <v>13425</v>
      </c>
      <c r="Q138" s="104" t="n">
        <f aca="false">Q28+Q37+Q46+Q55+Q64+Q73+Q82+Q91+Q100+Q109+Q118+Q127</f>
        <v>13425</v>
      </c>
      <c r="R138" s="104" t="n">
        <f aca="false">R28+R37+R46+R55+R64+R73+R82+R91+R100+R109+R118+R127</f>
        <v>19825</v>
      </c>
      <c r="S138" s="104" t="n">
        <f aca="false">S28+S37+S46+S55+S64+S73+S82+S91+S100+S109+S118+S127</f>
        <v>19825</v>
      </c>
      <c r="T138" s="104" t="n">
        <f aca="false">T28+T37+T46+T55+T64+T73+T82+T91+T100+T109+T118+T127</f>
        <v>26225</v>
      </c>
      <c r="U138" s="104" t="n">
        <f aca="false">U28+U37+U46+U55+U64+U73+U82+U91+U100+U109+U118+U127</f>
        <v>26225</v>
      </c>
      <c r="V138" s="104" t="n">
        <f aca="false">V28+V37+V46+V55+V64+V73+V82+V91+V100+V109+V118+V127</f>
        <v>26225</v>
      </c>
      <c r="W138" s="104" t="n">
        <f aca="false">W28+W37+W46+W55+W64+W73+W82+W91+W100+W109+W118+W127</f>
        <v>26225</v>
      </c>
      <c r="X138" s="104" t="n">
        <f aca="false">X28+X37+X46+X55+X64+X73+X82+X91+X100+X109+X118+X127</f>
        <v>26225</v>
      </c>
      <c r="Y138" s="104" t="n">
        <f aca="false">Y28+Y37+Y46+Y55+Y64+Y73+Y82+Y91+Y100+Y109+Y118+Y127</f>
        <v>26225</v>
      </c>
      <c r="Z138" s="104" t="n">
        <f aca="false">Z28+Z37+Z46+Z55+Z64+Z73+Z82+Z91+Z100+Z109+Z118+Z127</f>
        <v>26225</v>
      </c>
      <c r="AA138" s="104" t="n">
        <f aca="false">AA28+AA37+AA46+AA55+AA64+AA73+AA82+AA91+AA100+AA109+AA118+AA127</f>
        <v>26137.5</v>
      </c>
      <c r="AB138" s="104" t="n">
        <f aca="false">AB28+AB37+AB46+AB55+AB64+AB73+AB82+AB91+AB100+AB109+AB118+AB127</f>
        <v>26137.5</v>
      </c>
      <c r="AC138" s="104" t="n">
        <f aca="false">AC28+AC37+AC46+AC55+AC64+AC73+AC82+AC91+AC100+AC109+AC118+AC127</f>
        <v>26137.5</v>
      </c>
      <c r="AD138" s="104" t="n">
        <f aca="false">AD28+AD37+AD46+AD55+AD64+AD73+AD82+AD91+AD100+AD109+AD118+AD127</f>
        <v>22687.5</v>
      </c>
      <c r="AE138" s="104" t="n">
        <f aca="false">AE28+AE37+AE46+AE55+AE64+AE73+AE82+AE91+AE100+AE109+AE118+AE127</f>
        <v>22687.5</v>
      </c>
      <c r="AF138" s="104" t="n">
        <f aca="false">AF28+AF37+AF46+AF55+AF64+AF73+AF82+AF91+AF100+AF109+AF118+AF127</f>
        <v>17266.25</v>
      </c>
      <c r="AG138" s="104" t="n">
        <f aca="false">AG28+AG37+AG46+AG55+AG64+AG73+AG82+AG91+AG100+AG109+AG118+AG127</f>
        <v>17266.25</v>
      </c>
      <c r="AI138" s="104" t="n">
        <f aca="false">INDEX($F138:$AG138,1,MATCH(AI$7,$F$7:$AG$7,1))</f>
        <v>0</v>
      </c>
      <c r="AJ138" s="104" t="n">
        <f aca="false">INDEX($F138:$AG138,1,MATCH(AJ$7,$F$7:$AG$7,1))</f>
        <v>4137.5</v>
      </c>
      <c r="AK138" s="104" t="n">
        <f aca="false">INDEX($F138:$AG138,1,MATCH(AK$7,$F$7:$AG$7,1))</f>
        <v>13425</v>
      </c>
      <c r="AL138" s="104" t="n">
        <f aca="false">INDEX($F138:$AG138,1,MATCH(AL$7,$F$7:$AG$7,1))</f>
        <v>26225</v>
      </c>
      <c r="AM138" s="104" t="n">
        <f aca="false">INDEX($F138:$AG138,1,MATCH(AM$7,$F$7:$AG$7,1))</f>
        <v>26225</v>
      </c>
      <c r="AN138" s="104" t="n">
        <f aca="false">INDEX($F138:$AG138,1,MATCH(AN$7,$F$7:$AG$7,1))</f>
        <v>26137.5</v>
      </c>
      <c r="AO138" s="104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2615</v>
      </c>
      <c r="B139" s="24" t="s">
        <v>745</v>
      </c>
      <c r="C139" s="24" t="s">
        <v>672</v>
      </c>
      <c r="D139" s="24"/>
      <c r="F139" s="132" t="n">
        <f aca="false">F29+F38+F47+F56+F65+F74+F83+F92+F101+F110+F119+F128</f>
        <v>0</v>
      </c>
      <c r="G139" s="132" t="n">
        <f aca="false">G29+G38+G47+G56+G65+G74+G83+G92+G101+G110+G119+G128</f>
        <v>0</v>
      </c>
      <c r="H139" s="132" t="n">
        <f aca="false">H29+H38+H47+H56+H65+H74+H83+H92+H101+H110+H119+H128</f>
        <v>0</v>
      </c>
      <c r="I139" s="132" t="n">
        <f aca="false">I29+I38+I47+I56+I65+I74+I83+I92+I101+I110+I119+I128</f>
        <v>0</v>
      </c>
      <c r="J139" s="132" t="n">
        <f aca="false">J29+J38+J47+J56+J65+J74+J83+J92+J101+J110+J119+J128</f>
        <v>0</v>
      </c>
      <c r="K139" s="132" t="n">
        <f aca="false">K29+K38+K47+K56+K65+K74+K83+K92+K101+K110+K119+K128</f>
        <v>6.09375</v>
      </c>
      <c r="L139" s="132" t="n">
        <f aca="false">L29+L38+L47+L56+L65+L74+L83+L92+L101+L110+L119+L128</f>
        <v>20.91796875</v>
      </c>
      <c r="M139" s="132" t="n">
        <f aca="false">M29+M38+M47+M56+M65+M74+M83+M92+M101+M110+M119+M128</f>
        <v>20.91796875</v>
      </c>
      <c r="N139" s="132" t="n">
        <f aca="false">N29+N38+N47+N56+N65+N74+N83+N92+N101+N110+N119+N128</f>
        <v>40.48828125</v>
      </c>
      <c r="O139" s="132" t="n">
        <f aca="false">O29+O38+O47+O56+O65+O74+O83+O92+O101+O110+O119+O128</f>
        <v>40.48828125</v>
      </c>
      <c r="P139" s="104" t="n">
        <f aca="false">P29+P38+P47+P56+P65+P74+P83+P92+P101+P110+P119+P128</f>
        <v>65.67578125</v>
      </c>
      <c r="Q139" s="104" t="n">
        <f aca="false">Q29+Q38+Q47+Q56+Q65+Q74+Q83+Q92+Q101+Q110+Q119+Q128</f>
        <v>65.67578125</v>
      </c>
      <c r="R139" s="104" t="n">
        <f aca="false">R29+R38+R47+R56+R65+R74+R83+R92+R101+R110+R119+R128</f>
        <v>99.27578125</v>
      </c>
      <c r="S139" s="104" t="n">
        <f aca="false">S29+S38+S47+S56+S65+S74+S83+S92+S101+S110+S119+S128</f>
        <v>99.27578125</v>
      </c>
      <c r="T139" s="104" t="n">
        <f aca="false">T29+T38+T47+T56+T65+T74+T83+T92+T101+T110+T119+T128</f>
        <v>132.87578125</v>
      </c>
      <c r="U139" s="104" t="n">
        <f aca="false">U29+U38+U47+U56+U65+U74+U83+U92+U101+U110+U119+U128</f>
        <v>132.87578125</v>
      </c>
      <c r="V139" s="104" t="n">
        <f aca="false">V29+V38+V47+V56+V65+V74+V83+V92+V101+V110+V119+V128</f>
        <v>132.87578125</v>
      </c>
      <c r="W139" s="104" t="n">
        <f aca="false">W29+W38+W47+W56+W65+W74+W83+W92+W101+W110+W119+W128</f>
        <v>132.87578125</v>
      </c>
      <c r="X139" s="104" t="n">
        <f aca="false">X29+X38+X47+X56+X65+X74+X83+X92+X101+X110+X119+X128</f>
        <v>132.87578125</v>
      </c>
      <c r="Y139" s="104" t="n">
        <f aca="false">Y29+Y38+Y47+Y56+Y65+Y74+Y83+Y92+Y101+Y110+Y119+Y128</f>
        <v>132.87578125</v>
      </c>
      <c r="Z139" s="104" t="n">
        <f aca="false">Z29+Z38+Z47+Z56+Z65+Z74+Z83+Z92+Z101+Z110+Z119+Z128</f>
        <v>132.87578125</v>
      </c>
      <c r="AA139" s="104" t="n">
        <f aca="false">AA29+AA38+AA47+AA56+AA65+AA74+AA83+AA92+AA101+AA110+AA119+AA128</f>
        <v>132.43828125</v>
      </c>
      <c r="AB139" s="104" t="n">
        <f aca="false">AB29+AB38+AB47+AB56+AB65+AB74+AB83+AB92+AB101+AB110+AB119+AB128</f>
        <v>132.43828125</v>
      </c>
      <c r="AC139" s="104" t="n">
        <f aca="false">AC29+AC38+AC47+AC56+AC65+AC74+AC83+AC92+AC101+AC110+AC119+AC128</f>
        <v>132.43828125</v>
      </c>
      <c r="AD139" s="104" t="n">
        <f aca="false">AD29+AD38+AD47+AD56+AD65+AD74+AD83+AD92+AD101+AD110+AD119+AD128</f>
        <v>128.12578125</v>
      </c>
      <c r="AE139" s="104" t="n">
        <f aca="false">AE29+AE38+AE47+AE56+AE65+AE74+AE83+AE92+AE101+AE110+AE119+AE128</f>
        <v>128.12578125</v>
      </c>
      <c r="AF139" s="104" t="n">
        <f aca="false">AF29+AF38+AF47+AF56+AF65+AF74+AF83+AF92+AF101+AF110+AF119+AF128</f>
        <v>119.37265625</v>
      </c>
      <c r="AG139" s="104" t="n">
        <f aca="false">AG29+AG38+AG47+AG56+AG65+AG74+AG83+AG92+AG101+AG110+AG119+AG128</f>
        <v>119.37265625</v>
      </c>
      <c r="AI139" s="104" t="n">
        <f aca="false">SUMIF($F$7:$AG$7,AI$7,$F139:$AG139)</f>
        <v>0</v>
      </c>
      <c r="AJ139" s="104" t="n">
        <f aca="false">SUMIF($F$7:$AG$7,AJ$7,$F139:$AG139)</f>
        <v>47.9296875</v>
      </c>
      <c r="AK139" s="104" t="n">
        <f aca="false">SUMIF($F$7:$AG$7,AK$7,$F139:$AG139)</f>
        <v>212.328125</v>
      </c>
      <c r="AL139" s="104" t="n">
        <f aca="false">SUMIF($F$7:$AG$7,AL$7,$F139:$AG139)</f>
        <v>464.303125</v>
      </c>
      <c r="AM139" s="104" t="n">
        <f aca="false">SUMIF($F$7:$AG$7,AM$7,$F139:$AG139)</f>
        <v>531.503125</v>
      </c>
      <c r="AN139" s="104" t="n">
        <f aca="false">SUMIF($F$7:$AG$7,AN$7,$F139:$AG139)</f>
        <v>530.190625</v>
      </c>
      <c r="AO139" s="104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2616</v>
      </c>
      <c r="B140" s="24" t="s">
        <v>745</v>
      </c>
      <c r="C140" s="24" t="s">
        <v>672</v>
      </c>
      <c r="D140" s="24"/>
      <c r="F140" s="132" t="n">
        <f aca="false">F30+F39+F48+F57+F66+F75+F84+F93+F102+F111+F120+F129</f>
        <v>0</v>
      </c>
      <c r="G140" s="132" t="n">
        <f aca="false">G30+G39+G48+G57+G66+G75+G84+G93+G102+G111+G120+G129</f>
        <v>0</v>
      </c>
      <c r="H140" s="132" t="n">
        <f aca="false">H30+H39+H48+H57+H66+H75+H84+H93+H102+H111+H120+H129</f>
        <v>0</v>
      </c>
      <c r="I140" s="132" t="n">
        <f aca="false">I30+I39+I48+I57+I66+I75+I84+I93+I102+I111+I120+I129</f>
        <v>0</v>
      </c>
      <c r="J140" s="132" t="n">
        <f aca="false">J30+J39+J48+J57+J66+J75+J84+J93+J102+J111+J120+J129</f>
        <v>0</v>
      </c>
      <c r="K140" s="132" t="n">
        <f aca="false">K30+K39+K48+K57+K66+K75+K84+K93+K102+K111+K120+K129</f>
        <v>9.92638606885025</v>
      </c>
      <c r="L140" s="132" t="n">
        <f aca="false">L30+L39+L48+L57+L66+L75+L84+L93+L102+L111+L120+L129</f>
        <v>30.2575386790221</v>
      </c>
      <c r="M140" s="132" t="n">
        <f aca="false">M30+M39+M48+M57+M66+M75+M84+M93+M102+M111+M120+M129</f>
        <v>30.2575386790221</v>
      </c>
      <c r="N140" s="132" t="n">
        <f aca="false">N30+N39+N48+N57+N66+N75+N84+N93+N102+N111+N120+N129</f>
        <v>68.7304031797786</v>
      </c>
      <c r="O140" s="132" t="n">
        <f aca="false">O30+O39+O48+O57+O66+O75+O84+O93+O102+O111+O120+O129</f>
        <v>68.7304031797786</v>
      </c>
      <c r="P140" s="104" t="n">
        <f aca="false">P30+P39+P48+P57+P66+P75+P84+P93+P102+P111+P120+P129</f>
        <v>104.589930751401</v>
      </c>
      <c r="Q140" s="104" t="n">
        <f aca="false">Q30+Q39+Q48+Q57+Q66+Q75+Q84+Q93+Q102+Q111+Q120+Q129</f>
        <v>104.589930751401</v>
      </c>
      <c r="R140" s="104" t="n">
        <f aca="false">R30+R39+R48+R57+R66+R75+R84+R93+R102+R111+R120+R129</f>
        <v>153.392082434291</v>
      </c>
      <c r="S140" s="104" t="n">
        <f aca="false">S30+S39+S48+S57+S66+S75+S84+S93+S102+S111+S120+S129</f>
        <v>153.392082434291</v>
      </c>
      <c r="T140" s="104" t="n">
        <f aca="false">T30+T39+T48+T57+T66+T75+T84+T93+T102+T111+T120+T129</f>
        <v>202.106518315356</v>
      </c>
      <c r="U140" s="104" t="n">
        <f aca="false">U30+U39+U48+U57+U66+U75+U84+U93+U102+U111+U120+U129</f>
        <v>202.106518315356</v>
      </c>
      <c r="V140" s="104" t="n">
        <f aca="false">V30+V39+V48+V57+V66+V75+V84+V93+V102+V111+V120+V129</f>
        <v>202.106518315356</v>
      </c>
      <c r="W140" s="104" t="n">
        <f aca="false">W30+W39+W48+W57+W66+W75+W84+W93+W102+W111+W120+W129</f>
        <v>202.106518315356</v>
      </c>
      <c r="X140" s="104" t="n">
        <f aca="false">X30+X39+X48+X57+X66+X75+X84+X93+X102+X111+X120+X129</f>
        <v>202.106518315356</v>
      </c>
      <c r="Y140" s="104" t="n">
        <f aca="false">Y30+Y39+Y48+Y57+Y66+Y75+Y84+Y93+Y102+Y111+Y120+Y129</f>
        <v>202.106518315356</v>
      </c>
      <c r="Z140" s="104" t="n">
        <f aca="false">Z30+Z39+Z48+Z57+Z66+Z75+Z84+Z93+Z102+Z111+Z120+Z129</f>
        <v>202.106518315356</v>
      </c>
      <c r="AA140" s="104" t="n">
        <f aca="false">AA30+AA39+AA48+AA57+AA66+AA75+AA84+AA93+AA102+AA111+AA120+AA129</f>
        <v>201.14685966316</v>
      </c>
      <c r="AB140" s="104" t="n">
        <f aca="false">AB30+AB39+AB48+AB57+AB66+AB75+AB84+AB93+AB102+AB111+AB120+AB129</f>
        <v>201.14685966316</v>
      </c>
      <c r="AC140" s="104" t="n">
        <f aca="false">AC30+AC39+AC48+AC57+AC66+AC75+AC84+AC93+AC102+AC111+AC120+AC129</f>
        <v>201.14685966316</v>
      </c>
      <c r="AD140" s="104" t="n">
        <f aca="false">AD30+AD39+AD48+AD57+AD66+AD75+AD84+AD93+AD102+AD111+AD120+AD129</f>
        <v>176.361011905488</v>
      </c>
      <c r="AE140" s="104" t="n">
        <f aca="false">AE30+AE39+AE48+AE57+AE66+AE75+AE84+AE93+AE102+AE111+AE120+AE129</f>
        <v>176.361011905488</v>
      </c>
      <c r="AF140" s="104" t="n">
        <f aca="false">AF30+AF39+AF48+AF57+AF66+AF75+AF84+AF93+AF102+AF111+AF120+AF129</f>
        <v>137.041908289822</v>
      </c>
      <c r="AG140" s="104" t="n">
        <f aca="false">AG30+AG39+AG48+AG57+AG66+AG75+AG84+AG93+AG102+AG111+AG120+AG129</f>
        <v>137.041908289822</v>
      </c>
      <c r="AI140" s="104" t="n">
        <f aca="false">SUMIF($F$7:$AG$7,AI$7,$F140:$AG140)</f>
        <v>0</v>
      </c>
      <c r="AJ140" s="104" t="n">
        <f aca="false">SUMIF($F$7:$AG$7,AJ$7,$F140:$AG140)</f>
        <v>70.4414634268944</v>
      </c>
      <c r="AK140" s="104" t="n">
        <f aca="false">SUMIF($F$7:$AG$7,AK$7,$F140:$AG140)</f>
        <v>346.640667862359</v>
      </c>
      <c r="AL140" s="104" t="n">
        <f aca="false">SUMIF($F$7:$AG$7,AL$7,$F140:$AG140)</f>
        <v>710.997201499293</v>
      </c>
      <c r="AM140" s="104" t="n">
        <f aca="false">SUMIF($F$7:$AG$7,AM$7,$F140:$AG140)</f>
        <v>808.426073261424</v>
      </c>
      <c r="AN140" s="104" t="n">
        <f aca="false">SUMIF($F$7:$AG$7,AN$7,$F140:$AG140)</f>
        <v>805.547097304835</v>
      </c>
      <c r="AO140" s="104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2617</v>
      </c>
      <c r="B141" s="24" t="s">
        <v>745</v>
      </c>
      <c r="C141" s="24" t="s">
        <v>672</v>
      </c>
      <c r="D141" s="24"/>
      <c r="F141" s="132" t="n">
        <f aca="false">F31+F40+F49+F58+F67+F76+F85+F94+F103+F112+F121+F130</f>
        <v>0</v>
      </c>
      <c r="G141" s="132" t="n">
        <f aca="false">G31+G40+G49+G58+G67+G76+G85+G94+G103+G112+G121+G130</f>
        <v>0</v>
      </c>
      <c r="H141" s="132" t="n">
        <f aca="false">H31+H40+H49+H58+H67+H76+H85+H94+H103+H112+H121+H130</f>
        <v>0</v>
      </c>
      <c r="I141" s="132" t="n">
        <f aca="false">I31+I40+I49+I58+I67+I76+I85+I94+I103+I112+I121+I130</f>
        <v>0</v>
      </c>
      <c r="J141" s="132" t="n">
        <f aca="false">J31+J40+J49+J58+J67+J76+J85+J94+J103+J112+J121+J130</f>
        <v>0</v>
      </c>
      <c r="K141" s="132" t="n">
        <f aca="false">K31+K40+K49+K58+K67+K76+K85+K94+K103+K112+K121+K130</f>
        <v>977.717696391198</v>
      </c>
      <c r="L141" s="132" t="n">
        <f aca="false">L31+L40+L49+L58+L67+L76+L85+L94+L103+L112+L121+L130</f>
        <v>4153.55863884143</v>
      </c>
      <c r="M141" s="132" t="n">
        <f aca="false">M31+M40+M49+M58+M67+M76+M85+M94+M103+M112+M121+M130</f>
        <v>4184.0439892422</v>
      </c>
      <c r="N141" s="132" t="n">
        <f aca="false">N31+N40+N49+N58+N67+N76+N85+N94+N103+N112+N121+N130</f>
        <v>8556.00126497794</v>
      </c>
      <c r="O141" s="132" t="n">
        <f aca="false">O31+O40+O49+O58+O67+O76+O85+O94+O103+O112+O121+O130</f>
        <v>8624.49645117217</v>
      </c>
      <c r="P141" s="104" t="n">
        <f aca="false">P31+P40+P49+P58+P67+P76+P85+P94+P103+P112+P121+P130</f>
        <v>13618.5823768008</v>
      </c>
      <c r="Q141" s="104" t="n">
        <f aca="false">Q31+Q40+Q49+Q58+Q67+Q76+Q85+Q94+Q103+Q112+Q121+Q130</f>
        <v>13723.9597745188</v>
      </c>
      <c r="R141" s="104" t="n">
        <f aca="false">R31+R40+R49+R58+R67+R76+R85+R94+R103+R112+R121+R130</f>
        <v>20251.0967009347</v>
      </c>
      <c r="S141" s="104" t="n">
        <f aca="false">S31+S40+S49+S58+S67+S76+S85+S94+S103+S112+S121+S130</f>
        <v>20403.963827577</v>
      </c>
      <c r="T141" s="104" t="n">
        <f aca="false">T31+T40+T49+T58+T67+T76+T85+T94+T103+T112+T121+T130</f>
        <v>26983.5849097986</v>
      </c>
      <c r="U141" s="104" t="n">
        <f aca="false">U31+U40+U49+U58+U67+U76+U85+U94+U103+U112+U121+U130</f>
        <v>27187.2131062122</v>
      </c>
      <c r="V141" s="104" t="n">
        <f aca="false">V31+V40+V49+V58+V67+V76+V85+V94+V103+V112+V121+V130</f>
        <v>27388.6279526647</v>
      </c>
      <c r="W141" s="104" t="n">
        <f aca="false">W31+W40+W49+W58+W67+W76+W85+W94+W103+W112+W121+W130</f>
        <v>27590.0427991173</v>
      </c>
      <c r="X141" s="104" t="n">
        <f aca="false">X31+X40+X49+X58+X67+X76+X85+X94+X103+X112+X121+X130</f>
        <v>27793.6709955308</v>
      </c>
      <c r="Y141" s="104" t="n">
        <f aca="false">Y31+Y40+Y49+Y58+Y67+Y76+Y85+Y94+Y103+Y112+Y121+Y130</f>
        <v>27997.2991919444</v>
      </c>
      <c r="Z141" s="104" t="n">
        <f aca="false">Z31+Z40+Z49+Z58+Z67+Z76+Z85+Z94+Z103+Z112+Z121+Z130</f>
        <v>28196.5006884359</v>
      </c>
      <c r="AA141" s="104" t="n">
        <f aca="false">AA31+AA40+AA49+AA58+AA67+AA76+AA85+AA94+AA103+AA112+AA121+AA130</f>
        <v>28294.7982562337</v>
      </c>
      <c r="AB141" s="104" t="n">
        <f aca="false">AB31+AB40+AB49+AB58+AB67+AB76+AB85+AB94+AB103+AB112+AB121+AB130</f>
        <v>28497.459568639</v>
      </c>
      <c r="AC141" s="104" t="n">
        <f aca="false">AC31+AC40+AC49+AC58+AC67+AC76+AC85+AC94+AC103+AC112+AC121+AC130</f>
        <v>28700.1208810443</v>
      </c>
      <c r="AD141" s="104" t="n">
        <f aca="false">AD31+AD40+AD49+AD58+AD67+AD76+AD85+AD94+AD103+AD112+AD121+AD130</f>
        <v>25091.4331610536</v>
      </c>
      <c r="AE141" s="104" t="n">
        <f aca="false">AE31+AE40+AE49+AE58+AE67+AE76+AE85+AE94+AE103+AE112+AE121+AE130</f>
        <v>25267.19061029</v>
      </c>
      <c r="AF141" s="104" t="n">
        <f aca="false">AF31+AF40+AF49+AF58+AF67+AF76+AF85+AF94+AF103+AF112+AF121+AF130</f>
        <v>19386.3604168822</v>
      </c>
      <c r="AG141" s="104" t="n">
        <f aca="false">AG31+AG40+AG49+AG58+AG67+AG76+AG85+AG94+AG103+AG112+AG121+AG130</f>
        <v>19524.4341259873</v>
      </c>
      <c r="AI141" s="104" t="n">
        <f aca="false">INDEX($F141:$AG141,1,MATCH(AI$7,$F$7:$AG$7,1))</f>
        <v>0</v>
      </c>
      <c r="AJ141" s="104" t="n">
        <f aca="false">INDEX($F141:$AG141,1,MATCH(AJ$7,$F$7:$AG$7,1))</f>
        <v>4184.0439892422</v>
      </c>
      <c r="AK141" s="104" t="n">
        <f aca="false">INDEX($F141:$AG141,1,MATCH(AK$7,$F$7:$AG$7,1))</f>
        <v>13723.9597745188</v>
      </c>
      <c r="AL141" s="104" t="n">
        <f aca="false">INDEX($F141:$AG141,1,MATCH(AL$7,$F$7:$AG$7,1))</f>
        <v>27187.2131062122</v>
      </c>
      <c r="AM141" s="104" t="n">
        <f aca="false">INDEX($F141:$AG141,1,MATCH(AM$7,$F$7:$AG$7,1))</f>
        <v>27997.2991919444</v>
      </c>
      <c r="AN141" s="104" t="n">
        <f aca="false">INDEX($F141:$AG141,1,MATCH(AN$7,$F$7:$AG$7,1))</f>
        <v>28700.1208810443</v>
      </c>
      <c r="AO141" s="104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2618</v>
      </c>
      <c r="B142" s="24" t="s">
        <v>745</v>
      </c>
      <c r="C142" s="24" t="s">
        <v>672</v>
      </c>
      <c r="D142" s="24"/>
      <c r="F142" s="132" t="n">
        <f aca="false">F33+F42+F51+F60+F69+F78+F87+F96+F105+F114+F123+F132</f>
        <v>0</v>
      </c>
      <c r="G142" s="132" t="n">
        <f aca="false">G33+G42+G51+G60+G69+G78+G87+G96+G105+G114+G123+G132</f>
        <v>0</v>
      </c>
      <c r="H142" s="132" t="n">
        <f aca="false">H33+H42+H51+H60+H69+H78+H87+H96+H105+H114+H123+H132</f>
        <v>0</v>
      </c>
      <c r="I142" s="132" t="n">
        <f aca="false">I33+I42+I51+I60+I69+I78+I87+I96+I105+I114+I123+I132</f>
        <v>0</v>
      </c>
      <c r="J142" s="132" t="n">
        <f aca="false">J33+J42+J51+J60+J69+J78+J87+J96+J105+J114+J123+J132</f>
        <v>0</v>
      </c>
      <c r="K142" s="132" t="n">
        <f aca="false">K33+K42+K51+K60+K69+K78+K87+K96+K105+K114+K123+K132</f>
        <v>0</v>
      </c>
      <c r="L142" s="132" t="n">
        <f aca="false">L33+L42+L51+L60+L69+L78+L87+L96+L105+L114+L123+L132</f>
        <v>0</v>
      </c>
      <c r="M142" s="132" t="n">
        <f aca="false">M33+M42+M51+M60+M69+M78+M87+M96+M105+M114+M123+M132</f>
        <v>0</v>
      </c>
      <c r="N142" s="132" t="n">
        <f aca="false">N33+N42+N51+N60+N69+N78+N87+N96+N105+N114+N123+N132</f>
        <v>0</v>
      </c>
      <c r="O142" s="132" t="n">
        <f aca="false">O33+O42+O51+O60+O69+O78+O87+O96+O105+O114+O123+O132</f>
        <v>0</v>
      </c>
      <c r="P142" s="104" t="n">
        <f aca="false">P33+P42+P51+P60+P69+P78+P87+P96+P105+P114+P123+P132</f>
        <v>0</v>
      </c>
      <c r="Q142" s="104" t="n">
        <f aca="false">Q33+Q42+Q51+Q60+Q69+Q78+Q87+Q96+Q105+Q114+Q123+Q132</f>
        <v>0</v>
      </c>
      <c r="R142" s="104" t="n">
        <f aca="false">R33+R42+R51+R60+R69+R78+R87+R96+R105+R114+R123+R132</f>
        <v>0</v>
      </c>
      <c r="S142" s="104" t="n">
        <f aca="false">S33+S42+S51+S60+S69+S78+S87+S96+S105+S114+S123+S132</f>
        <v>0</v>
      </c>
      <c r="T142" s="104" t="n">
        <f aca="false">T33+T42+T51+T60+T69+T78+T87+T96+T105+T114+T123+T132</f>
        <v>0</v>
      </c>
      <c r="U142" s="104" t="n">
        <f aca="false">U33+U42+U51+U60+U69+U78+U87+U96+U105+U114+U123+U132</f>
        <v>0</v>
      </c>
      <c r="V142" s="104" t="n">
        <f aca="false">V33+V42+V51+V60+V69+V78+V87+V96+V105+V114+V123+V132</f>
        <v>0</v>
      </c>
      <c r="W142" s="104" t="n">
        <f aca="false">W33+W42+W51+W60+W69+W78+W87+W96+W105+W114+W123+W132</f>
        <v>0</v>
      </c>
      <c r="X142" s="104" t="n">
        <f aca="false">X33+X42+X51+X60+X69+X78+X87+X96+X105+X114+X123+X132</f>
        <v>0</v>
      </c>
      <c r="Y142" s="104" t="n">
        <f aca="false">Y33+Y42+Y51+Y60+Y69+Y78+Y87+Y96+Y105+Y114+Y123+Y132</f>
        <v>0</v>
      </c>
      <c r="Z142" s="104" t="n">
        <f aca="false">Z33+Z42+Z51+Z60+Z69+Z78+Z87+Z96+Z105+Z114+Z123+Z132</f>
        <v>0</v>
      </c>
      <c r="AA142" s="104" t="n">
        <f aca="false">AA33+AA42+AA51+AA60+AA69+AA78+AA87+AA96+AA105+AA114+AA123+AA132</f>
        <v>0</v>
      </c>
      <c r="AB142" s="104" t="n">
        <f aca="false">AB33+AB42+AB51+AB60+AB69+AB78+AB87+AB96+AB105+AB114+AB123+AB132</f>
        <v>0</v>
      </c>
      <c r="AC142" s="104" t="n">
        <f aca="false">AC33+AC42+AC51+AC60+AC69+AC78+AC87+AC96+AC105+AC114+AC123+AC132</f>
        <v>0</v>
      </c>
      <c r="AD142" s="104" t="n">
        <f aca="false">AD33+AD42+AD51+AD60+AD69+AD78+AD87+AD96+AD105+AD114+AD123+AD132</f>
        <v>3795</v>
      </c>
      <c r="AE142" s="104" t="n">
        <f aca="false">AE33+AE42+AE51+AE60+AE69+AE78+AE87+AE96+AE105+AE114+AE123+AE132</f>
        <v>0</v>
      </c>
      <c r="AF142" s="104" t="n">
        <f aca="false">AF33+AF42+AF51+AF60+AF69+AF78+AF87+AF96+AF105+AF114+AF123+AF132</f>
        <v>4224</v>
      </c>
      <c r="AG142" s="104" t="n">
        <f aca="false">AG33+AG42+AG51+AG60+AG69+AG78+AG87+AG96+AG105+AG114+AG123+AG132</f>
        <v>0</v>
      </c>
      <c r="AI142" s="104" t="n">
        <f aca="false">SUMIF($F$7:$AG$7,AI$7,$F142:$AG142)</f>
        <v>0</v>
      </c>
      <c r="AJ142" s="104" t="n">
        <f aca="false">SUMIF($F$7:$AG$7,AJ$7,$F142:$AG142)</f>
        <v>0</v>
      </c>
      <c r="AK142" s="104" t="n">
        <f aca="false">SUMIF($F$7:$AG$7,AK$7,$F142:$AG142)</f>
        <v>0</v>
      </c>
      <c r="AL142" s="104" t="n">
        <f aca="false">SUMIF($F$7:$AG$7,AL$7,$F142:$AG142)</f>
        <v>0</v>
      </c>
      <c r="AM142" s="104" t="n">
        <f aca="false">SUMIF($F$7:$AG$7,AM$7,$F142:$AG142)</f>
        <v>0</v>
      </c>
      <c r="AN142" s="104" t="n">
        <f aca="false">SUMIF($F$7:$AG$7,AN$7,$F142:$AG142)</f>
        <v>0</v>
      </c>
      <c r="AO142" s="104" t="n">
        <f aca="false">SUMIF($F$7:$AG$7,AO$7,$F142:$AG142)</f>
        <v>8019</v>
      </c>
    </row>
    <row r="143" customFormat="false" ht="15" hidden="false" customHeight="false" outlineLevel="0" collapsed="false">
      <c r="A143" s="3" t="s">
        <v>2619</v>
      </c>
      <c r="B143" s="24" t="s">
        <v>809</v>
      </c>
      <c r="C143" s="24" t="s">
        <v>672</v>
      </c>
      <c r="D143" s="24"/>
      <c r="F143" s="147" t="n">
        <f aca="false">F34+F43+F52+F61+F70+F79+F88+F97+F106+F115+F124+F133</f>
        <v>0</v>
      </c>
      <c r="G143" s="147" t="n">
        <f aca="false">G34+G43+G52+G61+G70+G79+G88+G97+G106+G115+G124+G133</f>
        <v>0</v>
      </c>
      <c r="H143" s="147" t="n">
        <f aca="false">H34+H43+H52+H61+H70+H79+H88+H97+H106+H115+H124+H133</f>
        <v>0</v>
      </c>
      <c r="I143" s="147" t="n">
        <f aca="false">I34+I43+I52+I61+I70+I79+I88+I97+I106+I115+I124+I133</f>
        <v>0</v>
      </c>
      <c r="J143" s="147" t="n">
        <f aca="false">J34+J43+J52+J61+J70+J79+J88+J97+J106+J115+J124+J133</f>
        <v>0</v>
      </c>
      <c r="K143" s="147" t="n">
        <f aca="false">K34+K43+K52+K61+K70+K79+K88+K97+K106+K115+K124+K133</f>
        <v>0</v>
      </c>
      <c r="L143" s="147" t="n">
        <f aca="false">L34+L43+L52+L61+L70+L79+L88+L97+L106+L115+L124+L133</f>
        <v>0</v>
      </c>
      <c r="M143" s="147" t="n">
        <f aca="false">M34+M43+M52+M61+M70+M79+M88+M97+M106+M115+M124+M133</f>
        <v>0</v>
      </c>
      <c r="N143" s="147" t="n">
        <f aca="false">N34+N43+N52+N61+N70+N79+N88+N97+N106+N115+N124+N133</f>
        <v>0</v>
      </c>
      <c r="O143" s="147" t="n">
        <f aca="false">O34+O43+O52+O61+O70+O79+O88+O97+O106+O115+O124+O133</f>
        <v>0</v>
      </c>
      <c r="P143" s="70" t="n">
        <f aca="false">P34+P43+P52+P61+P70+P79+P88+P97+P106+P115+P124+P133</f>
        <v>0</v>
      </c>
      <c r="Q143" s="70" t="n">
        <f aca="false">Q34+Q43+Q52+Q61+Q70+Q79+Q88+Q97+Q106+Q115+Q124+Q133</f>
        <v>0</v>
      </c>
      <c r="R143" s="70" t="n">
        <f aca="false">R34+R43+R52+R61+R70+R79+R88+R97+R106+R115+R124+R133</f>
        <v>0</v>
      </c>
      <c r="S143" s="70" t="n">
        <f aca="false">S34+S43+S52+S61+S70+S79+S88+S97+S106+S115+S124+S133</f>
        <v>0</v>
      </c>
      <c r="T143" s="70" t="n">
        <f aca="false">T34+T43+T52+T61+T70+T79+T88+T97+T106+T115+T124+T133</f>
        <v>0</v>
      </c>
      <c r="U143" s="70" t="n">
        <f aca="false">U34+U43+U52+U61+U70+U79+U88+U97+U106+U115+U124+U133</f>
        <v>0</v>
      </c>
      <c r="V143" s="70" t="n">
        <f aca="false">V34+V43+V52+V61+V70+V79+V88+V97+V106+V115+V124+V133</f>
        <v>0</v>
      </c>
      <c r="W143" s="70" t="n">
        <f aca="false">W34+W43+W52+W61+W70+W79+W88+W97+W106+W115+W124+W133</f>
        <v>0</v>
      </c>
      <c r="X143" s="70" t="n">
        <f aca="false">X34+X43+X52+X61+X70+X79+X88+X97+X106+X115+X124+X133</f>
        <v>0</v>
      </c>
      <c r="Y143" s="70" t="n">
        <f aca="false">Y34+Y43+Y52+Y61+Y70+Y79+Y88+Y97+Y106+Y115+Y124+Y133</f>
        <v>0</v>
      </c>
      <c r="Z143" s="70" t="n">
        <f aca="false">Z34+Z43+Z52+Z61+Z70+Z79+Z88+Z97+Z106+Z115+Z124+Z133</f>
        <v>0</v>
      </c>
      <c r="AA143" s="70" t="n">
        <f aca="false">AA34+AA43+AA52+AA61+AA70+AA79+AA88+AA97+AA106+AA115+AA124+AA133</f>
        <v>1.70067625</v>
      </c>
      <c r="AB143" s="70" t="n">
        <f aca="false">AB34+AB43+AB52+AB61+AB70+AB79+AB88+AB97+AB106+AB115+AB124+AB133</f>
        <v>0</v>
      </c>
      <c r="AC143" s="70" t="n">
        <f aca="false">AC34+AC43+AC52+AC61+AC70+AC79+AC88+AC97+AC106+AC115+AC124+AC133</f>
        <v>0</v>
      </c>
      <c r="AD143" s="70" t="n">
        <f aca="false">AD34+AD43+AD52+AD61+AD70+AD79+AD88+AD97+AD106+AD115+AD124+AD133</f>
        <v>0</v>
      </c>
      <c r="AE143" s="70" t="n">
        <f aca="false">AE34+AE43+AE52+AE61+AE70+AE79+AE88+AE97+AE106+AE115+AE124+AE133</f>
        <v>0</v>
      </c>
      <c r="AF143" s="70" t="n">
        <f aca="false">AF34+AF43+AF52+AF61+AF70+AF79+AF88+AF97+AF106+AF115+AF124+AF133</f>
        <v>11.396385</v>
      </c>
      <c r="AG143" s="70" t="n">
        <f aca="false">AG34+AG43+AG52+AG61+AG70+AG79+AG88+AG97+AG106+AG115+AG124+AG133</f>
        <v>0</v>
      </c>
      <c r="AI143" s="70" t="n">
        <f aca="false">SUMIF($F$7:$AG$7,AI$7,$F143:$AG143)</f>
        <v>0</v>
      </c>
      <c r="AJ143" s="70" t="n">
        <f aca="false">SUMIF($F$7:$AG$7,AJ$7,$F143:$AG143)</f>
        <v>0</v>
      </c>
      <c r="AK143" s="70" t="n">
        <f aca="false">SUMIF($F$7:$AG$7,AK$7,$F143:$AG143)</f>
        <v>0</v>
      </c>
      <c r="AL143" s="70" t="n">
        <f aca="false">SUMIF($F$7:$AG$7,AL$7,$F143:$AG143)</f>
        <v>0</v>
      </c>
      <c r="AM143" s="70" t="n">
        <f aca="false">SUMIF($F$7:$AG$7,AM$7,$F143:$AG143)</f>
        <v>0</v>
      </c>
      <c r="AN143" s="70" t="n">
        <f aca="false">SUMIF($F$7:$AG$7,AN$7,$F143:$AG143)</f>
        <v>1.70067625</v>
      </c>
      <c r="AO143" s="70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2620</v>
      </c>
      <c r="B144" s="24" t="s">
        <v>809</v>
      </c>
      <c r="C144" s="24" t="s">
        <v>672</v>
      </c>
      <c r="D144" s="24"/>
      <c r="F144" s="147" t="n">
        <f aca="false">F35+F44+F53+F62+F71+F80+F89+F98+F107+F116+F125+F134</f>
        <v>0</v>
      </c>
      <c r="G144" s="147" t="n">
        <f aca="false">G35+G44+G53+G62+G71+G80+G89+G98+G107+G116+G125+G134</f>
        <v>0</v>
      </c>
      <c r="H144" s="147" t="n">
        <f aca="false">H35+H44+H53+H62+H71+H80+H89+H98+H107+H116+H125+H134</f>
        <v>0</v>
      </c>
      <c r="I144" s="147" t="n">
        <f aca="false">I35+I44+I53+I62+I71+I80+I89+I98+I107+I116+I125+I134</f>
        <v>0</v>
      </c>
      <c r="J144" s="147" t="n">
        <f aca="false">J35+J44+J53+J62+J71+J80+J89+J98+J107+J116+J125+J134</f>
        <v>0</v>
      </c>
      <c r="K144" s="147" t="n">
        <f aca="false">K35+K44+K53+K62+K71+K80+K89+K98+K107+K116+K125+K134</f>
        <v>0</v>
      </c>
      <c r="L144" s="147" t="n">
        <f aca="false">L35+L44+L53+L62+L71+L80+L89+L98+L107+L116+L125+L134</f>
        <v>0</v>
      </c>
      <c r="M144" s="147" t="n">
        <f aca="false">M35+M44+M53+M62+M71+M80+M89+M98+M107+M116+M125+M134</f>
        <v>0</v>
      </c>
      <c r="N144" s="147" t="n">
        <f aca="false">N35+N44+N53+N62+N71+N80+N89+N98+N107+N116+N125+N134</f>
        <v>0</v>
      </c>
      <c r="O144" s="147" t="n">
        <f aca="false">O35+O44+O53+O62+O71+O80+O89+O98+O107+O116+O125+O134</f>
        <v>0</v>
      </c>
      <c r="P144" s="70" t="n">
        <f aca="false">P35+P44+P53+P62+P71+P80+P89+P98+P107+P116+P125+P134</f>
        <v>0</v>
      </c>
      <c r="Q144" s="70" t="n">
        <f aca="false">Q35+Q44+Q53+Q62+Q71+Q80+Q89+Q98+Q107+Q116+Q125+Q134</f>
        <v>0</v>
      </c>
      <c r="R144" s="70" t="n">
        <f aca="false">R35+R44+R53+R62+R71+R80+R89+R98+R107+R116+R125+R134</f>
        <v>0</v>
      </c>
      <c r="S144" s="70" t="n">
        <f aca="false">S35+S44+S53+S62+S71+S80+S89+S98+S107+S116+S125+S134</f>
        <v>0</v>
      </c>
      <c r="T144" s="70" t="n">
        <f aca="false">T35+T44+T53+T62+T71+T80+T89+T98+T107+T116+T125+T134</f>
        <v>0</v>
      </c>
      <c r="U144" s="70" t="n">
        <f aca="false">U35+U44+U53+U62+U71+U80+U89+U98+U107+U116+U125+U134</f>
        <v>0</v>
      </c>
      <c r="V144" s="70" t="n">
        <f aca="false">V35+V44+V53+V62+V71+V80+V89+V98+V107+V116+V125+V134</f>
        <v>0</v>
      </c>
      <c r="W144" s="70" t="n">
        <f aca="false">W35+W44+W53+W62+W71+W80+W89+W98+W107+W116+W125+W134</f>
        <v>0</v>
      </c>
      <c r="X144" s="70" t="n">
        <f aca="false">X35+X44+X53+X62+X71+X80+X89+X98+X107+X116+X125+X134</f>
        <v>0</v>
      </c>
      <c r="Y144" s="70" t="n">
        <f aca="false">Y35+Y44+Y53+Y62+Y71+Y80+Y89+Y98+Y107+Y116+Y125+Y134</f>
        <v>0</v>
      </c>
      <c r="Z144" s="70" t="n">
        <f aca="false">Z35+Z44+Z53+Z62+Z71+Z80+Z89+Z98+Z107+Z116+Z125+Z134</f>
        <v>0</v>
      </c>
      <c r="AA144" s="70" t="n">
        <f aca="false">AA35+AA44+AA53+AA62+AA71+AA80+AA89+AA98+AA107+AA116+AA125+AA134</f>
        <v>0</v>
      </c>
      <c r="AB144" s="70" t="n">
        <f aca="false">AB35+AB44+AB53+AB62+AB71+AB80+AB89+AB98+AB107+AB116+AB125+AB134</f>
        <v>0</v>
      </c>
      <c r="AC144" s="70" t="n">
        <f aca="false">AC35+AC44+AC53+AC62+AC71+AC80+AC89+AC98+AC107+AC116+AC125+AC134</f>
        <v>0</v>
      </c>
      <c r="AD144" s="70" t="n">
        <f aca="false">AD35+AD44+AD53+AD62+AD71+AD80+AD89+AD98+AD107+AD116+AD125+AD134</f>
        <v>0</v>
      </c>
      <c r="AE144" s="70" t="n">
        <f aca="false">AE35+AE44+AE53+AE62+AE71+AE80+AE89+AE98+AE107+AE116+AE125+AE134</f>
        <v>0</v>
      </c>
      <c r="AF144" s="70" t="n">
        <f aca="false">AF35+AF44+AF53+AF62+AF71+AF80+AF89+AF98+AF107+AF116+AF125+AF134</f>
        <v>0</v>
      </c>
      <c r="AG144" s="70" t="n">
        <f aca="false">AG35+AG44+AG53+AG62+AG71+AG80+AG89+AG98+AG107+AG116+AG125+AG134</f>
        <v>0</v>
      </c>
      <c r="AI144" s="70" t="n">
        <f aca="false">INDEX($F144:$AG144,1,MATCH(AI$7,$F$7:$AG$7,1))</f>
        <v>0</v>
      </c>
      <c r="AJ144" s="70" t="n">
        <f aca="false">INDEX($F144:$AG144,1,MATCH(AJ$7,$F$7:$AG$7,1))</f>
        <v>0</v>
      </c>
      <c r="AK144" s="70" t="n">
        <f aca="false">INDEX($F144:$AG144,1,MATCH(AK$7,$F$7:$AG$7,1))</f>
        <v>0</v>
      </c>
      <c r="AL144" s="70" t="n">
        <f aca="false">INDEX($F144:$AG144,1,MATCH(AL$7,$F$7:$AG$7,1))</f>
        <v>0</v>
      </c>
      <c r="AM144" s="70" t="n">
        <f aca="false">INDEX($F144:$AG144,1,MATCH(AM$7,$F$7:$AG$7,1))</f>
        <v>0</v>
      </c>
      <c r="AN144" s="70" t="n">
        <f aca="false">INDEX($F144:$AG144,1,MATCH(AN$7,$F$7:$AG$7,1))</f>
        <v>0</v>
      </c>
      <c r="AO144" s="70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2621</v>
      </c>
      <c r="B145" s="24" t="s">
        <v>745</v>
      </c>
      <c r="C145" s="24" t="s">
        <v>672</v>
      </c>
      <c r="D145" s="24"/>
      <c r="F145" s="132" t="n">
        <f aca="false">F36+F45+F54+F63+F72+F81+F90+F99+F108+F117+F126+F135</f>
        <v>0</v>
      </c>
      <c r="G145" s="132" t="n">
        <f aca="false">G36+G45+G54+G63+G72+G81+G90+G99+G108+G117+G126+G135</f>
        <v>0</v>
      </c>
      <c r="H145" s="132" t="n">
        <f aca="false">H36+H45+H54+H63+H72+H81+H90+H99+H108+H117+H126+H135</f>
        <v>0</v>
      </c>
      <c r="I145" s="132" t="n">
        <f aca="false">I36+I45+I54+I63+I72+I81+I90+I99+I108+I117+I126+I135</f>
        <v>0</v>
      </c>
      <c r="J145" s="132" t="n">
        <f aca="false">J36+J45+J54+J63+J72+J81+J90+J99+J108+J117+J126+J135</f>
        <v>0</v>
      </c>
      <c r="K145" s="132" t="n">
        <f aca="false">K36+K45+K54+K63+K72+K81+K90+K99+K108+K117+K126+K135</f>
        <v>977.717696391198</v>
      </c>
      <c r="L145" s="132" t="n">
        <f aca="false">L36+L45+L54+L63+L72+L81+L90+L99+L108+L117+L126+L135</f>
        <v>4153.55863884143</v>
      </c>
      <c r="M145" s="132" t="n">
        <f aca="false">M36+M45+M54+M63+M72+M81+M90+M99+M108+M117+M126+M135</f>
        <v>4184.0439892422</v>
      </c>
      <c r="N145" s="132" t="n">
        <f aca="false">N36+N45+N54+N63+N72+N81+N90+N99+N108+N117+N126+N135</f>
        <v>8556.00126497794</v>
      </c>
      <c r="O145" s="132" t="n">
        <f aca="false">O36+O45+O54+O63+O72+O81+O90+O99+O108+O117+O126+O135</f>
        <v>8624.49645117217</v>
      </c>
      <c r="P145" s="104" t="n">
        <f aca="false">P36+P45+P54+P63+P72+P81+P90+P99+P108+P117+P126+P135</f>
        <v>13618.5823768008</v>
      </c>
      <c r="Q145" s="104" t="n">
        <f aca="false">Q36+Q45+Q54+Q63+Q72+Q81+Q90+Q99+Q108+Q117+Q126+Q135</f>
        <v>13723.9597745188</v>
      </c>
      <c r="R145" s="104" t="n">
        <f aca="false">R36+R45+R54+R63+R72+R81+R90+R99+R108+R117+R126+R135</f>
        <v>20251.0967009347</v>
      </c>
      <c r="S145" s="104" t="n">
        <f aca="false">S36+S45+S54+S63+S72+S81+S90+S99+S108+S117+S126+S135</f>
        <v>20403.963827577</v>
      </c>
      <c r="T145" s="104" t="n">
        <f aca="false">T36+T45+T54+T63+T72+T81+T90+T99+T108+T117+T126+T135</f>
        <v>26983.5849097986</v>
      </c>
      <c r="U145" s="104" t="n">
        <f aca="false">U36+U45+U54+U63+U72+U81+U90+U99+U108+U117+U126+U135</f>
        <v>27187.2131062122</v>
      </c>
      <c r="V145" s="104" t="n">
        <f aca="false">V36+V45+V54+V63+V72+V81+V90+V99+V108+V117+V126+V135</f>
        <v>27388.6279526647</v>
      </c>
      <c r="W145" s="104" t="n">
        <f aca="false">W36+W45+W54+W63+W72+W81+W90+W99+W108+W117+W126+W135</f>
        <v>27590.0427991173</v>
      </c>
      <c r="X145" s="104" t="n">
        <f aca="false">X36+X45+X54+X63+X72+X81+X90+X99+X108+X117+X126+X135</f>
        <v>27793.6709955308</v>
      </c>
      <c r="Y145" s="104" t="n">
        <f aca="false">Y36+Y45+Y54+Y63+Y72+Y81+Y90+Y99+Y108+Y117+Y126+Y135</f>
        <v>27997.2991919444</v>
      </c>
      <c r="Z145" s="104" t="n">
        <f aca="false">Z36+Z45+Z54+Z63+Z72+Z81+Z90+Z99+Z108+Z117+Z126+Z135</f>
        <v>28196.5006884359</v>
      </c>
      <c r="AA145" s="104" t="n">
        <f aca="false">AA36+AA45+AA54+AA63+AA72+AA81+AA90+AA99+AA108+AA117+AA126+AA135</f>
        <v>28294.7982562337</v>
      </c>
      <c r="AB145" s="104" t="n">
        <f aca="false">AB36+AB45+AB54+AB63+AB72+AB81+AB90+AB99+AB108+AB117+AB126+AB135</f>
        <v>28497.459568639</v>
      </c>
      <c r="AC145" s="104" t="n">
        <f aca="false">AC36+AC45+AC54+AC63+AC72+AC81+AC90+AC99+AC108+AC117+AC126+AC135</f>
        <v>28700.1208810443</v>
      </c>
      <c r="AD145" s="104" t="n">
        <f aca="false">AD36+AD45+AD54+AD63+AD72+AD81+AD90+AD99+AD108+AD117+AD126+AD135</f>
        <v>25091.4331610536</v>
      </c>
      <c r="AE145" s="104" t="n">
        <f aca="false">AE36+AE45+AE54+AE63+AE72+AE81+AE90+AE99+AE108+AE117+AE126+AE135</f>
        <v>25267.19061029</v>
      </c>
      <c r="AF145" s="104" t="n">
        <f aca="false">AF36+AF45+AF54+AF63+AF72+AF81+AF90+AF99+AF108+AF117+AF126+AF135</f>
        <v>19386.3604168822</v>
      </c>
      <c r="AG145" s="104" t="n">
        <f aca="false">AG36+AG45+AG54+AG63+AG72+AG81+AG90+AG99+AG108+AG117+AG126+AG135</f>
        <v>19524.4341259873</v>
      </c>
      <c r="AI145" s="104" t="n">
        <f aca="false">INDEX($F145:$AG145,1,MATCH(AI$7,$F$7:$AG$7,1))</f>
        <v>0</v>
      </c>
      <c r="AJ145" s="104" t="n">
        <f aca="false">INDEX($F145:$AG145,1,MATCH(AJ$7,$F$7:$AG$7,1))</f>
        <v>4184.0439892422</v>
      </c>
      <c r="AK145" s="104" t="n">
        <f aca="false">INDEX($F145:$AG145,1,MATCH(AK$7,$F$7:$AG$7,1))</f>
        <v>13723.9597745188</v>
      </c>
      <c r="AL145" s="104" t="n">
        <f aca="false">INDEX($F145:$AG145,1,MATCH(AL$7,$F$7:$AG$7,1))</f>
        <v>27187.2131062122</v>
      </c>
      <c r="AM145" s="104" t="n">
        <f aca="false">INDEX($F145:$AG145,1,MATCH(AM$7,$F$7:$AG$7,1))</f>
        <v>27997.2991919444</v>
      </c>
      <c r="AN145" s="104" t="n">
        <f aca="false">INDEX($F145:$AG145,1,MATCH(AN$7,$F$7:$AG$7,1))</f>
        <v>28700.1208810443</v>
      </c>
      <c r="AO145" s="104" t="n">
        <f aca="false">INDEX($F145:$AG145,1,MATCH(AO$7,$F$7:$AG$7,1))</f>
        <v>19524.4341259873</v>
      </c>
    </row>
    <row r="147" customFormat="false" ht="15" hidden="false" customHeight="false" outlineLevel="0" collapsed="false">
      <c r="A147" s="64" t="s">
        <v>2622</v>
      </c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</row>
    <row r="148" customFormat="false" ht="15" hidden="false" customHeight="false" outlineLevel="0" collapsed="false">
      <c r="A148" s="112" t="s">
        <v>2623</v>
      </c>
      <c r="B148" s="24" t="s">
        <v>745</v>
      </c>
      <c r="C148" s="24" t="s">
        <v>736</v>
      </c>
      <c r="D148" s="24" t="s">
        <v>2624</v>
      </c>
      <c r="F148" s="130" t="n">
        <f aca="false">IF(AND(F$5&gt;=SecIdx,F$5&lt;SecMatIdx),SecAmt,0)*LoanOn</f>
        <v>0</v>
      </c>
      <c r="G148" s="130" t="n">
        <f aca="false">IF(AND(G$5&gt;=SecIdx,G$5&lt;SecMatIdx),SecAmt,0)*LoanOn</f>
        <v>0</v>
      </c>
      <c r="H148" s="130" t="n">
        <f aca="false">IF(AND(H$5&gt;=SecIdx,H$5&lt;SecMatIdx),SecAmt,0)*LoanOn</f>
        <v>0</v>
      </c>
      <c r="I148" s="130" t="n">
        <f aca="false">IF(AND(I$5&gt;=SecIdx,I$5&lt;SecMatIdx),SecAmt,0)*LoanOn</f>
        <v>0</v>
      </c>
      <c r="J148" s="130" t="n">
        <f aca="false">IF(AND(J$5&gt;=SecIdx,J$5&lt;SecMatIdx),SecAmt,0)*LoanOn</f>
        <v>0</v>
      </c>
      <c r="K148" s="130" t="n">
        <f aca="false">IF(AND(K$5&gt;=SecIdx,K$5&lt;SecMatIdx),SecAmt,0)*LoanOn</f>
        <v>0</v>
      </c>
      <c r="L148" s="130" t="n">
        <f aca="false">IF(AND(L$5&gt;=SecIdx,L$5&lt;SecMatIdx),SecAmt,0)*LoanOn</f>
        <v>0</v>
      </c>
      <c r="M148" s="130" t="n">
        <f aca="false">IF(AND(M$5&gt;=SecIdx,M$5&lt;SecMatIdx),SecAmt,0)*LoanOn</f>
        <v>0</v>
      </c>
      <c r="N148" s="130" t="n">
        <f aca="false">IF(AND(N$5&gt;=SecIdx,N$5&lt;SecMatIdx),SecAmt,0)*LoanOn</f>
        <v>0</v>
      </c>
      <c r="O148" s="130" t="n">
        <f aca="false">IF(AND(O$5&gt;=SecIdx,O$5&lt;SecMatIdx),SecAmt,0)*LoanOn</f>
        <v>0</v>
      </c>
      <c r="P148" s="131" t="n">
        <f aca="false">IF(AND(P$5&gt;=SecIdx,P$5&lt;SecMatIdx),SecAmt,0)*LoanOn</f>
        <v>0</v>
      </c>
      <c r="Q148" s="131" t="n">
        <f aca="false">IF(AND(Q$5&gt;=SecIdx,Q$5&lt;SecMatIdx),SecAmt,0)*LoanOn</f>
        <v>0</v>
      </c>
      <c r="R148" s="131" t="n">
        <f aca="false">IF(AND(R$5&gt;=SecIdx,R$5&lt;SecMatIdx),SecAmt,0)*LoanOn</f>
        <v>0</v>
      </c>
      <c r="S148" s="131" t="n">
        <f aca="false">IF(AND(S$5&gt;=SecIdx,S$5&lt;SecMatIdx),SecAmt,0)*LoanOn</f>
        <v>0</v>
      </c>
      <c r="T148" s="131" t="n">
        <f aca="false">IF(AND(T$5&gt;=SecIdx,T$5&lt;SecMatIdx),SecAmt,0)*LoanOn</f>
        <v>0</v>
      </c>
      <c r="U148" s="131" t="n">
        <f aca="false">IF(AND(U$5&gt;=SecIdx,U$5&lt;SecMatIdx),SecAmt,0)*LoanOn</f>
        <v>0</v>
      </c>
      <c r="V148" s="131" t="n">
        <f aca="false">IF(AND(V$5&gt;=SecIdx,V$5&lt;SecMatIdx),SecAmt,0)*LoanOn</f>
        <v>0</v>
      </c>
      <c r="W148" s="131" t="n">
        <f aca="false">IF(AND(W$5&gt;=SecIdx,W$5&lt;SecMatIdx),SecAmt,0)*LoanOn</f>
        <v>0</v>
      </c>
      <c r="X148" s="131" t="n">
        <f aca="false">IF(AND(X$5&gt;=SecIdx,X$5&lt;SecMatIdx),SecAmt,0)*LoanOn</f>
        <v>0</v>
      </c>
      <c r="Y148" s="131" t="n">
        <f aca="false">IF(AND(Y$5&gt;=SecIdx,Y$5&lt;SecMatIdx),SecAmt,0)*LoanOn</f>
        <v>0</v>
      </c>
      <c r="Z148" s="131" t="n">
        <f aca="false">IF(AND(Z$5&gt;=SecIdx,Z$5&lt;SecMatIdx),SecAmt,0)*LoanOn</f>
        <v>0</v>
      </c>
      <c r="AA148" s="131" t="n">
        <f aca="false">IF(AND(AA$5&gt;=SecIdx,AA$5&lt;SecMatIdx),SecAmt,0)*LoanOn</f>
        <v>0</v>
      </c>
      <c r="AB148" s="131" t="n">
        <f aca="false">IF(AND(AB$5&gt;=SecIdx,AB$5&lt;SecMatIdx),SecAmt,0)*LoanOn</f>
        <v>0</v>
      </c>
      <c r="AC148" s="131" t="n">
        <f aca="false">IF(AND(AC$5&gt;=SecIdx,AC$5&lt;SecMatIdx),SecAmt,0)*LoanOn</f>
        <v>0</v>
      </c>
      <c r="AD148" s="131" t="n">
        <f aca="false">IF(AND(AD$5&gt;=SecIdx,AD$5&lt;SecMatIdx),SecAmt,0)*LoanOn</f>
        <v>0</v>
      </c>
      <c r="AE148" s="131" t="n">
        <f aca="false">IF(AND(AE$5&gt;=SecIdx,AE$5&lt;SecMatIdx),SecAmt,0)*LoanOn</f>
        <v>0</v>
      </c>
      <c r="AF148" s="131" t="n">
        <f aca="false">IF(AND(AF$5&gt;=SecIdx,AF$5&lt;SecMatIdx),SecAmt,0)*LoanOn</f>
        <v>0</v>
      </c>
      <c r="AG148" s="131" t="n">
        <f aca="false">IF(AND(AG$5&gt;=SecIdx,AG$5&lt;SecMatIdx),SecAmt,0)*LoanOn</f>
        <v>0</v>
      </c>
      <c r="AI148" s="131" t="n">
        <f aca="false">INDEX($F148:$AG148,1,MATCH(AI$7,$F$7:$AG$7,1))</f>
        <v>0</v>
      </c>
      <c r="AJ148" s="131" t="n">
        <f aca="false">INDEX($F148:$AG148,1,MATCH(AJ$7,$F$7:$AG$7,1))</f>
        <v>0</v>
      </c>
      <c r="AK148" s="131" t="n">
        <f aca="false">INDEX($F148:$AG148,1,MATCH(AK$7,$F$7:$AG$7,1))</f>
        <v>0</v>
      </c>
      <c r="AL148" s="131" t="n">
        <f aca="false">INDEX($F148:$AG148,1,MATCH(AL$7,$F$7:$AG$7,1))</f>
        <v>0</v>
      </c>
      <c r="AM148" s="131" t="n">
        <f aca="false">INDEX($F148:$AG148,1,MATCH(AM$7,$F$7:$AG$7,1))</f>
        <v>0</v>
      </c>
      <c r="AN148" s="131" t="n">
        <f aca="false">INDEX($F148:$AG148,1,MATCH(AN$7,$F$7:$AG$7,1))</f>
        <v>0</v>
      </c>
      <c r="AO148" s="131" t="n">
        <f aca="false">INDEX($F148:$AG148,1,MATCH(AO$7,$F$7:$AG$7,1))</f>
        <v>0</v>
      </c>
    </row>
    <row r="149" customFormat="false" ht="15" hidden="false" customHeight="false" outlineLevel="0" collapsed="false">
      <c r="A149" s="112" t="s">
        <v>2625</v>
      </c>
      <c r="B149" s="24" t="s">
        <v>745</v>
      </c>
      <c r="C149" s="24" t="s">
        <v>736</v>
      </c>
      <c r="D149" s="24"/>
      <c r="F149" s="130" t="n">
        <f aca="false">F148*(SOFR+SecSpread)/4</f>
        <v>0</v>
      </c>
      <c r="G149" s="130" t="n">
        <f aca="false">G148*(SOFR+SecSpread)/4</f>
        <v>0</v>
      </c>
      <c r="H149" s="130" t="n">
        <f aca="false">H148*(SOFR+SecSpread)/4</f>
        <v>0</v>
      </c>
      <c r="I149" s="130" t="n">
        <f aca="false">I148*(SOFR+SecSpread)/4</f>
        <v>0</v>
      </c>
      <c r="J149" s="130" t="n">
        <f aca="false">J148*(SOFR+SecSpread)/4</f>
        <v>0</v>
      </c>
      <c r="K149" s="130" t="n">
        <f aca="false">K148*(SOFR+SecSpread)/4</f>
        <v>0</v>
      </c>
      <c r="L149" s="130" t="n">
        <f aca="false">L148*(SOFR+SecSpread)/4</f>
        <v>0</v>
      </c>
      <c r="M149" s="130" t="n">
        <f aca="false">M148*(SOFR+SecSpread)/4</f>
        <v>0</v>
      </c>
      <c r="N149" s="130" t="n">
        <f aca="false">N148*(SOFR+SecSpread)/4</f>
        <v>0</v>
      </c>
      <c r="O149" s="130" t="n">
        <f aca="false">O148*(SOFR+SecSpread)/4</f>
        <v>0</v>
      </c>
      <c r="P149" s="131" t="n">
        <f aca="false">P148*(SOFR+SecSpread)/4</f>
        <v>0</v>
      </c>
      <c r="Q149" s="131" t="n">
        <f aca="false">Q148*(SOFR+SecSpread)/4</f>
        <v>0</v>
      </c>
      <c r="R149" s="131" t="n">
        <f aca="false">R148*(SOFR+SecSpread)/4</f>
        <v>0</v>
      </c>
      <c r="S149" s="131" t="n">
        <f aca="false">S148*(SOFR+SecSpread)/4</f>
        <v>0</v>
      </c>
      <c r="T149" s="131" t="n">
        <f aca="false">T148*(SOFR+SecSpread)/4</f>
        <v>0</v>
      </c>
      <c r="U149" s="131" t="n">
        <f aca="false">U148*(SOFR+SecSpread)/4</f>
        <v>0</v>
      </c>
      <c r="V149" s="131" t="n">
        <f aca="false">V148*(SOFR+SecSpread)/4</f>
        <v>0</v>
      </c>
      <c r="W149" s="131" t="n">
        <f aca="false">W148*(SOFR+SecSpread)/4</f>
        <v>0</v>
      </c>
      <c r="X149" s="131" t="n">
        <f aca="false">X148*(SOFR+SecSpread)/4</f>
        <v>0</v>
      </c>
      <c r="Y149" s="131" t="n">
        <f aca="false">Y148*(SOFR+SecSpread)/4</f>
        <v>0</v>
      </c>
      <c r="Z149" s="131" t="n">
        <f aca="false">Z148*(SOFR+SecSpread)/4</f>
        <v>0</v>
      </c>
      <c r="AA149" s="131" t="n">
        <f aca="false">AA148*(SOFR+SecSpread)/4</f>
        <v>0</v>
      </c>
      <c r="AB149" s="131" t="n">
        <f aca="false">AB148*(SOFR+SecSpread)/4</f>
        <v>0</v>
      </c>
      <c r="AC149" s="131" t="n">
        <f aca="false">AC148*(SOFR+SecSpread)/4</f>
        <v>0</v>
      </c>
      <c r="AD149" s="131" t="n">
        <f aca="false">AD148*(SOFR+SecSpread)/4</f>
        <v>0</v>
      </c>
      <c r="AE149" s="131" t="n">
        <f aca="false">AE148*(SOFR+SecSpread)/4</f>
        <v>0</v>
      </c>
      <c r="AF149" s="131" t="n">
        <f aca="false">AF148*(SOFR+SecSpread)/4</f>
        <v>0</v>
      </c>
      <c r="AG149" s="131" t="n">
        <f aca="false">AG148*(SOFR+SecSpread)/4</f>
        <v>0</v>
      </c>
      <c r="AI149" s="131" t="n">
        <f aca="false">SUMIF($F$7:$AG$7,AI$7,$F149:$AG149)</f>
        <v>0</v>
      </c>
      <c r="AJ149" s="131" t="n">
        <f aca="false">SUMIF($F$7:$AG$7,AJ$7,$F149:$AG149)</f>
        <v>0</v>
      </c>
      <c r="AK149" s="131" t="n">
        <f aca="false">SUMIF($F$7:$AG$7,AK$7,$F149:$AG149)</f>
        <v>0</v>
      </c>
      <c r="AL149" s="131" t="n">
        <f aca="false">SUMIF($F$7:$AG$7,AL$7,$F149:$AG149)</f>
        <v>0</v>
      </c>
      <c r="AM149" s="131" t="n">
        <f aca="false">SUMIF($F$7:$AG$7,AM$7,$F149:$AG149)</f>
        <v>0</v>
      </c>
      <c r="AN149" s="131" t="n">
        <f aca="false">SUMIF($F$7:$AG$7,AN$7,$F149:$AG149)</f>
        <v>0</v>
      </c>
      <c r="AO149" s="131" t="n">
        <f aca="false">SUMIF($F$7:$AG$7,AO$7,$F149:$AG149)</f>
        <v>0</v>
      </c>
    </row>
    <row r="150" customFormat="false" ht="15" hidden="false" customHeight="false" outlineLevel="0" collapsed="false">
      <c r="A150" s="112" t="s">
        <v>2626</v>
      </c>
      <c r="B150" s="24" t="s">
        <v>745</v>
      </c>
      <c r="C150" s="24" t="s">
        <v>736</v>
      </c>
      <c r="D150" s="24"/>
      <c r="F150" s="130" t="n">
        <f aca="false">(IF(F$5=SecIdx,SecAmt,0)-IF(F$5=SecMatIdx,SecAmt,0))*LoanOn</f>
        <v>0</v>
      </c>
      <c r="G150" s="130" t="n">
        <f aca="false">(IF(G$5=SecIdx,SecAmt,0)-IF(G$5=SecMatIdx,SecAmt,0))*LoanOn</f>
        <v>0</v>
      </c>
      <c r="H150" s="130" t="n">
        <f aca="false">(IF(H$5=SecIdx,SecAmt,0)-IF(H$5=SecMatIdx,SecAmt,0))*LoanOn</f>
        <v>0</v>
      </c>
      <c r="I150" s="130" t="n">
        <f aca="false">(IF(I$5=SecIdx,SecAmt,0)-IF(I$5=SecMatIdx,SecAmt,0))*LoanOn</f>
        <v>0</v>
      </c>
      <c r="J150" s="130" t="n">
        <f aca="false">(IF(J$5=SecIdx,SecAmt,0)-IF(J$5=SecMatIdx,SecAmt,0))*LoanOn</f>
        <v>0</v>
      </c>
      <c r="K150" s="130" t="n">
        <f aca="false">(IF(K$5=SecIdx,SecAmt,0)-IF(K$5=SecMatIdx,SecAmt,0))*LoanOn</f>
        <v>0</v>
      </c>
      <c r="L150" s="130" t="n">
        <f aca="false">(IF(L$5=SecIdx,SecAmt,0)-IF(L$5=SecMatIdx,SecAmt,0))*LoanOn</f>
        <v>0</v>
      </c>
      <c r="M150" s="130" t="n">
        <f aca="false">(IF(M$5=SecIdx,SecAmt,0)-IF(M$5=SecMatIdx,SecAmt,0))*LoanOn</f>
        <v>0</v>
      </c>
      <c r="N150" s="130" t="n">
        <f aca="false">(IF(N$5=SecIdx,SecAmt,0)-IF(N$5=SecMatIdx,SecAmt,0))*LoanOn</f>
        <v>0</v>
      </c>
      <c r="O150" s="130" t="n">
        <f aca="false">(IF(O$5=SecIdx,SecAmt,0)-IF(O$5=SecMatIdx,SecAmt,0))*LoanOn</f>
        <v>0</v>
      </c>
      <c r="P150" s="131" t="n">
        <f aca="false">(IF(P$5=SecIdx,SecAmt,0)-IF(P$5=SecMatIdx,SecAmt,0))*LoanOn</f>
        <v>0</v>
      </c>
      <c r="Q150" s="131" t="n">
        <f aca="false">(IF(Q$5=SecIdx,SecAmt,0)-IF(Q$5=SecMatIdx,SecAmt,0))*LoanOn</f>
        <v>0</v>
      </c>
      <c r="R150" s="131" t="n">
        <f aca="false">(IF(R$5=SecIdx,SecAmt,0)-IF(R$5=SecMatIdx,SecAmt,0))*LoanOn</f>
        <v>0</v>
      </c>
      <c r="S150" s="131" t="n">
        <f aca="false">(IF(S$5=SecIdx,SecAmt,0)-IF(S$5=SecMatIdx,SecAmt,0))*LoanOn</f>
        <v>0</v>
      </c>
      <c r="T150" s="131" t="n">
        <f aca="false">(IF(T$5=SecIdx,SecAmt,0)-IF(T$5=SecMatIdx,SecAmt,0))*LoanOn</f>
        <v>0</v>
      </c>
      <c r="U150" s="131" t="n">
        <f aca="false">(IF(U$5=SecIdx,SecAmt,0)-IF(U$5=SecMatIdx,SecAmt,0))*LoanOn</f>
        <v>0</v>
      </c>
      <c r="V150" s="131" t="n">
        <f aca="false">(IF(V$5=SecIdx,SecAmt,0)-IF(V$5=SecMatIdx,SecAmt,0))*LoanOn</f>
        <v>0</v>
      </c>
      <c r="W150" s="131" t="n">
        <f aca="false">(IF(W$5=SecIdx,SecAmt,0)-IF(W$5=SecMatIdx,SecAmt,0))*LoanOn</f>
        <v>0</v>
      </c>
      <c r="X150" s="131" t="n">
        <f aca="false">(IF(X$5=SecIdx,SecAmt,0)-IF(X$5=SecMatIdx,SecAmt,0))*LoanOn</f>
        <v>0</v>
      </c>
      <c r="Y150" s="131" t="n">
        <f aca="false">(IF(Y$5=SecIdx,SecAmt,0)-IF(Y$5=SecMatIdx,SecAmt,0))*LoanOn</f>
        <v>0</v>
      </c>
      <c r="Z150" s="131" t="n">
        <f aca="false">(IF(Z$5=SecIdx,SecAmt,0)-IF(Z$5=SecMatIdx,SecAmt,0))*LoanOn</f>
        <v>0</v>
      </c>
      <c r="AA150" s="131" t="n">
        <f aca="false">(IF(AA$5=SecIdx,SecAmt,0)-IF(AA$5=SecMatIdx,SecAmt,0))*LoanOn</f>
        <v>0</v>
      </c>
      <c r="AB150" s="131" t="n">
        <f aca="false">(IF(AB$5=SecIdx,SecAmt,0)-IF(AB$5=SecMatIdx,SecAmt,0))*LoanOn</f>
        <v>0</v>
      </c>
      <c r="AC150" s="131" t="n">
        <f aca="false">(IF(AC$5=SecIdx,SecAmt,0)-IF(AC$5=SecMatIdx,SecAmt,0))*LoanOn</f>
        <v>0</v>
      </c>
      <c r="AD150" s="131" t="n">
        <f aca="false">(IF(AD$5=SecIdx,SecAmt,0)-IF(AD$5=SecMatIdx,SecAmt,0))*LoanOn</f>
        <v>0</v>
      </c>
      <c r="AE150" s="131" t="n">
        <f aca="false">(IF(AE$5=SecIdx,SecAmt,0)-IF(AE$5=SecMatIdx,SecAmt,0))*LoanOn</f>
        <v>0</v>
      </c>
      <c r="AF150" s="131" t="n">
        <f aca="false">(IF(AF$5=SecIdx,SecAmt,0)-IF(AF$5=SecMatIdx,SecAmt,0))*LoanOn</f>
        <v>0</v>
      </c>
      <c r="AG150" s="131" t="n">
        <f aca="false">(IF(AG$5=SecIdx,SecAmt,0)-IF(AG$5=SecMatIdx,SecAmt,0))*LoanOn</f>
        <v>-0</v>
      </c>
      <c r="AI150" s="131" t="n">
        <f aca="false">SUMIF($F$7:$AG$7,AI$7,$F150:$AG150)</f>
        <v>0</v>
      </c>
      <c r="AJ150" s="131" t="n">
        <f aca="false">SUMIF($F$7:$AG$7,AJ$7,$F150:$AG150)</f>
        <v>0</v>
      </c>
      <c r="AK150" s="131" t="n">
        <f aca="false">SUMIF($F$7:$AG$7,AK$7,$F150:$AG150)</f>
        <v>0</v>
      </c>
      <c r="AL150" s="131" t="n">
        <f aca="false">SUMIF($F$7:$AG$7,AL$7,$F150:$AG150)</f>
        <v>0</v>
      </c>
      <c r="AM150" s="131" t="n">
        <f aca="false">SUMIF($F$7:$AG$7,AM$7,$F150:$AG150)</f>
        <v>0</v>
      </c>
      <c r="AN150" s="131" t="n">
        <f aca="false">SUMIF($F$7:$AG$7,AN$7,$F150:$AG150)</f>
        <v>0</v>
      </c>
      <c r="AO150" s="131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2627</v>
      </c>
    </row>
    <row r="2" customFormat="false" ht="15" hidden="false" customHeight="false" outlineLevel="0" collapsed="false">
      <c r="A2" s="24" t="s">
        <v>2628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2227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1491</v>
      </c>
      <c r="B11" s="24" t="s">
        <v>745</v>
      </c>
      <c r="C11" s="24" t="s">
        <v>2227</v>
      </c>
      <c r="D11" s="24"/>
      <c r="F11" s="132" t="n">
        <f aca="false">INDEX(Rev,1,1)</f>
        <v>11.4</v>
      </c>
      <c r="G11" s="132" t="n">
        <f aca="false">INDEX(Rev,1,2)</f>
        <v>14.5</v>
      </c>
      <c r="H11" s="132" t="n">
        <f aca="false">INDEX(Rev,1,3)</f>
        <v>32.1</v>
      </c>
      <c r="I11" s="132" t="n">
        <f aca="false">INDEX(Rev,1,4)</f>
        <v>35.2</v>
      </c>
      <c r="J11" s="132" t="n">
        <f aca="false">INDEX(Rev,1,5)</f>
        <v>50.9</v>
      </c>
      <c r="K11" s="132" t="n">
        <f aca="false">INDEX(Rev,1,6)</f>
        <v>105.1</v>
      </c>
      <c r="L11" s="132" t="n">
        <f aca="false">INDEX(Rev,1,7)</f>
        <v>146.1</v>
      </c>
      <c r="M11" s="132" t="n">
        <f aca="false">INDEX(Rev,1,8)</f>
        <v>227.7</v>
      </c>
      <c r="N11" s="132" t="n">
        <f aca="false">INDEX(Rev,1,9)</f>
        <v>399</v>
      </c>
      <c r="O11" s="132" t="n">
        <f aca="false">INDEX(Rev,1,10)</f>
        <v>582.3</v>
      </c>
      <c r="P11" s="104" t="n">
        <f aca="false">INDEX(Rev,1,11)</f>
        <v>674.686407680941</v>
      </c>
      <c r="Q11" s="104" t="n">
        <f aca="false">INDEX(Rev,1,12)</f>
        <v>809.093133895167</v>
      </c>
      <c r="R11" s="104" t="n">
        <f aca="false">INDEX(Rev,1,13)</f>
        <v>1027.64729096515</v>
      </c>
      <c r="S11" s="104" t="n">
        <f aca="false">INDEX(Rev,1,14)</f>
        <v>1633.13050872508</v>
      </c>
      <c r="T11" s="104" t="n">
        <f aca="false">INDEX(Rev,1,15)</f>
        <v>2462.21171007985</v>
      </c>
      <c r="U11" s="104" t="n">
        <f aca="false">INDEX(Rev,1,16)</f>
        <v>3086.25088248997</v>
      </c>
      <c r="V11" s="104" t="n">
        <f aca="false">INDEX(Rev,1,17)</f>
        <v>4013.89059981034</v>
      </c>
      <c r="W11" s="104" t="n">
        <f aca="false">INDEX(Rev,1,18)</f>
        <v>4748.06952849615</v>
      </c>
      <c r="X11" s="104" t="n">
        <f aca="false">INDEX(Rev,1,19)</f>
        <v>5292.32987534832</v>
      </c>
      <c r="Y11" s="104" t="n">
        <f aca="false">INDEX(Rev,1,20)</f>
        <v>5662.50662813455</v>
      </c>
      <c r="Z11" s="104" t="n">
        <f aca="false">INDEX(Rev,1,21)</f>
        <v>6382.42035791168</v>
      </c>
      <c r="AA11" s="104" t="n">
        <f aca="false">INDEX(Rev,1,22)</f>
        <v>7098.6928000778</v>
      </c>
      <c r="AB11" s="104" t="n">
        <f aca="false">INDEX(Rev,1,23)</f>
        <v>7804.04483599783</v>
      </c>
      <c r="AC11" s="104" t="n">
        <f aca="false">INDEX(Rev,1,24)</f>
        <v>8524.78766628161</v>
      </c>
      <c r="AD11" s="104" t="n">
        <f aca="false">INDEX(Rev,1,25)</f>
        <v>9491.43106869837</v>
      </c>
      <c r="AE11" s="104" t="n">
        <f aca="false">INDEX(Rev,1,26)</f>
        <v>10485.1406755109</v>
      </c>
      <c r="AF11" s="104" t="n">
        <f aca="false">INDEX(Rev,1,27)</f>
        <v>10450.9672629615</v>
      </c>
      <c r="AG11" s="104" t="n">
        <f aca="false">INDEX(Rev,1,28)</f>
        <v>10565.4112463916</v>
      </c>
      <c r="AI11" s="104" t="n">
        <f aca="false">SUMIF($F$7:$AG$7,AI$7,$F11:$AG11)</f>
        <v>93.2</v>
      </c>
      <c r="AJ11" s="104" t="n">
        <f aca="false">SUMIF($F$7:$AG$7,AJ$7,$F11:$AG11)</f>
        <v>529.8</v>
      </c>
      <c r="AK11" s="104" t="n">
        <f aca="false">SUMIF($F$7:$AG$7,AK$7,$F11:$AG11)</f>
        <v>2465.07954157611</v>
      </c>
      <c r="AL11" s="104" t="n">
        <f aca="false">SUMIF($F$7:$AG$7,AL$7,$F11:$AG11)</f>
        <v>8209.24039226006</v>
      </c>
      <c r="AM11" s="104" t="n">
        <f aca="false">SUMIF($F$7:$AG$7,AM$7,$F11:$AG11)</f>
        <v>19716.7966317894</v>
      </c>
      <c r="AN11" s="104" t="n">
        <f aca="false">SUMIF($F$7:$AG$7,AN$7,$F11:$AG11)</f>
        <v>29809.9456602689</v>
      </c>
      <c r="AO11" s="104" t="n">
        <f aca="false">SUMIF($F$7:$AG$7,AO$7,$F11:$AG11)</f>
        <v>40992.9502535623</v>
      </c>
    </row>
    <row r="12" customFormat="false" ht="15" hidden="false" customHeight="false" outlineLevel="0" collapsed="false">
      <c r="A12" s="112" t="s">
        <v>2629</v>
      </c>
      <c r="B12" s="24" t="s">
        <v>745</v>
      </c>
      <c r="C12" s="24" t="s">
        <v>2227</v>
      </c>
      <c r="D12" s="24"/>
      <c r="F12" s="130" t="n">
        <f aca="false">INDEX(AIRev,1,1)</f>
        <v>10.3</v>
      </c>
      <c r="G12" s="130" t="n">
        <f aca="false">INDEX(AIRev,1,2)</f>
        <v>13.1</v>
      </c>
      <c r="H12" s="130" t="n">
        <f aca="false">INDEX(AIRev,1,3)</f>
        <v>28.9</v>
      </c>
      <c r="I12" s="130" t="n">
        <f aca="false">INDEX(AIRev,1,4)</f>
        <v>31.7</v>
      </c>
      <c r="J12" s="130" t="n">
        <f aca="false">INDEX(AIRev,1,5)</f>
        <v>41.4</v>
      </c>
      <c r="K12" s="130" t="n">
        <f aca="false">INDEX(AIRev,1,6)</f>
        <v>93.6</v>
      </c>
      <c r="L12" s="130" t="n">
        <f aca="false">INDEX(AIRev,1,7)</f>
        <v>138.8</v>
      </c>
      <c r="M12" s="130" t="n">
        <f aca="false">INDEX(AIRev,1,8)</f>
        <v>214.2</v>
      </c>
      <c r="N12" s="130" t="n">
        <f aca="false">INDEX(AIRev,1,9)</f>
        <v>389.7</v>
      </c>
      <c r="O12" s="130" t="n">
        <f aca="false">INDEX(AIRev,1,10)</f>
        <v>574.9</v>
      </c>
      <c r="P12" s="131" t="n">
        <f aca="false">INDEX(AIRev,1,11)</f>
        <v>667.138407680941</v>
      </c>
      <c r="Q12" s="131" t="n">
        <f aca="false">INDEX(AIRev,1,12)</f>
        <v>801.394173895167</v>
      </c>
      <c r="R12" s="131" t="n">
        <f aca="false">INDEX(AIRev,1,13)</f>
        <v>1019.79435176515</v>
      </c>
      <c r="S12" s="131" t="n">
        <f aca="false">INDEX(AIRev,1,14)</f>
        <v>1625.12051074108</v>
      </c>
      <c r="T12" s="131" t="n">
        <f aca="false">INDEX(AIRev,1,15)</f>
        <v>2454.04151213617</v>
      </c>
      <c r="U12" s="131" t="n">
        <f aca="false">INDEX(AIRev,1,16)</f>
        <v>3077.91728058742</v>
      </c>
      <c r="V12" s="131" t="n">
        <f aca="false">INDEX(AIRev,1,17)</f>
        <v>4005.39032586974</v>
      </c>
      <c r="W12" s="131" t="n">
        <f aca="false">INDEX(AIRev,1,18)</f>
        <v>4739.39924907673</v>
      </c>
      <c r="X12" s="131" t="n">
        <f aca="false">INDEX(AIRev,1,19)</f>
        <v>5283.48619034052</v>
      </c>
      <c r="Y12" s="131" t="n">
        <f aca="false">INDEX(AIRev,1,20)</f>
        <v>5653.48606942659</v>
      </c>
      <c r="Z12" s="131" t="n">
        <f aca="false">INDEX(AIRev,1,21)</f>
        <v>6373.21938802956</v>
      </c>
      <c r="AA12" s="131" t="n">
        <f aca="false">INDEX(AIRev,1,22)</f>
        <v>7089.30781079804</v>
      </c>
      <c r="AB12" s="131" t="n">
        <f aca="false">INDEX(AIRev,1,23)</f>
        <v>7794.47214693247</v>
      </c>
      <c r="AC12" s="131" t="n">
        <f aca="false">INDEX(AIRev,1,24)</f>
        <v>8515.02352343495</v>
      </c>
      <c r="AD12" s="131" t="n">
        <f aca="false">INDEX(AIRev,1,25)</f>
        <v>9481.47164299477</v>
      </c>
      <c r="AE12" s="131" t="n">
        <f aca="false">INDEX(AIRev,1,26)</f>
        <v>10474.9820612932</v>
      </c>
      <c r="AF12" s="131" t="n">
        <f aca="false">INDEX(AIRev,1,27)</f>
        <v>10440.6054764595</v>
      </c>
      <c r="AG12" s="131" t="n">
        <f aca="false">INDEX(AIRev,1,28)</f>
        <v>10554.8422241595</v>
      </c>
      <c r="AI12" s="131" t="n">
        <f aca="false">SUMIF($F$7:$AG$7,AI$7,$F12:$AG12)</f>
        <v>84</v>
      </c>
      <c r="AJ12" s="131" t="n">
        <f aca="false">SUMIF($F$7:$AG$7,AJ$7,$F12:$AG12)</f>
        <v>488</v>
      </c>
      <c r="AK12" s="131" t="n">
        <f aca="false">SUMIF($F$7:$AG$7,AK$7,$F12:$AG12)</f>
        <v>2433.13258157611</v>
      </c>
      <c r="AL12" s="131" t="n">
        <f aca="false">SUMIF($F$7:$AG$7,AL$7,$F12:$AG12)</f>
        <v>8176.87365522983</v>
      </c>
      <c r="AM12" s="131" t="n">
        <f aca="false">SUMIF($F$7:$AG$7,AM$7,$F12:$AG12)</f>
        <v>19681.7618347136</v>
      </c>
      <c r="AN12" s="131" t="n">
        <f aca="false">SUMIF($F$7:$AG$7,AN$7,$F12:$AG12)</f>
        <v>29772.022869195</v>
      </c>
      <c r="AO12" s="131" t="n">
        <f aca="false">SUMIF($F$7:$AG$7,AO$7,$F12:$AG12)</f>
        <v>40951.901404907</v>
      </c>
    </row>
    <row r="13" customFormat="false" ht="15" hidden="false" customHeight="false" outlineLevel="0" collapsed="false">
      <c r="A13" s="112" t="s">
        <v>2630</v>
      </c>
      <c r="B13" s="24" t="s">
        <v>751</v>
      </c>
      <c r="C13" s="24"/>
      <c r="D13" s="24"/>
      <c r="J13" s="124" t="n">
        <f aca="false">IF(F11&gt;0,J11/F11-1,"")</f>
        <v>3.46491228070175</v>
      </c>
      <c r="K13" s="124" t="n">
        <f aca="false">IF(G11&gt;0,K11/G11-1,"")</f>
        <v>6.24827586206897</v>
      </c>
      <c r="L13" s="124" t="n">
        <f aca="false">IF(H11&gt;0,L11/H11-1,"")</f>
        <v>3.55140186915888</v>
      </c>
      <c r="M13" s="124" t="n">
        <f aca="false">IF(I11&gt;0,M11/I11-1,"")</f>
        <v>5.46875</v>
      </c>
      <c r="N13" s="124" t="n">
        <f aca="false">IF(J11&gt;0,N11/J11-1,"")</f>
        <v>6.83889980353635</v>
      </c>
      <c r="O13" s="124" t="n">
        <f aca="false">IF(K11&gt;0,O11/K11-1,"")</f>
        <v>4.54043767840152</v>
      </c>
      <c r="P13" s="27" t="n">
        <f aca="false">IF(L11&gt;0,P11/L11-1,"")</f>
        <v>3.61797678084148</v>
      </c>
      <c r="Q13" s="27" t="n">
        <f aca="false">IF(M11&gt;0,Q11/M11-1,"")</f>
        <v>2.55332952962304</v>
      </c>
      <c r="R13" s="27" t="n">
        <f aca="false">IF(N11&gt;0,R11/N11-1,"")</f>
        <v>1.57555712021341</v>
      </c>
      <c r="S13" s="27" t="n">
        <f aca="false">IF(O11&gt;0,S11/O11-1,"")</f>
        <v>1.80462048553165</v>
      </c>
      <c r="T13" s="27" t="n">
        <f aca="false">IF(P11&gt;0,T11/P11-1,"")</f>
        <v>2.64941650231708</v>
      </c>
      <c r="U13" s="27" t="n">
        <f aca="false">IF(Q11&gt;0,U11/Q11-1,"")</f>
        <v>2.81445689401915</v>
      </c>
      <c r="V13" s="27" t="n">
        <f aca="false">IF(R11&gt;0,V11/R11-1,"")</f>
        <v>2.90590296408075</v>
      </c>
      <c r="W13" s="27" t="n">
        <f aca="false">IF(S11&gt;0,W11/S11-1,"")</f>
        <v>1.90734237290244</v>
      </c>
      <c r="X13" s="27" t="n">
        <f aca="false">IF(T11&gt;0,X11/T11-1,"")</f>
        <v>1.1494211296626</v>
      </c>
      <c r="Y13" s="27" t="n">
        <f aca="false">IF(U11&gt;0,Y11/U11-1,"")</f>
        <v>0.83475253430015</v>
      </c>
      <c r="Z13" s="27" t="n">
        <f aca="false">IF(V11&gt;0,Z11/V11-1,"")</f>
        <v>0.590083286827313</v>
      </c>
      <c r="AA13" s="27" t="n">
        <f aca="false">IF(W11&gt;0,AA11/W11-1,"")</f>
        <v>0.49506926077516</v>
      </c>
      <c r="AB13" s="27" t="n">
        <f aca="false">IF(X11&gt;0,AB11/X11-1,"")</f>
        <v>0.474595314314981</v>
      </c>
      <c r="AC13" s="27" t="n">
        <f aca="false">IF(Y11&gt;0,AC11/Y11-1,"")</f>
        <v>0.505479503357333</v>
      </c>
      <c r="AD13" s="27" t="n">
        <f aca="false">IF(Z11&gt;0,AD11/Z11-1,"")</f>
        <v>0.48712095669674</v>
      </c>
      <c r="AE13" s="27" t="n">
        <f aca="false">IF(AA11&gt;0,AE11/AA11-1,"")</f>
        <v>0.477052320871806</v>
      </c>
      <c r="AF13" s="27" t="n">
        <f aca="false">IF(AB11&gt;0,AF11/AB11-1,"")</f>
        <v>0.339173144515286</v>
      </c>
      <c r="AG13" s="27" t="n">
        <f aca="false">IF(AC11&gt;0,AG11/AC11-1,"")</f>
        <v>0.239375297074121</v>
      </c>
      <c r="AJ13" s="27" t="n">
        <f aca="false">IF(AI11&gt;0,AJ11/AI11-1,"")</f>
        <v>4.68454935622318</v>
      </c>
      <c r="AK13" s="27" t="n">
        <f aca="false">IF(AJ11&gt;0,AK11/AJ11-1,"")</f>
        <v>3.65284926684807</v>
      </c>
      <c r="AL13" s="27" t="n">
        <f aca="false">IF(AK11&gt;0,AL11/AK11-1,"")</f>
        <v>2.33021318533652</v>
      </c>
      <c r="AM13" s="27" t="n">
        <f aca="false">IF(AL11&gt;0,AM11/AL11-1,"")</f>
        <v>1.40178088223351</v>
      </c>
      <c r="AN13" s="27" t="n">
        <f aca="false">IF(AM11&gt;0,AN11/AM11-1,"")</f>
        <v>0.511906128412685</v>
      </c>
      <c r="AO13" s="27" t="n">
        <f aca="false">IF(AN11&gt;0,AO11/AN11-1,"")</f>
        <v>0.375143407530536</v>
      </c>
    </row>
    <row r="15" customFormat="false" ht="15" hidden="false" customHeight="false" outlineLevel="0" collapsed="false">
      <c r="A15" s="64" t="s">
        <v>2631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customFormat="false" ht="15" hidden="false" customHeight="false" outlineLevel="0" collapsed="false">
      <c r="A16" s="112" t="s">
        <v>2632</v>
      </c>
      <c r="B16" s="24" t="s">
        <v>745</v>
      </c>
      <c r="C16" s="24" t="s">
        <v>690</v>
      </c>
      <c r="D16" s="24" t="s">
        <v>2633</v>
      </c>
      <c r="F16" s="130" t="n">
        <f aca="false">IF(FixMgmt=1,MIN(INDEX(MS_BillMW,1,1),INDEX(VinEnIT,1,MAX(1,1-IF(1&gt;LastHist,EnLag,0)))),INDEX(MS_BillMW,1,1))*IF(F$5&lt;=LastHist,PUE_B,PUE)*VinPower/4</f>
        <v>0</v>
      </c>
      <c r="G16" s="130" t="n">
        <f aca="false">IF(FixMgmt=1,MIN(INDEX(MS_BillMW,1,2),INDEX(VinEnIT,1,MAX(1,2-IF(2&gt;LastHist,EnLag,0)))),INDEX(MS_BillMW,1,2))*IF(G$5&lt;=LastHist,PUE_B,PUE)*VinPower/4</f>
        <v>0</v>
      </c>
      <c r="H16" s="130" t="n">
        <f aca="false">IF(FixMgmt=1,MIN(INDEX(MS_BillMW,1,3),INDEX(VinEnIT,1,MAX(1,3-IF(3&gt;LastHist,EnLag,0)))),INDEX(MS_BillMW,1,3))*IF(H$5&lt;=LastHist,PUE_B,PUE)*VinPower/4</f>
        <v>0</v>
      </c>
      <c r="I16" s="130" t="n">
        <f aca="false">IF(FixMgmt=1,MIN(INDEX(MS_BillMW,1,4),INDEX(VinEnIT,1,MAX(1,4-IF(4&gt;LastHist,EnLag,0)))),INDEX(MS_BillMW,1,4))*IF(I$5&lt;=LastHist,PUE_B,PUE)*VinPower/4</f>
        <v>0</v>
      </c>
      <c r="J16" s="130" t="n">
        <f aca="false">IF(FixMgmt=1,MIN(INDEX(MS_BillMW,1,5),INDEX(VinEnIT,1,MAX(1,5-IF(5&gt;LastHist,EnLag,0)))),INDEX(MS_BillMW,1,5))*IF(J$5&lt;=LastHist,PUE_B,PUE)*VinPower/4</f>
        <v>0</v>
      </c>
      <c r="K16" s="130" t="n">
        <f aca="false">IF(FixMgmt=1,MIN(INDEX(MS_BillMW,1,6),INDEX(VinEnIT,1,MAX(1,6-IF(6&gt;LastHist,EnLag,0)))),INDEX(MS_BillMW,1,6))*IF(K$5&lt;=LastHist,PUE_B,PUE)*VinPower/4</f>
        <v>0</v>
      </c>
      <c r="L16" s="130" t="n">
        <f aca="false">IF(FixMgmt=1,MIN(INDEX(MS_BillMW,1,7),INDEX(VinEnIT,1,MAX(1,7-IF(7&gt;LastHist,EnLag,0)))),INDEX(MS_BillMW,1,7))*IF(L$5&lt;=LastHist,PUE_B,PUE)*VinPower/4</f>
        <v>0</v>
      </c>
      <c r="M16" s="130" t="n">
        <f aca="false">IF(FixMgmt=1,MIN(INDEX(MS_BillMW,1,8),INDEX(VinEnIT,1,MAX(1,8-IF(8&gt;LastHist,EnLag,0)))),INDEX(MS_BillMW,1,8))*IF(M$5&lt;=LastHist,PUE_B,PUE)*VinPower/4</f>
        <v>9.00625</v>
      </c>
      <c r="N16" s="130" t="n">
        <f aca="false">IF(FixMgmt=1,MIN(INDEX(MS_BillMW,1,9),INDEX(VinEnIT,1,MAX(1,9-IF(9&gt;LastHist,EnLag,0)))),INDEX(MS_BillMW,1,9))*IF(N$5&lt;=LastHist,PUE_B,PUE)*VinPower/4</f>
        <v>12.890625</v>
      </c>
      <c r="O16" s="130" t="n">
        <f aca="false">IF(FixMgmt=1,MIN(INDEX(MS_BillMW,1,10),INDEX(VinEnIT,1,MAX(1,10-IF(10&gt;LastHist,EnLag,0)))),INDEX(MS_BillMW,1,10))*IF(O$5&lt;=LastHist,PUE_B,PUE)*VinPower/4</f>
        <v>13.40625</v>
      </c>
      <c r="P16" s="131" t="n">
        <f aca="false">IF(FixMgmt=1,MIN(INDEX(MS_BillMW,1,11),INDEX(VinEnIT,1,MAX(1,11-IF(11&gt;LastHist,EnLag,0)))),INDEX(MS_BillMW,1,11))*IF(P$5&lt;=LastHist,PUE_B,PUE)*VinPower/4</f>
        <v>13.40625</v>
      </c>
      <c r="Q16" s="131" t="n">
        <f aca="false">IF(FixMgmt=1,MIN(INDEX(MS_BillMW,1,12),INDEX(VinEnIT,1,MAX(1,12-IF(12&gt;LastHist,EnLag,0)))),INDEX(MS_BillMW,1,12))*IF(Q$5&lt;=LastHist,PUE_B,PUE)*VinPower/4</f>
        <v>22.6875</v>
      </c>
      <c r="R16" s="131" t="n">
        <f aca="false">IF(FixMgmt=1,MIN(INDEX(MS_BillMW,1,13),INDEX(VinEnIT,1,MAX(1,13-IF(13&gt;LastHist,EnLag,0)))),INDEX(MS_BillMW,1,13))*IF(R$5&lt;=LastHist,PUE_B,PUE)*VinPower/4</f>
        <v>28.11875</v>
      </c>
      <c r="S16" s="131" t="n">
        <f aca="false">IF(FixMgmt=1,MIN(INDEX(MS_BillMW,1,14),INDEX(VinEnIT,1,MAX(1,14-IF(14&gt;LastHist,EnLag,0)))),INDEX(MS_BillMW,1,14))*IF(S$5&lt;=LastHist,PUE_B,PUE)*VinPower/4</f>
        <v>40.734375</v>
      </c>
      <c r="T16" s="131" t="n">
        <f aca="false">IF(FixMgmt=1,MIN(INDEX(MS_BillMW,1,15),INDEX(VinEnIT,1,MAX(1,15-IF(15&gt;LastHist,EnLag,0)))),INDEX(MS_BillMW,1,15))*IF(T$5&lt;=LastHist,PUE_B,PUE)*VinPower/4</f>
        <v>57.921875</v>
      </c>
      <c r="U16" s="131" t="n">
        <f aca="false">IF(FixMgmt=1,MIN(INDEX(MS_BillMW,1,16),INDEX(VinEnIT,1,MAX(1,16-IF(16&gt;LastHist,EnLag,0)))),INDEX(MS_BillMW,1,16))*IF(U$5&lt;=LastHist,PUE_B,PUE)*VinPower/4</f>
        <v>68.75</v>
      </c>
      <c r="V16" s="131" t="n">
        <f aca="false">IF(FixMgmt=1,MIN(INDEX(MS_BillMW,1,17),INDEX(VinEnIT,1,MAX(1,17-IF(17&gt;LastHist,EnLag,0)))),INDEX(MS_BillMW,1,17))*IF(V$5&lt;=LastHist,PUE_B,PUE)*VinPower/4</f>
        <v>80.78125</v>
      </c>
      <c r="W16" s="131" t="n">
        <f aca="false">IF(FixMgmt=1,MIN(INDEX(MS_BillMW,1,18),INDEX(VinEnIT,1,MAX(1,18-IF(18&gt;LastHist,EnLag,0)))),INDEX(MS_BillMW,1,18))*IF(W$5&lt;=LastHist,PUE_B,PUE)*VinPower/4</f>
        <v>80.78125</v>
      </c>
      <c r="X16" s="131" t="n">
        <f aca="false">IF(FixMgmt=1,MIN(INDEX(MS_BillMW,1,19),INDEX(VinEnIT,1,MAX(1,19-IF(19&gt;LastHist,EnLag,0)))),INDEX(MS_BillMW,1,19))*IF(X$5&lt;=LastHist,PUE_B,PUE)*VinPower/4</f>
        <v>80.78125</v>
      </c>
      <c r="Y16" s="131" t="n">
        <f aca="false">IF(FixMgmt=1,MIN(INDEX(MS_BillMW,1,20),INDEX(VinEnIT,1,MAX(1,20-IF(20&gt;LastHist,EnLag,0)))),INDEX(MS_BillMW,1,20))*IF(Y$5&lt;=LastHist,PUE_B,PUE)*VinPower/4</f>
        <v>80.78125</v>
      </c>
      <c r="Z16" s="131" t="n">
        <f aca="false">IF(FixMgmt=1,MIN(INDEX(MS_BillMW,1,21),INDEX(VinEnIT,1,MAX(1,21-IF(21&gt;LastHist,EnLag,0)))),INDEX(MS_BillMW,1,21))*IF(Z$5&lt;=LastHist,PUE_B,PUE)*VinPower/4</f>
        <v>80.78125</v>
      </c>
      <c r="AA16" s="131" t="n">
        <f aca="false">IF(FixMgmt=1,MIN(INDEX(MS_BillMW,1,22),INDEX(VinEnIT,1,MAX(1,22-IF(22&gt;LastHist,EnLag,0)))),INDEX(MS_BillMW,1,22))*IF(AA$5&lt;=LastHist,PUE_B,PUE)*VinPower/4</f>
        <v>80.78125</v>
      </c>
      <c r="AB16" s="131" t="n">
        <f aca="false">IF(FixMgmt=1,MIN(INDEX(MS_BillMW,1,23),INDEX(VinEnIT,1,MAX(1,23-IF(23&gt;LastHist,EnLag,0)))),INDEX(MS_BillMW,1,23))*IF(AB$5&lt;=LastHist,PUE_B,PUE)*VinPower/4</f>
        <v>80.78125</v>
      </c>
      <c r="AC16" s="131" t="n">
        <f aca="false">IF(FixMgmt=1,MIN(INDEX(MS_BillMW,1,24),INDEX(VinEnIT,1,MAX(1,24-IF(24&gt;LastHist,EnLag,0)))),INDEX(MS_BillMW,1,24))*IF(AC$5&lt;=LastHist,PUE_B,PUE)*VinPower/4</f>
        <v>80.78125</v>
      </c>
      <c r="AD16" s="131" t="n">
        <f aca="false">IF(FixMgmt=1,MIN(INDEX(MS_BillMW,1,25),INDEX(VinEnIT,1,MAX(1,25-IF(25&gt;LastHist,EnLag,0)))),INDEX(MS_BillMW,1,25))*IF(AD$5&lt;=LastHist,PUE_B,PUE)*VinPower/4</f>
        <v>80.78125</v>
      </c>
      <c r="AE16" s="131" t="n">
        <f aca="false">IF(FixMgmt=1,MIN(INDEX(MS_BillMW,1,26),INDEX(VinEnIT,1,MAX(1,26-IF(26&gt;LastHist,EnLag,0)))),INDEX(MS_BillMW,1,26))*IF(AE$5&lt;=LastHist,PUE_B,PUE)*VinPower/4</f>
        <v>80.78125</v>
      </c>
      <c r="AF16" s="131" t="n">
        <f aca="false">IF(FixMgmt=1,MIN(INDEX(MS_BillMW,1,27),INDEX(VinEnIT,1,MAX(1,27-IF(27&gt;LastHist,EnLag,0)))),INDEX(MS_BillMW,1,27))*IF(AF$5&lt;=LastHist,PUE_B,PUE)*VinPower/4</f>
        <v>80.78125</v>
      </c>
      <c r="AG16" s="131" t="n">
        <f aca="false">IF(FixMgmt=1,MIN(INDEX(MS_BillMW,1,28),INDEX(VinEnIT,1,MAX(1,28-IF(28&gt;LastHist,EnLag,0)))),INDEX(MS_BillMW,1,28))*IF(AG$5&lt;=LastHist,PUE_B,PUE)*VinPower/4</f>
        <v>73.3333333333333</v>
      </c>
      <c r="AI16" s="131" t="n">
        <f aca="false">SUMIF($F$7:$AG$7,AI$7,$F16:$AG16)</f>
        <v>0</v>
      </c>
      <c r="AJ16" s="131" t="n">
        <f aca="false">SUMIF($F$7:$AG$7,AJ$7,$F16:$AG16)</f>
        <v>9.00625</v>
      </c>
      <c r="AK16" s="131" t="n">
        <f aca="false">SUMIF($F$7:$AG$7,AK$7,$F16:$AG16)</f>
        <v>62.390625</v>
      </c>
      <c r="AL16" s="131" t="n">
        <f aca="false">SUMIF($F$7:$AG$7,AL$7,$F16:$AG16)</f>
        <v>195.525</v>
      </c>
      <c r="AM16" s="131" t="n">
        <f aca="false">SUMIF($F$7:$AG$7,AM$7,$F16:$AG16)</f>
        <v>323.125</v>
      </c>
      <c r="AN16" s="131" t="n">
        <f aca="false">SUMIF($F$7:$AG$7,AN$7,$F16:$AG16)</f>
        <v>323.125</v>
      </c>
      <c r="AO16" s="131" t="n">
        <f aca="false">SUMIF($F$7:$AG$7,AO$7,$F16:$AG16)</f>
        <v>315.677083333333</v>
      </c>
    </row>
    <row r="17" customFormat="false" ht="15" hidden="false" customHeight="false" outlineLevel="0" collapsed="false">
      <c r="A17" s="112" t="s">
        <v>2634</v>
      </c>
      <c r="B17" s="24" t="s">
        <v>745</v>
      </c>
      <c r="C17" s="24" t="s">
        <v>690</v>
      </c>
      <c r="D17" s="24" t="s">
        <v>2635</v>
      </c>
      <c r="F17" s="130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30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30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30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30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30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30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30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30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30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31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31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31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31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31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31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31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31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31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31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31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31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31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31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31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31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31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31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31" t="n">
        <f aca="false">SUMIF($F$7:$AG$7,AI$7,$F17:$AG17)</f>
        <v>15.386877</v>
      </c>
      <c r="AJ17" s="131" t="n">
        <f aca="false">SUMIF($F$7:$AG$7,AJ$7,$F17:$AG17)</f>
        <v>34.78163616</v>
      </c>
      <c r="AK17" s="131" t="n">
        <f aca="false">SUMIF($F$7:$AG$7,AK$7,$F17:$AG17)</f>
        <v>87.45051915</v>
      </c>
      <c r="AL17" s="131" t="n">
        <f aca="false">SUMIF($F$7:$AG$7,AL$7,$F17:$AG17)</f>
        <v>219.315534345</v>
      </c>
      <c r="AM17" s="131" t="n">
        <f aca="false">SUMIF($F$7:$AG$7,AM$7,$F17:$AG17)</f>
        <v>612.66898584</v>
      </c>
      <c r="AN17" s="131" t="n">
        <f aca="false">SUMIF($F$7:$AG$7,AN$7,$F17:$AG17)</f>
        <v>983.3067702</v>
      </c>
      <c r="AO17" s="131" t="n">
        <f aca="false">SUMIF($F$7:$AG$7,AO$7,$F17:$AG17)</f>
        <v>1396.0632741</v>
      </c>
    </row>
    <row r="18" customFormat="false" ht="15" hidden="false" customHeight="false" outlineLevel="0" collapsed="false">
      <c r="A18" s="112" t="s">
        <v>2636</v>
      </c>
      <c r="B18" s="24" t="s">
        <v>745</v>
      </c>
      <c r="C18" s="24" t="s">
        <v>690</v>
      </c>
      <c r="D18" s="24" t="s">
        <v>2637</v>
      </c>
      <c r="F18" s="130" t="n">
        <f aca="false">INDEX(MW_Avg,1,1)*(1-INDEX(MW_OwnSh,1,1))*IF(F$5&lt;=LastHist,PUE_B,PUE)*RentMW/4</f>
        <v>0</v>
      </c>
      <c r="G18" s="130" t="n">
        <f aca="false">INDEX(MW_Avg,1,2)*(1-INDEX(MW_OwnSh,1,2))*IF(G$5&lt;=LastHist,PUE_B,PUE)*RentMW/4</f>
        <v>0</v>
      </c>
      <c r="H18" s="130" t="n">
        <f aca="false">INDEX(MW_Avg,1,3)*(1-INDEX(MW_OwnSh,1,3))*IF(H$5&lt;=LastHist,PUE_B,PUE)*RentMW/4</f>
        <v>0</v>
      </c>
      <c r="I18" s="130" t="n">
        <f aca="false">INDEX(MW_Avg,1,4)*(1-INDEX(MW_OwnSh,1,4))*IF(I$5&lt;=LastHist,PUE_B,PUE)*RentMW/4</f>
        <v>3.19864501622938</v>
      </c>
      <c r="J18" s="130" t="n">
        <f aca="false">INDEX(MW_Avg,1,5)*(1-INDEX(MW_OwnSh,1,5))*IF(J$5&lt;=LastHist,PUE_B,PUE)*RentMW/4</f>
        <v>13.8951068238961</v>
      </c>
      <c r="K18" s="130" t="n">
        <f aca="false">INDEX(MW_Avg,1,6)*(1-INDEX(MW_OwnSh,1,6))*IF(K$5&lt;=LastHist,PUE_B,PUE)*RentMW/4</f>
        <v>17.578125</v>
      </c>
      <c r="L18" s="130" t="n">
        <f aca="false">INDEX(MW_Avg,1,7)*(1-INDEX(MW_OwnSh,1,7))*IF(L$5&lt;=LastHist,PUE_B,PUE)*RentMW/4</f>
        <v>15.8879135222537</v>
      </c>
      <c r="M18" s="130" t="n">
        <f aca="false">INDEX(MW_Avg,1,8)*(1-INDEX(MW_OwnSh,1,8))*IF(M$5&lt;=LastHist,PUE_B,PUE)*RentMW/4</f>
        <v>40.8959070141937</v>
      </c>
      <c r="N18" s="130" t="n">
        <f aca="false">INDEX(MW_Avg,1,9)*(1-INDEX(MW_OwnSh,1,9))*IF(N$5&lt;=LastHist,PUE_B,PUE)*RentMW/4</f>
        <v>65.3819725312128</v>
      </c>
      <c r="O18" s="130" t="n">
        <f aca="false">INDEX(MW_Avg,1,10)*(1-INDEX(MW_OwnSh,1,10))*IF(O$5&lt;=LastHist,PUE_B,PUE)*RentMW/4</f>
        <v>77.8398307045548</v>
      </c>
      <c r="P18" s="131" t="n">
        <f aca="false">INDEX(MW_Avg,1,11)*(1-INDEX(MW_OwnSh,1,11))*IF(P$5&lt;=LastHist,PUE_B,PUE)*RentMW/4</f>
        <v>87.9945394486754</v>
      </c>
      <c r="Q18" s="131" t="n">
        <f aca="false">INDEX(MW_Avg,1,12)*(1-INDEX(MW_OwnSh,1,12))*IF(Q$5&lt;=LastHist,PUE_B,PUE)*RentMW/4</f>
        <v>108.704932496828</v>
      </c>
      <c r="R18" s="131" t="n">
        <f aca="false">INDEX(MW_Avg,1,13)*(1-INDEX(MW_OwnSh,1,13))*IF(R$5&lt;=LastHist,PUE_B,PUE)*RentMW/4</f>
        <v>151.238546448946</v>
      </c>
      <c r="S18" s="131" t="n">
        <f aca="false">INDEX(MW_Avg,1,14)*(1-INDEX(MW_OwnSh,1,14))*IF(S$5&lt;=LastHist,PUE_B,PUE)*RentMW/4</f>
        <v>222.609096425148</v>
      </c>
      <c r="T18" s="131" t="n">
        <f aca="false">INDEX(MW_Avg,1,15)*(1-INDEX(MW_OwnSh,1,15))*IF(T$5&lt;=LastHist,PUE_B,PUE)*RentMW/4</f>
        <v>299.921143449026</v>
      </c>
      <c r="U18" s="131" t="n">
        <f aca="false">INDEX(MW_Avg,1,16)*(1-INDEX(MW_OwnSh,1,16))*IF(U$5&lt;=LastHist,PUE_B,PUE)*RentMW/4</f>
        <v>354.543331426853</v>
      </c>
      <c r="V18" s="131" t="n">
        <f aca="false">INDEX(MW_Avg,1,17)*(1-INDEX(MW_OwnSh,1,17))*IF(V$5&lt;=LastHist,PUE_B,PUE)*RentMW/4</f>
        <v>436.689212929287</v>
      </c>
      <c r="W18" s="131" t="n">
        <f aca="false">INDEX(MW_Avg,1,18)*(1-INDEX(MW_OwnSh,1,18))*IF(W$5&lt;=LastHist,PUE_B,PUE)*RentMW/4</f>
        <v>459.626729232504</v>
      </c>
      <c r="X18" s="131" t="n">
        <f aca="false">INDEX(MW_Avg,1,19)*(1-INDEX(MW_OwnSh,1,19))*IF(X$5&lt;=LastHist,PUE_B,PUE)*RentMW/4</f>
        <v>512.919670257948</v>
      </c>
      <c r="Y18" s="131" t="n">
        <f aca="false">INDEX(MW_Avg,1,20)*(1-INDEX(MW_OwnSh,1,20))*IF(Y$5&lt;=LastHist,PUE_B,PUE)*RentMW/4</f>
        <v>469.298581367473</v>
      </c>
      <c r="Z18" s="131" t="n">
        <f aca="false">INDEX(MW_Avg,1,21)*(1-INDEX(MW_OwnSh,1,21))*IF(Z$5&lt;=LastHist,PUE_B,PUE)*RentMW/4</f>
        <v>526.746027332115</v>
      </c>
      <c r="AA18" s="131" t="n">
        <f aca="false">INDEX(MW_Avg,1,22)*(1-INDEX(MW_OwnSh,1,22))*IF(AA$5&lt;=LastHist,PUE_B,PUE)*RentMW/4</f>
        <v>489.797645075158</v>
      </c>
      <c r="AB18" s="131" t="n">
        <f aca="false">INDEX(MW_Avg,1,23)*(1-INDEX(MW_OwnSh,1,23))*IF(AB$5&lt;=LastHist,PUE_B,PUE)*RentMW/4</f>
        <v>535.895119412579</v>
      </c>
      <c r="AC18" s="131" t="n">
        <f aca="false">INDEX(MW_Avg,1,24)*(1-INDEX(MW_OwnSh,1,24))*IF(AC$5&lt;=LastHist,PUE_B,PUE)*RentMW/4</f>
        <v>474.367350607913</v>
      </c>
      <c r="AD18" s="131" t="n">
        <f aca="false">INDEX(MW_Avg,1,25)*(1-INDEX(MW_OwnSh,1,25))*IF(AD$5&lt;=LastHist,PUE_B,PUE)*RentMW/4</f>
        <v>528.179972178957</v>
      </c>
      <c r="AE18" s="131" t="n">
        <f aca="false">INDEX(MW_Avg,1,26)*(1-INDEX(MW_OwnSh,1,26))*IF(AE$5&lt;=LastHist,PUE_B,PUE)*RentMW/4</f>
        <v>581.99259375</v>
      </c>
      <c r="AF18" s="131" t="n">
        <f aca="false">INDEX(MW_Avg,1,27)*(1-INDEX(MW_OwnSh,1,27))*IF(AF$5&lt;=LastHist,PUE_B,PUE)*RentMW/4</f>
        <v>581.99259375</v>
      </c>
      <c r="AG18" s="131" t="n">
        <f aca="false">INDEX(MW_Avg,1,28)*(1-INDEX(MW_OwnSh,1,28))*IF(AG$5&lt;=LastHist,PUE_B,PUE)*RentMW/4</f>
        <v>493.558614205798</v>
      </c>
      <c r="AI18" s="131" t="n">
        <f aca="false">SUMIF($F$7:$AG$7,AI$7,$F18:$AG18)</f>
        <v>3.19864501622938</v>
      </c>
      <c r="AJ18" s="131" t="n">
        <f aca="false">SUMIF($F$7:$AG$7,AJ$7,$F18:$AG18)</f>
        <v>88.2570523603435</v>
      </c>
      <c r="AK18" s="131" t="n">
        <f aca="false">SUMIF($F$7:$AG$7,AK$7,$F18:$AG18)</f>
        <v>339.921275181271</v>
      </c>
      <c r="AL18" s="131" t="n">
        <f aca="false">SUMIF($F$7:$AG$7,AL$7,$F18:$AG18)</f>
        <v>1028.31211774997</v>
      </c>
      <c r="AM18" s="131" t="n">
        <f aca="false">SUMIF($F$7:$AG$7,AM$7,$F18:$AG18)</f>
        <v>1878.53419378721</v>
      </c>
      <c r="AN18" s="131" t="n">
        <f aca="false">SUMIF($F$7:$AG$7,AN$7,$F18:$AG18)</f>
        <v>2026.80614242776</v>
      </c>
      <c r="AO18" s="131" t="n">
        <f aca="false">SUMIF($F$7:$AG$7,AO$7,$F18:$AG18)</f>
        <v>2185.72377388475</v>
      </c>
    </row>
    <row r="19" customFormat="false" ht="15" hidden="false" customHeight="false" outlineLevel="0" collapsed="false">
      <c r="A19" s="112" t="s">
        <v>2638</v>
      </c>
      <c r="B19" s="24" t="s">
        <v>745</v>
      </c>
      <c r="C19" s="24" t="s">
        <v>690</v>
      </c>
      <c r="D19" s="24" t="s">
        <v>2639</v>
      </c>
      <c r="F19" s="130" t="n">
        <f aca="false">IF(F$5&lt;=LastHist,0,INDEX(CLT1_En,1,MAX(1,1-EnLag))*(CLT1Rent-RentMW*PUE)/4)</f>
        <v>0</v>
      </c>
      <c r="G19" s="130" t="n">
        <f aca="false">IF(G$5&lt;=LastHist,0,INDEX(CLT1_En,1,MAX(1,2-EnLag))*(CLT1Rent-RentMW*PUE)/4)</f>
        <v>0</v>
      </c>
      <c r="H19" s="130" t="n">
        <f aca="false">IF(H$5&lt;=LastHist,0,INDEX(CLT1_En,1,MAX(1,3-EnLag))*(CLT1Rent-RentMW*PUE)/4)</f>
        <v>0</v>
      </c>
      <c r="I19" s="130" t="n">
        <f aca="false">IF(I$5&lt;=LastHist,0,INDEX(CLT1_En,1,MAX(1,4-EnLag))*(CLT1Rent-RentMW*PUE)/4)</f>
        <v>0</v>
      </c>
      <c r="J19" s="130" t="n">
        <f aca="false">IF(J$5&lt;=LastHist,0,INDEX(CLT1_En,1,MAX(1,5-EnLag))*(CLT1Rent-RentMW*PUE)/4)</f>
        <v>0</v>
      </c>
      <c r="K19" s="130" t="n">
        <f aca="false">IF(K$5&lt;=LastHist,0,INDEX(CLT1_En,1,MAX(1,6-EnLag))*(CLT1Rent-RentMW*PUE)/4)</f>
        <v>0</v>
      </c>
      <c r="L19" s="130" t="n">
        <f aca="false">IF(L$5&lt;=LastHist,0,INDEX(CLT1_En,1,MAX(1,7-EnLag))*(CLT1Rent-RentMW*PUE)/4)</f>
        <v>0</v>
      </c>
      <c r="M19" s="130" t="n">
        <f aca="false">IF(M$5&lt;=LastHist,0,INDEX(CLT1_En,1,MAX(1,8-EnLag))*(CLT1Rent-RentMW*PUE)/4)</f>
        <v>0</v>
      </c>
      <c r="N19" s="130" t="n">
        <f aca="false">IF(N$5&lt;=LastHist,0,INDEX(CLT1_En,1,MAX(1,9-EnLag))*(CLT1Rent-RentMW*PUE)/4)</f>
        <v>0</v>
      </c>
      <c r="O19" s="130" t="n">
        <f aca="false">IF(O$5&lt;=LastHist,0,INDEX(CLT1_En,1,MAX(1,10-EnLag))*(CLT1Rent-RentMW*PUE)/4)</f>
        <v>0</v>
      </c>
      <c r="P19" s="131" t="n">
        <f aca="false">IF(P$5&lt;=LastHist,0,INDEX(CLT1_En,1,MAX(1,11-EnLag))*(CLT1Rent-RentMW*PUE)/4)</f>
        <v>-0</v>
      </c>
      <c r="Q19" s="131" t="n">
        <f aca="false">IF(Q$5&lt;=LastHist,0,INDEX(CLT1_En,1,MAX(1,12-EnLag))*(CLT1Rent-RentMW*PUE)/4)</f>
        <v>-0</v>
      </c>
      <c r="R19" s="131" t="n">
        <f aca="false">IF(R$5&lt;=LastHist,0,INDEX(CLT1_En,1,MAX(1,13-EnLag))*(CLT1Rent-RentMW*PUE)/4)</f>
        <v>-0</v>
      </c>
      <c r="S19" s="131" t="n">
        <f aca="false">IF(S$5&lt;=LastHist,0,INDEX(CLT1_En,1,MAX(1,14-EnLag))*(CLT1Rent-RentMW*PUE)/4)</f>
        <v>-0</v>
      </c>
      <c r="T19" s="131" t="n">
        <f aca="false">IF(T$5&lt;=LastHist,0,INDEX(CLT1_En,1,MAX(1,15-EnLag))*(CLT1Rent-RentMW*PUE)/4)</f>
        <v>-0</v>
      </c>
      <c r="U19" s="131" t="n">
        <f aca="false">IF(U$5&lt;=LastHist,0,INDEX(CLT1_En,1,MAX(1,16-EnLag))*(CLT1Rent-RentMW*PUE)/4)</f>
        <v>-1.9140625</v>
      </c>
      <c r="V19" s="131" t="n">
        <f aca="false">IF(V$5&lt;=LastHist,0,INDEX(CLT1_En,1,MAX(1,17-EnLag))*(CLT1Rent-RentMW*PUE)/4)</f>
        <v>-3.828125</v>
      </c>
      <c r="W19" s="131" t="n">
        <f aca="false">IF(W$5&lt;=LastHist,0,INDEX(CLT1_En,1,MAX(1,18-EnLag))*(CLT1Rent-RentMW*PUE)/4)</f>
        <v>-5.7421875</v>
      </c>
      <c r="X19" s="131" t="n">
        <f aca="false">IF(X$5&lt;=LastHist,0,INDEX(CLT1_En,1,MAX(1,19-EnLag))*(CLT1Rent-RentMW*PUE)/4)</f>
        <v>-5.7421875</v>
      </c>
      <c r="Y19" s="131" t="n">
        <f aca="false">IF(Y$5&lt;=LastHist,0,INDEX(CLT1_En,1,MAX(1,20-EnLag))*(CLT1Rent-RentMW*PUE)/4)</f>
        <v>-7.65625</v>
      </c>
      <c r="Z19" s="131" t="n">
        <f aca="false">IF(Z$5&lt;=LastHist,0,INDEX(CLT1_En,1,MAX(1,21-EnLag))*(CLT1Rent-RentMW*PUE)/4)</f>
        <v>-7.65625</v>
      </c>
      <c r="AA19" s="131" t="n">
        <f aca="false">IF(AA$5&lt;=LastHist,0,INDEX(CLT1_En,1,MAX(1,22-EnLag))*(CLT1Rent-RentMW*PUE)/4)</f>
        <v>-7.65625</v>
      </c>
      <c r="AB19" s="131" t="n">
        <f aca="false">IF(AB$5&lt;=LastHist,0,INDEX(CLT1_En,1,MAX(1,23-EnLag))*(CLT1Rent-RentMW*PUE)/4)</f>
        <v>-7.65625</v>
      </c>
      <c r="AC19" s="131" t="n">
        <f aca="false">IF(AC$5&lt;=LastHist,0,INDEX(CLT1_En,1,MAX(1,24-EnLag))*(CLT1Rent-RentMW*PUE)/4)</f>
        <v>-7.65625</v>
      </c>
      <c r="AD19" s="131" t="n">
        <f aca="false">IF(AD$5&lt;=LastHist,0,INDEX(CLT1_En,1,MAX(1,25-EnLag))*(CLT1Rent-RentMW*PUE)/4)</f>
        <v>-7.65625</v>
      </c>
      <c r="AE19" s="131" t="n">
        <f aca="false">IF(AE$5&lt;=LastHist,0,INDEX(CLT1_En,1,MAX(1,26-EnLag))*(CLT1Rent-RentMW*PUE)/4)</f>
        <v>-7.65625</v>
      </c>
      <c r="AF19" s="131" t="n">
        <f aca="false">IF(AF$5&lt;=LastHist,0,INDEX(CLT1_En,1,MAX(1,27-EnLag))*(CLT1Rent-RentMW*PUE)/4)</f>
        <v>-7.65625</v>
      </c>
      <c r="AG19" s="131" t="n">
        <f aca="false">IF(AG$5&lt;=LastHist,0,INDEX(CLT1_En,1,MAX(1,28-EnLag))*(CLT1Rent-RentMW*PUE)/4)</f>
        <v>-7.65625</v>
      </c>
      <c r="AI19" s="131" t="n">
        <f aca="false">SUMIF($F$7:$AG$7,AI$7,$F19:$AG19)</f>
        <v>0</v>
      </c>
      <c r="AJ19" s="131" t="n">
        <f aca="false">SUMIF($F$7:$AG$7,AJ$7,$F19:$AG19)</f>
        <v>0</v>
      </c>
      <c r="AK19" s="131" t="n">
        <f aca="false">SUMIF($F$7:$AG$7,AK$7,$F19:$AG19)</f>
        <v>0</v>
      </c>
      <c r="AL19" s="131" t="n">
        <f aca="false">SUMIF($F$7:$AG$7,AL$7,$F19:$AG19)</f>
        <v>-1.9140625</v>
      </c>
      <c r="AM19" s="131" t="n">
        <f aca="false">SUMIF($F$7:$AG$7,AM$7,$F19:$AG19)</f>
        <v>-22.96875</v>
      </c>
      <c r="AN19" s="131" t="n">
        <f aca="false">SUMIF($F$7:$AG$7,AN$7,$F19:$AG19)</f>
        <v>-30.625</v>
      </c>
      <c r="AO19" s="131" t="n">
        <f aca="false">SUMIF($F$7:$AG$7,AO$7,$F19:$AG19)</f>
        <v>-30.625</v>
      </c>
    </row>
    <row r="20" customFormat="false" ht="15" hidden="false" customHeight="false" outlineLevel="0" collapsed="false">
      <c r="A20" s="112" t="s">
        <v>2640</v>
      </c>
      <c r="B20" s="24" t="s">
        <v>745</v>
      </c>
      <c r="C20" s="24" t="s">
        <v>672</v>
      </c>
      <c r="D20" s="24"/>
      <c r="F20" s="130" t="n">
        <f aca="false">OtherCOR*F11</f>
        <v>0.684</v>
      </c>
      <c r="G20" s="130" t="n">
        <f aca="false">OtherCOR*G11</f>
        <v>0.87</v>
      </c>
      <c r="H20" s="130" t="n">
        <f aca="false">OtherCOR*H11</f>
        <v>1.926</v>
      </c>
      <c r="I20" s="130" t="n">
        <f aca="false">OtherCOR*I11</f>
        <v>2.112</v>
      </c>
      <c r="J20" s="130" t="n">
        <f aca="false">OtherCOR*J11</f>
        <v>3.054</v>
      </c>
      <c r="K20" s="130" t="n">
        <f aca="false">OtherCOR*K11</f>
        <v>6.306</v>
      </c>
      <c r="L20" s="130" t="n">
        <f aca="false">OtherCOR*L11</f>
        <v>8.766</v>
      </c>
      <c r="M20" s="130" t="n">
        <f aca="false">OtherCOR*M11</f>
        <v>13.662</v>
      </c>
      <c r="N20" s="130" t="n">
        <f aca="false">OtherCOR*N11</f>
        <v>23.94</v>
      </c>
      <c r="O20" s="130" t="n">
        <f aca="false">OtherCOR*O11</f>
        <v>34.938</v>
      </c>
      <c r="P20" s="131" t="n">
        <f aca="false">OtherCOR*P11</f>
        <v>40.4811844608565</v>
      </c>
      <c r="Q20" s="131" t="n">
        <f aca="false">OtherCOR*Q11</f>
        <v>48.54558803371</v>
      </c>
      <c r="R20" s="131" t="n">
        <f aca="false">OtherCOR*R11</f>
        <v>61.6588374579091</v>
      </c>
      <c r="S20" s="131" t="n">
        <f aca="false">OtherCOR*S11</f>
        <v>97.9878305235049</v>
      </c>
      <c r="T20" s="131" t="n">
        <f aca="false">OtherCOR*T11</f>
        <v>147.732702604791</v>
      </c>
      <c r="U20" s="131" t="n">
        <f aca="false">OtherCOR*U11</f>
        <v>185.175052949398</v>
      </c>
      <c r="V20" s="131" t="n">
        <f aca="false">OtherCOR*V11</f>
        <v>240.83343598862</v>
      </c>
      <c r="W20" s="131" t="n">
        <f aca="false">OtherCOR*W11</f>
        <v>284.884171709769</v>
      </c>
      <c r="X20" s="131" t="n">
        <f aca="false">OtherCOR*X11</f>
        <v>317.539792520899</v>
      </c>
      <c r="Y20" s="131" t="n">
        <f aca="false">OtherCOR*Y11</f>
        <v>339.750397688073</v>
      </c>
      <c r="Z20" s="131" t="n">
        <f aca="false">OtherCOR*Z11</f>
        <v>382.945221474701</v>
      </c>
      <c r="AA20" s="131" t="n">
        <f aca="false">OtherCOR*AA11</f>
        <v>425.921568004668</v>
      </c>
      <c r="AB20" s="131" t="n">
        <f aca="false">OtherCOR*AB11</f>
        <v>468.24269015987</v>
      </c>
      <c r="AC20" s="131" t="n">
        <f aca="false">OtherCOR*AC11</f>
        <v>511.487259976897</v>
      </c>
      <c r="AD20" s="131" t="n">
        <f aca="false">OtherCOR*AD11</f>
        <v>569.485864121902</v>
      </c>
      <c r="AE20" s="131" t="n">
        <f aca="false">OtherCOR*AE11</f>
        <v>629.108440530654</v>
      </c>
      <c r="AF20" s="131" t="n">
        <f aca="false">OtherCOR*AF11</f>
        <v>627.058035777689</v>
      </c>
      <c r="AG20" s="131" t="n">
        <f aca="false">OtherCOR*AG11</f>
        <v>633.924674783495</v>
      </c>
      <c r="AI20" s="131" t="n">
        <f aca="false">SUMIF($F$7:$AG$7,AI$7,$F20:$AG20)</f>
        <v>5.592</v>
      </c>
      <c r="AJ20" s="131" t="n">
        <f aca="false">SUMIF($F$7:$AG$7,AJ$7,$F20:$AG20)</f>
        <v>31.788</v>
      </c>
      <c r="AK20" s="131" t="n">
        <f aca="false">SUMIF($F$7:$AG$7,AK$7,$F20:$AG20)</f>
        <v>147.904772494566</v>
      </c>
      <c r="AL20" s="131" t="n">
        <f aca="false">SUMIF($F$7:$AG$7,AL$7,$F20:$AG20)</f>
        <v>492.554423535604</v>
      </c>
      <c r="AM20" s="131" t="n">
        <f aca="false">SUMIF($F$7:$AG$7,AM$7,$F20:$AG20)</f>
        <v>1183.00779790736</v>
      </c>
      <c r="AN20" s="131" t="n">
        <f aca="false">SUMIF($F$7:$AG$7,AN$7,$F20:$AG20)</f>
        <v>1788.59673961614</v>
      </c>
      <c r="AO20" s="131" t="n">
        <f aca="false">SUMIF($F$7:$AG$7,AO$7,$F20:$AG20)</f>
        <v>2459.57701521374</v>
      </c>
    </row>
    <row r="21" customFormat="false" ht="15" hidden="false" customHeight="false" outlineLevel="0" collapsed="false">
      <c r="A21" s="112" t="s">
        <v>2641</v>
      </c>
      <c r="B21" s="24" t="s">
        <v>745</v>
      </c>
      <c r="C21" s="24" t="s">
        <v>690</v>
      </c>
      <c r="D21" s="24" t="s">
        <v>2642</v>
      </c>
      <c r="F21" s="130" t="n">
        <f aca="false">IF(F$5&lt;=LastHist,0,INDEX(MW_Avg,1,1)*INDEX(MW_OwnSh,1,1)*IF(OwnOpexOn=1,MAX(0,OwnOpex-LoadFactor*PUE*8760*PowerPx/1000000),OM_MW)/4)</f>
        <v>0</v>
      </c>
      <c r="G21" s="130" t="n">
        <f aca="false">IF(G$5&lt;=LastHist,0,INDEX(MW_Avg,1,2)*INDEX(MW_OwnSh,1,2)*IF(OwnOpexOn=1,MAX(0,OwnOpex-LoadFactor*PUE*8760*PowerPx/1000000),OM_MW)/4)</f>
        <v>0</v>
      </c>
      <c r="H21" s="130" t="n">
        <f aca="false">IF(H$5&lt;=LastHist,0,INDEX(MW_Avg,1,3)*INDEX(MW_OwnSh,1,3)*IF(OwnOpexOn=1,MAX(0,OwnOpex-LoadFactor*PUE*8760*PowerPx/1000000),OM_MW)/4)</f>
        <v>0</v>
      </c>
      <c r="I21" s="130" t="n">
        <f aca="false">IF(I$5&lt;=LastHist,0,INDEX(MW_Avg,1,4)*INDEX(MW_OwnSh,1,4)*IF(OwnOpexOn=1,MAX(0,OwnOpex-LoadFactor*PUE*8760*PowerPx/1000000),OM_MW)/4)</f>
        <v>0</v>
      </c>
      <c r="J21" s="130" t="n">
        <f aca="false">IF(J$5&lt;=LastHist,0,INDEX(MW_Avg,1,5)*INDEX(MW_OwnSh,1,5)*IF(OwnOpexOn=1,MAX(0,OwnOpex-LoadFactor*PUE*8760*PowerPx/1000000),OM_MW)/4)</f>
        <v>0</v>
      </c>
      <c r="K21" s="130" t="n">
        <f aca="false">IF(K$5&lt;=LastHist,0,INDEX(MW_Avg,1,6)*INDEX(MW_OwnSh,1,6)*IF(OwnOpexOn=1,MAX(0,OwnOpex-LoadFactor*PUE*8760*PowerPx/1000000),OM_MW)/4)</f>
        <v>0</v>
      </c>
      <c r="L21" s="130" t="n">
        <f aca="false">IF(L$5&lt;=LastHist,0,INDEX(MW_Avg,1,7)*INDEX(MW_OwnSh,1,7)*IF(OwnOpexOn=1,MAX(0,OwnOpex-LoadFactor*PUE*8760*PowerPx/1000000),OM_MW)/4)</f>
        <v>0</v>
      </c>
      <c r="M21" s="130" t="n">
        <f aca="false">IF(M$5&lt;=LastHist,0,INDEX(MW_Avg,1,8)*INDEX(MW_OwnSh,1,8)*IF(OwnOpexOn=1,MAX(0,OwnOpex-LoadFactor*PUE*8760*PowerPx/1000000),OM_MW)/4)</f>
        <v>0</v>
      </c>
      <c r="N21" s="130" t="n">
        <f aca="false">IF(N$5&lt;=LastHist,0,INDEX(MW_Avg,1,9)*INDEX(MW_OwnSh,1,9)*IF(OwnOpexOn=1,MAX(0,OwnOpex-LoadFactor*PUE*8760*PowerPx/1000000),OM_MW)/4)</f>
        <v>0</v>
      </c>
      <c r="O21" s="130" t="n">
        <f aca="false">IF(O$5&lt;=LastHist,0,INDEX(MW_Avg,1,10)*INDEX(MW_OwnSh,1,10)*IF(OwnOpexOn=1,MAX(0,OwnOpex-LoadFactor*PUE*8760*PowerPx/1000000),OM_MW)/4)</f>
        <v>0</v>
      </c>
      <c r="P21" s="131" t="n">
        <f aca="false">IF(P$5&lt;=LastHist,0,INDEX(MW_Avg,1,11)*INDEX(MW_OwnSh,1,11)*IF(OwnOpexOn=1,MAX(0,OwnOpex-LoadFactor*PUE*8760*PowerPx/1000000),OM_MW)/4)</f>
        <v>22.8364158812702</v>
      </c>
      <c r="Q21" s="131" t="n">
        <f aca="false">IF(Q$5&lt;=LastHist,0,INDEX(MW_Avg,1,12)*INDEX(MW_OwnSh,1,12)*IF(OwnOpexOn=1,MAX(0,OwnOpex-LoadFactor*PUE*8760*PowerPx/1000000),OM_MW)/4)</f>
        <v>17.9758617587969</v>
      </c>
      <c r="R21" s="131" t="n">
        <f aca="false">IF(R$5&lt;=LastHist,0,INDEX(MW_Avg,1,13)*INDEX(MW_OwnSh,1,13)*IF(OwnOpexOn=1,MAX(0,OwnOpex-LoadFactor*PUE*8760*PowerPx/1000000),OM_MW)/4)</f>
        <v>17.6264567413168</v>
      </c>
      <c r="S21" s="131" t="n">
        <f aca="false">IF(S$5&lt;=LastHist,0,INDEX(MW_Avg,1,14)*INDEX(MW_OwnSh,1,14)*IF(OwnOpexOn=1,MAX(0,OwnOpex-LoadFactor*PUE*8760*PowerPx/1000000),OM_MW)/4)</f>
        <v>24.3554850035464</v>
      </c>
      <c r="T21" s="131" t="n">
        <f aca="false">IF(T$5&lt;=LastHist,0,INDEX(MW_Avg,1,15)*INDEX(MW_OwnSh,1,15)*IF(OwnOpexOn=1,MAX(0,OwnOpex-LoadFactor*PUE*8760*PowerPx/1000000),OM_MW)/4)</f>
        <v>45.8425614317216</v>
      </c>
      <c r="U21" s="131" t="n">
        <f aca="false">IF(U$5&lt;=LastHist,0,INDEX(MW_Avg,1,16)*INDEX(MW_OwnSh,1,16)*IF(OwnOpexOn=1,MAX(0,OwnOpex-LoadFactor*PUE*8760*PowerPx/1000000),OM_MW)/4)</f>
        <v>86.3536009923302</v>
      </c>
      <c r="V21" s="131" t="n">
        <f aca="false">IF(V$5&lt;=LastHist,0,INDEX(MW_Avg,1,17)*INDEX(MW_OwnSh,1,17)*IF(OwnOpexOn=1,MAX(0,OwnOpex-LoadFactor*PUE*8760*PowerPx/1000000),OM_MW)/4)</f>
        <v>129.905146459352</v>
      </c>
      <c r="W21" s="131" t="n">
        <f aca="false">IF(W$5&lt;=LastHist,0,INDEX(MW_Avg,1,18)*INDEX(MW_OwnSh,1,18)*IF(OwnOpexOn=1,MAX(0,OwnOpex-LoadFactor*PUE*8760*PowerPx/1000000),OM_MW)/4)</f>
        <v>188.67500035021</v>
      </c>
      <c r="X21" s="131" t="n">
        <f aca="false">IF(X$5&lt;=LastHist,0,INDEX(MW_Avg,1,19)*INDEX(MW_OwnSh,1,19)*IF(OwnOpexOn=1,MAX(0,OwnOpex-LoadFactor*PUE*8760*PowerPx/1000000),OM_MW)/4)</f>
        <v>207.184105178398</v>
      </c>
      <c r="Y21" s="131" t="n">
        <f aca="false">IF(Y$5&lt;=LastHist,0,INDEX(MW_Avg,1,20)*INDEX(MW_OwnSh,1,20)*IF(OwnOpexOn=1,MAX(0,OwnOpex-LoadFactor*PUE*8760*PowerPx/1000000),OM_MW)/4)</f>
        <v>264.937775363463</v>
      </c>
      <c r="Z21" s="131" t="n">
        <f aca="false">IF(Z$5&lt;=LastHist,0,INDEX(MW_Avg,1,21)*INDEX(MW_OwnSh,1,21)*IF(OwnOpexOn=1,MAX(0,OwnOpex-LoadFactor*PUE*8760*PowerPx/1000000),OM_MW)/4)</f>
        <v>297.36915090659</v>
      </c>
      <c r="AA21" s="131" t="n">
        <f aca="false">IF(AA$5&lt;=LastHist,0,INDEX(MW_Avg,1,22)*INDEX(MW_OwnSh,1,22)*IF(OwnOpexOn=1,MAX(0,OwnOpex-LoadFactor*PUE*8760*PowerPx/1000000),OM_MW)/4)</f>
        <v>380.777261054431</v>
      </c>
      <c r="AB21" s="131" t="n">
        <f aca="false">IF(AB$5&lt;=LastHist,0,INDEX(MW_Avg,1,23)*INDEX(MW_OwnSh,1,23)*IF(OwnOpexOn=1,MAX(0,OwnOpex-LoadFactor*PUE*8760*PowerPx/1000000),OM_MW)/4)</f>
        <v>416.614244339715</v>
      </c>
      <c r="AC21" s="131" t="n">
        <f aca="false">IF(AC$5&lt;=LastHist,0,INDEX(MW_Avg,1,24)*INDEX(MW_OwnSh,1,24)*IF(OwnOpexOn=1,MAX(0,OwnOpex-LoadFactor*PUE*8760*PowerPx/1000000),OM_MW)/4)</f>
        <v>513.410165340678</v>
      </c>
      <c r="AD21" s="131" t="n">
        <f aca="false">IF(AD$5&lt;=LastHist,0,INDEX(MW_Avg,1,25)*INDEX(MW_OwnSh,1,25)*IF(OwnOpexOn=1,MAX(0,OwnOpex-LoadFactor*PUE*8760*PowerPx/1000000),OM_MW)/4)</f>
        <v>571.651835857839</v>
      </c>
      <c r="AE21" s="131" t="n">
        <f aca="false">IF(AE$5&lt;=LastHist,0,INDEX(MW_Avg,1,26)*INDEX(MW_OwnSh,1,26)*IF(OwnOpexOn=1,MAX(0,OwnOpex-LoadFactor*PUE*8760*PowerPx/1000000),OM_MW)/4)</f>
        <v>629.893506375</v>
      </c>
      <c r="AF21" s="131" t="n">
        <f aca="false">IF(AF$5&lt;=LastHist,0,INDEX(MW_Avg,1,27)*INDEX(MW_OwnSh,1,27)*IF(OwnOpexOn=1,MAX(0,OwnOpex-LoadFactor*PUE*8760*PowerPx/1000000),OM_MW)/4)</f>
        <v>629.893506375</v>
      </c>
      <c r="AG21" s="131" t="n">
        <f aca="false">IF(AG$5&lt;=LastHist,0,INDEX(MW_Avg,1,28)*INDEX(MW_OwnSh,1,28)*IF(OwnOpexOn=1,MAX(0,OwnOpex-LoadFactor*PUE*8760*PowerPx/1000000),OM_MW)/4)</f>
        <v>679.982512388836</v>
      </c>
      <c r="AI21" s="131" t="n">
        <f aca="false">SUMIF($F$7:$AG$7,AI$7,$F21:$AG21)</f>
        <v>0</v>
      </c>
      <c r="AJ21" s="131" t="n">
        <f aca="false">SUMIF($F$7:$AG$7,AJ$7,$F21:$AG21)</f>
        <v>0</v>
      </c>
      <c r="AK21" s="131" t="n">
        <f aca="false">SUMIF($F$7:$AG$7,AK$7,$F21:$AG21)</f>
        <v>40.8122776400671</v>
      </c>
      <c r="AL21" s="131" t="n">
        <f aca="false">SUMIF($F$7:$AG$7,AL$7,$F21:$AG21)</f>
        <v>174.178104168915</v>
      </c>
      <c r="AM21" s="131" t="n">
        <f aca="false">SUMIF($F$7:$AG$7,AM$7,$F21:$AG21)</f>
        <v>790.702027351423</v>
      </c>
      <c r="AN21" s="131" t="n">
        <f aca="false">SUMIF($F$7:$AG$7,AN$7,$F21:$AG21)</f>
        <v>1608.17082164141</v>
      </c>
      <c r="AO21" s="131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2643</v>
      </c>
      <c r="B22" s="24" t="s">
        <v>745</v>
      </c>
      <c r="C22" s="24" t="s">
        <v>672</v>
      </c>
      <c r="D22" s="24"/>
      <c r="F22" s="132" t="n">
        <f aca="false">IF(F$5&lt;=LastHist,INDEX(H_COR,1,F$5),F16+F17+F18+F19+F20+F21)</f>
        <v>9.1</v>
      </c>
      <c r="G22" s="132" t="n">
        <f aca="false">IF(G$5&lt;=LastHist,INDEX(H_COR,1,G$5),G16+G17+G18+G19+G20+G21)</f>
        <v>8.1</v>
      </c>
      <c r="H22" s="132" t="n">
        <f aca="false">IF(H$5&lt;=LastHist,INDEX(H_COR,1,H$5),H16+H17+H18+H19+H20+H21)</f>
        <v>9.9</v>
      </c>
      <c r="I22" s="132" t="n">
        <f aca="false">IF(I$5&lt;=LastHist,INDEX(H_COR,1,I$5),I16+I17+I18+I19+I20+I21)</f>
        <v>21.1</v>
      </c>
      <c r="J22" s="132" t="n">
        <f aca="false">IF(J$5&lt;=LastHist,INDEX(H_COR,1,J$5),J16+J17+J18+J19+J20+J21)</f>
        <v>24.7</v>
      </c>
      <c r="K22" s="132" t="n">
        <f aca="false">IF(K$5&lt;=LastHist,INDEX(H_COR,1,K$5),K16+K17+K18+K19+K20+K21)</f>
        <v>30.1</v>
      </c>
      <c r="L22" s="132" t="n">
        <f aca="false">IF(L$5&lt;=LastHist,INDEX(H_COR,1,L$5),L16+L17+L18+L19+L20+L21)</f>
        <v>42.9</v>
      </c>
      <c r="M22" s="132" t="n">
        <f aca="false">IF(M$5&lt;=LastHist,INDEX(H_COR,1,M$5),M16+M17+M18+M19+M20+M21)</f>
        <v>68.5</v>
      </c>
      <c r="N22" s="132" t="n">
        <f aca="false">IF(N$5&lt;=LastHist,INDEX(H_COR,1,N$5),N16+N17+N18+N19+N20+N21)</f>
        <v>103.8</v>
      </c>
      <c r="O22" s="132" t="n">
        <f aca="false">IF(O$5&lt;=LastHist,INDEX(H_COR,1,O$5),O16+O17+O18+O19+O20+O21)</f>
        <v>133.6</v>
      </c>
      <c r="P22" s="104" t="n">
        <f aca="false">IF(P$5&lt;=LastHist,INDEX(H_COR,1,P$5),P16+P17+P18+P19+P20+P21)</f>
        <v>188.480284110802</v>
      </c>
      <c r="Q22" s="104" t="n">
        <f aca="false">IF(Q$5&lt;=LastHist,INDEX(H_COR,1,Q$5),Q16+Q17+Q18+Q19+Q20+Q21)</f>
        <v>220.061176609334</v>
      </c>
      <c r="R22" s="104" t="n">
        <f aca="false">IF(R$5&lt;=LastHist,INDEX(H_COR,1,R$5),R16+R17+R18+R19+R20+R21)</f>
        <v>287.406435848172</v>
      </c>
      <c r="S22" s="104" t="n">
        <f aca="false">IF(S$5&lt;=LastHist,INDEX(H_COR,1,S$5),S16+S17+S18+S19+S20+S21)</f>
        <v>428.152899277199</v>
      </c>
      <c r="T22" s="104" t="n">
        <f aca="false">IF(T$5&lt;=LastHist,INDEX(H_COR,1,T$5),T16+T17+T18+T19+T20+T21)</f>
        <v>613.214327825539</v>
      </c>
      <c r="U22" s="104" t="n">
        <f aca="false">IF(U$5&lt;=LastHist,INDEX(H_COR,1,U$5),U16+U17+U18+U19+U20+U21)</f>
        <v>779.197454348582</v>
      </c>
      <c r="V22" s="104" t="n">
        <f aca="false">IF(V$5&lt;=LastHist,INDEX(H_COR,1,V$5),V16+V17+V18+V19+V20+V21)</f>
        <v>1001.04895276726</v>
      </c>
      <c r="W22" s="104" t="n">
        <f aca="false">IF(W$5&lt;=LastHist,INDEX(H_COR,1,W$5),W16+W17+W18+W19+W20+W21)</f>
        <v>1154.40852768248</v>
      </c>
      <c r="X22" s="104" t="n">
        <f aca="false">IF(X$5&lt;=LastHist,INDEX(H_COR,1,X$5),X16+X17+X18+X19+X20+X21)</f>
        <v>1280.72060193725</v>
      </c>
      <c r="Y22" s="104" t="n">
        <f aca="false">IF(Y$5&lt;=LastHist,INDEX(H_COR,1,Y$5),Y16+Y17+Y18+Y19+Y20+Y21)</f>
        <v>1328.89117249901</v>
      </c>
      <c r="Z22" s="104" t="n">
        <f aca="false">IF(Z$5&lt;=LastHist,INDEX(H_COR,1,Z$5),Z16+Z17+Z18+Z19+Z20+Z21)</f>
        <v>1484.44140681341</v>
      </c>
      <c r="AA22" s="104" t="n">
        <f aca="false">IF(AA$5&lt;=LastHist,INDEX(H_COR,1,AA$5),AA16+AA17+AA18+AA19+AA20+AA21)</f>
        <v>1601.84520587426</v>
      </c>
      <c r="AB22" s="104" t="n">
        <f aca="false">IF(AB$5&lt;=LastHist,INDEX(H_COR,1,AB$5),AB16+AB17+AB18+AB19+AB20+AB21)</f>
        <v>1754.41127799216</v>
      </c>
      <c r="AC22" s="104" t="n">
        <f aca="false">IF(AC$5&lt;=LastHist,INDEX(H_COR,1,AC$5),AC16+AC17+AC18+AC19+AC20+AC21)</f>
        <v>1858.68258320549</v>
      </c>
      <c r="AD22" s="104" t="n">
        <f aca="false">IF(AD$5&lt;=LastHist,INDEX(H_COR,1,AD$5),AD16+AD17+AD18+AD19+AD20+AD21)</f>
        <v>2058.6016777587</v>
      </c>
      <c r="AE22" s="104" t="n">
        <f aca="false">IF(AE$5&lt;=LastHist,INDEX(H_COR,1,AE$5),AE16+AE17+AE18+AE19+AE20+AE21)</f>
        <v>2270.28237859565</v>
      </c>
      <c r="AF22" s="104" t="n">
        <f aca="false">IF(AF$5&lt;=LastHist,INDEX(H_COR,1,AF$5),AF16+AF17+AF18+AF19+AF20+AF21)</f>
        <v>2272.14585118269</v>
      </c>
      <c r="AG22" s="104" t="n">
        <f aca="false">IF(AG$5&lt;=LastHist,INDEX(H_COR,1,AG$5),AG16+AG17+AG18+AG19+AG20+AG21)</f>
        <v>2236.80759999146</v>
      </c>
      <c r="AI22" s="104" t="n">
        <f aca="false">SUMIF($F$7:$AG$7,AI$7,$F22:$AG22)</f>
        <v>48.2</v>
      </c>
      <c r="AJ22" s="104" t="n">
        <f aca="false">SUMIF($F$7:$AG$7,AJ$7,$F22:$AG22)</f>
        <v>166.2</v>
      </c>
      <c r="AK22" s="104" t="n">
        <f aca="false">SUMIF($F$7:$AG$7,AK$7,$F22:$AG22)</f>
        <v>645.941460720137</v>
      </c>
      <c r="AL22" s="104" t="n">
        <f aca="false">SUMIF($F$7:$AG$7,AL$7,$F22:$AG22)</f>
        <v>2107.97111729949</v>
      </c>
      <c r="AM22" s="104" t="n">
        <f aca="false">SUMIF($F$7:$AG$7,AM$7,$F22:$AG22)</f>
        <v>4765.069254886</v>
      </c>
      <c r="AN22" s="104" t="n">
        <f aca="false">SUMIF($F$7:$AG$7,AN$7,$F22:$AG22)</f>
        <v>6699.38047388531</v>
      </c>
      <c r="AO22" s="104" t="n">
        <f aca="false">SUMIF($F$7:$AG$7,AO$7,$F22:$AG22)</f>
        <v>8837.8375075285</v>
      </c>
    </row>
    <row r="23" customFormat="false" ht="15" hidden="false" customHeight="false" outlineLevel="0" collapsed="false">
      <c r="A23" s="112" t="s">
        <v>2644</v>
      </c>
      <c r="B23" s="24" t="s">
        <v>745</v>
      </c>
      <c r="C23" s="24" t="s">
        <v>672</v>
      </c>
      <c r="D23" s="24"/>
      <c r="F23" s="130" t="n">
        <f aca="false">IF(F$5&lt;=LastHist,INDEX(H_PD,1,F$5),IF(AND(OpexHold=1,F$7&gt;2028),INDEX(PDpct,1,2028-FYBase),INDEX(PDpct,1,F$7-FYBase))*F11)</f>
        <v>29</v>
      </c>
      <c r="G23" s="130" t="n">
        <f aca="false">IF(G$5&lt;=LastHist,INDEX(H_PD,1,G$5),IF(AND(OpexHold=1,G$7&gt;2028),INDEX(PDpct,1,2028-FYBase),INDEX(PDpct,1,G$7-FYBase))*G11)</f>
        <v>25.6</v>
      </c>
      <c r="H23" s="130" t="n">
        <f aca="false">IF(H$5&lt;=LastHist,INDEX(H_PD,1,H$5),IF(AND(OpexHold=1,H$7&gt;2028),INDEX(PDpct,1,2028-FYBase),INDEX(PDpct,1,H$7-FYBase))*H11)</f>
        <v>31.4</v>
      </c>
      <c r="I23" s="130" t="n">
        <f aca="false">IF(I$5&lt;=LastHist,INDEX(H_PD,1,I$5),IF(AND(OpexHold=1,I$7&gt;2028),INDEX(PDpct,1,2028-FYBase),INDEX(PDpct,1,I$7-FYBase))*I11)</f>
        <v>31.9</v>
      </c>
      <c r="J23" s="130" t="n">
        <f aca="false">IF(J$5&lt;=LastHist,INDEX(H_PD,1,J$5),IF(AND(OpexHold=1,J$7&gt;2028),INDEX(PDpct,1,2028-FYBase),INDEX(PDpct,1,J$7-FYBase))*J11)</f>
        <v>36.5</v>
      </c>
      <c r="K23" s="130" t="n">
        <f aca="false">IF(K$5&lt;=LastHist,INDEX(H_PD,1,K$5),IF(AND(OpexHold=1,K$7&gt;2028),INDEX(PDpct,1,2028-FYBase),INDEX(PDpct,1,K$7-FYBase))*K11)</f>
        <v>42.8</v>
      </c>
      <c r="L23" s="130" t="n">
        <f aca="false">IF(L$5&lt;=LastHist,INDEX(H_PD,1,L$5),IF(AND(OpexHold=1,L$7&gt;2028),INDEX(PDpct,1,2028-FYBase),INDEX(PDpct,1,L$7-FYBase))*L11)</f>
        <v>44.9</v>
      </c>
      <c r="M23" s="130" t="n">
        <f aca="false">IF(M$5&lt;=LastHist,INDEX(H_PD,1,M$5),IF(AND(OpexHold=1,M$7&gt;2028),INDEX(PDpct,1,2028-FYBase),INDEX(PDpct,1,M$7-FYBase))*M11)</f>
        <v>53.1</v>
      </c>
      <c r="N23" s="130" t="n">
        <f aca="false">IF(N$5&lt;=LastHist,INDEX(H_PD,1,N$5),IF(AND(OpexHold=1,N$7&gt;2028),INDEX(PDpct,1,2028-FYBase),INDEX(PDpct,1,N$7-FYBase))*N11)</f>
        <v>67.4</v>
      </c>
      <c r="O23" s="130" t="n">
        <f aca="false">IF(O$5&lt;=LastHist,INDEX(H_PD,1,O$5),IF(AND(OpexHold=1,O$7&gt;2028),INDEX(PDpct,1,2028-FYBase),INDEX(PDpct,1,O$7-FYBase))*O11)</f>
        <v>191</v>
      </c>
      <c r="P23" s="131" t="n">
        <f aca="false">IF(P$5&lt;=LastHist,INDEX(H_PD,1,P$5),IF(AND(OpexHold=1,P$7&gt;2028),INDEX(PDpct,1,2028-FYBase),INDEX(PDpct,1,P$7-FYBase))*P11)</f>
        <v>74.2155048449035</v>
      </c>
      <c r="Q23" s="131" t="n">
        <f aca="false">IF(Q$5&lt;=LastHist,INDEX(H_PD,1,Q$5),IF(AND(OpexHold=1,Q$7&gt;2028),INDEX(PDpct,1,2028-FYBase),INDEX(PDpct,1,Q$7-FYBase))*Q11)</f>
        <v>89.0002447284683</v>
      </c>
      <c r="R23" s="131" t="n">
        <f aca="false">IF(R$5&lt;=LastHist,INDEX(H_PD,1,R$5),IF(AND(OpexHold=1,R$7&gt;2028),INDEX(PDpct,1,2028-FYBase),INDEX(PDpct,1,R$7-FYBase))*R11)</f>
        <v>92.4882561868637</v>
      </c>
      <c r="S23" s="131" t="n">
        <f aca="false">IF(S$5&lt;=LastHist,INDEX(H_PD,1,S$5),IF(AND(OpexHold=1,S$7&gt;2028),INDEX(PDpct,1,2028-FYBase),INDEX(PDpct,1,S$7-FYBase))*S11)</f>
        <v>146.981745785257</v>
      </c>
      <c r="T23" s="131" t="n">
        <f aca="false">IF(T$5&lt;=LastHist,INDEX(H_PD,1,T$5),IF(AND(OpexHold=1,T$7&gt;2028),INDEX(PDpct,1,2028-FYBase),INDEX(PDpct,1,T$7-FYBase))*T11)</f>
        <v>221.599053907187</v>
      </c>
      <c r="U23" s="131" t="n">
        <f aca="false">IF(U$5&lt;=LastHist,INDEX(H_PD,1,U$5),IF(AND(OpexHold=1,U$7&gt;2028),INDEX(PDpct,1,2028-FYBase),INDEX(PDpct,1,U$7-FYBase))*U11)</f>
        <v>277.762579424098</v>
      </c>
      <c r="V23" s="131" t="n">
        <f aca="false">IF(V$5&lt;=LastHist,INDEX(H_PD,1,V$5),IF(AND(OpexHold=1,V$7&gt;2028),INDEX(PDpct,1,2028-FYBase),INDEX(PDpct,1,V$7-FYBase))*V11)</f>
        <v>321.111247984827</v>
      </c>
      <c r="W23" s="131" t="n">
        <f aca="false">IF(W$5&lt;=LastHist,INDEX(H_PD,1,W$5),IF(AND(OpexHold=1,W$7&gt;2028),INDEX(PDpct,1,2028-FYBase),INDEX(PDpct,1,W$7-FYBase))*W11)</f>
        <v>379.845562279692</v>
      </c>
      <c r="X23" s="131" t="n">
        <f aca="false">IF(X$5&lt;=LastHist,INDEX(H_PD,1,X$5),IF(AND(OpexHold=1,X$7&gt;2028),INDEX(PDpct,1,2028-FYBase),INDEX(PDpct,1,X$7-FYBase))*X11)</f>
        <v>423.386390027866</v>
      </c>
      <c r="Y23" s="131" t="n">
        <f aca="false">IF(Y$5&lt;=LastHist,INDEX(H_PD,1,Y$5),IF(AND(OpexHold=1,Y$7&gt;2028),INDEX(PDpct,1,2028-FYBase),INDEX(PDpct,1,Y$7-FYBase))*Y11)</f>
        <v>453.000530250764</v>
      </c>
      <c r="Z23" s="131" t="n">
        <f aca="false">IF(Z$5&lt;=LastHist,INDEX(H_PD,1,Z$5),IF(AND(OpexHold=1,Z$7&gt;2028),INDEX(PDpct,1,2028-FYBase),INDEX(PDpct,1,Z$7-FYBase))*Z11)</f>
        <v>446.769425053818</v>
      </c>
      <c r="AA23" s="131" t="n">
        <f aca="false">IF(AA$5&lt;=LastHist,INDEX(H_PD,1,AA$5),IF(AND(OpexHold=1,AA$7&gt;2028),INDEX(PDpct,1,2028-FYBase),INDEX(PDpct,1,AA$7-FYBase))*AA11)</f>
        <v>496.908496005446</v>
      </c>
      <c r="AB23" s="131" t="n">
        <f aca="false">IF(AB$5&lt;=LastHist,INDEX(H_PD,1,AB$5),IF(AND(OpexHold=1,AB$7&gt;2028),INDEX(PDpct,1,2028-FYBase),INDEX(PDpct,1,AB$7-FYBase))*AB11)</f>
        <v>546.283138519848</v>
      </c>
      <c r="AC23" s="131" t="n">
        <f aca="false">IF(AC$5&lt;=LastHist,INDEX(H_PD,1,AC$5),IF(AND(OpexHold=1,AC$7&gt;2028),INDEX(PDpct,1,2028-FYBase),INDEX(PDpct,1,AC$7-FYBase))*AC11)</f>
        <v>596.735136639713</v>
      </c>
      <c r="AD23" s="131" t="n">
        <f aca="false">IF(AD$5&lt;=LastHist,INDEX(H_PD,1,AD$5),IF(AND(OpexHold=1,AD$7&gt;2028),INDEX(PDpct,1,2028-FYBase),INDEX(PDpct,1,AD$7-FYBase))*AD11)</f>
        <v>569.485864121902</v>
      </c>
      <c r="AE23" s="131" t="n">
        <f aca="false">IF(AE$5&lt;=LastHist,INDEX(H_PD,1,AE$5),IF(AND(OpexHold=1,AE$7&gt;2028),INDEX(PDpct,1,2028-FYBase),INDEX(PDpct,1,AE$7-FYBase))*AE11)</f>
        <v>629.108440530654</v>
      </c>
      <c r="AF23" s="131" t="n">
        <f aca="false">IF(AF$5&lt;=LastHist,INDEX(H_PD,1,AF$5),IF(AND(OpexHold=1,AF$7&gt;2028),INDEX(PDpct,1,2028-FYBase),INDEX(PDpct,1,AF$7-FYBase))*AF11)</f>
        <v>627.058035777689</v>
      </c>
      <c r="AG23" s="131" t="n">
        <f aca="false">IF(AG$5&lt;=LastHist,INDEX(H_PD,1,AG$5),IF(AND(OpexHold=1,AG$7&gt;2028),INDEX(PDpct,1,2028-FYBase),INDEX(PDpct,1,AG$7-FYBase))*AG11)</f>
        <v>633.924674783495</v>
      </c>
      <c r="AI23" s="131" t="n">
        <f aca="false">SUMIF($F$7:$AG$7,AI$7,$F23:$AG23)</f>
        <v>117.9</v>
      </c>
      <c r="AJ23" s="131" t="n">
        <f aca="false">SUMIF($F$7:$AG$7,AJ$7,$F23:$AG23)</f>
        <v>177.3</v>
      </c>
      <c r="AK23" s="131" t="n">
        <f aca="false">SUMIF($F$7:$AG$7,AK$7,$F23:$AG23)</f>
        <v>421.615749573372</v>
      </c>
      <c r="AL23" s="131" t="n">
        <f aca="false">SUMIF($F$7:$AG$7,AL$7,$F23:$AG23)</f>
        <v>738.831635303405</v>
      </c>
      <c r="AM23" s="131" t="n">
        <f aca="false">SUMIF($F$7:$AG$7,AM$7,$F23:$AG23)</f>
        <v>1577.34373054315</v>
      </c>
      <c r="AN23" s="131" t="n">
        <f aca="false">SUMIF($F$7:$AG$7,AN$7,$F23:$AG23)</f>
        <v>2086.69619621882</v>
      </c>
      <c r="AO23" s="131" t="n">
        <f aca="false">SUMIF($F$7:$AG$7,AO$7,$F23:$AG23)</f>
        <v>2459.57701521374</v>
      </c>
    </row>
    <row r="24" customFormat="false" ht="15" hidden="false" customHeight="false" outlineLevel="0" collapsed="false">
      <c r="A24" s="112" t="s">
        <v>2645</v>
      </c>
      <c r="B24" s="24" t="s">
        <v>745</v>
      </c>
      <c r="C24" s="24" t="s">
        <v>672</v>
      </c>
      <c r="D24" s="24"/>
      <c r="F24" s="130" t="n">
        <f aca="false">IF(F$5&lt;=LastHist,INDEX(H_SGA,1,F$5),IF(AND(OpexHold=1,F$7&gt;2028),INDEX(SGApct,1,2028-FYBase),INDEX(SGApct,1,F$7-FYBase))*F11)</f>
        <v>44.2</v>
      </c>
      <c r="G24" s="130" t="n">
        <f aca="false">IF(G$5&lt;=LastHist,INDEX(H_SGA,1,G$5),IF(AND(OpexHold=1,G$7&gt;2028),INDEX(SGApct,1,2028-FYBase),INDEX(SGApct,1,G$7-FYBase))*G11)</f>
        <v>39</v>
      </c>
      <c r="H24" s="130" t="n">
        <f aca="false">IF(H$5&lt;=LastHist,INDEX(H_SGA,1,H$5),IF(AND(OpexHold=1,H$7&gt;2028),INDEX(SGApct,1,2028-FYBase),INDEX(SGApct,1,H$7-FYBase))*H11)</f>
        <v>47.9</v>
      </c>
      <c r="I24" s="130" t="n">
        <f aca="false">IF(I$5&lt;=LastHist,INDEX(H_SGA,1,I$5),IF(AND(OpexHold=1,I$7&gt;2028),INDEX(SGApct,1,2028-FYBase),INDEX(SGApct,1,I$7-FYBase))*I11)</f>
        <v>85.4</v>
      </c>
      <c r="J24" s="130" t="n">
        <f aca="false">IF(J$5&lt;=LastHist,INDEX(H_SGA,1,J$5),IF(AND(OpexHold=1,J$7&gt;2028),INDEX(SGApct,1,2028-FYBase),INDEX(SGApct,1,J$7-FYBase))*J11)</f>
        <v>60.9</v>
      </c>
      <c r="K24" s="130" t="n">
        <f aca="false">IF(K$5&lt;=LastHist,INDEX(H_SGA,1,K$5),IF(AND(OpexHold=1,K$7&gt;2028),INDEX(SGApct,1,2028-FYBase),INDEX(SGApct,1,K$7-FYBase))*K11)</f>
        <v>68.2</v>
      </c>
      <c r="L24" s="130" t="n">
        <f aca="false">IF(L$5&lt;=LastHist,INDEX(H_SGA,1,L$5),IF(AND(OpexHold=1,L$7&gt;2028),INDEX(SGApct,1,2028-FYBase),INDEX(SGApct,1,L$7-FYBase))*L11)</f>
        <v>89.5</v>
      </c>
      <c r="M24" s="130" t="n">
        <f aca="false">IF(M$5&lt;=LastHist,INDEX(H_SGA,1,M$5),IF(AND(OpexHold=1,M$7&gt;2028),INDEX(SGApct,1,2028-FYBase),INDEX(SGApct,1,M$7-FYBase))*M11)</f>
        <v>159.9</v>
      </c>
      <c r="N24" s="130" t="n">
        <f aca="false">IF(N$5&lt;=LastHist,INDEX(H_SGA,1,N$5),IF(AND(OpexHold=1,N$7&gt;2028),INDEX(SGApct,1,2028-FYBase),INDEX(SGApct,1,N$7-FYBase))*N11)</f>
        <v>143.8</v>
      </c>
      <c r="O24" s="130" t="n">
        <f aca="false">IF(O$5&lt;=LastHist,INDEX(H_SGA,1,O$5),IF(AND(OpexHold=1,O$7&gt;2028),INDEX(SGApct,1,2028-FYBase),INDEX(SGApct,1,O$7-FYBase))*O11)</f>
        <v>173.9</v>
      </c>
      <c r="P24" s="131" t="n">
        <f aca="false">IF(P$5&lt;=LastHist,INDEX(H_SGA,1,P$5),IF(AND(OpexHold=1,P$7&gt;2028),INDEX(SGApct,1,2028-FYBase),INDEX(SGApct,1,P$7-FYBase))*P11)</f>
        <v>148.431009689807</v>
      </c>
      <c r="Q24" s="131" t="n">
        <f aca="false">IF(Q$5&lt;=LastHist,INDEX(H_SGA,1,Q$5),IF(AND(OpexHold=1,Q$7&gt;2028),INDEX(SGApct,1,2028-FYBase),INDEX(SGApct,1,Q$7-FYBase))*Q11)</f>
        <v>178.000489456937</v>
      </c>
      <c r="R24" s="131" t="n">
        <f aca="false">IF(R$5&lt;=LastHist,INDEX(H_SGA,1,R$5),IF(AND(OpexHold=1,R$7&gt;2028),INDEX(SGApct,1,2028-FYBase),INDEX(SGApct,1,R$7-FYBase))*R11)</f>
        <v>143.870620735121</v>
      </c>
      <c r="S24" s="131" t="n">
        <f aca="false">IF(S$5&lt;=LastHist,INDEX(H_SGA,1,S$5),IF(AND(OpexHold=1,S$7&gt;2028),INDEX(SGApct,1,2028-FYBase),INDEX(SGApct,1,S$7-FYBase))*S11)</f>
        <v>228.638271221511</v>
      </c>
      <c r="T24" s="131" t="n">
        <f aca="false">IF(T$5&lt;=LastHist,INDEX(H_SGA,1,T$5),IF(AND(OpexHold=1,T$7&gt;2028),INDEX(SGApct,1,2028-FYBase),INDEX(SGApct,1,T$7-FYBase))*T11)</f>
        <v>344.70963941118</v>
      </c>
      <c r="U24" s="131" t="n">
        <f aca="false">IF(U$5&lt;=LastHist,INDEX(H_SGA,1,U$5),IF(AND(OpexHold=1,U$7&gt;2028),INDEX(SGApct,1,2028-FYBase),INDEX(SGApct,1,U$7-FYBase))*U11)</f>
        <v>432.075123548596</v>
      </c>
      <c r="V24" s="131" t="n">
        <f aca="false">IF(V$5&lt;=LastHist,INDEX(H_SGA,1,V$5),IF(AND(OpexHold=1,V$7&gt;2028),INDEX(SGApct,1,2028-FYBase),INDEX(SGApct,1,V$7-FYBase))*V11)</f>
        <v>401.389059981034</v>
      </c>
      <c r="W24" s="131" t="n">
        <f aca="false">IF(W$5&lt;=LastHist,INDEX(H_SGA,1,W$5),IF(AND(OpexHold=1,W$7&gt;2028),INDEX(SGApct,1,2028-FYBase),INDEX(SGApct,1,W$7-FYBase))*W11)</f>
        <v>474.806952849615</v>
      </c>
      <c r="X24" s="131" t="n">
        <f aca="false">IF(X$5&lt;=LastHist,INDEX(H_SGA,1,X$5),IF(AND(OpexHold=1,X$7&gt;2028),INDEX(SGApct,1,2028-FYBase),INDEX(SGApct,1,X$7-FYBase))*X11)</f>
        <v>529.232987534832</v>
      </c>
      <c r="Y24" s="131" t="n">
        <f aca="false">IF(Y$5&lt;=LastHist,INDEX(H_SGA,1,Y$5),IF(AND(OpexHold=1,Y$7&gt;2028),INDEX(SGApct,1,2028-FYBase),INDEX(SGApct,1,Y$7-FYBase))*Y11)</f>
        <v>566.250662813455</v>
      </c>
      <c r="Z24" s="131" t="n">
        <f aca="false">IF(Z$5&lt;=LastHist,INDEX(H_SGA,1,Z$5),IF(AND(OpexHold=1,Z$7&gt;2028),INDEX(SGApct,1,2028-FYBase),INDEX(SGApct,1,Z$7-FYBase))*Z11)</f>
        <v>510.593628632934</v>
      </c>
      <c r="AA24" s="131" t="n">
        <f aca="false">IF(AA$5&lt;=LastHist,INDEX(H_SGA,1,AA$5),IF(AND(OpexHold=1,AA$7&gt;2028),INDEX(SGApct,1,2028-FYBase),INDEX(SGApct,1,AA$7-FYBase))*AA11)</f>
        <v>567.895424006224</v>
      </c>
      <c r="AB24" s="131" t="n">
        <f aca="false">IF(AB$5&lt;=LastHist,INDEX(H_SGA,1,AB$5),IF(AND(OpexHold=1,AB$7&gt;2028),INDEX(SGApct,1,2028-FYBase),INDEX(SGApct,1,AB$7-FYBase))*AB11)</f>
        <v>624.323586879826</v>
      </c>
      <c r="AC24" s="131" t="n">
        <f aca="false">IF(AC$5&lt;=LastHist,INDEX(H_SGA,1,AC$5),IF(AND(OpexHold=1,AC$7&gt;2028),INDEX(SGApct,1,2028-FYBase),INDEX(SGApct,1,AC$7-FYBase))*AC11)</f>
        <v>681.983013302529</v>
      </c>
      <c r="AD24" s="131" t="n">
        <f aca="false">IF(AD$5&lt;=LastHist,INDEX(H_SGA,1,AD$5),IF(AND(OpexHold=1,AD$7&gt;2028),INDEX(SGApct,1,2028-FYBase),INDEX(SGApct,1,AD$7-FYBase))*AD11)</f>
        <v>664.400174808886</v>
      </c>
      <c r="AE24" s="131" t="n">
        <f aca="false">IF(AE$5&lt;=LastHist,INDEX(H_SGA,1,AE$5),IF(AND(OpexHold=1,AE$7&gt;2028),INDEX(SGApct,1,2028-FYBase),INDEX(SGApct,1,AE$7-FYBase))*AE11)</f>
        <v>733.959847285763</v>
      </c>
      <c r="AF24" s="131" t="n">
        <f aca="false">IF(AF$5&lt;=LastHist,INDEX(H_SGA,1,AF$5),IF(AND(OpexHold=1,AF$7&gt;2028),INDEX(SGApct,1,2028-FYBase),INDEX(SGApct,1,AF$7-FYBase))*AF11)</f>
        <v>731.567708407304</v>
      </c>
      <c r="AG24" s="131" t="n">
        <f aca="false">IF(AG$5&lt;=LastHist,INDEX(H_SGA,1,AG$5),IF(AND(OpexHold=1,AG$7&gt;2028),INDEX(SGApct,1,2028-FYBase),INDEX(SGApct,1,AG$7-FYBase))*AG11)</f>
        <v>739.57878724741</v>
      </c>
      <c r="AI24" s="131" t="n">
        <f aca="false">SUMIF($F$7:$AG$7,AI$7,$F24:$AG24)</f>
        <v>216.5</v>
      </c>
      <c r="AJ24" s="131" t="n">
        <f aca="false">SUMIF($F$7:$AG$7,AJ$7,$F24:$AG24)</f>
        <v>378.5</v>
      </c>
      <c r="AK24" s="131" t="n">
        <f aca="false">SUMIF($F$7:$AG$7,AK$7,$F24:$AG24)</f>
        <v>644.131499146744</v>
      </c>
      <c r="AL24" s="131" t="n">
        <f aca="false">SUMIF($F$7:$AG$7,AL$7,$F24:$AG24)</f>
        <v>1149.29365491641</v>
      </c>
      <c r="AM24" s="131" t="n">
        <f aca="false">SUMIF($F$7:$AG$7,AM$7,$F24:$AG24)</f>
        <v>1971.67966317894</v>
      </c>
      <c r="AN24" s="131" t="n">
        <f aca="false">SUMIF($F$7:$AG$7,AN$7,$F24:$AG24)</f>
        <v>2384.79565282151</v>
      </c>
      <c r="AO24" s="131" t="n">
        <f aca="false">SUMIF($F$7:$AG$7,AO$7,$F24:$AG24)</f>
        <v>2869.50651774936</v>
      </c>
    </row>
    <row r="26" customFormat="false" ht="15" hidden="false" customHeight="false" outlineLevel="0" collapsed="false">
      <c r="A26" s="64" t="s">
        <v>2646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customFormat="false" ht="15" hidden="false" customHeight="false" outlineLevel="0" collapsed="false">
      <c r="A27" s="112" t="s">
        <v>2647</v>
      </c>
      <c r="B27" s="24" t="s">
        <v>745</v>
      </c>
      <c r="C27" s="24" t="s">
        <v>820</v>
      </c>
      <c r="D27" s="24"/>
      <c r="F27" s="130" t="n">
        <f aca="false">IF(F$5&lt;=LastHist,0,PeerMarginOn*(F$7&gt;=PeerMarginYr)*MAX(0,F11-F22-F23-F24-MarginPeer*F11))</f>
        <v>0</v>
      </c>
      <c r="G27" s="130" t="n">
        <f aca="false">IF(G$5&lt;=LastHist,0,PeerMarginOn*(G$7&gt;=PeerMarginYr)*MAX(0,G11-G22-G23-G24-MarginPeer*G11))</f>
        <v>0</v>
      </c>
      <c r="H27" s="130" t="n">
        <f aca="false">IF(H$5&lt;=LastHist,0,PeerMarginOn*(H$7&gt;=PeerMarginYr)*MAX(0,H11-H22-H23-H24-MarginPeer*H11))</f>
        <v>0</v>
      </c>
      <c r="I27" s="130" t="n">
        <f aca="false">IF(I$5&lt;=LastHist,0,PeerMarginOn*(I$7&gt;=PeerMarginYr)*MAX(0,I11-I22-I23-I24-MarginPeer*I11))</f>
        <v>0</v>
      </c>
      <c r="J27" s="130" t="n">
        <f aca="false">IF(J$5&lt;=LastHist,0,PeerMarginOn*(J$7&gt;=PeerMarginYr)*MAX(0,J11-J22-J23-J24-MarginPeer*J11))</f>
        <v>0</v>
      </c>
      <c r="K27" s="130" t="n">
        <f aca="false">IF(K$5&lt;=LastHist,0,PeerMarginOn*(K$7&gt;=PeerMarginYr)*MAX(0,K11-K22-K23-K24-MarginPeer*K11))</f>
        <v>0</v>
      </c>
      <c r="L27" s="130" t="n">
        <f aca="false">IF(L$5&lt;=LastHist,0,PeerMarginOn*(L$7&gt;=PeerMarginYr)*MAX(0,L11-L22-L23-L24-MarginPeer*L11))</f>
        <v>0</v>
      </c>
      <c r="M27" s="130" t="n">
        <f aca="false">IF(M$5&lt;=LastHist,0,PeerMarginOn*(M$7&gt;=PeerMarginYr)*MAX(0,M11-M22-M23-M24-MarginPeer*M11))</f>
        <v>0</v>
      </c>
      <c r="N27" s="130" t="n">
        <f aca="false">IF(N$5&lt;=LastHist,0,PeerMarginOn*(N$7&gt;=PeerMarginYr)*MAX(0,N11-N22-N23-N24-MarginPeer*N11))</f>
        <v>0</v>
      </c>
      <c r="O27" s="130" t="n">
        <f aca="false">IF(O$5&lt;=LastHist,0,PeerMarginOn*(O$7&gt;=PeerMarginYr)*MAX(0,O11-O22-O23-O24-MarginPeer*O11))</f>
        <v>0</v>
      </c>
      <c r="P27" s="131" t="n">
        <f aca="false">IF(P$5&lt;=LastHist,0,PeerMarginOn*(P$7&gt;=PeerMarginYr)*MAX(0,P11-P22-P23-P24-MarginPeer*P11))</f>
        <v>0</v>
      </c>
      <c r="Q27" s="131" t="n">
        <f aca="false">IF(Q$5&lt;=LastHist,0,PeerMarginOn*(Q$7&gt;=PeerMarginYr)*MAX(0,Q11-Q22-Q23-Q24-MarginPeer*Q11))</f>
        <v>0</v>
      </c>
      <c r="R27" s="131" t="n">
        <f aca="false">IF(R$5&lt;=LastHist,0,PeerMarginOn*(R$7&gt;=PeerMarginYr)*MAX(0,R11-R22-R23-R24-MarginPeer*R11))</f>
        <v>0</v>
      </c>
      <c r="S27" s="131" t="n">
        <f aca="false">IF(S$5&lt;=LastHist,0,PeerMarginOn*(S$7&gt;=PeerMarginYr)*MAX(0,S11-S22-S23-S24-MarginPeer*S11))</f>
        <v>0</v>
      </c>
      <c r="T27" s="131" t="n">
        <f aca="false">IF(T$5&lt;=LastHist,0,PeerMarginOn*(T$7&gt;=PeerMarginYr)*MAX(0,T11-T22-T23-T24-MarginPeer*T11))</f>
        <v>0</v>
      </c>
      <c r="U27" s="131" t="n">
        <f aca="false">IF(U$5&lt;=LastHist,0,PeerMarginOn*(U$7&gt;=PeerMarginYr)*MAX(0,U11-U22-U23-U24-MarginPeer*U11))</f>
        <v>0</v>
      </c>
      <c r="V27" s="131" t="n">
        <f aca="false">IF(V$5&lt;=LastHist,0,PeerMarginOn*(V$7&gt;=PeerMarginYr)*MAX(0,V11-V22-V23-V24-MarginPeer*V11))</f>
        <v>0</v>
      </c>
      <c r="W27" s="131" t="n">
        <f aca="false">IF(W$5&lt;=LastHist,0,PeerMarginOn*(W$7&gt;=PeerMarginYr)*MAX(0,W11-W22-W23-W24-MarginPeer*W11))</f>
        <v>0</v>
      </c>
      <c r="X27" s="131" t="n">
        <f aca="false">IF(X$5&lt;=LastHist,0,PeerMarginOn*(X$7&gt;=PeerMarginYr)*MAX(0,X11-X22-X23-X24-MarginPeer*X11))</f>
        <v>0</v>
      </c>
      <c r="Y27" s="131" t="n">
        <f aca="false">IF(Y$5&lt;=LastHist,0,PeerMarginOn*(Y$7&gt;=PeerMarginYr)*MAX(0,Y11-Y22-Y23-Y24-MarginPeer*Y11))</f>
        <v>0</v>
      </c>
      <c r="Z27" s="131" t="n">
        <f aca="false">IF(Z$5&lt;=LastHist,0,PeerMarginOn*(Z$7&gt;=PeerMarginYr)*MAX(0,Z11-Z22-Z23-Z24-MarginPeer*Z11))</f>
        <v>0</v>
      </c>
      <c r="AA27" s="131" t="n">
        <f aca="false">IF(AA$5&lt;=LastHist,0,PeerMarginOn*(AA$7&gt;=PeerMarginYr)*MAX(0,AA11-AA22-AA23-AA24-MarginPeer*AA11))</f>
        <v>0</v>
      </c>
      <c r="AB27" s="131" t="n">
        <f aca="false">IF(AB$5&lt;=LastHist,0,PeerMarginOn*(AB$7&gt;=PeerMarginYr)*MAX(0,AB11-AB22-AB23-AB24-MarginPeer*AB11))</f>
        <v>0</v>
      </c>
      <c r="AC27" s="131" t="n">
        <f aca="false">IF(AC$5&lt;=LastHist,0,PeerMarginOn*(AC$7&gt;=PeerMarginYr)*MAX(0,AC11-AC22-AC23-AC24-MarginPeer*AC11))</f>
        <v>0</v>
      </c>
      <c r="AD27" s="131" t="n">
        <f aca="false">IF(AD$5&lt;=LastHist,0,PeerMarginOn*(AD$7&gt;=PeerMarginYr)*MAX(0,AD11-AD22-AD23-AD24-MarginPeer*AD11))</f>
        <v>0</v>
      </c>
      <c r="AE27" s="131" t="n">
        <f aca="false">IF(AE$5&lt;=LastHist,0,PeerMarginOn*(AE$7&gt;=PeerMarginYr)*MAX(0,AE11-AE22-AE23-AE24-MarginPeer*AE11))</f>
        <v>0</v>
      </c>
      <c r="AF27" s="131" t="n">
        <f aca="false">IF(AF$5&lt;=LastHist,0,PeerMarginOn*(AF$7&gt;=PeerMarginYr)*MAX(0,AF11-AF22-AF23-AF24-MarginPeer*AF11))</f>
        <v>0</v>
      </c>
      <c r="AG27" s="131" t="n">
        <f aca="false">IF(AG$5&lt;=LastHist,0,PeerMarginOn*(AG$7&gt;=PeerMarginYr)*MAX(0,AG11-AG22-AG23-AG24-MarginPeer*AG11))</f>
        <v>0</v>
      </c>
      <c r="AI27" s="131" t="n">
        <f aca="false">SUMIF($F$7:$AG$7,AI$7,$F27:$AG27)</f>
        <v>0</v>
      </c>
      <c r="AJ27" s="131" t="n">
        <f aca="false">SUMIF($F$7:$AG$7,AJ$7,$F27:$AG27)</f>
        <v>0</v>
      </c>
      <c r="AK27" s="131" t="n">
        <f aca="false">SUMIF($F$7:$AG$7,AK$7,$F27:$AG27)</f>
        <v>0</v>
      </c>
      <c r="AL27" s="131" t="n">
        <f aca="false">SUMIF($F$7:$AG$7,AL$7,$F27:$AG27)</f>
        <v>0</v>
      </c>
      <c r="AM27" s="131" t="n">
        <f aca="false">SUMIF($F$7:$AG$7,AM$7,$F27:$AG27)</f>
        <v>0</v>
      </c>
      <c r="AN27" s="131" t="n">
        <f aca="false">SUMIF($F$7:$AG$7,AN$7,$F27:$AG27)</f>
        <v>0</v>
      </c>
      <c r="AO27" s="131" t="n">
        <f aca="false">SUMIF($F$7:$AG$7,AO$7,$F27:$AG27)</f>
        <v>0</v>
      </c>
    </row>
    <row r="28" customFormat="false" ht="15" hidden="false" customHeight="false" outlineLevel="0" collapsed="false">
      <c r="A28" s="3" t="s">
        <v>2648</v>
      </c>
      <c r="B28" s="24" t="s">
        <v>745</v>
      </c>
      <c r="C28" s="24" t="s">
        <v>672</v>
      </c>
      <c r="D28" s="24" t="s">
        <v>2649</v>
      </c>
      <c r="F28" s="132" t="n">
        <f aca="false">IF(F$5&lt;=LastHist,INDEX(H_EBITDA,1,F$5),F11-F22-F23-F24-F27)</f>
        <v>-70.9</v>
      </c>
      <c r="G28" s="132" t="n">
        <f aca="false">IF(G$5&lt;=LastHist,INDEX(H_EBITDA,1,G$5),G11-G22-G23-G24-G27)</f>
        <v>-58.1</v>
      </c>
      <c r="H28" s="132" t="n">
        <f aca="false">IF(H$5&lt;=LastHist,INDEX(H_EBITDA,1,H$5),H11-H22-H23-H24-H27)</f>
        <v>-45.9</v>
      </c>
      <c r="I28" s="132" t="n">
        <f aca="false">IF(I$5&lt;=LastHist,INDEX(H_EBITDA,1,I$5),I11-I22-I23-I24-I27)</f>
        <v>-63.9</v>
      </c>
      <c r="J28" s="132" t="n">
        <f aca="false">IF(J$5&lt;=LastHist,INDEX(H_EBITDA,1,J$5),J11-J22-J23-J24-J27)</f>
        <v>-53.7</v>
      </c>
      <c r="K28" s="132" t="n">
        <f aca="false">IF(K$5&lt;=LastHist,INDEX(H_EBITDA,1,K$5),K11-K22-K23-K24-K27)</f>
        <v>-21</v>
      </c>
      <c r="L28" s="132" t="n">
        <f aca="false">IF(L$5&lt;=LastHist,INDEX(H_EBITDA,1,L$5),L11-L22-L23-L24-L27)</f>
        <v>-5.2</v>
      </c>
      <c r="M28" s="132" t="n">
        <f aca="false">IF(M$5&lt;=LastHist,INDEX(H_EBITDA,1,M$5),M11-M22-M23-M24-M27)</f>
        <v>15</v>
      </c>
      <c r="N28" s="132" t="n">
        <f aca="false">IF(N$5&lt;=LastHist,INDEX(H_EBITDA,1,N$5),N11-N22-N23-N24-N27)</f>
        <v>129.5</v>
      </c>
      <c r="O28" s="132" t="n">
        <f aca="false">IF(O$5&lt;=LastHist,INDEX(H_EBITDA,1,O$5),O11-O22-O23-O24-O27)</f>
        <v>236.2</v>
      </c>
      <c r="P28" s="104" t="n">
        <f aca="false">IF(P$5&lt;=LastHist,INDEX(H_EBITDA,1,P$5),P11-P22-P23-P24-P27)</f>
        <v>263.559609035428</v>
      </c>
      <c r="Q28" s="104" t="n">
        <f aca="false">IF(Q$5&lt;=LastHist,INDEX(H_EBITDA,1,Q$5),Q11-Q22-Q23-Q24-Q27)</f>
        <v>322.031223100427</v>
      </c>
      <c r="R28" s="104" t="n">
        <f aca="false">IF(R$5&lt;=LastHist,INDEX(H_EBITDA,1,R$5),R11-R22-R23-R24-R27)</f>
        <v>503.881978194995</v>
      </c>
      <c r="S28" s="104" t="n">
        <f aca="false">IF(S$5&lt;=LastHist,INDEX(H_EBITDA,1,S$5),S11-S22-S23-S24-S27)</f>
        <v>829.357592441114</v>
      </c>
      <c r="T28" s="104" t="n">
        <f aca="false">IF(T$5&lt;=LastHist,INDEX(H_EBITDA,1,T$5),T11-T22-T23-T24-T27)</f>
        <v>1282.68868893595</v>
      </c>
      <c r="U28" s="104" t="n">
        <f aca="false">IF(U$5&lt;=LastHist,INDEX(H_EBITDA,1,U$5),U11-U22-U23-U24-U27)</f>
        <v>1597.2157251687</v>
      </c>
      <c r="V28" s="104" t="n">
        <f aca="false">IF(V$5&lt;=LastHist,INDEX(H_EBITDA,1,V$5),V11-V22-V23-V24-V27)</f>
        <v>2290.34133907722</v>
      </c>
      <c r="W28" s="104" t="n">
        <f aca="false">IF(W$5&lt;=LastHist,INDEX(H_EBITDA,1,W$5),W11-W22-W23-W24-W27)</f>
        <v>2739.00848568436</v>
      </c>
      <c r="X28" s="104" t="n">
        <f aca="false">IF(X$5&lt;=LastHist,INDEX(H_EBITDA,1,X$5),X11-X22-X23-X24-X27)</f>
        <v>3058.98989584838</v>
      </c>
      <c r="Y28" s="104" t="n">
        <f aca="false">IF(Y$5&lt;=LastHist,INDEX(H_EBITDA,1,Y$5),Y11-Y22-Y23-Y24-Y27)</f>
        <v>3314.36426257132</v>
      </c>
      <c r="Z28" s="104" t="n">
        <f aca="false">IF(Z$5&lt;=LastHist,INDEX(H_EBITDA,1,Z$5),Z11-Z22-Z23-Z24-Z27)</f>
        <v>3940.61589741152</v>
      </c>
      <c r="AA28" s="104" t="n">
        <f aca="false">IF(AA$5&lt;=LastHist,INDEX(H_EBITDA,1,AA$5),AA11-AA22-AA23-AA24-AA27)</f>
        <v>4432.04367419188</v>
      </c>
      <c r="AB28" s="104" t="n">
        <f aca="false">IF(AB$5&lt;=LastHist,INDEX(H_EBITDA,1,AB$5),AB11-AB22-AB23-AB24-AB27)</f>
        <v>4879.02683260599</v>
      </c>
      <c r="AC28" s="104" t="n">
        <f aca="false">IF(AC$5&lt;=LastHist,INDEX(H_EBITDA,1,AC$5),AC11-AC22-AC23-AC24-AC27)</f>
        <v>5387.38693313388</v>
      </c>
      <c r="AD28" s="104" t="n">
        <f aca="false">IF(AD$5&lt;=LastHist,INDEX(H_EBITDA,1,AD$5),AD11-AD22-AD23-AD24-AD27)</f>
        <v>6198.94335200888</v>
      </c>
      <c r="AE28" s="104" t="n">
        <f aca="false">IF(AE$5&lt;=LastHist,INDEX(H_EBITDA,1,AE$5),AE11-AE22-AE23-AE24-AE27)</f>
        <v>6851.79000909883</v>
      </c>
      <c r="AF28" s="104" t="n">
        <f aca="false">IF(AF$5&lt;=LastHist,INDEX(H_EBITDA,1,AF$5),AF11-AF22-AF23-AF24-AF27)</f>
        <v>6820.19566759381</v>
      </c>
      <c r="AG28" s="104" t="n">
        <f aca="false">IF(AG$5&lt;=LastHist,INDEX(H_EBITDA,1,AG$5),AG11-AG22-AG23-AG24-AG27)</f>
        <v>6955.10018436921</v>
      </c>
      <c r="AI28" s="104" t="n">
        <f aca="false">SUMIF($F$7:$AG$7,AI$7,$F28:$AG28)</f>
        <v>-238.8</v>
      </c>
      <c r="AJ28" s="104" t="n">
        <f aca="false">SUMIF($F$7:$AG$7,AJ$7,$F28:$AG28)</f>
        <v>-64.9</v>
      </c>
      <c r="AK28" s="104" t="n">
        <f aca="false">SUMIF($F$7:$AG$7,AK$7,$F28:$AG28)</f>
        <v>951.290832135856</v>
      </c>
      <c r="AL28" s="104" t="n">
        <f aca="false">SUMIF($F$7:$AG$7,AL$7,$F28:$AG28)</f>
        <v>4213.14398474076</v>
      </c>
      <c r="AM28" s="104" t="n">
        <f aca="false">SUMIF($F$7:$AG$7,AM$7,$F28:$AG28)</f>
        <v>11402.7039831813</v>
      </c>
      <c r="AN28" s="104" t="n">
        <f aca="false">SUMIF($F$7:$AG$7,AN$7,$F28:$AG28)</f>
        <v>18639.0733373433</v>
      </c>
      <c r="AO28" s="104" t="n">
        <f aca="false">SUMIF($F$7:$AG$7,AO$7,$F28:$AG28)</f>
        <v>26826.0292130707</v>
      </c>
    </row>
    <row r="29" customFormat="false" ht="15" hidden="false" customHeight="false" outlineLevel="0" collapsed="false">
      <c r="A29" s="112" t="s">
        <v>2650</v>
      </c>
      <c r="B29" s="24" t="s">
        <v>751</v>
      </c>
      <c r="C29" s="24"/>
      <c r="D29" s="24"/>
      <c r="F29" s="124" t="n">
        <f aca="false">IF(F11&lt;&gt;0,F28/F11,0)</f>
        <v>-6.21929824561404</v>
      </c>
      <c r="G29" s="124" t="n">
        <f aca="false">IF(G11&lt;&gt;0,G28/G11,0)</f>
        <v>-4.00689655172414</v>
      </c>
      <c r="H29" s="124" t="n">
        <f aca="false">IF(H11&lt;&gt;0,H28/H11,0)</f>
        <v>-1.42990654205607</v>
      </c>
      <c r="I29" s="124" t="n">
        <f aca="false">IF(I11&lt;&gt;0,I28/I11,0)</f>
        <v>-1.81534090909091</v>
      </c>
      <c r="J29" s="124" t="n">
        <f aca="false">IF(J11&lt;&gt;0,J28/J11,0)</f>
        <v>-1.05500982318271</v>
      </c>
      <c r="K29" s="124" t="n">
        <f aca="false">IF(K11&lt;&gt;0,K28/K11,0)</f>
        <v>-0.199809705042816</v>
      </c>
      <c r="L29" s="124" t="n">
        <f aca="false">IF(L11&lt;&gt;0,L28/L11,0)</f>
        <v>-0.0355920602327173</v>
      </c>
      <c r="M29" s="124" t="n">
        <f aca="false">IF(M11&lt;&gt;0,M28/M11,0)</f>
        <v>0.0658761528326746</v>
      </c>
      <c r="N29" s="124" t="n">
        <f aca="false">IF(N11&lt;&gt;0,N28/N11,0)</f>
        <v>0.324561403508772</v>
      </c>
      <c r="O29" s="124" t="n">
        <f aca="false">IF(O11&lt;&gt;0,O28/O11,0)</f>
        <v>0.40563283530826</v>
      </c>
      <c r="P29" s="27" t="n">
        <f aca="false">IF(P11&lt;&gt;0,P28/P11,0)</f>
        <v>0.390640164133951</v>
      </c>
      <c r="Q29" s="27" t="n">
        <f aca="false">IF(Q11&lt;&gt;0,Q28/Q11,0)</f>
        <v>0.398015023993706</v>
      </c>
      <c r="R29" s="27" t="n">
        <f aca="false">IF(R11&lt;&gt;0,R28/R11,0)</f>
        <v>0.490325798184858</v>
      </c>
      <c r="S29" s="27" t="n">
        <f aca="false">IF(S11&lt;&gt;0,S28/S11,0)</f>
        <v>0.507833016412485</v>
      </c>
      <c r="T29" s="27" t="n">
        <f aca="false">IF(T11&lt;&gt;0,T28/T11,0)</f>
        <v>0.520949796349701</v>
      </c>
      <c r="U29" s="27" t="n">
        <f aca="false">IF(U11&lt;&gt;0,U28/U11,0)</f>
        <v>0.517526210921671</v>
      </c>
      <c r="V29" s="27" t="n">
        <f aca="false">IF(V11&lt;&gt;0,V28/V11,0)</f>
        <v>0.570603827415087</v>
      </c>
      <c r="W29" s="27" t="n">
        <f aca="false">IF(W11&lt;&gt;0,W28/W11,0)</f>
        <v>0.576867813170352</v>
      </c>
      <c r="X29" s="27" t="n">
        <f aca="false">IF(X11&lt;&gt;0,X28/X11,0)</f>
        <v>0.578004388973778</v>
      </c>
      <c r="Y29" s="27" t="n">
        <f aca="false">IF(Y11&lt;&gt;0,Y28/Y11,0)</f>
        <v>0.585317506933003</v>
      </c>
      <c r="Z29" s="27" t="n">
        <f aca="false">IF(Z11&lt;&gt;0,Z28/Z11,0)</f>
        <v>0.617417167223515</v>
      </c>
      <c r="AA29" s="27" t="n">
        <f aca="false">IF(AA11&lt;&gt;0,AA28/AA11,0)</f>
        <v>0.624346453496805</v>
      </c>
      <c r="AB29" s="27" t="n">
        <f aca="false">IF(AB11&lt;&gt;0,AB28/AB11,0)</f>
        <v>0.625192055547968</v>
      </c>
      <c r="AC29" s="27" t="n">
        <f aca="false">IF(AC11&lt;&gt;0,AC28/AC11,0)</f>
        <v>0.631967286932295</v>
      </c>
      <c r="AD29" s="27" t="n">
        <f aca="false">IF(AD11&lt;&gt;0,AD28/AD11,0)</f>
        <v>0.653109452846608</v>
      </c>
      <c r="AE29" s="27" t="n">
        <f aca="false">IF(AE11&lt;&gt;0,AE28/AE11,0)</f>
        <v>0.653476211826311</v>
      </c>
      <c r="AF29" s="27" t="n">
        <f aca="false">IF(AF11&lt;&gt;0,AF28/AF11,0)</f>
        <v>0.652589898713468</v>
      </c>
      <c r="AG29" s="27" t="n">
        <f aca="false">IF(AG11&lt;&gt;0,AG28/AG11,0)</f>
        <v>0.658289584964769</v>
      </c>
      <c r="AI29" s="27" t="n">
        <f aca="false">IF(AI11&lt;&gt;0,AI28/AI11,0)</f>
        <v>-2.56223175965665</v>
      </c>
      <c r="AJ29" s="27" t="n">
        <f aca="false">IF(AJ11&lt;&gt;0,AJ28/AJ11,0)</f>
        <v>-0.122499056247641</v>
      </c>
      <c r="AK29" s="27" t="n">
        <f aca="false">IF(AK11&lt;&gt;0,AK28/AK11,0)</f>
        <v>0.385906749089169</v>
      </c>
      <c r="AL29" s="27" t="n">
        <f aca="false">IF(AL11&lt;&gt;0,AL28/AL11,0)</f>
        <v>0.513219711377077</v>
      </c>
      <c r="AM29" s="27" t="n">
        <f aca="false">IF(AM11&lt;&gt;0,AM28/AM11,0)</f>
        <v>0.578324369628924</v>
      </c>
      <c r="AN29" s="27" t="n">
        <f aca="false">IF(AN11&lt;&gt;0,AN28/AN11,0)</f>
        <v>0.625263579805369</v>
      </c>
      <c r="AO29" s="27" t="n">
        <f aca="false">IF(AO11&lt;&gt;0,AO28/AO11,0)</f>
        <v>0.654405917289144</v>
      </c>
    </row>
    <row r="30" customFormat="false" ht="15" hidden="false" customHeight="false" outlineLevel="0" collapsed="false">
      <c r="A30" s="112" t="s">
        <v>2651</v>
      </c>
      <c r="B30" s="24" t="s">
        <v>745</v>
      </c>
      <c r="C30" s="24" t="s">
        <v>736</v>
      </c>
      <c r="D30" s="24" t="s">
        <v>2652</v>
      </c>
      <c r="F30" s="130" t="n">
        <f aca="false">IF(F$5&lt;=LastHist,F28-(F11-F22-F23-F24),SBCpct*F11)</f>
        <v>0</v>
      </c>
      <c r="G30" s="130" t="n">
        <f aca="false">IF(G$5&lt;=LastHist,G28-(G11-G22-G23-G24),SBCpct*G11)</f>
        <v>0.100000000000001</v>
      </c>
      <c r="H30" s="130" t="n">
        <f aca="false">IF(H$5&lt;=LastHist,H28-(H11-H22-H23-H24),SBCpct*H11)</f>
        <v>11.2</v>
      </c>
      <c r="I30" s="130" t="n">
        <f aca="false">IF(I$5&lt;=LastHist,I28-(I11-I22-I23-I24),SBCpct*I11)</f>
        <v>39.3</v>
      </c>
      <c r="J30" s="130" t="n">
        <f aca="false">IF(J$5&lt;=LastHist,J28-(J11-J22-J23-J24),SBCpct*J11)</f>
        <v>17.5</v>
      </c>
      <c r="K30" s="130" t="n">
        <f aca="false">IF(K$5&lt;=LastHist,K28-(K11-K22-K23-K24),SBCpct*K11)</f>
        <v>15</v>
      </c>
      <c r="L30" s="130" t="n">
        <f aca="false">IF(L$5&lt;=LastHist,L28-(L11-L22-L23-L24),SBCpct*L11)</f>
        <v>26</v>
      </c>
      <c r="M30" s="130" t="n">
        <f aca="false">IF(M$5&lt;=LastHist,M28-(M11-M22-M23-M24),SBCpct*M11)</f>
        <v>68.8</v>
      </c>
      <c r="N30" s="130" t="n">
        <f aca="false">IF(N$5&lt;=LastHist,N28-(N11-N22-N23-N24),SBCpct*N11)</f>
        <v>45.5</v>
      </c>
      <c r="O30" s="130" t="n">
        <f aca="false">IF(O$5&lt;=LastHist,O28-(O11-O22-O23-O24),SBCpct*O11)</f>
        <v>152.4</v>
      </c>
      <c r="P30" s="131" t="n">
        <f aca="false">IF(P$5&lt;=LastHist,P28-(P11-P22-P23-P24),SBCpct*P11)</f>
        <v>26.9874563072376</v>
      </c>
      <c r="Q30" s="131" t="n">
        <f aca="false">IF(Q$5&lt;=LastHist,Q28-(Q11-Q22-Q23-Q24),SBCpct*Q11)</f>
        <v>32.3637253558067</v>
      </c>
      <c r="R30" s="131" t="n">
        <f aca="false">IF(R$5&lt;=LastHist,R28-(R11-R22-R23-R24),SBCpct*R11)</f>
        <v>41.1058916386061</v>
      </c>
      <c r="S30" s="131" t="n">
        <f aca="false">IF(S$5&lt;=LastHist,S28-(S11-S22-S23-S24),SBCpct*S11)</f>
        <v>65.3252203490033</v>
      </c>
      <c r="T30" s="131" t="n">
        <f aca="false">IF(T$5&lt;=LastHist,T28-(T11-T22-T23-T24),SBCpct*T11)</f>
        <v>98.4884684031942</v>
      </c>
      <c r="U30" s="131" t="n">
        <f aca="false">IF(U$5&lt;=LastHist,U28-(U11-U22-U23-U24),SBCpct*U11)</f>
        <v>123.450035299599</v>
      </c>
      <c r="V30" s="131" t="n">
        <f aca="false">IF(V$5&lt;=LastHist,V28-(V11-V22-V23-V24),SBCpct*V11)</f>
        <v>160.555623992414</v>
      </c>
      <c r="W30" s="131" t="n">
        <f aca="false">IF(W$5&lt;=LastHist,W28-(W11-W22-W23-W24),SBCpct*W11)</f>
        <v>189.922781139846</v>
      </c>
      <c r="X30" s="131" t="n">
        <f aca="false">IF(X$5&lt;=LastHist,X28-(X11-X22-X23-X24),SBCpct*X11)</f>
        <v>211.693195013933</v>
      </c>
      <c r="Y30" s="131" t="n">
        <f aca="false">IF(Y$5&lt;=LastHist,Y28-(Y11-Y22-Y23-Y24),SBCpct*Y11)</f>
        <v>226.500265125382</v>
      </c>
      <c r="Z30" s="131" t="n">
        <f aca="false">IF(Z$5&lt;=LastHist,Z28-(Z11-Z22-Z23-Z24),SBCpct*Z11)</f>
        <v>255.296814316467</v>
      </c>
      <c r="AA30" s="131" t="n">
        <f aca="false">IF(AA$5&lt;=LastHist,AA28-(AA11-AA22-AA23-AA24),SBCpct*AA11)</f>
        <v>283.947712003112</v>
      </c>
      <c r="AB30" s="131" t="n">
        <f aca="false">IF(AB$5&lt;=LastHist,AB28-(AB11-AB22-AB23-AB24),SBCpct*AB11)</f>
        <v>312.161793439913</v>
      </c>
      <c r="AC30" s="131" t="n">
        <f aca="false">IF(AC$5&lt;=LastHist,AC28-(AC11-AC22-AC23-AC24),SBCpct*AC11)</f>
        <v>340.991506651264</v>
      </c>
      <c r="AD30" s="131" t="n">
        <f aca="false">IF(AD$5&lt;=LastHist,AD28-(AD11-AD22-AD23-AD24),SBCpct*AD11)</f>
        <v>379.657242747935</v>
      </c>
      <c r="AE30" s="131" t="n">
        <f aca="false">IF(AE$5&lt;=LastHist,AE28-(AE11-AE22-AE23-AE24),SBCpct*AE11)</f>
        <v>419.405627020436</v>
      </c>
      <c r="AF30" s="131" t="n">
        <f aca="false">IF(AF$5&lt;=LastHist,AF28-(AF11-AF22-AF23-AF24),SBCpct*AF11)</f>
        <v>418.03869051846</v>
      </c>
      <c r="AG30" s="131" t="n">
        <f aca="false">IF(AG$5&lt;=LastHist,AG28-(AG11-AG22-AG23-AG24),SBCpct*AG11)</f>
        <v>422.616449855663</v>
      </c>
      <c r="AI30" s="131" t="n">
        <f aca="false">SUMIF($F$7:$AG$7,AI$7,$F30:$AG30)</f>
        <v>50.6</v>
      </c>
      <c r="AJ30" s="131" t="n">
        <f aca="false">SUMIF($F$7:$AG$7,AJ$7,$F30:$AG30)</f>
        <v>127.3</v>
      </c>
      <c r="AK30" s="131" t="n">
        <f aca="false">SUMIF($F$7:$AG$7,AK$7,$F30:$AG30)</f>
        <v>257.251181663044</v>
      </c>
      <c r="AL30" s="131" t="n">
        <f aca="false">SUMIF($F$7:$AG$7,AL$7,$F30:$AG30)</f>
        <v>328.369615690402</v>
      </c>
      <c r="AM30" s="131" t="n">
        <f aca="false">SUMIF($F$7:$AG$7,AM$7,$F30:$AG30)</f>
        <v>788.671865271575</v>
      </c>
      <c r="AN30" s="131" t="n">
        <f aca="false">SUMIF($F$7:$AG$7,AN$7,$F30:$AG30)</f>
        <v>1192.39782641076</v>
      </c>
      <c r="AO30" s="131" t="n">
        <f aca="false">SUMIF($F$7:$AG$7,AO$7,$F30:$AG30)</f>
        <v>1639.71801014249</v>
      </c>
    </row>
    <row r="31" customFormat="false" ht="15" hidden="false" customHeight="false" outlineLevel="0" collapsed="false">
      <c r="A31" s="112" t="s">
        <v>1533</v>
      </c>
      <c r="B31" s="24" t="s">
        <v>745</v>
      </c>
      <c r="C31" s="24" t="s">
        <v>2371</v>
      </c>
      <c r="D31" s="24"/>
      <c r="F31" s="130" t="n">
        <f aca="false">INDEX(DA,1,1)</f>
        <v>8.9</v>
      </c>
      <c r="G31" s="130" t="n">
        <f aca="false">INDEX(DA,1,2)</f>
        <v>11.4</v>
      </c>
      <c r="H31" s="130" t="n">
        <f aca="false">INDEX(DA,1,3)</f>
        <v>23.5</v>
      </c>
      <c r="I31" s="130" t="n">
        <f aca="false">INDEX(DA,1,4)</f>
        <v>33.3</v>
      </c>
      <c r="J31" s="130" t="n">
        <f aca="false">INDEX(DA,1,5)</f>
        <v>49.1</v>
      </c>
      <c r="K31" s="130" t="n">
        <f aca="false">INDEX(DA,1,6)</f>
        <v>75.2</v>
      </c>
      <c r="L31" s="130" t="n">
        <f aca="false">INDEX(DA,1,7)</f>
        <v>99</v>
      </c>
      <c r="M31" s="130" t="n">
        <f aca="false">INDEX(DA,1,8)</f>
        <v>180.7</v>
      </c>
      <c r="N31" s="130" t="n">
        <f aca="false">INDEX(DA,1,9)</f>
        <v>212</v>
      </c>
      <c r="O31" s="130" t="n">
        <f aca="false">INDEX(DA,1,10)</f>
        <v>259.7</v>
      </c>
      <c r="P31" s="131" t="n">
        <f aca="false">INDEX(DA,1,11)</f>
        <v>587.0866</v>
      </c>
      <c r="Q31" s="131" t="n">
        <f aca="false">INDEX(DA,1,12)</f>
        <v>590.945255222107</v>
      </c>
      <c r="R31" s="131" t="n">
        <f aca="false">INDEX(DA,1,13)</f>
        <v>755.785662639179</v>
      </c>
      <c r="S31" s="131" t="n">
        <f aca="false">INDEX(DA,1,14)</f>
        <v>1049.69095932479</v>
      </c>
      <c r="T31" s="131" t="n">
        <f aca="false">INDEX(DA,1,15)</f>
        <v>1406.65348632191</v>
      </c>
      <c r="U31" s="131" t="n">
        <f aca="false">INDEX(DA,1,16)</f>
        <v>1808.13447922136</v>
      </c>
      <c r="V31" s="131" t="n">
        <f aca="false">INDEX(DA,1,17)</f>
        <v>2358.16770254323</v>
      </c>
      <c r="W31" s="131" t="n">
        <f aca="false">INDEX(DA,1,18)</f>
        <v>2591.82684933241</v>
      </c>
      <c r="X31" s="131" t="n">
        <f aca="false">INDEX(DA,1,19)</f>
        <v>2911.02538536278</v>
      </c>
      <c r="Y31" s="131" t="n">
        <f aca="false">INDEX(DA,1,20)</f>
        <v>3020.5779564275</v>
      </c>
      <c r="Z31" s="131" t="n">
        <f aca="false">INDEX(DA,1,21)</f>
        <v>3653.9805845575</v>
      </c>
      <c r="AA31" s="131" t="n">
        <f aca="false">INDEX(DA,1,22)</f>
        <v>3749.26151766729</v>
      </c>
      <c r="AB31" s="131" t="n">
        <f aca="false">INDEX(DA,1,23)</f>
        <v>4386.34172260244</v>
      </c>
      <c r="AC31" s="131" t="n">
        <f aca="false">INDEX(DA,1,24)</f>
        <v>4518.73435644852</v>
      </c>
      <c r="AD31" s="131" t="n">
        <f aca="false">INDEX(DA,1,25)</f>
        <v>5426.83496124987</v>
      </c>
      <c r="AE31" s="131" t="n">
        <f aca="false">INDEX(DA,1,26)</f>
        <v>5442.02029535058</v>
      </c>
      <c r="AF31" s="131" t="n">
        <f aca="false">INDEX(DA,1,27)</f>
        <v>5458.1993390581</v>
      </c>
      <c r="AG31" s="131" t="n">
        <f aca="false">INDEX(DA,1,28)</f>
        <v>5473.44525867795</v>
      </c>
      <c r="AI31" s="131" t="n">
        <f aca="false">SUMIF($F$7:$AG$7,AI$7,$F31:$AG31)</f>
        <v>77.1</v>
      </c>
      <c r="AJ31" s="131" t="n">
        <f aca="false">SUMIF($F$7:$AG$7,AJ$7,$F31:$AG31)</f>
        <v>404</v>
      </c>
      <c r="AK31" s="131" t="n">
        <f aca="false">SUMIF($F$7:$AG$7,AK$7,$F31:$AG31)</f>
        <v>1649.73185522211</v>
      </c>
      <c r="AL31" s="131" t="n">
        <f aca="false">SUMIF($F$7:$AG$7,AL$7,$F31:$AG31)</f>
        <v>5020.26458750724</v>
      </c>
      <c r="AM31" s="131" t="n">
        <f aca="false">SUMIF($F$7:$AG$7,AM$7,$F31:$AG31)</f>
        <v>10881.5978936659</v>
      </c>
      <c r="AN31" s="131" t="n">
        <f aca="false">SUMIF($F$7:$AG$7,AN$7,$F31:$AG31)</f>
        <v>16308.3181812757</v>
      </c>
      <c r="AO31" s="131" t="n">
        <f aca="false">SUMIF($F$7:$AG$7,AO$7,$F31:$AG31)</f>
        <v>21800.4998543365</v>
      </c>
    </row>
    <row r="32" customFormat="false" ht="15" hidden="false" customHeight="false" outlineLevel="0" collapsed="false">
      <c r="A32" s="112" t="s">
        <v>2653</v>
      </c>
      <c r="B32" s="24" t="s">
        <v>745</v>
      </c>
      <c r="C32" s="24" t="s">
        <v>683</v>
      </c>
      <c r="D32" s="24"/>
      <c r="F32" s="130" t="n">
        <f aca="false">INDEX(Imp,1,1)</f>
        <v>0</v>
      </c>
      <c r="G32" s="130" t="n">
        <f aca="false">INDEX(Imp,1,2)</f>
        <v>0</v>
      </c>
      <c r="H32" s="130" t="n">
        <f aca="false">INDEX(Imp,1,3)</f>
        <v>0</v>
      </c>
      <c r="I32" s="130" t="n">
        <f aca="false">INDEX(Imp,1,4)</f>
        <v>0</v>
      </c>
      <c r="J32" s="130" t="n">
        <f aca="false">INDEX(Imp,1,5)</f>
        <v>0</v>
      </c>
      <c r="K32" s="130" t="n">
        <f aca="false">INDEX(Imp,1,6)</f>
        <v>0</v>
      </c>
      <c r="L32" s="130" t="n">
        <f aca="false">INDEX(Imp,1,7)</f>
        <v>0</v>
      </c>
      <c r="M32" s="130" t="n">
        <f aca="false">INDEX(Imp,1,8)</f>
        <v>0</v>
      </c>
      <c r="N32" s="130" t="n">
        <f aca="false">INDEX(Imp,1,9)</f>
        <v>0</v>
      </c>
      <c r="O32" s="130" t="n">
        <f aca="false">INDEX(Imp,1,10)</f>
        <v>0</v>
      </c>
      <c r="P32" s="131" t="n">
        <f aca="false">INDEX(Imp,1,11)</f>
        <v>0</v>
      </c>
      <c r="Q32" s="131" t="n">
        <f aca="false">INDEX(Imp,1,12)</f>
        <v>0</v>
      </c>
      <c r="R32" s="131" t="n">
        <f aca="false">INDEX(Imp,1,13)</f>
        <v>0</v>
      </c>
      <c r="S32" s="131" t="n">
        <f aca="false">INDEX(Imp,1,14)</f>
        <v>0</v>
      </c>
      <c r="T32" s="131" t="n">
        <f aca="false">INDEX(Imp,1,15)</f>
        <v>0</v>
      </c>
      <c r="U32" s="131" t="n">
        <f aca="false">INDEX(Imp,1,16)</f>
        <v>0</v>
      </c>
      <c r="V32" s="131" t="n">
        <f aca="false">INDEX(Imp,1,17)</f>
        <v>0</v>
      </c>
      <c r="W32" s="131" t="n">
        <f aca="false">INDEX(Imp,1,18)</f>
        <v>0</v>
      </c>
      <c r="X32" s="131" t="n">
        <f aca="false">INDEX(Imp,1,19)</f>
        <v>0</v>
      </c>
      <c r="Y32" s="131" t="n">
        <f aca="false">INDEX(Imp,1,20)</f>
        <v>0</v>
      </c>
      <c r="Z32" s="131" t="n">
        <f aca="false">INDEX(Imp,1,21)</f>
        <v>0</v>
      </c>
      <c r="AA32" s="131" t="n">
        <f aca="false">INDEX(Imp,1,22)</f>
        <v>0</v>
      </c>
      <c r="AB32" s="131" t="n">
        <f aca="false">INDEX(Imp,1,23)</f>
        <v>0</v>
      </c>
      <c r="AC32" s="131" t="n">
        <f aca="false">INDEX(Imp,1,24)</f>
        <v>0</v>
      </c>
      <c r="AD32" s="131" t="n">
        <f aca="false">INDEX(Imp,1,25)</f>
        <v>0</v>
      </c>
      <c r="AE32" s="131" t="n">
        <f aca="false">INDEX(Imp,1,26)</f>
        <v>0</v>
      </c>
      <c r="AF32" s="131" t="n">
        <f aca="false">INDEX(Imp,1,27)</f>
        <v>0</v>
      </c>
      <c r="AG32" s="131" t="n">
        <f aca="false">INDEX(Imp,1,28)</f>
        <v>0</v>
      </c>
      <c r="AI32" s="131" t="n">
        <f aca="false">SUMIF($F$7:$AG$7,AI$7,$F32:$AG32)</f>
        <v>0</v>
      </c>
      <c r="AJ32" s="131" t="n">
        <f aca="false">SUMIF($F$7:$AG$7,AJ$7,$F32:$AG32)</f>
        <v>0</v>
      </c>
      <c r="AK32" s="131" t="n">
        <f aca="false">SUMIF($F$7:$AG$7,AK$7,$F32:$AG32)</f>
        <v>0</v>
      </c>
      <c r="AL32" s="131" t="n">
        <f aca="false">SUMIF($F$7:$AG$7,AL$7,$F32:$AG32)</f>
        <v>0</v>
      </c>
      <c r="AM32" s="131" t="n">
        <f aca="false">SUMIF($F$7:$AG$7,AM$7,$F32:$AG32)</f>
        <v>0</v>
      </c>
      <c r="AN32" s="131" t="n">
        <f aca="false">SUMIF($F$7:$AG$7,AN$7,$F32:$AG32)</f>
        <v>0</v>
      </c>
      <c r="AO32" s="131" t="n">
        <f aca="false">SUMIF($F$7:$AG$7,AO$7,$F32:$AG32)</f>
        <v>0</v>
      </c>
    </row>
    <row r="33" customFormat="false" ht="15" hidden="false" customHeight="false" outlineLevel="0" collapsed="false">
      <c r="A33" s="3" t="s">
        <v>2654</v>
      </c>
      <c r="B33" s="24" t="s">
        <v>745</v>
      </c>
      <c r="C33" s="24" t="s">
        <v>672</v>
      </c>
      <c r="D33" s="24"/>
      <c r="F33" s="132" t="n">
        <f aca="false">F28-F30-F31-F32</f>
        <v>-79.8</v>
      </c>
      <c r="G33" s="132" t="n">
        <f aca="false">G28-G30-G31-G32</f>
        <v>-69.6</v>
      </c>
      <c r="H33" s="132" t="n">
        <f aca="false">H28-H30-H31-H32</f>
        <v>-80.6</v>
      </c>
      <c r="I33" s="132" t="n">
        <f aca="false">I28-I30-I31-I32</f>
        <v>-136.5</v>
      </c>
      <c r="J33" s="132" t="n">
        <f aca="false">J28-J30-J31-J32</f>
        <v>-120.3</v>
      </c>
      <c r="K33" s="132" t="n">
        <f aca="false">K28-K30-K31-K32</f>
        <v>-111.2</v>
      </c>
      <c r="L33" s="132" t="n">
        <f aca="false">L28-L30-L31-L32</f>
        <v>-130.2</v>
      </c>
      <c r="M33" s="132" t="n">
        <f aca="false">M28-M30-M31-M32</f>
        <v>-234.5</v>
      </c>
      <c r="N33" s="132" t="n">
        <f aca="false">N28-N30-N31-N32</f>
        <v>-128</v>
      </c>
      <c r="O33" s="132" t="n">
        <f aca="false">O28-O30-O31-O32</f>
        <v>-175.9</v>
      </c>
      <c r="P33" s="104" t="n">
        <f aca="false">P28-P30-P31-P32</f>
        <v>-350.514447271809</v>
      </c>
      <c r="Q33" s="104" t="n">
        <f aca="false">Q28-Q30-Q31-Q32</f>
        <v>-301.277757477487</v>
      </c>
      <c r="R33" s="104" t="n">
        <f aca="false">R28-R30-R31-R32</f>
        <v>-293.00957608279</v>
      </c>
      <c r="S33" s="104" t="n">
        <f aca="false">S28-S30-S31-S32</f>
        <v>-285.658587232679</v>
      </c>
      <c r="T33" s="104" t="n">
        <f aca="false">T28-T30-T31-T32</f>
        <v>-222.453265789157</v>
      </c>
      <c r="U33" s="104" t="n">
        <f aca="false">U28-U30-U31-U32</f>
        <v>-334.368789352264</v>
      </c>
      <c r="V33" s="104" t="n">
        <f aca="false">V28-V30-V31-V32</f>
        <v>-228.38198745842</v>
      </c>
      <c r="W33" s="104" t="n">
        <f aca="false">W28-W30-W31-W32</f>
        <v>-42.7411447878935</v>
      </c>
      <c r="X33" s="104" t="n">
        <f aca="false">X28-X30-X31-X32</f>
        <v>-63.7286845283293</v>
      </c>
      <c r="Y33" s="104" t="n">
        <f aca="false">Y28-Y30-Y31-Y32</f>
        <v>67.2860410184449</v>
      </c>
      <c r="Z33" s="104" t="n">
        <f aca="false">Z28-Z30-Z31-Z32</f>
        <v>31.3384985375519</v>
      </c>
      <c r="AA33" s="104" t="n">
        <f aca="false">AA28-AA30-AA31-AA32</f>
        <v>398.834444521478</v>
      </c>
      <c r="AB33" s="104" t="n">
        <f aca="false">AB28-AB30-AB31-AB32</f>
        <v>180.523316563634</v>
      </c>
      <c r="AC33" s="104" t="n">
        <f aca="false">AC28-AC30-AC31-AC32</f>
        <v>527.661070034102</v>
      </c>
      <c r="AD33" s="104" t="n">
        <f aca="false">AD28-AD30-AD31-AD32</f>
        <v>392.451148011076</v>
      </c>
      <c r="AE33" s="104" t="n">
        <f aca="false">AE28-AE30-AE31-AE32</f>
        <v>990.364086727812</v>
      </c>
      <c r="AF33" s="104" t="n">
        <f aca="false">AF28-AF30-AF31-AF32</f>
        <v>943.957638017251</v>
      </c>
      <c r="AG33" s="104" t="n">
        <f aca="false">AG28-AG30-AG31-AG32</f>
        <v>1059.03847583559</v>
      </c>
      <c r="AI33" s="104" t="n">
        <f aca="false">SUMIF($F$7:$AG$7,AI$7,$F33:$AG33)</f>
        <v>-366.5</v>
      </c>
      <c r="AJ33" s="104" t="n">
        <f aca="false">SUMIF($F$7:$AG$7,AJ$7,$F33:$AG33)</f>
        <v>-596.2</v>
      </c>
      <c r="AK33" s="104" t="n">
        <f aca="false">SUMIF($F$7:$AG$7,AK$7,$F33:$AG33)</f>
        <v>-955.692204749296</v>
      </c>
      <c r="AL33" s="104" t="n">
        <f aca="false">SUMIF($F$7:$AG$7,AL$7,$F33:$AG33)</f>
        <v>-1135.49021845689</v>
      </c>
      <c r="AM33" s="104" t="n">
        <f aca="false">SUMIF($F$7:$AG$7,AM$7,$F33:$AG33)</f>
        <v>-267.565775756198</v>
      </c>
      <c r="AN33" s="104" t="n">
        <f aca="false">SUMIF($F$7:$AG$7,AN$7,$F33:$AG33)</f>
        <v>1138.35732965677</v>
      </c>
      <c r="AO33" s="104" t="n">
        <f aca="false">SUMIF($F$7:$AG$7,AO$7,$F33:$AG33)</f>
        <v>3385.81134859173</v>
      </c>
    </row>
    <row r="34" customFormat="false" ht="15" hidden="false" customHeight="false" outlineLevel="0" collapsed="false">
      <c r="A34" s="112" t="s">
        <v>2655</v>
      </c>
      <c r="B34" s="24" t="s">
        <v>751</v>
      </c>
      <c r="C34" s="24"/>
      <c r="D34" s="24"/>
      <c r="F34" s="124" t="n">
        <f aca="false">IF(F11&lt;&gt;0,F33/F11,0)</f>
        <v>-7</v>
      </c>
      <c r="G34" s="124" t="n">
        <f aca="false">IF(G11&lt;&gt;0,G33/G11,0)</f>
        <v>-4.8</v>
      </c>
      <c r="H34" s="124" t="n">
        <f aca="false">IF(H11&lt;&gt;0,H33/H11,0)</f>
        <v>-2.51090342679128</v>
      </c>
      <c r="I34" s="124" t="n">
        <f aca="false">IF(I11&lt;&gt;0,I33/I11,0)</f>
        <v>-3.87784090909091</v>
      </c>
      <c r="J34" s="124" t="n">
        <f aca="false">IF(J11&lt;&gt;0,J33/J11,0)</f>
        <v>-2.36345776031434</v>
      </c>
      <c r="K34" s="124" t="n">
        <f aca="false">IF(K11&lt;&gt;0,K33/K11,0)</f>
        <v>-1.05803996194101</v>
      </c>
      <c r="L34" s="124" t="n">
        <f aca="false">IF(L11&lt;&gt;0,L33/L11,0)</f>
        <v>-0.891170431211499</v>
      </c>
      <c r="M34" s="124" t="n">
        <f aca="false">IF(M11&lt;&gt;0,M33/M11,0)</f>
        <v>-1.02986385595081</v>
      </c>
      <c r="N34" s="124" t="n">
        <f aca="false">IF(N11&lt;&gt;0,N33/N11,0)</f>
        <v>-0.320802005012531</v>
      </c>
      <c r="O34" s="124" t="n">
        <f aca="false">IF(O11&lt;&gt;0,O33/O11,0)</f>
        <v>-0.30207796668384</v>
      </c>
      <c r="P34" s="27" t="n">
        <f aca="false">IF(P11&lt;&gt;0,P33/P11,0)</f>
        <v>-0.519522022796653</v>
      </c>
      <c r="Q34" s="27" t="n">
        <f aca="false">IF(Q11&lt;&gt;0,Q33/Q11,0)</f>
        <v>-0.372364743755844</v>
      </c>
      <c r="R34" s="27" t="n">
        <f aca="false">IF(R11&lt;&gt;0,R33/R11,0)</f>
        <v>-0.285126598064205</v>
      </c>
      <c r="S34" s="27" t="n">
        <f aca="false">IF(S11&lt;&gt;0,S33/S11,0)</f>
        <v>-0.174914733211176</v>
      </c>
      <c r="T34" s="27" t="n">
        <f aca="false">IF(T11&lt;&gt;0,T33/T11,0)</f>
        <v>-0.090346928689549</v>
      </c>
      <c r="U34" s="27" t="n">
        <f aca="false">IF(U11&lt;&gt;0,U33/U11,0)</f>
        <v>-0.10834141555028</v>
      </c>
      <c r="V34" s="27" t="n">
        <f aca="false">IF(V11&lt;&gt;0,V33/V11,0)</f>
        <v>-0.0568979103389641</v>
      </c>
      <c r="W34" s="27" t="n">
        <f aca="false">IF(W11&lt;&gt;0,W33/W11,0)</f>
        <v>-0.00900179420949441</v>
      </c>
      <c r="X34" s="27" t="n">
        <f aca="false">IF(X11&lt;&gt;0,X33/X11,0)</f>
        <v>-0.0120417067774209</v>
      </c>
      <c r="Y34" s="27" t="n">
        <f aca="false">IF(Y11&lt;&gt;0,Y33/Y11,0)</f>
        <v>0.0118827306416084</v>
      </c>
      <c r="Z34" s="27" t="n">
        <f aca="false">IF(Z11&lt;&gt;0,Z33/Z11,0)</f>
        <v>0.00491012762873015</v>
      </c>
      <c r="AA34" s="27" t="n">
        <f aca="false">IF(AA11&lt;&gt;0,AA33/AA11,0)</f>
        <v>0.0561842096501354</v>
      </c>
      <c r="AB34" s="27" t="n">
        <f aca="false">IF(AB11&lt;&gt;0,AB33/AB11,0)</f>
        <v>0.023132019402417</v>
      </c>
      <c r="AC34" s="27" t="n">
        <f aca="false">IF(AC11&lt;&gt;0,AC33/AC11,0)</f>
        <v>0.0618972683766867</v>
      </c>
      <c r="AD34" s="27" t="n">
        <f aca="false">IF(AD11&lt;&gt;0,AD33/AD11,0)</f>
        <v>0.0413479427043762</v>
      </c>
      <c r="AE34" s="27" t="n">
        <f aca="false">IF(AE11&lt;&gt;0,AE33/AE11,0)</f>
        <v>0.0944540581168269</v>
      </c>
      <c r="AF34" s="27" t="n">
        <f aca="false">IF(AF11&lt;&gt;0,AF33/AF11,0)</f>
        <v>0.0903225141047626</v>
      </c>
      <c r="AG34" s="27" t="n">
        <f aca="false">IF(AG11&lt;&gt;0,AG33/AG11,0)</f>
        <v>0.100236370467575</v>
      </c>
      <c r="AI34" s="27" t="n">
        <f aca="false">IF(AI11&lt;&gt;0,AI33/AI11,0)</f>
        <v>-3.93240343347639</v>
      </c>
      <c r="AJ34" s="27" t="n">
        <f aca="false">IF(AJ11&lt;&gt;0,AJ33/AJ11,0)</f>
        <v>-1.12533031332578</v>
      </c>
      <c r="AK34" s="27" t="n">
        <f aca="false">IF(AK11&lt;&gt;0,AK33/AK11,0)</f>
        <v>-0.38769223817348</v>
      </c>
      <c r="AL34" s="27" t="n">
        <f aca="false">IF(AL11&lt;&gt;0,AL33/AL11,0)</f>
        <v>-0.138318548879074</v>
      </c>
      <c r="AM34" s="27" t="n">
        <f aca="false">IF(AM11&lt;&gt;0,AM33/AM11,0)</f>
        <v>-0.0135704486257571</v>
      </c>
      <c r="AN34" s="27" t="n">
        <f aca="false">IF(AN11&lt;&gt;0,AN33/AN11,0)</f>
        <v>0.0381871655396535</v>
      </c>
      <c r="AO34" s="27" t="n">
        <f aca="false">IF(AO11&lt;&gt;0,AO33/AO11,0)</f>
        <v>0.0825949663941912</v>
      </c>
    </row>
    <row r="36" customFormat="false" ht="15" hidden="false" customHeight="false" outlineLevel="0" collapsed="false">
      <c r="A36" s="64" t="s">
        <v>2656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customFormat="false" ht="15" hidden="false" customHeight="false" outlineLevel="0" collapsed="false">
      <c r="A37" s="112" t="s">
        <v>2657</v>
      </c>
      <c r="B37" s="24" t="s">
        <v>745</v>
      </c>
      <c r="C37" s="24" t="s">
        <v>2461</v>
      </c>
      <c r="D37" s="24"/>
      <c r="F37" s="130" t="n">
        <f aca="false">IF(F$5&lt;=LastHist,0,INDEX(CV_cpn,1,1))</f>
        <v>0</v>
      </c>
      <c r="G37" s="130" t="n">
        <f aca="false">IF(G$5&lt;=LastHist,0,INDEX(CV_cpn,1,2))</f>
        <v>0</v>
      </c>
      <c r="H37" s="130" t="n">
        <f aca="false">IF(H$5&lt;=LastHist,0,INDEX(CV_cpn,1,3))</f>
        <v>0</v>
      </c>
      <c r="I37" s="130" t="n">
        <f aca="false">IF(I$5&lt;=LastHist,0,INDEX(CV_cpn,1,4))</f>
        <v>0</v>
      </c>
      <c r="J37" s="130" t="n">
        <f aca="false">IF(J$5&lt;=LastHist,0,INDEX(CV_cpn,1,5))</f>
        <v>0</v>
      </c>
      <c r="K37" s="130" t="n">
        <f aca="false">IF(K$5&lt;=LastHist,0,INDEX(CV_cpn,1,6))</f>
        <v>0</v>
      </c>
      <c r="L37" s="130" t="n">
        <f aca="false">IF(L$5&lt;=LastHist,0,INDEX(CV_cpn,1,7))</f>
        <v>0</v>
      </c>
      <c r="M37" s="130" t="n">
        <f aca="false">IF(M$5&lt;=LastHist,0,INDEX(CV_cpn,1,8))</f>
        <v>0</v>
      </c>
      <c r="N37" s="130" t="n">
        <f aca="false">IF(N$5&lt;=LastHist,0,INDEX(CV_cpn,1,9))</f>
        <v>0</v>
      </c>
      <c r="O37" s="130" t="n">
        <f aca="false">IF(O$5&lt;=LastHist,0,INDEX(CV_cpn,1,10))</f>
        <v>0</v>
      </c>
      <c r="P37" s="131" t="n">
        <f aca="false">IF(P$5&lt;=LastHist,0,INDEX(CV_cpn,1,11))</f>
        <v>65.67578125</v>
      </c>
      <c r="Q37" s="131" t="n">
        <f aca="false">IF(Q$5&lt;=LastHist,0,INDEX(CV_cpn,1,12))</f>
        <v>65.67578125</v>
      </c>
      <c r="R37" s="131" t="n">
        <f aca="false">IF(R$5&lt;=LastHist,0,INDEX(CV_cpn,1,13))</f>
        <v>99.27578125</v>
      </c>
      <c r="S37" s="131" t="n">
        <f aca="false">IF(S$5&lt;=LastHist,0,INDEX(CV_cpn,1,14))</f>
        <v>99.27578125</v>
      </c>
      <c r="T37" s="131" t="n">
        <f aca="false">IF(T$5&lt;=LastHist,0,INDEX(CV_cpn,1,15))</f>
        <v>132.87578125</v>
      </c>
      <c r="U37" s="131" t="n">
        <f aca="false">IF(U$5&lt;=LastHist,0,INDEX(CV_cpn,1,16))</f>
        <v>132.87578125</v>
      </c>
      <c r="V37" s="131" t="n">
        <f aca="false">IF(V$5&lt;=LastHist,0,INDEX(CV_cpn,1,17))</f>
        <v>132.87578125</v>
      </c>
      <c r="W37" s="131" t="n">
        <f aca="false">IF(W$5&lt;=LastHist,0,INDEX(CV_cpn,1,18))</f>
        <v>132.87578125</v>
      </c>
      <c r="X37" s="131" t="n">
        <f aca="false">IF(X$5&lt;=LastHist,0,INDEX(CV_cpn,1,19))</f>
        <v>132.87578125</v>
      </c>
      <c r="Y37" s="131" t="n">
        <f aca="false">IF(Y$5&lt;=LastHist,0,INDEX(CV_cpn,1,20))</f>
        <v>132.87578125</v>
      </c>
      <c r="Z37" s="131" t="n">
        <f aca="false">IF(Z$5&lt;=LastHist,0,INDEX(CV_cpn,1,21))</f>
        <v>132.87578125</v>
      </c>
      <c r="AA37" s="131" t="n">
        <f aca="false">IF(AA$5&lt;=LastHist,0,INDEX(CV_cpn,1,22))</f>
        <v>132.43828125</v>
      </c>
      <c r="AB37" s="131" t="n">
        <f aca="false">IF(AB$5&lt;=LastHist,0,INDEX(CV_cpn,1,23))</f>
        <v>132.43828125</v>
      </c>
      <c r="AC37" s="131" t="n">
        <f aca="false">IF(AC$5&lt;=LastHist,0,INDEX(CV_cpn,1,24))</f>
        <v>132.43828125</v>
      </c>
      <c r="AD37" s="131" t="n">
        <f aca="false">IF(AD$5&lt;=LastHist,0,INDEX(CV_cpn,1,25))</f>
        <v>128.12578125</v>
      </c>
      <c r="AE37" s="131" t="n">
        <f aca="false">IF(AE$5&lt;=LastHist,0,INDEX(CV_cpn,1,26))</f>
        <v>128.12578125</v>
      </c>
      <c r="AF37" s="131" t="n">
        <f aca="false">IF(AF$5&lt;=LastHist,0,INDEX(CV_cpn,1,27))</f>
        <v>119.37265625</v>
      </c>
      <c r="AG37" s="131" t="n">
        <f aca="false">IF(AG$5&lt;=LastHist,0,INDEX(CV_cpn,1,28))</f>
        <v>119.37265625</v>
      </c>
      <c r="AI37" s="131" t="n">
        <f aca="false">SUMIF($F$7:$AG$7,AI$7,$F37:$AG37)</f>
        <v>0</v>
      </c>
      <c r="AJ37" s="131" t="n">
        <f aca="false">SUMIF($F$7:$AG$7,AJ$7,$F37:$AG37)</f>
        <v>0</v>
      </c>
      <c r="AK37" s="131" t="n">
        <f aca="false">SUMIF($F$7:$AG$7,AK$7,$F37:$AG37)</f>
        <v>131.3515625</v>
      </c>
      <c r="AL37" s="131" t="n">
        <f aca="false">SUMIF($F$7:$AG$7,AL$7,$F37:$AG37)</f>
        <v>464.303125</v>
      </c>
      <c r="AM37" s="131" t="n">
        <f aca="false">SUMIF($F$7:$AG$7,AM$7,$F37:$AG37)</f>
        <v>531.503125</v>
      </c>
      <c r="AN37" s="131" t="n">
        <f aca="false">SUMIF($F$7:$AG$7,AN$7,$F37:$AG37)</f>
        <v>530.190625</v>
      </c>
      <c r="AO37" s="131" t="n">
        <f aca="false">SUMIF($F$7:$AG$7,AO$7,$F37:$AG37)</f>
        <v>494.996875</v>
      </c>
    </row>
    <row r="38" customFormat="false" ht="15" hidden="false" customHeight="false" outlineLevel="0" collapsed="false">
      <c r="A38" s="112" t="s">
        <v>2658</v>
      </c>
      <c r="B38" s="24" t="s">
        <v>745</v>
      </c>
      <c r="C38" s="24" t="s">
        <v>2461</v>
      </c>
      <c r="D38" s="24"/>
      <c r="F38" s="130" t="n">
        <f aca="false">IF(F$5&lt;=LastHist,0,INDEX(CV_acc,1,1))</f>
        <v>0</v>
      </c>
      <c r="G38" s="130" t="n">
        <f aca="false">IF(G$5&lt;=LastHist,0,INDEX(CV_acc,1,2))</f>
        <v>0</v>
      </c>
      <c r="H38" s="130" t="n">
        <f aca="false">IF(H$5&lt;=LastHist,0,INDEX(CV_acc,1,3))</f>
        <v>0</v>
      </c>
      <c r="I38" s="130" t="n">
        <f aca="false">IF(I$5&lt;=LastHist,0,INDEX(CV_acc,1,4))</f>
        <v>0</v>
      </c>
      <c r="J38" s="130" t="n">
        <f aca="false">IF(J$5&lt;=LastHist,0,INDEX(CV_acc,1,5))</f>
        <v>0</v>
      </c>
      <c r="K38" s="130" t="n">
        <f aca="false">IF(K$5&lt;=LastHist,0,INDEX(CV_acc,1,6))</f>
        <v>0</v>
      </c>
      <c r="L38" s="130" t="n">
        <f aca="false">IF(L$5&lt;=LastHist,0,INDEX(CV_acc,1,7))</f>
        <v>0</v>
      </c>
      <c r="M38" s="130" t="n">
        <f aca="false">IF(M$5&lt;=LastHist,0,INDEX(CV_acc,1,8))</f>
        <v>0</v>
      </c>
      <c r="N38" s="130" t="n">
        <f aca="false">IF(N$5&lt;=LastHist,0,INDEX(CV_acc,1,9))</f>
        <v>0</v>
      </c>
      <c r="O38" s="130" t="n">
        <f aca="false">IF(O$5&lt;=LastHist,0,INDEX(CV_acc,1,10))</f>
        <v>0</v>
      </c>
      <c r="P38" s="131" t="n">
        <f aca="false">IF(P$5&lt;=LastHist,0,INDEX(CV_acc,1,11))</f>
        <v>104.589930751401</v>
      </c>
      <c r="Q38" s="131" t="n">
        <f aca="false">IF(Q$5&lt;=LastHist,0,INDEX(CV_acc,1,12))</f>
        <v>104.589930751401</v>
      </c>
      <c r="R38" s="131" t="n">
        <f aca="false">IF(R$5&lt;=LastHist,0,INDEX(CV_acc,1,13))</f>
        <v>153.392082434291</v>
      </c>
      <c r="S38" s="131" t="n">
        <f aca="false">IF(S$5&lt;=LastHist,0,INDEX(CV_acc,1,14))</f>
        <v>153.392082434291</v>
      </c>
      <c r="T38" s="131" t="n">
        <f aca="false">IF(T$5&lt;=LastHist,0,INDEX(CV_acc,1,15))</f>
        <v>202.106518315356</v>
      </c>
      <c r="U38" s="131" t="n">
        <f aca="false">IF(U$5&lt;=LastHist,0,INDEX(CV_acc,1,16))</f>
        <v>202.106518315356</v>
      </c>
      <c r="V38" s="131" t="n">
        <f aca="false">IF(V$5&lt;=LastHist,0,INDEX(CV_acc,1,17))</f>
        <v>202.106518315356</v>
      </c>
      <c r="W38" s="131" t="n">
        <f aca="false">IF(W$5&lt;=LastHist,0,INDEX(CV_acc,1,18))</f>
        <v>202.106518315356</v>
      </c>
      <c r="X38" s="131" t="n">
        <f aca="false">IF(X$5&lt;=LastHist,0,INDEX(CV_acc,1,19))</f>
        <v>202.106518315356</v>
      </c>
      <c r="Y38" s="131" t="n">
        <f aca="false">IF(Y$5&lt;=LastHist,0,INDEX(CV_acc,1,20))</f>
        <v>202.106518315356</v>
      </c>
      <c r="Z38" s="131" t="n">
        <f aca="false">IF(Z$5&lt;=LastHist,0,INDEX(CV_acc,1,21))</f>
        <v>202.106518315356</v>
      </c>
      <c r="AA38" s="131" t="n">
        <f aca="false">IF(AA$5&lt;=LastHist,0,INDEX(CV_acc,1,22))</f>
        <v>201.14685966316</v>
      </c>
      <c r="AB38" s="131" t="n">
        <f aca="false">IF(AB$5&lt;=LastHist,0,INDEX(CV_acc,1,23))</f>
        <v>201.14685966316</v>
      </c>
      <c r="AC38" s="131" t="n">
        <f aca="false">IF(AC$5&lt;=LastHist,0,INDEX(CV_acc,1,24))</f>
        <v>201.14685966316</v>
      </c>
      <c r="AD38" s="131" t="n">
        <f aca="false">IF(AD$5&lt;=LastHist,0,INDEX(CV_acc,1,25))</f>
        <v>176.361011905488</v>
      </c>
      <c r="AE38" s="131" t="n">
        <f aca="false">IF(AE$5&lt;=LastHist,0,INDEX(CV_acc,1,26))</f>
        <v>176.361011905488</v>
      </c>
      <c r="AF38" s="131" t="n">
        <f aca="false">IF(AF$5&lt;=LastHist,0,INDEX(CV_acc,1,27))</f>
        <v>137.041908289822</v>
      </c>
      <c r="AG38" s="131" t="n">
        <f aca="false">IF(AG$5&lt;=LastHist,0,INDEX(CV_acc,1,28))</f>
        <v>137.041908289822</v>
      </c>
      <c r="AI38" s="131" t="n">
        <f aca="false">SUMIF($F$7:$AG$7,AI$7,$F38:$AG38)</f>
        <v>0</v>
      </c>
      <c r="AJ38" s="131" t="n">
        <f aca="false">SUMIF($F$7:$AG$7,AJ$7,$F38:$AG38)</f>
        <v>0</v>
      </c>
      <c r="AK38" s="131" t="n">
        <f aca="false">SUMIF($F$7:$AG$7,AK$7,$F38:$AG38)</f>
        <v>209.179861502801</v>
      </c>
      <c r="AL38" s="131" t="n">
        <f aca="false">SUMIF($F$7:$AG$7,AL$7,$F38:$AG38)</f>
        <v>710.997201499293</v>
      </c>
      <c r="AM38" s="131" t="n">
        <f aca="false">SUMIF($F$7:$AG$7,AM$7,$F38:$AG38)</f>
        <v>808.426073261424</v>
      </c>
      <c r="AN38" s="131" t="n">
        <f aca="false">SUMIF($F$7:$AG$7,AN$7,$F38:$AG38)</f>
        <v>805.547097304835</v>
      </c>
      <c r="AO38" s="131" t="n">
        <f aca="false">SUMIF($F$7:$AG$7,AO$7,$F38:$AG38)</f>
        <v>626.805840390621</v>
      </c>
    </row>
    <row r="39" customFormat="false" ht="15" hidden="false" customHeight="false" outlineLevel="0" collapsed="false">
      <c r="A39" s="112" t="s">
        <v>2659</v>
      </c>
      <c r="B39" s="24" t="s">
        <v>745</v>
      </c>
      <c r="C39" s="24" t="s">
        <v>2461</v>
      </c>
      <c r="D39" s="24"/>
      <c r="F39" s="130" t="n">
        <f aca="false">IF(F$5&lt;=LastHist,0,INDEX(Sec_Int,1,1)+INDEX(ABS_Int,1,1))</f>
        <v>0</v>
      </c>
      <c r="G39" s="130" t="n">
        <f aca="false">IF(G$5&lt;=LastHist,0,INDEX(Sec_Int,1,2)+INDEX(ABS_Int,1,2))</f>
        <v>0</v>
      </c>
      <c r="H39" s="130" t="n">
        <f aca="false">IF(H$5&lt;=LastHist,0,INDEX(Sec_Int,1,3)+INDEX(ABS_Int,1,3))</f>
        <v>0</v>
      </c>
      <c r="I39" s="130" t="n">
        <f aca="false">IF(I$5&lt;=LastHist,0,INDEX(Sec_Int,1,4)+INDEX(ABS_Int,1,4))</f>
        <v>0</v>
      </c>
      <c r="J39" s="130" t="n">
        <f aca="false">IF(J$5&lt;=LastHist,0,INDEX(Sec_Int,1,5)+INDEX(ABS_Int,1,5))</f>
        <v>0</v>
      </c>
      <c r="K39" s="130" t="n">
        <f aca="false">IF(K$5&lt;=LastHist,0,INDEX(Sec_Int,1,6)+INDEX(ABS_Int,1,6))</f>
        <v>0</v>
      </c>
      <c r="L39" s="130" t="n">
        <f aca="false">IF(L$5&lt;=LastHist,0,INDEX(Sec_Int,1,7)+INDEX(ABS_Int,1,7))</f>
        <v>0</v>
      </c>
      <c r="M39" s="130" t="n">
        <f aca="false">IF(M$5&lt;=LastHist,0,INDEX(Sec_Int,1,8)+INDEX(ABS_Int,1,8))</f>
        <v>0</v>
      </c>
      <c r="N39" s="130" t="n">
        <f aca="false">IF(N$5&lt;=LastHist,0,INDEX(Sec_Int,1,9)+INDEX(ABS_Int,1,9))</f>
        <v>0</v>
      </c>
      <c r="O39" s="130" t="n">
        <f aca="false">IF(O$5&lt;=LastHist,0,INDEX(Sec_Int,1,10)+INDEX(ABS_Int,1,10))</f>
        <v>0</v>
      </c>
      <c r="P39" s="131" t="n">
        <f aca="false">IF(P$5&lt;=LastHist,0,INDEX(Sec_Int,1,11)+INDEX(ABS_Int,1,11))</f>
        <v>0</v>
      </c>
      <c r="Q39" s="131" t="n">
        <f aca="false">IF(Q$5&lt;=LastHist,0,INDEX(Sec_Int,1,12)+INDEX(ABS_Int,1,12))</f>
        <v>0</v>
      </c>
      <c r="R39" s="131" t="n">
        <f aca="false">IF(R$5&lt;=LastHist,0,INDEX(Sec_Int,1,13)+INDEX(ABS_Int,1,13))</f>
        <v>0</v>
      </c>
      <c r="S39" s="131" t="n">
        <f aca="false">IF(S$5&lt;=LastHist,0,INDEX(Sec_Int,1,14)+INDEX(ABS_Int,1,14))</f>
        <v>0</v>
      </c>
      <c r="T39" s="131" t="n">
        <f aca="false">IF(T$5&lt;=LastHist,0,INDEX(Sec_Int,1,15)+INDEX(ABS_Int,1,15))</f>
        <v>0</v>
      </c>
      <c r="U39" s="131" t="n">
        <f aca="false">IF(U$5&lt;=LastHist,0,INDEX(Sec_Int,1,16)+INDEX(ABS_Int,1,16))</f>
        <v>0</v>
      </c>
      <c r="V39" s="131" t="n">
        <f aca="false">IF(V$5&lt;=LastHist,0,INDEX(Sec_Int,1,17)+INDEX(ABS_Int,1,17))</f>
        <v>0</v>
      </c>
      <c r="W39" s="131" t="n">
        <f aca="false">IF(W$5&lt;=LastHist,0,INDEX(Sec_Int,1,18)+INDEX(ABS_Int,1,18))</f>
        <v>0</v>
      </c>
      <c r="X39" s="131" t="n">
        <f aca="false">IF(X$5&lt;=LastHist,0,INDEX(Sec_Int,1,19)+INDEX(ABS_Int,1,19))</f>
        <v>0</v>
      </c>
      <c r="Y39" s="131" t="n">
        <f aca="false">IF(Y$5&lt;=LastHist,0,INDEX(Sec_Int,1,20)+INDEX(ABS_Int,1,20))</f>
        <v>0</v>
      </c>
      <c r="Z39" s="131" t="n">
        <f aca="false">IF(Z$5&lt;=LastHist,0,INDEX(Sec_Int,1,21)+INDEX(ABS_Int,1,21))</f>
        <v>0</v>
      </c>
      <c r="AA39" s="131" t="n">
        <f aca="false">IF(AA$5&lt;=LastHist,0,INDEX(Sec_Int,1,22)+INDEX(ABS_Int,1,22))</f>
        <v>0</v>
      </c>
      <c r="AB39" s="131" t="n">
        <f aca="false">IF(AB$5&lt;=LastHist,0,INDEX(Sec_Int,1,23)+INDEX(ABS_Int,1,23))</f>
        <v>0</v>
      </c>
      <c r="AC39" s="131" t="n">
        <f aca="false">IF(AC$5&lt;=LastHist,0,INDEX(Sec_Int,1,24)+INDEX(ABS_Int,1,24))</f>
        <v>0</v>
      </c>
      <c r="AD39" s="131" t="n">
        <f aca="false">IF(AD$5&lt;=LastHist,0,INDEX(Sec_Int,1,25)+INDEX(ABS_Int,1,25))</f>
        <v>0</v>
      </c>
      <c r="AE39" s="131" t="n">
        <f aca="false">IF(AE$5&lt;=LastHist,0,INDEX(Sec_Int,1,26)+INDEX(ABS_Int,1,26))</f>
        <v>0</v>
      </c>
      <c r="AF39" s="131" t="n">
        <f aca="false">IF(AF$5&lt;=LastHist,0,INDEX(Sec_Int,1,27)+INDEX(ABS_Int,1,27))</f>
        <v>0</v>
      </c>
      <c r="AG39" s="131" t="n">
        <f aca="false">IF(AG$5&lt;=LastHist,0,INDEX(Sec_Int,1,28)+INDEX(ABS_Int,1,28))</f>
        <v>0</v>
      </c>
      <c r="AI39" s="131" t="n">
        <f aca="false">SUMIF($F$7:$AG$7,AI$7,$F39:$AG39)</f>
        <v>0</v>
      </c>
      <c r="AJ39" s="131" t="n">
        <f aca="false">SUMIF($F$7:$AG$7,AJ$7,$F39:$AG39)</f>
        <v>0</v>
      </c>
      <c r="AK39" s="131" t="n">
        <f aca="false">SUMIF($F$7:$AG$7,AK$7,$F39:$AG39)</f>
        <v>0</v>
      </c>
      <c r="AL39" s="131" t="n">
        <f aca="false">SUMIF($F$7:$AG$7,AL$7,$F39:$AG39)</f>
        <v>0</v>
      </c>
      <c r="AM39" s="131" t="n">
        <f aca="false">SUMIF($F$7:$AG$7,AM$7,$F39:$AG39)</f>
        <v>0</v>
      </c>
      <c r="AN39" s="131" t="n">
        <f aca="false">SUMIF($F$7:$AG$7,AN$7,$F39:$AG39)</f>
        <v>0</v>
      </c>
      <c r="AO39" s="131" t="n">
        <f aca="false">SUMIF($F$7:$AG$7,AO$7,$F39:$AG39)</f>
        <v>0</v>
      </c>
    </row>
    <row r="40" customFormat="false" ht="15" hidden="false" customHeight="false" outlineLevel="0" collapsed="false">
      <c r="A40" s="112" t="s">
        <v>2660</v>
      </c>
      <c r="B40" s="24" t="s">
        <v>745</v>
      </c>
      <c r="C40" s="24" t="s">
        <v>2661</v>
      </c>
      <c r="D40" s="24"/>
      <c r="F40" s="130" t="n">
        <f aca="false">IF(F$5&lt;=LastHist,0,INDEX(CF_PlugInt,1,1))</f>
        <v>0</v>
      </c>
      <c r="G40" s="130" t="n">
        <f aca="false">IF(G$5&lt;=LastHist,0,INDEX(CF_PlugInt,1,2))</f>
        <v>0</v>
      </c>
      <c r="H40" s="130" t="n">
        <f aca="false">IF(H$5&lt;=LastHist,0,INDEX(CF_PlugInt,1,3))</f>
        <v>0</v>
      </c>
      <c r="I40" s="130" t="n">
        <f aca="false">IF(I$5&lt;=LastHist,0,INDEX(CF_PlugInt,1,4))</f>
        <v>0</v>
      </c>
      <c r="J40" s="130" t="n">
        <f aca="false">IF(J$5&lt;=LastHist,0,INDEX(CF_PlugInt,1,5))</f>
        <v>0</v>
      </c>
      <c r="K40" s="130" t="n">
        <f aca="false">IF(K$5&lt;=LastHist,0,INDEX(CF_PlugInt,1,6))</f>
        <v>0</v>
      </c>
      <c r="L40" s="130" t="n">
        <f aca="false">IF(L$5&lt;=LastHist,0,INDEX(CF_PlugInt,1,7))</f>
        <v>0</v>
      </c>
      <c r="M40" s="130" t="n">
        <f aca="false">IF(M$5&lt;=LastHist,0,INDEX(CF_PlugInt,1,8))</f>
        <v>0</v>
      </c>
      <c r="N40" s="130" t="n">
        <f aca="false">IF(N$5&lt;=LastHist,0,INDEX(CF_PlugInt,1,9))</f>
        <v>0</v>
      </c>
      <c r="O40" s="130" t="n">
        <f aca="false">IF(O$5&lt;=LastHist,0,INDEX(CF_PlugInt,1,10))</f>
        <v>0</v>
      </c>
      <c r="P40" s="131" t="n">
        <f aca="false">IF(P$5&lt;=LastHist,0,INDEX(CF_PlugInt,1,11))</f>
        <v>0</v>
      </c>
      <c r="Q40" s="131" t="n">
        <f aca="false">IF(Q$5&lt;=LastHist,0,INDEX(CF_PlugInt,1,12))</f>
        <v>0</v>
      </c>
      <c r="R40" s="131" t="n">
        <f aca="false">IF(R$5&lt;=LastHist,0,INDEX(CF_PlugInt,1,13))</f>
        <v>0</v>
      </c>
      <c r="S40" s="131" t="n">
        <f aca="false">IF(S$5&lt;=LastHist,0,INDEX(CF_PlugInt,1,14))</f>
        <v>0</v>
      </c>
      <c r="T40" s="131" t="n">
        <f aca="false">IF(T$5&lt;=LastHist,0,INDEX(CF_PlugInt,1,15))</f>
        <v>0</v>
      </c>
      <c r="U40" s="131" t="n">
        <f aca="false">IF(U$5&lt;=LastHist,0,INDEX(CF_PlugInt,1,16))</f>
        <v>25.6735092160273</v>
      </c>
      <c r="V40" s="131" t="n">
        <f aca="false">IF(V$5&lt;=LastHist,0,INDEX(CF_PlugInt,1,17))</f>
        <v>57.1194384418147</v>
      </c>
      <c r="W40" s="131" t="n">
        <f aca="false">IF(W$5&lt;=LastHist,0,INDEX(CF_PlugInt,1,18))</f>
        <v>88.8715053146592</v>
      </c>
      <c r="X40" s="131" t="n">
        <f aca="false">IF(X$5&lt;=LastHist,0,INDEX(CF_PlugInt,1,19))</f>
        <v>98.0435803023486</v>
      </c>
      <c r="Y40" s="131" t="n">
        <f aca="false">IF(Y$5&lt;=LastHist,0,INDEX(CF_PlugInt,1,20))</f>
        <v>179.639183376278</v>
      </c>
      <c r="Z40" s="131" t="n">
        <f aca="false">IF(Z$5&lt;=LastHist,0,INDEX(CF_PlugInt,1,21))</f>
        <v>186.810187962515</v>
      </c>
      <c r="AA40" s="131" t="n">
        <f aca="false">IF(AA$5&lt;=LastHist,0,INDEX(CF_PlugInt,1,22))</f>
        <v>250.117170605492</v>
      </c>
      <c r="AB40" s="131" t="n">
        <f aca="false">IF(AB$5&lt;=LastHist,0,INDEX(CF_PlugInt,1,23))</f>
        <v>263.628405780271</v>
      </c>
      <c r="AC40" s="131" t="n">
        <f aca="false">IF(AC$5&lt;=LastHist,0,INDEX(CF_PlugInt,1,24))</f>
        <v>358.395757526194</v>
      </c>
      <c r="AD40" s="131" t="n">
        <f aca="false">IF(AD$5&lt;=LastHist,0,INDEX(CF_PlugInt,1,25))</f>
        <v>358.395757526194</v>
      </c>
      <c r="AE40" s="131" t="n">
        <f aca="false">IF(AE$5&lt;=LastHist,0,INDEX(CF_PlugInt,1,26))</f>
        <v>358.395757526194</v>
      </c>
      <c r="AF40" s="131" t="n">
        <f aca="false">IF(AF$5&lt;=LastHist,0,INDEX(CF_PlugInt,1,27))</f>
        <v>358.395757526194</v>
      </c>
      <c r="AG40" s="131" t="n">
        <f aca="false">IF(AG$5&lt;=LastHist,0,INDEX(CF_PlugInt,1,28))</f>
        <v>358.395757526194</v>
      </c>
      <c r="AI40" s="131" t="n">
        <f aca="false">SUMIF($F$7:$AG$7,AI$7,$F40:$AG40)</f>
        <v>0</v>
      </c>
      <c r="AJ40" s="131" t="n">
        <f aca="false">SUMIF($F$7:$AG$7,AJ$7,$F40:$AG40)</f>
        <v>0</v>
      </c>
      <c r="AK40" s="131" t="n">
        <f aca="false">SUMIF($F$7:$AG$7,AK$7,$F40:$AG40)</f>
        <v>0</v>
      </c>
      <c r="AL40" s="131" t="n">
        <f aca="false">SUMIF($F$7:$AG$7,AL$7,$F40:$AG40)</f>
        <v>25.6735092160273</v>
      </c>
      <c r="AM40" s="131" t="n">
        <f aca="false">SUMIF($F$7:$AG$7,AM$7,$F40:$AG40)</f>
        <v>423.6737074351</v>
      </c>
      <c r="AN40" s="131" t="n">
        <f aca="false">SUMIF($F$7:$AG$7,AN$7,$F40:$AG40)</f>
        <v>1058.95152187447</v>
      </c>
      <c r="AO40" s="131" t="n">
        <f aca="false">SUMIF($F$7:$AG$7,AO$7,$F40:$AG40)</f>
        <v>1433.58303010478</v>
      </c>
    </row>
    <row r="41" customFormat="false" ht="15" hidden="false" customHeight="false" outlineLevel="0" collapsed="false">
      <c r="A41" s="112" t="s">
        <v>2662</v>
      </c>
      <c r="B41" s="24" t="s">
        <v>745</v>
      </c>
      <c r="C41" s="24" t="s">
        <v>2661</v>
      </c>
      <c r="D41" s="24"/>
      <c r="F41" s="130" t="n">
        <f aca="false">IF(F$5&lt;=LastHist,0,INDEX(CF_IntInc,1,1))</f>
        <v>0</v>
      </c>
      <c r="G41" s="130" t="n">
        <f aca="false">IF(G$5&lt;=LastHist,0,INDEX(CF_IntInc,1,2))</f>
        <v>0</v>
      </c>
      <c r="H41" s="130" t="n">
        <f aca="false">IF(H$5&lt;=LastHist,0,INDEX(CF_IntInc,1,3))</f>
        <v>0</v>
      </c>
      <c r="I41" s="130" t="n">
        <f aca="false">IF(I$5&lt;=LastHist,0,INDEX(CF_IntInc,1,4))</f>
        <v>0</v>
      </c>
      <c r="J41" s="130" t="n">
        <f aca="false">IF(J$5&lt;=LastHist,0,INDEX(CF_IntInc,1,5))</f>
        <v>0</v>
      </c>
      <c r="K41" s="130" t="n">
        <f aca="false">IF(K$5&lt;=LastHist,0,INDEX(CF_IntInc,1,6))</f>
        <v>0</v>
      </c>
      <c r="L41" s="130" t="n">
        <f aca="false">IF(L$5&lt;=LastHist,0,INDEX(CF_IntInc,1,7))</f>
        <v>0</v>
      </c>
      <c r="M41" s="130" t="n">
        <f aca="false">IF(M$5&lt;=LastHist,0,INDEX(CF_IntInc,1,8))</f>
        <v>0</v>
      </c>
      <c r="N41" s="130" t="n">
        <f aca="false">IF(N$5&lt;=LastHist,0,INDEX(CF_IntInc,1,9))</f>
        <v>0</v>
      </c>
      <c r="O41" s="130" t="n">
        <f aca="false">IF(O$5&lt;=LastHist,0,INDEX(CF_IntInc,1,10))</f>
        <v>0</v>
      </c>
      <c r="P41" s="131" t="n">
        <f aca="false">IF(P$5&lt;=LastHist,0,INDEX(CF_IntInc,1,11))</f>
        <v>70.368375</v>
      </c>
      <c r="Q41" s="131" t="n">
        <f aca="false">IF(Q$5&lt;=LastHist,0,INDEX(CF_IntInc,1,12))</f>
        <v>100.924802121778</v>
      </c>
      <c r="R41" s="131" t="n">
        <f aca="false">IF(R$5&lt;=LastHist,0,INDEX(CF_IntInc,1,13))</f>
        <v>85.311775483341</v>
      </c>
      <c r="S41" s="131" t="n">
        <f aca="false">IF(S$5&lt;=LastHist,0,INDEX(CF_IntInc,1,14))</f>
        <v>85.8456030576103</v>
      </c>
      <c r="T41" s="131" t="n">
        <f aca="false">IF(T$5&lt;=LastHist,0,INDEX(CF_IntInc,1,15))</f>
        <v>20.5952632182597</v>
      </c>
      <c r="U41" s="131" t="n">
        <f aca="false">IF(U$5&lt;=LastHist,0,INDEX(CF_IntInc,1,16))</f>
        <v>17.5</v>
      </c>
      <c r="V41" s="131" t="n">
        <f aca="false">IF(V$5&lt;=LastHist,0,INDEX(CF_IntInc,1,17))</f>
        <v>17.5</v>
      </c>
      <c r="W41" s="131" t="n">
        <f aca="false">IF(W$5&lt;=LastHist,0,INDEX(CF_IntInc,1,18))</f>
        <v>17.5</v>
      </c>
      <c r="X41" s="131" t="n">
        <f aca="false">IF(X$5&lt;=LastHist,0,INDEX(CF_IntInc,1,19))</f>
        <v>17.5</v>
      </c>
      <c r="Y41" s="131" t="n">
        <f aca="false">IF(Y$5&lt;=LastHist,0,INDEX(CF_IntInc,1,20))</f>
        <v>17.5</v>
      </c>
      <c r="Z41" s="131" t="n">
        <f aca="false">IF(Z$5&lt;=LastHist,0,INDEX(CF_IntInc,1,21))</f>
        <v>17.5</v>
      </c>
      <c r="AA41" s="131" t="n">
        <f aca="false">IF(AA$5&lt;=LastHist,0,INDEX(CF_IntInc,1,22))</f>
        <v>17.5</v>
      </c>
      <c r="AB41" s="131" t="n">
        <f aca="false">IF(AB$5&lt;=LastHist,0,INDEX(CF_IntInc,1,23))</f>
        <v>17.5</v>
      </c>
      <c r="AC41" s="131" t="n">
        <f aca="false">IF(AC$5&lt;=LastHist,0,INDEX(CF_IntInc,1,24))</f>
        <v>17.5</v>
      </c>
      <c r="AD41" s="131" t="n">
        <f aca="false">IF(AD$5&lt;=LastHist,0,INDEX(CF_IntInc,1,25))</f>
        <v>44.9093357351112</v>
      </c>
      <c r="AE41" s="131" t="n">
        <f aca="false">IF(AE$5&lt;=LastHist,0,INDEX(CF_IntInc,1,26))</f>
        <v>43.3371734119739</v>
      </c>
      <c r="AF41" s="131" t="n">
        <f aca="false">IF(AF$5&lt;=LastHist,0,INDEX(CF_IntInc,1,27))</f>
        <v>79.6095888383572</v>
      </c>
      <c r="AG41" s="131" t="n">
        <f aca="false">IF(AG$5&lt;=LastHist,0,INDEX(CF_IntInc,1,28))</f>
        <v>76.232771339519</v>
      </c>
      <c r="AI41" s="131" t="n">
        <f aca="false">SUMIF($F$7:$AG$7,AI$7,$F41:$AG41)</f>
        <v>0</v>
      </c>
      <c r="AJ41" s="131" t="n">
        <f aca="false">SUMIF($F$7:$AG$7,AJ$7,$F41:$AG41)</f>
        <v>0</v>
      </c>
      <c r="AK41" s="131" t="n">
        <f aca="false">SUMIF($F$7:$AG$7,AK$7,$F41:$AG41)</f>
        <v>171.293177121778</v>
      </c>
      <c r="AL41" s="131" t="n">
        <f aca="false">SUMIF($F$7:$AG$7,AL$7,$F41:$AG41)</f>
        <v>209.252641759211</v>
      </c>
      <c r="AM41" s="131" t="n">
        <f aca="false">SUMIF($F$7:$AG$7,AM$7,$F41:$AG41)</f>
        <v>70</v>
      </c>
      <c r="AN41" s="131" t="n">
        <f aca="false">SUMIF($F$7:$AG$7,AN$7,$F41:$AG41)</f>
        <v>70</v>
      </c>
      <c r="AO41" s="131" t="n">
        <f aca="false">SUMIF($F$7:$AG$7,AO$7,$F41:$AG41)</f>
        <v>244.088869324961</v>
      </c>
    </row>
    <row r="42" customFormat="false" ht="15" hidden="false" customHeight="false" outlineLevel="0" collapsed="false">
      <c r="A42" s="112" t="s">
        <v>2663</v>
      </c>
      <c r="B42" s="24" t="s">
        <v>745</v>
      </c>
      <c r="C42" s="24" t="s">
        <v>2371</v>
      </c>
      <c r="D42" s="24"/>
      <c r="F42" s="130" t="n">
        <f aca="false">IF(F$5&lt;=LastHist,0,INDEX(CapInt,1,1))</f>
        <v>0</v>
      </c>
      <c r="G42" s="130" t="n">
        <f aca="false">IF(G$5&lt;=LastHist,0,INDEX(CapInt,1,2))</f>
        <v>0</v>
      </c>
      <c r="H42" s="130" t="n">
        <f aca="false">IF(H$5&lt;=LastHist,0,INDEX(CapInt,1,3))</f>
        <v>0</v>
      </c>
      <c r="I42" s="130" t="n">
        <f aca="false">IF(I$5&lt;=LastHist,0,INDEX(CapInt,1,4))</f>
        <v>0</v>
      </c>
      <c r="J42" s="130" t="n">
        <f aca="false">IF(J$5&lt;=LastHist,0,INDEX(CapInt,1,5))</f>
        <v>0</v>
      </c>
      <c r="K42" s="130" t="n">
        <f aca="false">IF(K$5&lt;=LastHist,0,INDEX(CapInt,1,6))</f>
        <v>0</v>
      </c>
      <c r="L42" s="130" t="n">
        <f aca="false">IF(L$5&lt;=LastHist,0,INDEX(CapInt,1,7))</f>
        <v>0</v>
      </c>
      <c r="M42" s="130" t="n">
        <f aca="false">IF(M$5&lt;=LastHist,0,INDEX(CapInt,1,8))</f>
        <v>0</v>
      </c>
      <c r="N42" s="130" t="n">
        <f aca="false">IF(N$5&lt;=LastHist,0,INDEX(CapInt,1,9))</f>
        <v>0</v>
      </c>
      <c r="O42" s="130" t="n">
        <f aca="false">IF(O$5&lt;=LastHist,0,INDEX(CapInt,1,10))</f>
        <v>0</v>
      </c>
      <c r="P42" s="131" t="n">
        <f aca="false">IF(P$5&lt;=LastHist,0,INDEX(CapInt,1,11))</f>
        <v>63.6793762885238</v>
      </c>
      <c r="Q42" s="131" t="n">
        <f aca="false">IF(Q$5&lt;=LastHist,0,INDEX(CapInt,1,12))</f>
        <v>63.6793762885238</v>
      </c>
      <c r="R42" s="131" t="n">
        <f aca="false">IF(R$5&lt;=LastHist,0,INDEX(CapInt,1,13))</f>
        <v>94.4977810179247</v>
      </c>
      <c r="S42" s="131" t="n">
        <f aca="false">IF(S$5&lt;=LastHist,0,INDEX(CapInt,1,14))</f>
        <v>94.4977810179247</v>
      </c>
      <c r="T42" s="131" t="n">
        <f aca="false">IF(T$5&lt;=LastHist,0,INDEX(CapInt,1,15))</f>
        <v>125.283380037443</v>
      </c>
      <c r="U42" s="131" t="n">
        <f aca="false">IF(U$5&lt;=LastHist,0,INDEX(CapInt,1,16))</f>
        <v>125.283380037443</v>
      </c>
      <c r="V42" s="131" t="n">
        <f aca="false">IF(V$5&lt;=LastHist,0,INDEX(CapInt,1,17))</f>
        <v>125.283380037443</v>
      </c>
      <c r="W42" s="131" t="n">
        <f aca="false">IF(W$5&lt;=LastHist,0,INDEX(CapInt,1,18))</f>
        <v>125.283380037443</v>
      </c>
      <c r="X42" s="131" t="n">
        <f aca="false">IF(X$5&lt;=LastHist,0,INDEX(CapInt,1,19))</f>
        <v>125.283380037443</v>
      </c>
      <c r="Y42" s="131" t="n">
        <f aca="false">IF(Y$5&lt;=LastHist,0,INDEX(CapInt,1,20))</f>
        <v>125.283380037443</v>
      </c>
      <c r="Z42" s="131" t="n">
        <f aca="false">IF(Z$5&lt;=LastHist,0,INDEX(CapInt,1,21))</f>
        <v>125.283380037443</v>
      </c>
      <c r="AA42" s="131" t="n">
        <f aca="false">IF(AA$5&lt;=LastHist,0,INDEX(CapInt,1,22))</f>
        <v>124.760842701522</v>
      </c>
      <c r="AB42" s="131" t="n">
        <f aca="false">IF(AB$5&lt;=LastHist,0,INDEX(CapInt,1,23))</f>
        <v>124.760842701522</v>
      </c>
      <c r="AC42" s="131" t="n">
        <f aca="false">IF(AC$5&lt;=LastHist,0,INDEX(CapInt,1,24))</f>
        <v>124.760842701522</v>
      </c>
      <c r="AD42" s="131" t="n">
        <f aca="false">IF(AD$5&lt;=LastHist,0,INDEX(CapInt,1,25))</f>
        <v>113.878060640153</v>
      </c>
      <c r="AE42" s="131" t="n">
        <f aca="false">IF(AE$5&lt;=LastHist,0,INDEX(CapInt,1,26))</f>
        <v>113.878060640153</v>
      </c>
      <c r="AF42" s="131" t="n">
        <f aca="false">IF(AF$5&lt;=LastHist,0,INDEX(CapInt,1,27))</f>
        <v>95.8990471378933</v>
      </c>
      <c r="AG42" s="131" t="n">
        <f aca="false">IF(AG$5&lt;=LastHist,0,INDEX(CapInt,1,28))</f>
        <v>95.8990471378933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127.358752577048</v>
      </c>
      <c r="AL42" s="131" t="n">
        <f aca="false">SUMIF($F$7:$AG$7,AL$7,$F42:$AG42)</f>
        <v>439.562322110736</v>
      </c>
      <c r="AM42" s="131" t="n">
        <f aca="false">SUMIF($F$7:$AG$7,AM$7,$F42:$AG42)</f>
        <v>501.133520149772</v>
      </c>
      <c r="AN42" s="131" t="n">
        <f aca="false">SUMIF($F$7:$AG$7,AN$7,$F42:$AG42)</f>
        <v>499.565908142008</v>
      </c>
      <c r="AO42" s="131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2664</v>
      </c>
      <c r="B43" s="24" t="s">
        <v>745</v>
      </c>
      <c r="C43" s="24" t="s">
        <v>672</v>
      </c>
      <c r="D43" s="24"/>
      <c r="F43" s="132" t="n">
        <f aca="false">IF(F$5&lt;=LastHist,0,F33-F37-F38-F39-F40+F41+F42)</f>
        <v>0</v>
      </c>
      <c r="G43" s="132" t="n">
        <f aca="false">IF(G$5&lt;=LastHist,0,G33-G37-G38-G39-G40+G41+G42)</f>
        <v>0</v>
      </c>
      <c r="H43" s="132" t="n">
        <f aca="false">IF(H$5&lt;=LastHist,0,H33-H37-H38-H39-H40+H41+H42)</f>
        <v>0</v>
      </c>
      <c r="I43" s="132" t="n">
        <f aca="false">IF(I$5&lt;=LastHist,0,I33-I37-I38-I39-I40+I41+I42)</f>
        <v>0</v>
      </c>
      <c r="J43" s="132" t="n">
        <f aca="false">IF(J$5&lt;=LastHist,0,J33-J37-J38-J39-J40+J41+J42)</f>
        <v>0</v>
      </c>
      <c r="K43" s="132" t="n">
        <f aca="false">IF(K$5&lt;=LastHist,0,K33-K37-K38-K39-K40+K41+K42)</f>
        <v>0</v>
      </c>
      <c r="L43" s="132" t="n">
        <f aca="false">IF(L$5&lt;=LastHist,0,L33-L37-L38-L39-L40+L41+L42)</f>
        <v>0</v>
      </c>
      <c r="M43" s="132" t="n">
        <f aca="false">IF(M$5&lt;=LastHist,0,M33-M37-M38-M39-M40+M41+M42)</f>
        <v>0</v>
      </c>
      <c r="N43" s="132" t="n">
        <f aca="false">IF(N$5&lt;=LastHist,0,N33-N37-N38-N39-N40+N41+N42)</f>
        <v>0</v>
      </c>
      <c r="O43" s="132" t="n">
        <f aca="false">IF(O$5&lt;=LastHist,0,O33-O37-O38-O39-O40+O41+O42)</f>
        <v>0</v>
      </c>
      <c r="P43" s="104" t="n">
        <f aca="false">IF(P$5&lt;=LastHist,0,P33-P37-P38-P39-P40+P41+P42)</f>
        <v>-386.732407984686</v>
      </c>
      <c r="Q43" s="104" t="n">
        <f aca="false">IF(Q$5&lt;=LastHist,0,Q33-Q37-Q38-Q39-Q40+Q41+Q42)</f>
        <v>-306.939291068585</v>
      </c>
      <c r="R43" s="104" t="n">
        <f aca="false">IF(R$5&lt;=LastHist,0,R33-R37-R38-R39-R40+R41+R42)</f>
        <v>-365.867883265815</v>
      </c>
      <c r="S43" s="104" t="n">
        <f aca="false">IF(S$5&lt;=LastHist,0,S33-S37-S38-S39-S40+S41+S42)</f>
        <v>-357.983066841435</v>
      </c>
      <c r="T43" s="104" t="n">
        <f aca="false">IF(T$5&lt;=LastHist,0,T33-T37-T38-T39-T40+T41+T42)</f>
        <v>-411.55692209881</v>
      </c>
      <c r="U43" s="104" t="n">
        <f aca="false">IF(U$5&lt;=LastHist,0,U33-U37-U38-U39-U40+U41+U42)</f>
        <v>-552.241218096205</v>
      </c>
      <c r="V43" s="104" t="n">
        <f aca="false">IF(V$5&lt;=LastHist,0,V33-V37-V38-V39-V40+V41+V42)</f>
        <v>-477.700345428147</v>
      </c>
      <c r="W43" s="104" t="n">
        <f aca="false">IF(W$5&lt;=LastHist,0,W33-W37-W38-W39-W40+W41+W42)</f>
        <v>-323.811569630466</v>
      </c>
      <c r="X43" s="104" t="n">
        <f aca="false">IF(X$5&lt;=LastHist,0,X33-X37-X38-X39-X40+X41+X42)</f>
        <v>-353.971184358591</v>
      </c>
      <c r="Y43" s="104" t="n">
        <f aca="false">IF(Y$5&lt;=LastHist,0,Y33-Y37-Y38-Y39-Y40+Y41+Y42)</f>
        <v>-304.552061885746</v>
      </c>
      <c r="Z43" s="104" t="n">
        <f aca="false">IF(Z$5&lt;=LastHist,0,Z33-Z37-Z38-Z39-Z40+Z41+Z42)</f>
        <v>-347.670608952876</v>
      </c>
      <c r="AA43" s="104" t="n">
        <f aca="false">IF(AA$5&lt;=LastHist,0,AA33-AA37-AA38-AA39-AA40+AA41+AA42)</f>
        <v>-42.607024295652</v>
      </c>
      <c r="AB43" s="104" t="n">
        <f aca="false">IF(AB$5&lt;=LastHist,0,AB33-AB37-AB38-AB39-AB40+AB41+AB42)</f>
        <v>-274.429387428275</v>
      </c>
      <c r="AC43" s="104" t="n">
        <f aca="false">IF(AC$5&lt;=LastHist,0,AC33-AC37-AC38-AC39-AC40+AC41+AC42)</f>
        <v>-22.0589857037304</v>
      </c>
      <c r="AD43" s="104" t="n">
        <f aca="false">IF(AD$5&lt;=LastHist,0,AD33-AD37-AD38-AD39-AD40+AD41+AD42)</f>
        <v>-111.644006295343</v>
      </c>
      <c r="AE43" s="104" t="n">
        <f aca="false">IF(AE$5&lt;=LastHist,0,AE33-AE37-AE38-AE39-AE40+AE41+AE42)</f>
        <v>484.696770098256</v>
      </c>
      <c r="AF43" s="104" t="n">
        <f aca="false">IF(AF$5&lt;=LastHist,0,AF33-AF37-AF38-AF39-AF40+AF41+AF42)</f>
        <v>504.655951927486</v>
      </c>
      <c r="AG43" s="104" t="n">
        <f aca="false">IF(AG$5&lt;=LastHist,0,AG33-AG37-AG38-AG39-AG40+AG41+AG42)</f>
        <v>616.35997224699</v>
      </c>
      <c r="AI43" s="104" t="n">
        <f aca="false">SUMIF($F$7:$AG$7,AI$7,$F43:$AG43)</f>
        <v>0</v>
      </c>
      <c r="AJ43" s="104" t="n">
        <f aca="false">SUMIF($F$7:$AG$7,AJ$7,$F43:$AG43)</f>
        <v>0</v>
      </c>
      <c r="AK43" s="104" t="n">
        <f aca="false">SUMIF($F$7:$AG$7,AK$7,$F43:$AG43)</f>
        <v>-693.671699053271</v>
      </c>
      <c r="AL43" s="104" t="n">
        <f aca="false">SUMIF($F$7:$AG$7,AL$7,$F43:$AG43)</f>
        <v>-1687.64909030226</v>
      </c>
      <c r="AM43" s="104" t="n">
        <f aca="false">SUMIF($F$7:$AG$7,AM$7,$F43:$AG43)</f>
        <v>-1460.03516130295</v>
      </c>
      <c r="AN43" s="104" t="n">
        <f aca="false">SUMIF($F$7:$AG$7,AN$7,$F43:$AG43)</f>
        <v>-686.766006380533</v>
      </c>
      <c r="AO43" s="104" t="n">
        <f aca="false">SUMIF($F$7:$AG$7,AO$7,$F43:$AG43)</f>
        <v>1494.06868797739</v>
      </c>
    </row>
    <row r="44" customFormat="false" ht="15" hidden="false" customHeight="false" outlineLevel="0" collapsed="false">
      <c r="A44" s="112" t="s">
        <v>2665</v>
      </c>
      <c r="B44" s="24" t="s">
        <v>745</v>
      </c>
      <c r="C44" s="24" t="s">
        <v>672</v>
      </c>
      <c r="D44" s="24" t="s">
        <v>2666</v>
      </c>
      <c r="F44" s="130" t="n">
        <f aca="false">MAX(0,F43)*TaxRate</f>
        <v>0</v>
      </c>
      <c r="G44" s="130" t="n">
        <f aca="false">MAX(0,G43)*TaxRate</f>
        <v>0</v>
      </c>
      <c r="H44" s="130" t="n">
        <f aca="false">MAX(0,H43)*TaxRate</f>
        <v>0</v>
      </c>
      <c r="I44" s="130" t="n">
        <f aca="false">MAX(0,I43)*TaxRate</f>
        <v>0</v>
      </c>
      <c r="J44" s="130" t="n">
        <f aca="false">MAX(0,J43)*TaxRate</f>
        <v>0</v>
      </c>
      <c r="K44" s="130" t="n">
        <f aca="false">MAX(0,K43)*TaxRate</f>
        <v>0</v>
      </c>
      <c r="L44" s="130" t="n">
        <f aca="false">MAX(0,L43)*TaxRate</f>
        <v>0</v>
      </c>
      <c r="M44" s="130" t="n">
        <f aca="false">MAX(0,M43)*TaxRate</f>
        <v>0</v>
      </c>
      <c r="N44" s="130" t="n">
        <f aca="false">MAX(0,N43)*TaxRate</f>
        <v>0</v>
      </c>
      <c r="O44" s="130" t="n">
        <f aca="false">MAX(0,O43)*TaxRate</f>
        <v>0</v>
      </c>
      <c r="P44" s="131" t="n">
        <f aca="false">MAX(0,P43)*TaxRate</f>
        <v>0</v>
      </c>
      <c r="Q44" s="131" t="n">
        <f aca="false">MAX(0,Q43)*TaxRate</f>
        <v>0</v>
      </c>
      <c r="R44" s="131" t="n">
        <f aca="false">MAX(0,R43)*TaxRate</f>
        <v>0</v>
      </c>
      <c r="S44" s="131" t="n">
        <f aca="false">MAX(0,S43)*TaxRate</f>
        <v>0</v>
      </c>
      <c r="T44" s="131" t="n">
        <f aca="false">MAX(0,T43)*TaxRate</f>
        <v>0</v>
      </c>
      <c r="U44" s="131" t="n">
        <f aca="false">MAX(0,U43)*TaxRate</f>
        <v>0</v>
      </c>
      <c r="V44" s="131" t="n">
        <f aca="false">MAX(0,V43)*TaxRate</f>
        <v>0</v>
      </c>
      <c r="W44" s="131" t="n">
        <f aca="false">MAX(0,W43)*TaxRate</f>
        <v>0</v>
      </c>
      <c r="X44" s="131" t="n">
        <f aca="false">MAX(0,X43)*TaxRate</f>
        <v>0</v>
      </c>
      <c r="Y44" s="131" t="n">
        <f aca="false">MAX(0,Y43)*TaxRate</f>
        <v>0</v>
      </c>
      <c r="Z44" s="131" t="n">
        <f aca="false">MAX(0,Z43)*TaxRate</f>
        <v>0</v>
      </c>
      <c r="AA44" s="131" t="n">
        <f aca="false">MAX(0,AA43)*TaxRate</f>
        <v>0</v>
      </c>
      <c r="AB44" s="131" t="n">
        <f aca="false">MAX(0,AB43)*TaxRate</f>
        <v>0</v>
      </c>
      <c r="AC44" s="131" t="n">
        <f aca="false">MAX(0,AC43)*TaxRate</f>
        <v>0</v>
      </c>
      <c r="AD44" s="131" t="n">
        <f aca="false">MAX(0,AD43)*TaxRate</f>
        <v>0</v>
      </c>
      <c r="AE44" s="131" t="n">
        <f aca="false">MAX(0,AE43)*TaxRate</f>
        <v>125.05176668535</v>
      </c>
      <c r="AF44" s="131" t="n">
        <f aca="false">MAX(0,AF43)*TaxRate</f>
        <v>130.201235597291</v>
      </c>
      <c r="AG44" s="131" t="n">
        <f aca="false">MAX(0,AG43)*TaxRate</f>
        <v>159.020872839723</v>
      </c>
      <c r="AI44" s="131" t="n">
        <f aca="false">SUMIF($F$7:$AG$7,AI$7,$F44:$AG44)</f>
        <v>0</v>
      </c>
      <c r="AJ44" s="131" t="n">
        <f aca="false">SUMIF($F$7:$AG$7,AJ$7,$F44:$AG44)</f>
        <v>0</v>
      </c>
      <c r="AK44" s="131" t="n">
        <f aca="false">SUMIF($F$7:$AG$7,AK$7,$F44:$AG44)</f>
        <v>0</v>
      </c>
      <c r="AL44" s="131" t="n">
        <f aca="false">SUMIF($F$7:$AG$7,AL$7,$F44:$AG44)</f>
        <v>0</v>
      </c>
      <c r="AM44" s="131" t="n">
        <f aca="false">SUMIF($F$7:$AG$7,AM$7,$F44:$AG44)</f>
        <v>0</v>
      </c>
      <c r="AN44" s="131" t="n">
        <f aca="false">SUMIF($F$7:$AG$7,AN$7,$F44:$AG44)</f>
        <v>0</v>
      </c>
      <c r="AO44" s="131" t="n">
        <f aca="false">SUMIF($F$7:$AG$7,AO$7,$F44:$AG44)</f>
        <v>414.273875122365</v>
      </c>
    </row>
    <row r="45" customFormat="false" ht="15" hidden="false" customHeight="false" outlineLevel="0" collapsed="false">
      <c r="A45" s="3" t="s">
        <v>2667</v>
      </c>
      <c r="B45" s="24" t="s">
        <v>745</v>
      </c>
      <c r="C45" s="24" t="s">
        <v>672</v>
      </c>
      <c r="D45" s="24"/>
      <c r="F45" s="132" t="n">
        <f aca="false">F43-F44</f>
        <v>0</v>
      </c>
      <c r="G45" s="132" t="n">
        <f aca="false">G43-G44</f>
        <v>0</v>
      </c>
      <c r="H45" s="132" t="n">
        <f aca="false">H43-H44</f>
        <v>0</v>
      </c>
      <c r="I45" s="132" t="n">
        <f aca="false">I43-I44</f>
        <v>0</v>
      </c>
      <c r="J45" s="132" t="n">
        <f aca="false">J43-J44</f>
        <v>0</v>
      </c>
      <c r="K45" s="132" t="n">
        <f aca="false">K43-K44</f>
        <v>0</v>
      </c>
      <c r="L45" s="132" t="n">
        <f aca="false">L43-L44</f>
        <v>0</v>
      </c>
      <c r="M45" s="132" t="n">
        <f aca="false">M43-M44</f>
        <v>0</v>
      </c>
      <c r="N45" s="132" t="n">
        <f aca="false">N43-N44</f>
        <v>0</v>
      </c>
      <c r="O45" s="132" t="n">
        <f aca="false">O43-O44</f>
        <v>0</v>
      </c>
      <c r="P45" s="104" t="n">
        <f aca="false">P43-P44</f>
        <v>-386.732407984686</v>
      </c>
      <c r="Q45" s="104" t="n">
        <f aca="false">Q43-Q44</f>
        <v>-306.939291068585</v>
      </c>
      <c r="R45" s="104" t="n">
        <f aca="false">R43-R44</f>
        <v>-365.867883265815</v>
      </c>
      <c r="S45" s="104" t="n">
        <f aca="false">S43-S44</f>
        <v>-357.983066841435</v>
      </c>
      <c r="T45" s="104" t="n">
        <f aca="false">T43-T44</f>
        <v>-411.55692209881</v>
      </c>
      <c r="U45" s="104" t="n">
        <f aca="false">U43-U44</f>
        <v>-552.241218096205</v>
      </c>
      <c r="V45" s="104" t="n">
        <f aca="false">V43-V44</f>
        <v>-477.700345428147</v>
      </c>
      <c r="W45" s="104" t="n">
        <f aca="false">W43-W44</f>
        <v>-323.811569630466</v>
      </c>
      <c r="X45" s="104" t="n">
        <f aca="false">X43-X44</f>
        <v>-353.971184358591</v>
      </c>
      <c r="Y45" s="104" t="n">
        <f aca="false">Y43-Y44</f>
        <v>-304.552061885746</v>
      </c>
      <c r="Z45" s="104" t="n">
        <f aca="false">Z43-Z44</f>
        <v>-347.670608952876</v>
      </c>
      <c r="AA45" s="104" t="n">
        <f aca="false">AA43-AA44</f>
        <v>-42.607024295652</v>
      </c>
      <c r="AB45" s="104" t="n">
        <f aca="false">AB43-AB44</f>
        <v>-274.429387428275</v>
      </c>
      <c r="AC45" s="104" t="n">
        <f aca="false">AC43-AC44</f>
        <v>-22.0589857037304</v>
      </c>
      <c r="AD45" s="104" t="n">
        <f aca="false">AD43-AD44</f>
        <v>-111.644006295343</v>
      </c>
      <c r="AE45" s="104" t="n">
        <f aca="false">AE43-AE44</f>
        <v>359.645003412906</v>
      </c>
      <c r="AF45" s="104" t="n">
        <f aca="false">AF43-AF44</f>
        <v>374.454716330194</v>
      </c>
      <c r="AG45" s="104" t="n">
        <f aca="false">AG43-AG44</f>
        <v>457.339099407266</v>
      </c>
      <c r="AI45" s="104" t="n">
        <f aca="false">SUMIF($F$7:$AG$7,AI$7,$F45:$AG45)</f>
        <v>0</v>
      </c>
      <c r="AJ45" s="104" t="n">
        <f aca="false">SUMIF($F$7:$AG$7,AJ$7,$F45:$AG45)</f>
        <v>0</v>
      </c>
      <c r="AK45" s="104" t="n">
        <f aca="false">SUMIF($F$7:$AG$7,AK$7,$F45:$AG45)</f>
        <v>-693.671699053271</v>
      </c>
      <c r="AL45" s="104" t="n">
        <f aca="false">SUMIF($F$7:$AG$7,AL$7,$F45:$AG45)</f>
        <v>-1687.64909030226</v>
      </c>
      <c r="AM45" s="104" t="n">
        <f aca="false">SUMIF($F$7:$AG$7,AM$7,$F45:$AG45)</f>
        <v>-1460.03516130295</v>
      </c>
      <c r="AN45" s="104" t="n">
        <f aca="false">SUMIF($F$7:$AG$7,AN$7,$F45:$AG45)</f>
        <v>-686.766006380533</v>
      </c>
      <c r="AO45" s="104" t="n">
        <f aca="false">SUMIF($F$7:$AG$7,AO$7,$F45:$AG45)</f>
        <v>1079.79481285502</v>
      </c>
    </row>
    <row r="46" customFormat="false" ht="15" hidden="false" customHeight="false" outlineLevel="0" collapsed="false">
      <c r="A46" s="112" t="s">
        <v>2668</v>
      </c>
      <c r="B46" s="24" t="s">
        <v>809</v>
      </c>
      <c r="C46" s="24" t="s">
        <v>2669</v>
      </c>
      <c r="D46" s="24"/>
      <c r="F46" s="121" t="n">
        <f aca="false">INDEX(Sh_Dil,1,1)</f>
        <v>205.574091</v>
      </c>
      <c r="G46" s="121" t="n">
        <f aca="false">INDEX(Sh_Dil,1,2)</f>
        <v>205.574091</v>
      </c>
      <c r="H46" s="121" t="n">
        <f aca="false">INDEX(Sh_Dil,1,3)</f>
        <v>205.574209</v>
      </c>
      <c r="I46" s="121" t="n">
        <f aca="false">INDEX(Sh_Dil,1,4)</f>
        <v>241.987691</v>
      </c>
      <c r="J46" s="121" t="n">
        <f aca="false">INDEX(Sh_Dil,1,5)</f>
        <v>244.342922</v>
      </c>
      <c r="K46" s="121" t="n">
        <f aca="false">INDEX(Sh_Dil,1,6)</f>
        <v>244.939183</v>
      </c>
      <c r="L46" s="121" t="n">
        <f aca="false">INDEX(Sh_Dil,1,7)</f>
        <v>258.041313</v>
      </c>
      <c r="M46" s="121" t="n">
        <f aca="false">INDEX(Sh_Dil,1,8)</f>
        <v>259.251062</v>
      </c>
      <c r="N46" s="121" t="n">
        <f aca="false">INDEX(Sh_Dil,1,9)</f>
        <v>281.198221</v>
      </c>
      <c r="O46" s="121" t="n">
        <f aca="false">INDEX(Sh_Dil,1,10)</f>
        <v>299.155245</v>
      </c>
      <c r="P46" s="39" t="n">
        <f aca="false">INDEX(Sh_Dil,1,11)</f>
        <v>314.925245</v>
      </c>
      <c r="Q46" s="39" t="n">
        <f aca="false">INDEX(Sh_Dil,1,12)</f>
        <v>1065.31620388011</v>
      </c>
      <c r="R46" s="39" t="n">
        <f aca="false">INDEX(Sh_Dil,1,13)</f>
        <v>1065.31620388011</v>
      </c>
      <c r="S46" s="39" t="n">
        <f aca="false">INDEX(Sh_Dil,1,14)</f>
        <v>1065.31620388011</v>
      </c>
      <c r="T46" s="39" t="n">
        <f aca="false">INDEX(Sh_Dil,1,15)</f>
        <v>1534.81155508911</v>
      </c>
      <c r="U46" s="39" t="n">
        <f aca="false">INDEX(Sh_Dil,1,16)</f>
        <v>2433.48363914519</v>
      </c>
      <c r="V46" s="39" t="n">
        <f aca="false">INDEX(Sh_Dil,1,17)</f>
        <v>3333.04761609728</v>
      </c>
      <c r="W46" s="39" t="n">
        <f aca="false">INDEX(Sh_Dil,1,18)</f>
        <v>3574.67306536968</v>
      </c>
      <c r="X46" s="39" t="n">
        <f aca="false">INDEX(Sh_Dil,1,19)</f>
        <v>5898.62399477253</v>
      </c>
      <c r="Y46" s="39" t="n">
        <f aca="false">INDEX(Sh_Dil,1,20)</f>
        <v>6059.79001269833</v>
      </c>
      <c r="Z46" s="39" t="n">
        <f aca="false">INDEX(Sh_Dil,1,21)</f>
        <v>7834.96539650808</v>
      </c>
      <c r="AA46" s="39" t="n">
        <f aca="false">INDEX(Sh_Dil,1,22)</f>
        <v>8186.77208238627</v>
      </c>
      <c r="AB46" s="39" t="n">
        <f aca="false">INDEX(Sh_Dil,1,23)</f>
        <v>10848.1539009643</v>
      </c>
      <c r="AC46" s="39" t="n">
        <f aca="false">INDEX(Sh_Dil,1,24)</f>
        <v>10848.1539009643</v>
      </c>
      <c r="AD46" s="39" t="n">
        <f aca="false">INDEX(Sh_Dil,1,25)</f>
        <v>10848.1539009643</v>
      </c>
      <c r="AE46" s="39" t="n">
        <f aca="false">INDEX(Sh_Dil,1,26)</f>
        <v>10848.1539009643</v>
      </c>
      <c r="AF46" s="39" t="n">
        <f aca="false">INDEX(Sh_Dil,1,27)</f>
        <v>11306.1448497346</v>
      </c>
      <c r="AG46" s="39" t="n">
        <f aca="false">INDEX(Sh_Dil,1,28)</f>
        <v>11306.1448497346</v>
      </c>
      <c r="AI46" s="39" t="n">
        <f aca="false">INDEX($F46:$AG46,1,MATCH(AI$7,$F$7:$AG$7,1))</f>
        <v>241.987691</v>
      </c>
      <c r="AJ46" s="39" t="n">
        <f aca="false">INDEX($F46:$AG46,1,MATCH(AJ$7,$F$7:$AG$7,1))</f>
        <v>259.251062</v>
      </c>
      <c r="AK46" s="39" t="n">
        <f aca="false">INDEX($F46:$AG46,1,MATCH(AK$7,$F$7:$AG$7,1))</f>
        <v>1065.31620388011</v>
      </c>
      <c r="AL46" s="39" t="n">
        <f aca="false">INDEX($F46:$AG46,1,MATCH(AL$7,$F$7:$AG$7,1))</f>
        <v>2433.48363914519</v>
      </c>
      <c r="AM46" s="39" t="n">
        <f aca="false">INDEX($F46:$AG46,1,MATCH(AM$7,$F$7:$AG$7,1))</f>
        <v>6059.79001269833</v>
      </c>
      <c r="AN46" s="39" t="n">
        <f aca="false">INDEX($F46:$AG46,1,MATCH(AN$7,$F$7:$AG$7,1))</f>
        <v>10848.1539009643</v>
      </c>
      <c r="AO46" s="39" t="n">
        <f aca="false">INDEX($F46:$AG46,1,MATCH(AO$7,$F$7:$AG$7,1))</f>
        <v>11306.1448497346</v>
      </c>
    </row>
    <row r="47" customFormat="false" ht="15" hidden="false" customHeight="false" outlineLevel="0" collapsed="false">
      <c r="A47" s="112" t="s">
        <v>2670</v>
      </c>
      <c r="B47" s="24" t="s">
        <v>682</v>
      </c>
      <c r="C47" s="24" t="s">
        <v>672</v>
      </c>
      <c r="D47" s="24"/>
      <c r="F47" s="148" t="n">
        <f aca="false">IF(F$5&lt;=LastHist,0,F45/INDEX(Sh_Dil,1,1))</f>
        <v>0</v>
      </c>
      <c r="G47" s="148" t="n">
        <f aca="false">IF(G$5&lt;=LastHist,0,G45/INDEX(Sh_Dil,1,2))</f>
        <v>0</v>
      </c>
      <c r="H47" s="148" t="n">
        <f aca="false">IF(H$5&lt;=LastHist,0,H45/INDEX(Sh_Dil,1,3))</f>
        <v>0</v>
      </c>
      <c r="I47" s="148" t="n">
        <f aca="false">IF(I$5&lt;=LastHist,0,I45/INDEX(Sh_Dil,1,4))</f>
        <v>0</v>
      </c>
      <c r="J47" s="148" t="n">
        <f aca="false">IF(J$5&lt;=LastHist,0,J45/INDEX(Sh_Dil,1,5))</f>
        <v>0</v>
      </c>
      <c r="K47" s="148" t="n">
        <f aca="false">IF(K$5&lt;=LastHist,0,K45/INDEX(Sh_Dil,1,6))</f>
        <v>0</v>
      </c>
      <c r="L47" s="148" t="n">
        <f aca="false">IF(L$5&lt;=LastHist,0,L45/INDEX(Sh_Dil,1,7))</f>
        <v>0</v>
      </c>
      <c r="M47" s="148" t="n">
        <f aca="false">IF(M$5&lt;=LastHist,0,M45/INDEX(Sh_Dil,1,8))</f>
        <v>0</v>
      </c>
      <c r="N47" s="148" t="n">
        <f aca="false">IF(N$5&lt;=LastHist,0,N45/INDEX(Sh_Dil,1,9))</f>
        <v>0</v>
      </c>
      <c r="O47" s="148" t="n">
        <f aca="false">IF(O$5&lt;=LastHist,0,O45/INDEX(Sh_Dil,1,10))</f>
        <v>0</v>
      </c>
      <c r="P47" s="149" t="n">
        <f aca="false">IF(P$5&lt;=LastHist,0,P45/INDEX(Sh_Dil,1,11))</f>
        <v>-1.22801335912174</v>
      </c>
      <c r="Q47" s="149" t="n">
        <f aca="false">IF(Q$5&lt;=LastHist,0,Q45/INDEX(Sh_Dil,1,12))</f>
        <v>-0.28812036271545</v>
      </c>
      <c r="R47" s="149" t="n">
        <f aca="false">IF(R$5&lt;=LastHist,0,R45/INDEX(Sh_Dil,1,13))</f>
        <v>-0.343435950690738</v>
      </c>
      <c r="S47" s="149" t="n">
        <f aca="false">IF(S$5&lt;=LastHist,0,S45/INDEX(Sh_Dil,1,14))</f>
        <v>-0.336034564702557</v>
      </c>
      <c r="T47" s="149" t="n">
        <f aca="false">IF(T$5&lt;=LastHist,0,T45/INDEX(Sh_Dil,1,15))</f>
        <v>-0.268148178018452</v>
      </c>
      <c r="U47" s="149" t="n">
        <f aca="false">IF(U$5&lt;=LastHist,0,U45/INDEX(Sh_Dil,1,16))</f>
        <v>-0.22693442816414</v>
      </c>
      <c r="V47" s="149" t="n">
        <f aca="false">IF(V$5&lt;=LastHist,0,V45/INDEX(Sh_Dil,1,17))</f>
        <v>-0.143322388531459</v>
      </c>
      <c r="W47" s="149" t="n">
        <f aca="false">IF(W$5&lt;=LastHist,0,W45/INDEX(Sh_Dil,1,18))</f>
        <v>-0.090584946849392</v>
      </c>
      <c r="X47" s="149" t="n">
        <f aca="false">IF(X$5&lt;=LastHist,0,X45/INDEX(Sh_Dil,1,19))</f>
        <v>-0.0600091113914511</v>
      </c>
      <c r="Y47" s="149" t="n">
        <f aca="false">IF(Y$5&lt;=LastHist,0,Y45/INDEX(Sh_Dil,1,20))</f>
        <v>-0.0502578573263355</v>
      </c>
      <c r="Z47" s="149" t="n">
        <f aca="false">IF(Z$5&lt;=LastHist,0,Z45/INDEX(Sh_Dil,1,21))</f>
        <v>-0.0443742366887578</v>
      </c>
      <c r="AA47" s="149" t="n">
        <f aca="false">IF(AA$5&lt;=LastHist,0,AA45/INDEX(Sh_Dil,1,22))</f>
        <v>-0.00520437406426892</v>
      </c>
      <c r="AB47" s="149" t="n">
        <f aca="false">IF(AB$5&lt;=LastHist,0,AB45/INDEX(Sh_Dil,1,23))</f>
        <v>-0.0252973353746281</v>
      </c>
      <c r="AC47" s="149" t="n">
        <f aca="false">IF(AC$5&lt;=LastHist,0,AC45/INDEX(Sh_Dil,1,24))</f>
        <v>-0.00203343222313333</v>
      </c>
      <c r="AD47" s="149" t="n">
        <f aca="false">IF(AD$5&lt;=LastHist,0,AD45/INDEX(Sh_Dil,1,25))</f>
        <v>-0.0102915212408093</v>
      </c>
      <c r="AE47" s="149" t="n">
        <f aca="false">IF(AE$5&lt;=LastHist,0,AE45/INDEX(Sh_Dil,1,26))</f>
        <v>0.0331526457585503</v>
      </c>
      <c r="AF47" s="149" t="n">
        <f aca="false">IF(AF$5&lt;=LastHist,0,AF45/INDEX(Sh_Dil,1,27))</f>
        <v>0.0331195753554304</v>
      </c>
      <c r="AG47" s="149" t="n">
        <f aca="false">IF(AG$5&lt;=LastHist,0,AG45/INDEX(Sh_Dil,1,28))</f>
        <v>0.0404504900198589</v>
      </c>
      <c r="AI47" s="149" t="n">
        <f aca="false">IFERROR(AI45/INDEX(Sh_Dil,1,MATCH(AI$7,Q_Yr,1)),0)</f>
        <v>0</v>
      </c>
      <c r="AJ47" s="149" t="n">
        <f aca="false">IFERROR(AJ45/INDEX(Sh_Dil,1,MATCH(AJ$7,Q_Yr,1)),0)</f>
        <v>0</v>
      </c>
      <c r="AK47" s="149" t="n">
        <f aca="false">IFERROR(AK45/INDEX(Sh_Dil,1,MATCH(AK$7,Q_Yr,1)),0)</f>
        <v>-0.65114160145764</v>
      </c>
      <c r="AL47" s="149" t="n">
        <f aca="false">IFERROR(AL45/INDEX(Sh_Dil,1,MATCH(AL$7,Q_Yr,1)),0)</f>
        <v>-0.69351158280032</v>
      </c>
      <c r="AM47" s="149" t="n">
        <f aca="false">IFERROR(AM45/INDEX(Sh_Dil,1,MATCH(AM$7,Q_Yr,1)),0)</f>
        <v>-0.240938243444647</v>
      </c>
      <c r="AN47" s="149" t="n">
        <f aca="false">IFERROR(AN45/INDEX(Sh_Dil,1,MATCH(AN$7,Q_Yr,1)),0)</f>
        <v>-0.0633071776682192</v>
      </c>
      <c r="AO47" s="149" t="n">
        <f aca="false">IFERROR(AO45/INDEX(Sh_Dil,1,MATCH(AO$7,Q_Yr,1)),0)</f>
        <v>0.0955051281587264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2661</v>
      </c>
    </row>
    <row r="2" customFormat="false" ht="15" hidden="false" customHeight="false" outlineLevel="0" collapsed="false">
      <c r="A2" s="24" t="s">
        <v>2671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2672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112" t="s">
        <v>2673</v>
      </c>
      <c r="B11" s="24" t="s">
        <v>745</v>
      </c>
      <c r="C11" s="24" t="s">
        <v>2627</v>
      </c>
      <c r="D11" s="24"/>
      <c r="F11" s="130" t="n">
        <f aca="false">IF(F$5&lt;=LastHist,0,INDEX(PL_EBITDA,1,1))</f>
        <v>0</v>
      </c>
      <c r="G11" s="130" t="n">
        <f aca="false">IF(G$5&lt;=LastHist,0,INDEX(PL_EBITDA,1,2))</f>
        <v>0</v>
      </c>
      <c r="H11" s="130" t="n">
        <f aca="false">IF(H$5&lt;=LastHist,0,INDEX(PL_EBITDA,1,3))</f>
        <v>0</v>
      </c>
      <c r="I11" s="130" t="n">
        <f aca="false">IF(I$5&lt;=LastHist,0,INDEX(PL_EBITDA,1,4))</f>
        <v>0</v>
      </c>
      <c r="J11" s="130" t="n">
        <f aca="false">IF(J$5&lt;=LastHist,0,INDEX(PL_EBITDA,1,5))</f>
        <v>0</v>
      </c>
      <c r="K11" s="130" t="n">
        <f aca="false">IF(K$5&lt;=LastHist,0,INDEX(PL_EBITDA,1,6))</f>
        <v>0</v>
      </c>
      <c r="L11" s="130" t="n">
        <f aca="false">IF(L$5&lt;=LastHist,0,INDEX(PL_EBITDA,1,7))</f>
        <v>0</v>
      </c>
      <c r="M11" s="130" t="n">
        <f aca="false">IF(M$5&lt;=LastHist,0,INDEX(PL_EBITDA,1,8))</f>
        <v>0</v>
      </c>
      <c r="N11" s="130" t="n">
        <f aca="false">IF(N$5&lt;=LastHist,0,INDEX(PL_EBITDA,1,9))</f>
        <v>0</v>
      </c>
      <c r="O11" s="130" t="n">
        <f aca="false">IF(O$5&lt;=LastHist,0,INDEX(PL_EBITDA,1,10))</f>
        <v>0</v>
      </c>
      <c r="P11" s="131" t="n">
        <f aca="false">IF(P$5&lt;=LastHist,0,INDEX(PL_EBITDA,1,11))</f>
        <v>263.559609035428</v>
      </c>
      <c r="Q11" s="131" t="n">
        <f aca="false">IF(Q$5&lt;=LastHist,0,INDEX(PL_EBITDA,1,12))</f>
        <v>322.031223100427</v>
      </c>
      <c r="R11" s="131" t="n">
        <f aca="false">IF(R$5&lt;=LastHist,0,INDEX(PL_EBITDA,1,13))</f>
        <v>503.881978194995</v>
      </c>
      <c r="S11" s="131" t="n">
        <f aca="false">IF(S$5&lt;=LastHist,0,INDEX(PL_EBITDA,1,14))</f>
        <v>829.357592441114</v>
      </c>
      <c r="T11" s="131" t="n">
        <f aca="false">IF(T$5&lt;=LastHist,0,INDEX(PL_EBITDA,1,15))</f>
        <v>1282.68868893595</v>
      </c>
      <c r="U11" s="131" t="n">
        <f aca="false">IF(U$5&lt;=LastHist,0,INDEX(PL_EBITDA,1,16))</f>
        <v>1597.2157251687</v>
      </c>
      <c r="V11" s="131" t="n">
        <f aca="false">IF(V$5&lt;=LastHist,0,INDEX(PL_EBITDA,1,17))</f>
        <v>2290.34133907722</v>
      </c>
      <c r="W11" s="131" t="n">
        <f aca="false">IF(W$5&lt;=LastHist,0,INDEX(PL_EBITDA,1,18))</f>
        <v>2739.00848568436</v>
      </c>
      <c r="X11" s="131" t="n">
        <f aca="false">IF(X$5&lt;=LastHist,0,INDEX(PL_EBITDA,1,19))</f>
        <v>3058.98989584838</v>
      </c>
      <c r="Y11" s="131" t="n">
        <f aca="false">IF(Y$5&lt;=LastHist,0,INDEX(PL_EBITDA,1,20))</f>
        <v>3314.36426257132</v>
      </c>
      <c r="Z11" s="131" t="n">
        <f aca="false">IF(Z$5&lt;=LastHist,0,INDEX(PL_EBITDA,1,21))</f>
        <v>3940.61589741152</v>
      </c>
      <c r="AA11" s="131" t="n">
        <f aca="false">IF(AA$5&lt;=LastHist,0,INDEX(PL_EBITDA,1,22))</f>
        <v>4432.04367419188</v>
      </c>
      <c r="AB11" s="131" t="n">
        <f aca="false">IF(AB$5&lt;=LastHist,0,INDEX(PL_EBITDA,1,23))</f>
        <v>4879.02683260599</v>
      </c>
      <c r="AC11" s="131" t="n">
        <f aca="false">IF(AC$5&lt;=LastHist,0,INDEX(PL_EBITDA,1,24))</f>
        <v>5387.38693313388</v>
      </c>
      <c r="AD11" s="131" t="n">
        <f aca="false">IF(AD$5&lt;=LastHist,0,INDEX(PL_EBITDA,1,25))</f>
        <v>6198.94335200888</v>
      </c>
      <c r="AE11" s="131" t="n">
        <f aca="false">IF(AE$5&lt;=LastHist,0,INDEX(PL_EBITDA,1,26))</f>
        <v>6851.79000909883</v>
      </c>
      <c r="AF11" s="131" t="n">
        <f aca="false">IF(AF$5&lt;=LastHist,0,INDEX(PL_EBITDA,1,27))</f>
        <v>6820.19566759381</v>
      </c>
      <c r="AG11" s="131" t="n">
        <f aca="false">IF(AG$5&lt;=LastHist,0,INDEX(PL_EBITDA,1,28))</f>
        <v>6955.10018436921</v>
      </c>
      <c r="AI11" s="131" t="n">
        <f aca="false">SUMIF($F$7:$AG$7,AI$7,$F11:$AG11)</f>
        <v>0</v>
      </c>
      <c r="AJ11" s="131" t="n">
        <f aca="false">SUMIF($F$7:$AG$7,AJ$7,$F11:$AG11)</f>
        <v>0</v>
      </c>
      <c r="AK11" s="131" t="n">
        <f aca="false">SUMIF($F$7:$AG$7,AK$7,$F11:$AG11)</f>
        <v>585.590832135855</v>
      </c>
      <c r="AL11" s="131" t="n">
        <f aca="false">SUMIF($F$7:$AG$7,AL$7,$F11:$AG11)</f>
        <v>4213.14398474076</v>
      </c>
      <c r="AM11" s="131" t="n">
        <f aca="false">SUMIF($F$7:$AG$7,AM$7,$F11:$AG11)</f>
        <v>11402.7039831813</v>
      </c>
      <c r="AN11" s="131" t="n">
        <f aca="false">SUMIF($F$7:$AG$7,AN$7,$F11:$AG11)</f>
        <v>18639.0733373433</v>
      </c>
      <c r="AO11" s="131" t="n">
        <f aca="false">SUMIF($F$7:$AG$7,AO$7,$F11:$AG11)</f>
        <v>26826.0292130707</v>
      </c>
    </row>
    <row r="12" customFormat="false" ht="15" hidden="false" customHeight="false" outlineLevel="0" collapsed="false">
      <c r="A12" s="112" t="s">
        <v>2674</v>
      </c>
      <c r="B12" s="24" t="s">
        <v>745</v>
      </c>
      <c r="C12" s="24" t="s">
        <v>2627</v>
      </c>
      <c r="D12" s="24"/>
      <c r="F12" s="130" t="n">
        <f aca="false">IF(F$5&lt;=LastHist,0,-INDEX(PL_Tax,1,1))</f>
        <v>0</v>
      </c>
      <c r="G12" s="130" t="n">
        <f aca="false">IF(G$5&lt;=LastHist,0,-INDEX(PL_Tax,1,2))</f>
        <v>0</v>
      </c>
      <c r="H12" s="130" t="n">
        <f aca="false">IF(H$5&lt;=LastHist,0,-INDEX(PL_Tax,1,3))</f>
        <v>0</v>
      </c>
      <c r="I12" s="130" t="n">
        <f aca="false">IF(I$5&lt;=LastHist,0,-INDEX(PL_Tax,1,4))</f>
        <v>0</v>
      </c>
      <c r="J12" s="130" t="n">
        <f aca="false">IF(J$5&lt;=LastHist,0,-INDEX(PL_Tax,1,5))</f>
        <v>0</v>
      </c>
      <c r="K12" s="130" t="n">
        <f aca="false">IF(K$5&lt;=LastHist,0,-INDEX(PL_Tax,1,6))</f>
        <v>0</v>
      </c>
      <c r="L12" s="130" t="n">
        <f aca="false">IF(L$5&lt;=LastHist,0,-INDEX(PL_Tax,1,7))</f>
        <v>0</v>
      </c>
      <c r="M12" s="130" t="n">
        <f aca="false">IF(M$5&lt;=LastHist,0,-INDEX(PL_Tax,1,8))</f>
        <v>0</v>
      </c>
      <c r="N12" s="130" t="n">
        <f aca="false">IF(N$5&lt;=LastHist,0,-INDEX(PL_Tax,1,9))</f>
        <v>0</v>
      </c>
      <c r="O12" s="130" t="n">
        <f aca="false">IF(O$5&lt;=LastHist,0,-INDEX(PL_Tax,1,10))</f>
        <v>0</v>
      </c>
      <c r="P12" s="131" t="n">
        <f aca="false">IF(P$5&lt;=LastHist,0,-INDEX(PL_Tax,1,11))</f>
        <v>-0</v>
      </c>
      <c r="Q12" s="131" t="n">
        <f aca="false">IF(Q$5&lt;=LastHist,0,-INDEX(PL_Tax,1,12))</f>
        <v>-0</v>
      </c>
      <c r="R12" s="131" t="n">
        <f aca="false">IF(R$5&lt;=LastHist,0,-INDEX(PL_Tax,1,13))</f>
        <v>-0</v>
      </c>
      <c r="S12" s="131" t="n">
        <f aca="false">IF(S$5&lt;=LastHist,0,-INDEX(PL_Tax,1,14))</f>
        <v>-0</v>
      </c>
      <c r="T12" s="131" t="n">
        <f aca="false">IF(T$5&lt;=LastHist,0,-INDEX(PL_Tax,1,15))</f>
        <v>-0</v>
      </c>
      <c r="U12" s="131" t="n">
        <f aca="false">IF(U$5&lt;=LastHist,0,-INDEX(PL_Tax,1,16))</f>
        <v>-0</v>
      </c>
      <c r="V12" s="131" t="n">
        <f aca="false">IF(V$5&lt;=LastHist,0,-INDEX(PL_Tax,1,17))</f>
        <v>-0</v>
      </c>
      <c r="W12" s="131" t="n">
        <f aca="false">IF(W$5&lt;=LastHist,0,-INDEX(PL_Tax,1,18))</f>
        <v>-0</v>
      </c>
      <c r="X12" s="131" t="n">
        <f aca="false">IF(X$5&lt;=LastHist,0,-INDEX(PL_Tax,1,19))</f>
        <v>-0</v>
      </c>
      <c r="Y12" s="131" t="n">
        <f aca="false">IF(Y$5&lt;=LastHist,0,-INDEX(PL_Tax,1,20))</f>
        <v>-0</v>
      </c>
      <c r="Z12" s="131" t="n">
        <f aca="false">IF(Z$5&lt;=LastHist,0,-INDEX(PL_Tax,1,21))</f>
        <v>-0</v>
      </c>
      <c r="AA12" s="131" t="n">
        <f aca="false">IF(AA$5&lt;=LastHist,0,-INDEX(PL_Tax,1,22))</f>
        <v>-0</v>
      </c>
      <c r="AB12" s="131" t="n">
        <f aca="false">IF(AB$5&lt;=LastHist,0,-INDEX(PL_Tax,1,23))</f>
        <v>-0</v>
      </c>
      <c r="AC12" s="131" t="n">
        <f aca="false">IF(AC$5&lt;=LastHist,0,-INDEX(PL_Tax,1,24))</f>
        <v>-0</v>
      </c>
      <c r="AD12" s="131" t="n">
        <f aca="false">IF(AD$5&lt;=LastHist,0,-INDEX(PL_Tax,1,25))</f>
        <v>-0</v>
      </c>
      <c r="AE12" s="131" t="n">
        <f aca="false">IF(AE$5&lt;=LastHist,0,-INDEX(PL_Tax,1,26))</f>
        <v>-125.05176668535</v>
      </c>
      <c r="AF12" s="131" t="n">
        <f aca="false">IF(AF$5&lt;=LastHist,0,-INDEX(PL_Tax,1,27))</f>
        <v>-130.201235597291</v>
      </c>
      <c r="AG12" s="131" t="n">
        <f aca="false">IF(AG$5&lt;=LastHist,0,-INDEX(PL_Tax,1,28))</f>
        <v>-159.020872839723</v>
      </c>
      <c r="AI12" s="131" t="n">
        <f aca="false">SUMIF($F$7:$AG$7,AI$7,$F12:$AG12)</f>
        <v>0</v>
      </c>
      <c r="AJ12" s="131" t="n">
        <f aca="false">SUMIF($F$7:$AG$7,AJ$7,$F12:$AG12)</f>
        <v>0</v>
      </c>
      <c r="AK12" s="131" t="n">
        <f aca="false">SUMIF($F$7:$AG$7,AK$7,$F12:$AG12)</f>
        <v>0</v>
      </c>
      <c r="AL12" s="131" t="n">
        <f aca="false">SUMIF($F$7:$AG$7,AL$7,$F12:$AG12)</f>
        <v>0</v>
      </c>
      <c r="AM12" s="131" t="n">
        <f aca="false">SUMIF($F$7:$AG$7,AM$7,$F12:$AG12)</f>
        <v>0</v>
      </c>
      <c r="AN12" s="131" t="n">
        <f aca="false">SUMIF($F$7:$AG$7,AN$7,$F12:$AG12)</f>
        <v>0</v>
      </c>
      <c r="AO12" s="131" t="n">
        <f aca="false">SUMIF($F$7:$AG$7,AO$7,$F12:$AG12)</f>
        <v>-414.273875122365</v>
      </c>
    </row>
    <row r="14" customFormat="false" ht="15" hidden="false" customHeight="false" outlineLevel="0" collapsed="false">
      <c r="A14" s="64" t="s">
        <v>2675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6" customFormat="false" ht="15" hidden="false" customHeight="false" outlineLevel="0" collapsed="false">
      <c r="A16" s="64" t="s">
        <v>2676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customFormat="false" ht="15" hidden="false" customHeight="false" outlineLevel="0" collapsed="false">
      <c r="A17" s="112" t="s">
        <v>2677</v>
      </c>
      <c r="B17" s="24" t="s">
        <v>751</v>
      </c>
      <c r="C17" s="24" t="s">
        <v>672</v>
      </c>
      <c r="D17" s="24"/>
      <c r="F17" s="124" t="n">
        <f aca="false">IF(IFERROR(INDEX(MW_New,1,MIN(28,1+GPULead)),0)&gt;0,MIN(1,MAX(0,IFERROR(INDEX(SigMW,1,MIN(28,1+GPULead))-INDEX(SigMW,1,MIN(28,1+GPULead)-1),0))/IFERROR(INDEX(MW_New,1,MIN(28,1+GPULead)),0)),0)</f>
        <v>0</v>
      </c>
      <c r="G17" s="124" t="n">
        <f aca="false">IF(IFERROR(INDEX(MW_New,1,MIN(28,2+GPULead)),0)&gt;0,MIN(1,MAX(0,IFERROR(INDEX(SigMW,1,MIN(28,2+GPULead))-INDEX(SigMW,1,MIN(28,2+GPULead)-1),0))/IFERROR(INDEX(MW_New,1,MIN(28,2+GPULead)),0)),0)</f>
        <v>0</v>
      </c>
      <c r="H17" s="124" t="n">
        <f aca="false">IF(IFERROR(INDEX(MW_New,1,MIN(28,3+GPULead)),0)&gt;0,MIN(1,MAX(0,IFERROR(INDEX(SigMW,1,MIN(28,3+GPULead))-INDEX(SigMW,1,MIN(28,3+GPULead)-1),0))/IFERROR(INDEX(MW_New,1,MIN(28,3+GPULead)),0)),0)</f>
        <v>0</v>
      </c>
      <c r="I17" s="124" t="n">
        <f aca="false">IF(IFERROR(INDEX(MW_New,1,MIN(28,4+GPULead)),0)&gt;0,MIN(1,MAX(0,IFERROR(INDEX(SigMW,1,MIN(28,4+GPULead))-INDEX(SigMW,1,MIN(28,4+GPULead)-1),0))/IFERROR(INDEX(MW_New,1,MIN(28,4+GPULead)),0)),0)</f>
        <v>0</v>
      </c>
      <c r="J17" s="124" t="n">
        <f aca="false">IF(IFERROR(INDEX(MW_New,1,MIN(28,5+GPULead)),0)&gt;0,MIN(1,MAX(0,IFERROR(INDEX(SigMW,1,MIN(28,5+GPULead))-INDEX(SigMW,1,MIN(28,5+GPULead)-1),0))/IFERROR(INDEX(MW_New,1,MIN(28,5+GPULead)),0)),0)</f>
        <v>0</v>
      </c>
      <c r="K17" s="124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24" t="n">
        <f aca="false">IF(IFERROR(INDEX(MW_New,1,MIN(28,7+GPULead)),0)&gt;0,MIN(1,MAX(0,IFERROR(INDEX(SigMW,1,MIN(28,7+GPULead))-INDEX(SigMW,1,MIN(28,7+GPULead)-1),0))/IFERROR(INDEX(MW_New,1,MIN(28,7+GPULead)),0)),0)</f>
        <v>1</v>
      </c>
      <c r="M17" s="124" t="n">
        <f aca="false">IF(IFERROR(INDEX(MW_New,1,MIN(28,8+GPULead)),0)&gt;0,MIN(1,MAX(0,IFERROR(INDEX(SigMW,1,MIN(28,8+GPULead))-INDEX(SigMW,1,MIN(28,8+GPULead)-1),0))/IFERROR(INDEX(MW_New,1,MIN(28,8+GPULead)),0)),0)</f>
        <v>0</v>
      </c>
      <c r="N17" s="124" t="n">
        <f aca="false">IF(IFERROR(INDEX(MW_New,1,MIN(28,9+GPULead)),0)&gt;0,MIN(1,MAX(0,IFERROR(INDEX(SigMW,1,MIN(28,9+GPULead))-INDEX(SigMW,1,MIN(28,9+GPULead)-1),0))/IFERROR(INDEX(MW_New,1,MIN(28,9+GPULead)),0)),0)</f>
        <v>0</v>
      </c>
      <c r="O17" s="124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27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27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27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27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27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27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27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27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27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27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27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27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27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27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27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27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27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27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27" t="n">
        <f aca="false">AVERAGEIF($F$7:$AG$7,AI$7,$F17:$AG17)</f>
        <v>0</v>
      </c>
      <c r="AJ17" s="27" t="n">
        <f aca="false">AVERAGEIF($F$7:$AG$7,AJ$7,$F17:$AG17)</f>
        <v>0.40988102434918</v>
      </c>
      <c r="AK17" s="27" t="n">
        <f aca="false">AVERAGEIF($F$7:$AG$7,AK$7,$F17:$AG17)</f>
        <v>0.0876773342583292</v>
      </c>
      <c r="AL17" s="27" t="n">
        <f aca="false">AVERAGEIF($F$7:$AG$7,AL$7,$F17:$AG17)</f>
        <v>0.262500916074799</v>
      </c>
      <c r="AM17" s="27" t="n">
        <f aca="false">AVERAGEIF($F$7:$AG$7,AM$7,$F17:$AG17)</f>
        <v>0</v>
      </c>
      <c r="AN17" s="27" t="n">
        <f aca="false">AVERAGEIF($F$7:$AG$7,AN$7,$F17:$AG17)</f>
        <v>0</v>
      </c>
      <c r="AO17" s="27" t="n">
        <f aca="false">AVERAGEIF($F$7:$AG$7,AO$7,$F17:$AG17)</f>
        <v>0</v>
      </c>
    </row>
    <row r="18" customFormat="false" ht="15" hidden="false" customHeight="false" outlineLevel="0" collapsed="false">
      <c r="A18" s="112" t="s">
        <v>2678</v>
      </c>
      <c r="B18" s="24" t="s">
        <v>751</v>
      </c>
      <c r="C18" s="24" t="s">
        <v>672</v>
      </c>
      <c r="D18" s="24"/>
      <c r="F18" s="124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24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24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24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24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24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24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24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24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24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27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27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27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27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27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27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27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27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27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27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27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27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27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27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27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27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27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27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27" t="n">
        <f aca="false">AVERAGEIF($F$7:$AG$7,AI$7,$F18:$AG18)</f>
        <v>0</v>
      </c>
      <c r="AJ18" s="27" t="n">
        <f aca="false">AVERAGEIF($F$7:$AG$7,AJ$7,$F18:$AG18)</f>
        <v>0</v>
      </c>
      <c r="AK18" s="27" t="n">
        <f aca="false">AVERAGEIF($F$7:$AG$7,AK$7,$F18:$AG18)</f>
        <v>0</v>
      </c>
      <c r="AL18" s="27" t="n">
        <f aca="false">AVERAGEIF($F$7:$AG$7,AL$7,$F18:$AG18)</f>
        <v>0</v>
      </c>
      <c r="AM18" s="27" t="n">
        <f aca="false">AVERAGEIF($F$7:$AG$7,AM$7,$F18:$AG18)</f>
        <v>0</v>
      </c>
      <c r="AN18" s="27" t="n">
        <f aca="false">AVERAGEIF($F$7:$AG$7,AN$7,$F18:$AG18)</f>
        <v>0</v>
      </c>
      <c r="AO18" s="27" t="n">
        <f aca="false">AVERAGEIF($F$7:$AG$7,AO$7,$F18:$AG18)</f>
        <v>0</v>
      </c>
    </row>
    <row r="19" customFormat="false" ht="15" hidden="false" customHeight="false" outlineLevel="0" collapsed="false">
      <c r="A19" s="112" t="s">
        <v>2679</v>
      </c>
      <c r="B19" s="24" t="s">
        <v>751</v>
      </c>
      <c r="C19" s="24" t="s">
        <v>672</v>
      </c>
      <c r="D19" s="24"/>
      <c r="F19" s="124" t="n">
        <f aca="false">1-F17-F18</f>
        <v>1</v>
      </c>
      <c r="G19" s="124" t="n">
        <f aca="false">1-G17-G18</f>
        <v>1</v>
      </c>
      <c r="H19" s="124" t="n">
        <f aca="false">1-H17-H18</f>
        <v>1</v>
      </c>
      <c r="I19" s="124" t="n">
        <f aca="false">1-I17-I18</f>
        <v>1</v>
      </c>
      <c r="J19" s="124" t="n">
        <f aca="false">1-J17-J18</f>
        <v>1</v>
      </c>
      <c r="K19" s="124" t="n">
        <f aca="false">1-K17-K18</f>
        <v>0.360475902603279</v>
      </c>
      <c r="L19" s="124" t="n">
        <f aca="false">1-L17-L18</f>
        <v>0</v>
      </c>
      <c r="M19" s="124" t="n">
        <f aca="false">1-M17-M18</f>
        <v>1</v>
      </c>
      <c r="N19" s="124" t="n">
        <f aca="false">1-N17-N18</f>
        <v>1</v>
      </c>
      <c r="O19" s="124" t="n">
        <f aca="false">1-O17-O18</f>
        <v>1</v>
      </c>
      <c r="P19" s="27" t="n">
        <f aca="false">1-P17-P18</f>
        <v>1</v>
      </c>
      <c r="Q19" s="27" t="n">
        <f aca="false">1-Q17-Q18</f>
        <v>0.649290662966683</v>
      </c>
      <c r="R19" s="27" t="n">
        <f aca="false">1-R17-R18</f>
        <v>0.241323083228849</v>
      </c>
      <c r="S19" s="27" t="n">
        <f aca="false">1-S17-S18</f>
        <v>0.708673252471953</v>
      </c>
      <c r="T19" s="27" t="n">
        <f aca="false">1-T17-T18</f>
        <v>1</v>
      </c>
      <c r="U19" s="27" t="n">
        <f aca="false">1-U17-U18</f>
        <v>1</v>
      </c>
      <c r="V19" s="27" t="n">
        <f aca="false">1-V17-V18</f>
        <v>1</v>
      </c>
      <c r="W19" s="27" t="n">
        <f aca="false">1-W17-W18</f>
        <v>1</v>
      </c>
      <c r="X19" s="27" t="n">
        <f aca="false">1-X17-X18</f>
        <v>1</v>
      </c>
      <c r="Y19" s="27" t="n">
        <f aca="false">1-Y17-Y18</f>
        <v>1</v>
      </c>
      <c r="Z19" s="27" t="n">
        <f aca="false">1-Z17-Z18</f>
        <v>1</v>
      </c>
      <c r="AA19" s="27" t="n">
        <f aca="false">1-AA17-AA18</f>
        <v>1</v>
      </c>
      <c r="AB19" s="27" t="n">
        <f aca="false">1-AB17-AB18</f>
        <v>1</v>
      </c>
      <c r="AC19" s="27" t="n">
        <f aca="false">1-AC17-AC18</f>
        <v>1</v>
      </c>
      <c r="AD19" s="27" t="n">
        <f aca="false">1-AD17-AD18</f>
        <v>1</v>
      </c>
      <c r="AE19" s="27" t="n">
        <f aca="false">1-AE17-AE18</f>
        <v>1</v>
      </c>
      <c r="AF19" s="27" t="n">
        <f aca="false">1-AF17-AF18</f>
        <v>1</v>
      </c>
      <c r="AG19" s="27" t="n">
        <f aca="false">1-AG17-AG18</f>
        <v>1</v>
      </c>
      <c r="AI19" s="27" t="n">
        <f aca="false">AVERAGEIF($F$7:$AG$7,AI$7,$F19:$AG19)</f>
        <v>1</v>
      </c>
      <c r="AJ19" s="27" t="n">
        <f aca="false">AVERAGEIF($F$7:$AG$7,AJ$7,$F19:$AG19)</f>
        <v>0.59011897565082</v>
      </c>
      <c r="AK19" s="27" t="n">
        <f aca="false">AVERAGEIF($F$7:$AG$7,AK$7,$F19:$AG19)</f>
        <v>0.912322665741671</v>
      </c>
      <c r="AL19" s="27" t="n">
        <f aca="false">AVERAGEIF($F$7:$AG$7,AL$7,$F19:$AG19)</f>
        <v>0.737499083925201</v>
      </c>
      <c r="AM19" s="27" t="n">
        <f aca="false">AVERAGEIF($F$7:$AG$7,AM$7,$F19:$AG19)</f>
        <v>1</v>
      </c>
      <c r="AN19" s="27" t="n">
        <f aca="false">AVERAGEIF($F$7:$AG$7,AN$7,$F19:$AG19)</f>
        <v>1</v>
      </c>
      <c r="AO19" s="27" t="n">
        <f aca="false">AVERAGEIF($F$7:$AG$7,AO$7,$F19:$AG19)</f>
        <v>1</v>
      </c>
    </row>
    <row r="20" customFormat="false" ht="15" hidden="false" customHeight="false" outlineLevel="0" collapsed="false">
      <c r="A20" s="112" t="s">
        <v>2680</v>
      </c>
      <c r="B20" s="24" t="s">
        <v>751</v>
      </c>
      <c r="C20" s="24" t="s">
        <v>683</v>
      </c>
      <c r="D20" s="24"/>
      <c r="F20" s="134" t="n">
        <f aca="false">IF(PrepayDecayOn=0,PrepayPct,IF(F$5&lt;PxCycIdx,PrepayPct,IF(F$5&lt;PrepayIdx28,PrepayPct27,PrepayPct28)))</f>
        <v>0.385</v>
      </c>
      <c r="G20" s="134" t="n">
        <f aca="false">IF(PrepayDecayOn=0,PrepayPct,IF(G$5&lt;PxCycIdx,PrepayPct,IF(G$5&lt;PrepayIdx28,PrepayPct27,PrepayPct28)))</f>
        <v>0.385</v>
      </c>
      <c r="H20" s="134" t="n">
        <f aca="false">IF(PrepayDecayOn=0,PrepayPct,IF(H$5&lt;PxCycIdx,PrepayPct,IF(H$5&lt;PrepayIdx28,PrepayPct27,PrepayPct28)))</f>
        <v>0.385</v>
      </c>
      <c r="I20" s="134" t="n">
        <f aca="false">IF(PrepayDecayOn=0,PrepayPct,IF(I$5&lt;PxCycIdx,PrepayPct,IF(I$5&lt;PrepayIdx28,PrepayPct27,PrepayPct28)))</f>
        <v>0.385</v>
      </c>
      <c r="J20" s="134" t="n">
        <f aca="false">IF(PrepayDecayOn=0,PrepayPct,IF(J$5&lt;PxCycIdx,PrepayPct,IF(J$5&lt;PrepayIdx28,PrepayPct27,PrepayPct28)))</f>
        <v>0.385</v>
      </c>
      <c r="K20" s="134" t="n">
        <f aca="false">IF(PrepayDecayOn=0,PrepayPct,IF(K$5&lt;PxCycIdx,PrepayPct,IF(K$5&lt;PrepayIdx28,PrepayPct27,PrepayPct28)))</f>
        <v>0.385</v>
      </c>
      <c r="L20" s="134" t="n">
        <f aca="false">IF(PrepayDecayOn=0,PrepayPct,IF(L$5&lt;PxCycIdx,PrepayPct,IF(L$5&lt;PrepayIdx28,PrepayPct27,PrepayPct28)))</f>
        <v>0.385</v>
      </c>
      <c r="M20" s="134" t="n">
        <f aca="false">IF(PrepayDecayOn=0,PrepayPct,IF(M$5&lt;PxCycIdx,PrepayPct,IF(M$5&lt;PrepayIdx28,PrepayPct27,PrepayPct28)))</f>
        <v>0.385</v>
      </c>
      <c r="N20" s="134" t="n">
        <f aca="false">IF(PrepayDecayOn=0,PrepayPct,IF(N$5&lt;PxCycIdx,PrepayPct,IF(N$5&lt;PrepayIdx28,PrepayPct27,PrepayPct28)))</f>
        <v>0.385</v>
      </c>
      <c r="O20" s="134" t="n">
        <f aca="false">IF(PrepayDecayOn=0,PrepayPct,IF(O$5&lt;PxCycIdx,PrepayPct,IF(O$5&lt;PrepayIdx28,PrepayPct27,PrepayPct28)))</f>
        <v>0.385</v>
      </c>
      <c r="P20" s="29" t="n">
        <f aca="false">IF(PrepayDecayOn=0,PrepayPct,IF(P$5&lt;PxCycIdx,PrepayPct,IF(P$5&lt;PrepayIdx28,PrepayPct27,PrepayPct28)))</f>
        <v>0.385</v>
      </c>
      <c r="Q20" s="29" t="n">
        <f aca="false">IF(PrepayDecayOn=0,PrepayPct,IF(Q$5&lt;PxCycIdx,PrepayPct,IF(Q$5&lt;PrepayIdx28,PrepayPct27,PrepayPct28)))</f>
        <v>0.385</v>
      </c>
      <c r="R20" s="29" t="n">
        <f aca="false">IF(PrepayDecayOn=0,PrepayPct,IF(R$5&lt;PxCycIdx,PrepayPct,IF(R$5&lt;PrepayIdx28,PrepayPct27,PrepayPct28)))</f>
        <v>0.385</v>
      </c>
      <c r="S20" s="29" t="n">
        <f aca="false">IF(PrepayDecayOn=0,PrepayPct,IF(S$5&lt;PxCycIdx,PrepayPct,IF(S$5&lt;PrepayIdx28,PrepayPct27,PrepayPct28)))</f>
        <v>0.385</v>
      </c>
      <c r="T20" s="29" t="n">
        <f aca="false">IF(PrepayDecayOn=0,PrepayPct,IF(T$5&lt;PxCycIdx,PrepayPct,IF(T$5&lt;PrepayIdx28,PrepayPct27,PrepayPct28)))</f>
        <v>0.385</v>
      </c>
      <c r="U20" s="29" t="n">
        <f aca="false">IF(PrepayDecayOn=0,PrepayPct,IF(U$5&lt;PxCycIdx,PrepayPct,IF(U$5&lt;PrepayIdx28,PrepayPct27,PrepayPct28)))</f>
        <v>0.385</v>
      </c>
      <c r="V20" s="29" t="n">
        <f aca="false">IF(PrepayDecayOn=0,PrepayPct,IF(V$5&lt;PxCycIdx,PrepayPct,IF(V$5&lt;PrepayIdx28,PrepayPct27,PrepayPct28)))</f>
        <v>0.225</v>
      </c>
      <c r="W20" s="29" t="n">
        <f aca="false">IF(PrepayDecayOn=0,PrepayPct,IF(W$5&lt;PxCycIdx,PrepayPct,IF(W$5&lt;PrepayIdx28,PrepayPct27,PrepayPct28)))</f>
        <v>0.225</v>
      </c>
      <c r="X20" s="29" t="n">
        <f aca="false">IF(PrepayDecayOn=0,PrepayPct,IF(X$5&lt;PxCycIdx,PrepayPct,IF(X$5&lt;PrepayIdx28,PrepayPct27,PrepayPct28)))</f>
        <v>0.225</v>
      </c>
      <c r="Y20" s="29" t="n">
        <f aca="false">IF(PrepayDecayOn=0,PrepayPct,IF(Y$5&lt;PxCycIdx,PrepayPct,IF(Y$5&lt;PrepayIdx28,PrepayPct27,PrepayPct28)))</f>
        <v>0.225</v>
      </c>
      <c r="Z20" s="29" t="n">
        <f aca="false">IF(PrepayDecayOn=0,PrepayPct,IF(Z$5&lt;PxCycIdx,PrepayPct,IF(Z$5&lt;PrepayIdx28,PrepayPct27,PrepayPct28)))</f>
        <v>0.225</v>
      </c>
      <c r="AA20" s="29" t="n">
        <f aca="false">IF(PrepayDecayOn=0,PrepayPct,IF(AA$5&lt;PxCycIdx,PrepayPct,IF(AA$5&lt;PrepayIdx28,PrepayPct27,PrepayPct28)))</f>
        <v>0.225</v>
      </c>
      <c r="AB20" s="29" t="n">
        <f aca="false">IF(PrepayDecayOn=0,PrepayPct,IF(AB$5&lt;PxCycIdx,PrepayPct,IF(AB$5&lt;PrepayIdx28,PrepayPct27,PrepayPct28)))</f>
        <v>0.225</v>
      </c>
      <c r="AC20" s="29" t="n">
        <f aca="false">IF(PrepayDecayOn=0,PrepayPct,IF(AC$5&lt;PxCycIdx,PrepayPct,IF(AC$5&lt;PrepayIdx28,PrepayPct27,PrepayPct28)))</f>
        <v>0.225</v>
      </c>
      <c r="AD20" s="29" t="n">
        <f aca="false">IF(PrepayDecayOn=0,PrepayPct,IF(AD$5&lt;PxCycIdx,PrepayPct,IF(AD$5&lt;PrepayIdx28,PrepayPct27,PrepayPct28)))</f>
        <v>0.225</v>
      </c>
      <c r="AE20" s="29" t="n">
        <f aca="false">IF(PrepayDecayOn=0,PrepayPct,IF(AE$5&lt;PxCycIdx,PrepayPct,IF(AE$5&lt;PrepayIdx28,PrepayPct27,PrepayPct28)))</f>
        <v>0.225</v>
      </c>
      <c r="AF20" s="29" t="n">
        <f aca="false">IF(PrepayDecayOn=0,PrepayPct,IF(AF$5&lt;PxCycIdx,PrepayPct,IF(AF$5&lt;PrepayIdx28,PrepayPct27,PrepayPct28)))</f>
        <v>0.225</v>
      </c>
      <c r="AG20" s="29" t="n">
        <f aca="false">IF(PrepayDecayOn=0,PrepayPct,IF(AG$5&lt;PxCycIdx,PrepayPct,IF(AG$5&lt;PrepayIdx28,PrepayPct27,PrepayPct28)))</f>
        <v>0.225</v>
      </c>
      <c r="AI20" s="29" t="n">
        <f aca="false">AVERAGEIF($F$7:$AG$7,AI$7,$F20:$AG20)</f>
        <v>0.385</v>
      </c>
      <c r="AJ20" s="29" t="n">
        <f aca="false">AVERAGEIF($F$7:$AG$7,AJ$7,$F20:$AG20)</f>
        <v>0.385</v>
      </c>
      <c r="AK20" s="29" t="n">
        <f aca="false">AVERAGEIF($F$7:$AG$7,AK$7,$F20:$AG20)</f>
        <v>0.385</v>
      </c>
      <c r="AL20" s="29" t="n">
        <f aca="false">AVERAGEIF($F$7:$AG$7,AL$7,$F20:$AG20)</f>
        <v>0.385</v>
      </c>
      <c r="AM20" s="29" t="n">
        <f aca="false">AVERAGEIF($F$7:$AG$7,AM$7,$F20:$AG20)</f>
        <v>0.225</v>
      </c>
      <c r="AN20" s="29" t="n">
        <f aca="false">AVERAGEIF($F$7:$AG$7,AN$7,$F20:$AG20)</f>
        <v>0.225</v>
      </c>
      <c r="AO20" s="29" t="n">
        <f aca="false">AVERAGEIF($F$7:$AG$7,AO$7,$F20:$AG20)</f>
        <v>0.225</v>
      </c>
    </row>
    <row r="21" customFormat="false" ht="15" hidden="false" customHeight="false" outlineLevel="0" collapsed="false">
      <c r="A21" s="112" t="s">
        <v>2681</v>
      </c>
      <c r="B21" s="24" t="s">
        <v>745</v>
      </c>
      <c r="C21" s="24" t="s">
        <v>736</v>
      </c>
      <c r="D21" s="24" t="s">
        <v>2682</v>
      </c>
      <c r="F21" s="130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30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30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30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30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30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30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30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30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30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31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31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31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31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31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31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31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31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31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31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31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31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31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31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31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31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31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31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31" t="n">
        <f aca="false">SUMIF($F$7:$AG$7,AI$7,$F21:$AG21)</f>
        <v>0</v>
      </c>
      <c r="AJ21" s="131" t="n">
        <f aca="false">SUMIF($F$7:$AG$7,AJ$7,$F21:$AG21)</f>
        <v>0</v>
      </c>
      <c r="AK21" s="131" t="n">
        <f aca="false">SUMIF($F$7:$AG$7,AK$7,$F21:$AG21)</f>
        <v>2400</v>
      </c>
      <c r="AL21" s="131" t="n">
        <f aca="false">SUMIF($F$7:$AG$7,AL$7,$F21:$AG21)</f>
        <v>4800</v>
      </c>
      <c r="AM21" s="131" t="n">
        <f aca="false">SUMIF($F$7:$AG$7,AM$7,$F21:$AG21)</f>
        <v>4800</v>
      </c>
      <c r="AN21" s="131" t="n">
        <f aca="false">SUMIF($F$7:$AG$7,AN$7,$F21:$AG21)</f>
        <v>8079.98904</v>
      </c>
      <c r="AO21" s="131" t="n">
        <f aca="false">SUMIF($F$7:$AG$7,AO$7,$F21:$AG21)</f>
        <v>0</v>
      </c>
    </row>
    <row r="22" customFormat="false" ht="15" hidden="false" customHeight="false" outlineLevel="0" collapsed="false">
      <c r="A22" s="112" t="s">
        <v>2683</v>
      </c>
      <c r="B22" s="24" t="s">
        <v>745</v>
      </c>
      <c r="C22" s="24" t="s">
        <v>736</v>
      </c>
      <c r="D22" s="24" t="s">
        <v>2684</v>
      </c>
      <c r="F22" s="130" t="n">
        <f aca="false">IF(F$5&lt;=LastHist,0,IF(F$5&lt;=LastHist+4,DR_Cur/4,IF(F$5&lt;=LastHist+8,(DR_24-DR_Cur)/4,IF(F$5&lt;=LastHist+8+DR_TailQ,(INDEX(H_DR,1,LastHist)-DR_24)/DR_TailQ,0))))</f>
        <v>0</v>
      </c>
      <c r="G22" s="130" t="n">
        <f aca="false">IF(G$5&lt;=LastHist,0,IF(G$5&lt;=LastHist+4,DR_Cur/4,IF(G$5&lt;=LastHist+8,(DR_24-DR_Cur)/4,IF(G$5&lt;=LastHist+8+DR_TailQ,(INDEX(H_DR,1,LastHist)-DR_24)/DR_TailQ,0))))</f>
        <v>0</v>
      </c>
      <c r="H22" s="130" t="n">
        <f aca="false">IF(H$5&lt;=LastHist,0,IF(H$5&lt;=LastHist+4,DR_Cur/4,IF(H$5&lt;=LastHist+8,(DR_24-DR_Cur)/4,IF(H$5&lt;=LastHist+8+DR_TailQ,(INDEX(H_DR,1,LastHist)-DR_24)/DR_TailQ,0))))</f>
        <v>0</v>
      </c>
      <c r="I22" s="130" t="n">
        <f aca="false">IF(I$5&lt;=LastHist,0,IF(I$5&lt;=LastHist+4,DR_Cur/4,IF(I$5&lt;=LastHist+8,(DR_24-DR_Cur)/4,IF(I$5&lt;=LastHist+8+DR_TailQ,(INDEX(H_DR,1,LastHist)-DR_24)/DR_TailQ,0))))</f>
        <v>0</v>
      </c>
      <c r="J22" s="130" t="n">
        <f aca="false">IF(J$5&lt;=LastHist,0,IF(J$5&lt;=LastHist+4,DR_Cur/4,IF(J$5&lt;=LastHist+8,(DR_24-DR_Cur)/4,IF(J$5&lt;=LastHist+8+DR_TailQ,(INDEX(H_DR,1,LastHist)-DR_24)/DR_TailQ,0))))</f>
        <v>0</v>
      </c>
      <c r="K22" s="130" t="n">
        <f aca="false">IF(K$5&lt;=LastHist,0,IF(K$5&lt;=LastHist+4,DR_Cur/4,IF(K$5&lt;=LastHist+8,(DR_24-DR_Cur)/4,IF(K$5&lt;=LastHist+8+DR_TailQ,(INDEX(H_DR,1,LastHist)-DR_24)/DR_TailQ,0))))</f>
        <v>0</v>
      </c>
      <c r="L22" s="130" t="n">
        <f aca="false">IF(L$5&lt;=LastHist,0,IF(L$5&lt;=LastHist+4,DR_Cur/4,IF(L$5&lt;=LastHist+8,(DR_24-DR_Cur)/4,IF(L$5&lt;=LastHist+8+DR_TailQ,(INDEX(H_DR,1,LastHist)-DR_24)/DR_TailQ,0))))</f>
        <v>0</v>
      </c>
      <c r="M22" s="130" t="n">
        <f aca="false">IF(M$5&lt;=LastHist,0,IF(M$5&lt;=LastHist+4,DR_Cur/4,IF(M$5&lt;=LastHist+8,(DR_24-DR_Cur)/4,IF(M$5&lt;=LastHist+8+DR_TailQ,(INDEX(H_DR,1,LastHist)-DR_24)/DR_TailQ,0))))</f>
        <v>0</v>
      </c>
      <c r="N22" s="130" t="n">
        <f aca="false">IF(N$5&lt;=LastHist,0,IF(N$5&lt;=LastHist+4,DR_Cur/4,IF(N$5&lt;=LastHist+8,(DR_24-DR_Cur)/4,IF(N$5&lt;=LastHist+8+DR_TailQ,(INDEX(H_DR,1,LastHist)-DR_24)/DR_TailQ,0))))</f>
        <v>0</v>
      </c>
      <c r="O22" s="130" t="n">
        <f aca="false">IF(O$5&lt;=LastHist,0,IF(O$5&lt;=LastHist+4,DR_Cur/4,IF(O$5&lt;=LastHist+8,(DR_24-DR_Cur)/4,IF(O$5&lt;=LastHist+8+DR_TailQ,(INDEX(H_DR,1,LastHist)-DR_24)/DR_TailQ,0))))</f>
        <v>0</v>
      </c>
      <c r="P22" s="131" t="n">
        <f aca="false">IF(P$5&lt;=LastHist,0,IF(P$5&lt;=LastHist+4,DR_Cur/4,IF(P$5&lt;=LastHist+8,(DR_24-DR_Cur)/4,IF(P$5&lt;=LastHist+8+DR_TailQ,(INDEX(H_DR,1,LastHist)-DR_24)/DR_TailQ,0))))</f>
        <v>244.85</v>
      </c>
      <c r="Q22" s="131" t="n">
        <f aca="false">IF(Q$5&lt;=LastHist,0,IF(Q$5&lt;=LastHist+4,DR_Cur/4,IF(Q$5&lt;=LastHist+8,(DR_24-DR_Cur)/4,IF(Q$5&lt;=LastHist+8+DR_TailQ,(INDEX(H_DR,1,LastHist)-DR_24)/DR_TailQ,0))))</f>
        <v>244.85</v>
      </c>
      <c r="R22" s="131" t="n">
        <f aca="false">IF(R$5&lt;=LastHist,0,IF(R$5&lt;=LastHist+4,DR_Cur/4,IF(R$5&lt;=LastHist+8,(DR_24-DR_Cur)/4,IF(R$5&lt;=LastHist+8+DR_TailQ,(INDEX(H_DR,1,LastHist)-DR_24)/DR_TailQ,0))))</f>
        <v>244.85</v>
      </c>
      <c r="S22" s="131" t="n">
        <f aca="false">IF(S$5&lt;=LastHist,0,IF(S$5&lt;=LastHist+4,DR_Cur/4,IF(S$5&lt;=LastHist+8,(DR_24-DR_Cur)/4,IF(S$5&lt;=LastHist+8+DR_TailQ,(INDEX(H_DR,1,LastHist)-DR_24)/DR_TailQ,0))))</f>
        <v>244.85</v>
      </c>
      <c r="T22" s="131" t="n">
        <f aca="false">IF(T$5&lt;=LastHist,0,IF(T$5&lt;=LastHist+4,DR_Cur/4,IF(T$5&lt;=LastHist+8,(DR_24-DR_Cur)/4,IF(T$5&lt;=LastHist+8+DR_TailQ,(INDEX(H_DR,1,LastHist)-DR_24)/DR_TailQ,0))))</f>
        <v>317.65</v>
      </c>
      <c r="U22" s="131" t="n">
        <f aca="false">IF(U$5&lt;=LastHist,0,IF(U$5&lt;=LastHist+4,DR_Cur/4,IF(U$5&lt;=LastHist+8,(DR_24-DR_Cur)/4,IF(U$5&lt;=LastHist+8+DR_TailQ,(INDEX(H_DR,1,LastHist)-DR_24)/DR_TailQ,0))))</f>
        <v>317.65</v>
      </c>
      <c r="V22" s="131" t="n">
        <f aca="false">IF(V$5&lt;=LastHist,0,IF(V$5&lt;=LastHist+4,DR_Cur/4,IF(V$5&lt;=LastHist+8,(DR_24-DR_Cur)/4,IF(V$5&lt;=LastHist+8+DR_TailQ,(INDEX(H_DR,1,LastHist)-DR_24)/DR_TailQ,0))))</f>
        <v>317.65</v>
      </c>
      <c r="W22" s="131" t="n">
        <f aca="false">IF(W$5&lt;=LastHist,0,IF(W$5&lt;=LastHist+4,DR_Cur/4,IF(W$5&lt;=LastHist+8,(DR_24-DR_Cur)/4,IF(W$5&lt;=LastHist+8+DR_TailQ,(INDEX(H_DR,1,LastHist)-DR_24)/DR_TailQ,0))))</f>
        <v>317.65</v>
      </c>
      <c r="X22" s="131" t="n">
        <f aca="false">IF(X$5&lt;=LastHist,0,IF(X$5&lt;=LastHist+4,DR_Cur/4,IF(X$5&lt;=LastHist+8,(DR_24-DR_Cur)/4,IF(X$5&lt;=LastHist+8+DR_TailQ,(INDEX(H_DR,1,LastHist)-DR_24)/DR_TailQ,0))))</f>
        <v>310.416666666667</v>
      </c>
      <c r="Y22" s="131" t="n">
        <f aca="false">IF(Y$5&lt;=LastHist,0,IF(Y$5&lt;=LastHist+4,DR_Cur/4,IF(Y$5&lt;=LastHist+8,(DR_24-DR_Cur)/4,IF(Y$5&lt;=LastHist+8+DR_TailQ,(INDEX(H_DR,1,LastHist)-DR_24)/DR_TailQ,0))))</f>
        <v>310.416666666667</v>
      </c>
      <c r="Z22" s="131" t="n">
        <f aca="false">IF(Z$5&lt;=LastHist,0,IF(Z$5&lt;=LastHist+4,DR_Cur/4,IF(Z$5&lt;=LastHist+8,(DR_24-DR_Cur)/4,IF(Z$5&lt;=LastHist+8+DR_TailQ,(INDEX(H_DR,1,LastHist)-DR_24)/DR_TailQ,0))))</f>
        <v>310.416666666667</v>
      </c>
      <c r="AA22" s="131" t="n">
        <f aca="false">IF(AA$5&lt;=LastHist,0,IF(AA$5&lt;=LastHist+4,DR_Cur/4,IF(AA$5&lt;=LastHist+8,(DR_24-DR_Cur)/4,IF(AA$5&lt;=LastHist+8+DR_TailQ,(INDEX(H_DR,1,LastHist)-DR_24)/DR_TailQ,0))))</f>
        <v>310.416666666667</v>
      </c>
      <c r="AB22" s="131" t="n">
        <f aca="false">IF(AB$5&lt;=LastHist,0,IF(AB$5&lt;=LastHist+4,DR_Cur/4,IF(AB$5&lt;=LastHist+8,(DR_24-DR_Cur)/4,IF(AB$5&lt;=LastHist+8+DR_TailQ,(INDEX(H_DR,1,LastHist)-DR_24)/DR_TailQ,0))))</f>
        <v>310.416666666667</v>
      </c>
      <c r="AC22" s="131" t="n">
        <f aca="false">IF(AC$5&lt;=LastHist,0,IF(AC$5&lt;=LastHist+4,DR_Cur/4,IF(AC$5&lt;=LastHist+8,(DR_24-DR_Cur)/4,IF(AC$5&lt;=LastHist+8+DR_TailQ,(INDEX(H_DR,1,LastHist)-DR_24)/DR_TailQ,0))))</f>
        <v>310.416666666667</v>
      </c>
      <c r="AD22" s="131" t="n">
        <f aca="false">IF(AD$5&lt;=LastHist,0,IF(AD$5&lt;=LastHist+4,DR_Cur/4,IF(AD$5&lt;=LastHist+8,(DR_24-DR_Cur)/4,IF(AD$5&lt;=LastHist+8+DR_TailQ,(INDEX(H_DR,1,LastHist)-DR_24)/DR_TailQ,0))))</f>
        <v>310.416666666667</v>
      </c>
      <c r="AE22" s="131" t="n">
        <f aca="false">IF(AE$5&lt;=LastHist,0,IF(AE$5&lt;=LastHist+4,DR_Cur/4,IF(AE$5&lt;=LastHist+8,(DR_24-DR_Cur)/4,IF(AE$5&lt;=LastHist+8+DR_TailQ,(INDEX(H_DR,1,LastHist)-DR_24)/DR_TailQ,0))))</f>
        <v>310.416666666667</v>
      </c>
      <c r="AF22" s="131" t="n">
        <f aca="false">IF(AF$5&lt;=LastHist,0,IF(AF$5&lt;=LastHist+4,DR_Cur/4,IF(AF$5&lt;=LastHist+8,(DR_24-DR_Cur)/4,IF(AF$5&lt;=LastHist+8+DR_TailQ,(INDEX(H_DR,1,LastHist)-DR_24)/DR_TailQ,0))))</f>
        <v>310.416666666667</v>
      </c>
      <c r="AG22" s="131" t="n">
        <f aca="false">IF(AG$5&lt;=LastHist,0,IF(AG$5&lt;=LastHist+4,DR_Cur/4,IF(AG$5&lt;=LastHist+8,(DR_24-DR_Cur)/4,IF(AG$5&lt;=LastHist+8+DR_TailQ,(INDEX(H_DR,1,LastHist)-DR_24)/DR_TailQ,0))))</f>
        <v>310.416666666667</v>
      </c>
      <c r="AI22" s="131" t="n">
        <f aca="false">SUMIF($F$7:$AG$7,AI$7,$F22:$AG22)</f>
        <v>0</v>
      </c>
      <c r="AJ22" s="131" t="n">
        <f aca="false">SUMIF($F$7:$AG$7,AJ$7,$F22:$AG22)</f>
        <v>0</v>
      </c>
      <c r="AK22" s="131" t="n">
        <f aca="false">SUMIF($F$7:$AG$7,AK$7,$F22:$AG22)</f>
        <v>489.7</v>
      </c>
      <c r="AL22" s="131" t="n">
        <f aca="false">SUMIF($F$7:$AG$7,AL$7,$F22:$AG22)</f>
        <v>1125</v>
      </c>
      <c r="AM22" s="131" t="n">
        <f aca="false">SUMIF($F$7:$AG$7,AM$7,$F22:$AG22)</f>
        <v>1256.13333333333</v>
      </c>
      <c r="AN22" s="131" t="n">
        <f aca="false">SUMIF($F$7:$AG$7,AN$7,$F22:$AG22)</f>
        <v>1241.66666666667</v>
      </c>
      <c r="AO22" s="131" t="n">
        <f aca="false">SUMIF($F$7:$AG$7,AO$7,$F22:$AG22)</f>
        <v>1241.66666666667</v>
      </c>
    </row>
    <row r="23" customFormat="false" ht="15" hidden="false" customHeight="false" outlineLevel="0" collapsed="false">
      <c r="A23" s="112" t="s">
        <v>2685</v>
      </c>
      <c r="B23" s="24" t="s">
        <v>745</v>
      </c>
      <c r="C23" s="24" t="s">
        <v>672</v>
      </c>
      <c r="D23" s="24" t="s">
        <v>2686</v>
      </c>
      <c r="F23" s="130" t="n">
        <f aca="false">IF(F$5&lt;=LastHist,0,SUMPRODUCT(($F$5:$AG$5+GPULead&lt;=F$5)*($F$5:$AG$5+GPULead+DR_AmortQ&gt;F$5)*$F$21:$AG$21)/DR_AmortQ)</f>
        <v>0</v>
      </c>
      <c r="G23" s="130" t="n">
        <f aca="false">IF(G$5&lt;=LastHist,0,SUMPRODUCT(($F$5:$AG$5+GPULead&lt;=G$5)*($F$5:$AG$5+GPULead+DR_AmortQ&gt;G$5)*$F$21:$AG$21)/DR_AmortQ)</f>
        <v>0</v>
      </c>
      <c r="H23" s="130" t="n">
        <f aca="false">IF(H$5&lt;=LastHist,0,SUMPRODUCT(($F$5:$AG$5+GPULead&lt;=H$5)*($F$5:$AG$5+GPULead+DR_AmortQ&gt;H$5)*$F$21:$AG$21)/DR_AmortQ)</f>
        <v>0</v>
      </c>
      <c r="I23" s="130" t="n">
        <f aca="false">IF(I$5&lt;=LastHist,0,SUMPRODUCT(($F$5:$AG$5+GPULead&lt;=I$5)*($F$5:$AG$5+GPULead+DR_AmortQ&gt;I$5)*$F$21:$AG$21)/DR_AmortQ)</f>
        <v>0</v>
      </c>
      <c r="J23" s="130" t="n">
        <f aca="false">IF(J$5&lt;=LastHist,0,SUMPRODUCT(($F$5:$AG$5+GPULead&lt;=J$5)*($F$5:$AG$5+GPULead+DR_AmortQ&gt;J$5)*$F$21:$AG$21)/DR_AmortQ)</f>
        <v>0</v>
      </c>
      <c r="K23" s="130" t="n">
        <f aca="false">IF(K$5&lt;=LastHist,0,SUMPRODUCT(($F$5:$AG$5+GPULead&lt;=K$5)*($F$5:$AG$5+GPULead+DR_AmortQ&gt;K$5)*$F$21:$AG$21)/DR_AmortQ)</f>
        <v>0</v>
      </c>
      <c r="L23" s="130" t="n">
        <f aca="false">IF(L$5&lt;=LastHist,0,SUMPRODUCT(($F$5:$AG$5+GPULead&lt;=L$5)*($F$5:$AG$5+GPULead+DR_AmortQ&gt;L$5)*$F$21:$AG$21)/DR_AmortQ)</f>
        <v>0</v>
      </c>
      <c r="M23" s="130" t="n">
        <f aca="false">IF(M$5&lt;=LastHist,0,SUMPRODUCT(($F$5:$AG$5+GPULead&lt;=M$5)*($F$5:$AG$5+GPULead+DR_AmortQ&gt;M$5)*$F$21:$AG$21)/DR_AmortQ)</f>
        <v>0</v>
      </c>
      <c r="N23" s="130" t="n">
        <f aca="false">IF(N$5&lt;=LastHist,0,SUMPRODUCT(($F$5:$AG$5+GPULead&lt;=N$5)*($F$5:$AG$5+GPULead+DR_AmortQ&gt;N$5)*$F$21:$AG$21)/DR_AmortQ)</f>
        <v>0</v>
      </c>
      <c r="O23" s="130" t="n">
        <f aca="false">IF(O$5&lt;=LastHist,0,SUMPRODUCT(($F$5:$AG$5+GPULead&lt;=O$5)*($F$5:$AG$5+GPULead+DR_AmortQ&gt;O$5)*$F$21:$AG$21)/DR_AmortQ)</f>
        <v>0</v>
      </c>
      <c r="P23" s="131" t="n">
        <f aca="false">IF(P$5&lt;=LastHist,0,SUMPRODUCT(($F$5:$AG$5+GPULead&lt;=P$5)*($F$5:$AG$5+GPULead+DR_AmortQ&gt;P$5)*$F$21:$AG$21)/DR_AmortQ)</f>
        <v>0</v>
      </c>
      <c r="Q23" s="131" t="n">
        <f aca="false">IF(Q$5&lt;=LastHist,0,SUMPRODUCT(($F$5:$AG$5+GPULead&lt;=Q$5)*($F$5:$AG$5+GPULead+DR_AmortQ&gt;Q$5)*$F$21:$AG$21)/DR_AmortQ)</f>
        <v>0</v>
      </c>
      <c r="R23" s="131" t="n">
        <f aca="false">IF(R$5&lt;=LastHist,0,SUMPRODUCT(($F$5:$AG$5+GPULead&lt;=R$5)*($F$5:$AG$5+GPULead+DR_AmortQ&gt;R$5)*$F$21:$AG$21)/DR_AmortQ)</f>
        <v>75</v>
      </c>
      <c r="S23" s="131" t="n">
        <f aca="false">IF(S$5&lt;=LastHist,0,SUMPRODUCT(($F$5:$AG$5+GPULead&lt;=S$5)*($F$5:$AG$5+GPULead+DR_AmortQ&gt;S$5)*$F$21:$AG$21)/DR_AmortQ)</f>
        <v>150</v>
      </c>
      <c r="T23" s="131" t="n">
        <f aca="false">IF(T$5&lt;=LastHist,0,SUMPRODUCT(($F$5:$AG$5+GPULead&lt;=T$5)*($F$5:$AG$5+GPULead+DR_AmortQ&gt;T$5)*$F$21:$AG$21)/DR_AmortQ)</f>
        <v>225</v>
      </c>
      <c r="U23" s="131" t="n">
        <f aca="false">IF(U$5&lt;=LastHist,0,SUMPRODUCT(($F$5:$AG$5+GPULead&lt;=U$5)*($F$5:$AG$5+GPULead+DR_AmortQ&gt;U$5)*$F$21:$AG$21)/DR_AmortQ)</f>
        <v>300</v>
      </c>
      <c r="V23" s="131" t="n">
        <f aca="false">IF(V$5&lt;=LastHist,0,SUMPRODUCT(($F$5:$AG$5+GPULead&lt;=V$5)*($F$5:$AG$5+GPULead+DR_AmortQ&gt;V$5)*$F$21:$AG$21)/DR_AmortQ)</f>
        <v>375</v>
      </c>
      <c r="W23" s="131" t="n">
        <f aca="false">IF(W$5&lt;=LastHist,0,SUMPRODUCT(($F$5:$AG$5+GPULead&lt;=W$5)*($F$5:$AG$5+GPULead+DR_AmortQ&gt;W$5)*$F$21:$AG$21)/DR_AmortQ)</f>
        <v>450</v>
      </c>
      <c r="X23" s="131" t="n">
        <f aca="false">IF(X$5&lt;=LastHist,0,SUMPRODUCT(($F$5:$AG$5+GPULead&lt;=X$5)*($F$5:$AG$5+GPULead+DR_AmortQ&gt;X$5)*$F$21:$AG$21)/DR_AmortQ)</f>
        <v>525</v>
      </c>
      <c r="Y23" s="131" t="n">
        <f aca="false">IF(Y$5&lt;=LastHist,0,SUMPRODUCT(($F$5:$AG$5+GPULead&lt;=Y$5)*($F$5:$AG$5+GPULead+DR_AmortQ&gt;Y$5)*$F$21:$AG$21)/DR_AmortQ)</f>
        <v>600</v>
      </c>
      <c r="Z23" s="131" t="n">
        <f aca="false">IF(Z$5&lt;=LastHist,0,SUMPRODUCT(($F$5:$AG$5+GPULead&lt;=Z$5)*($F$5:$AG$5+GPULead+DR_AmortQ&gt;Z$5)*$F$21:$AG$21)/DR_AmortQ)</f>
        <v>675</v>
      </c>
      <c r="AA23" s="131" t="n">
        <f aca="false">IF(AA$5&lt;=LastHist,0,SUMPRODUCT(($F$5:$AG$5+GPULead&lt;=AA$5)*($F$5:$AG$5+GPULead+DR_AmortQ&gt;AA$5)*$F$21:$AG$21)/DR_AmortQ)</f>
        <v>750</v>
      </c>
      <c r="AB23" s="131" t="n">
        <f aca="false">IF(AB$5&lt;=LastHist,0,SUMPRODUCT(($F$5:$AG$5+GPULead&lt;=AB$5)*($F$5:$AG$5+GPULead+DR_AmortQ&gt;AB$5)*$F$21:$AG$21)/DR_AmortQ)</f>
        <v>925.4278509375</v>
      </c>
      <c r="AC23" s="131" t="n">
        <f aca="false">IF(AC$5&lt;=LastHist,0,SUMPRODUCT(($F$5:$AG$5+GPULead&lt;=AC$5)*($F$5:$AG$5+GPULead+DR_AmortQ&gt;AC$5)*$F$21:$AG$21)/DR_AmortQ)</f>
        <v>1003.74806578125</v>
      </c>
      <c r="AD23" s="131" t="n">
        <f aca="false">IF(AD$5&lt;=LastHist,0,SUMPRODUCT(($F$5:$AG$5+GPULead&lt;=AD$5)*($F$5:$AG$5+GPULead+DR_AmortQ&gt;AD$5)*$F$21:$AG$21)/DR_AmortQ)</f>
        <v>1254.999315</v>
      </c>
      <c r="AE23" s="131" t="n">
        <f aca="false">IF(AE$5&lt;=LastHist,0,SUMPRODUCT(($F$5:$AG$5+GPULead&lt;=AE$5)*($F$5:$AG$5+GPULead+DR_AmortQ&gt;AE$5)*$F$21:$AG$21)/DR_AmortQ)</f>
        <v>1254.999315</v>
      </c>
      <c r="AF23" s="131" t="n">
        <f aca="false">IF(AF$5&lt;=LastHist,0,SUMPRODUCT(($F$5:$AG$5+GPULead&lt;=AF$5)*($F$5:$AG$5+GPULead+DR_AmortQ&gt;AF$5)*$F$21:$AG$21)/DR_AmortQ)</f>
        <v>1254.999315</v>
      </c>
      <c r="AG23" s="131" t="n">
        <f aca="false">IF(AG$5&lt;=LastHist,0,SUMPRODUCT(($F$5:$AG$5+GPULead&lt;=AG$5)*($F$5:$AG$5+GPULead+DR_AmortQ&gt;AG$5)*$F$21:$AG$21)/DR_AmortQ)</f>
        <v>1254.999315</v>
      </c>
      <c r="AI23" s="131" t="n">
        <f aca="false">SUMIF($F$7:$AG$7,AI$7,$F23:$AG23)</f>
        <v>0</v>
      </c>
      <c r="AJ23" s="131" t="n">
        <f aca="false">SUMIF($F$7:$AG$7,AJ$7,$F23:$AG23)</f>
        <v>0</v>
      </c>
      <c r="AK23" s="131" t="n">
        <f aca="false">SUMIF($F$7:$AG$7,AK$7,$F23:$AG23)</f>
        <v>0</v>
      </c>
      <c r="AL23" s="131" t="n">
        <f aca="false">SUMIF($F$7:$AG$7,AL$7,$F23:$AG23)</f>
        <v>750</v>
      </c>
      <c r="AM23" s="131" t="n">
        <f aca="false">SUMIF($F$7:$AG$7,AM$7,$F23:$AG23)</f>
        <v>1950</v>
      </c>
      <c r="AN23" s="131" t="n">
        <f aca="false">SUMIF($F$7:$AG$7,AN$7,$F23:$AG23)</f>
        <v>3354.17591671875</v>
      </c>
      <c r="AO23" s="131" t="n">
        <f aca="false">SUMIF($F$7:$AG$7,AO$7,$F23:$AG23)</f>
        <v>5019.99726</v>
      </c>
    </row>
    <row r="24" customFormat="false" ht="15" hidden="false" customHeight="false" outlineLevel="0" collapsed="false">
      <c r="A24" s="112" t="s">
        <v>2687</v>
      </c>
      <c r="B24" s="24" t="s">
        <v>745</v>
      </c>
      <c r="C24" s="24" t="s">
        <v>672</v>
      </c>
      <c r="D24" s="24" t="s">
        <v>2688</v>
      </c>
      <c r="F24" s="130" t="n">
        <f aca="false">IF(DRSchedMode=1,F22+F23,IF(F$5&lt;=LastHist,0,E25/DR_AmortQ))</f>
        <v>0</v>
      </c>
      <c r="G24" s="130" t="n">
        <f aca="false">IF(DRSchedMode=1,G22+G23,IF(G$5&lt;=LastHist,0,F25/DR_AmortQ))</f>
        <v>0</v>
      </c>
      <c r="H24" s="130" t="n">
        <f aca="false">IF(DRSchedMode=1,H22+H23,IF(H$5&lt;=LastHist,0,G25/DR_AmortQ))</f>
        <v>0</v>
      </c>
      <c r="I24" s="130" t="n">
        <f aca="false">IF(DRSchedMode=1,I22+I23,IF(I$5&lt;=LastHist,0,H25/DR_AmortQ))</f>
        <v>0</v>
      </c>
      <c r="J24" s="130" t="n">
        <f aca="false">IF(DRSchedMode=1,J22+J23,IF(J$5&lt;=LastHist,0,I25/DR_AmortQ))</f>
        <v>0</v>
      </c>
      <c r="K24" s="130" t="n">
        <f aca="false">IF(DRSchedMode=1,K22+K23,IF(K$5&lt;=LastHist,0,J25/DR_AmortQ))</f>
        <v>0</v>
      </c>
      <c r="L24" s="130" t="n">
        <f aca="false">IF(DRSchedMode=1,L22+L23,IF(L$5&lt;=LastHist,0,K25/DR_AmortQ))</f>
        <v>0</v>
      </c>
      <c r="M24" s="130" t="n">
        <f aca="false">IF(DRSchedMode=1,M22+M23,IF(M$5&lt;=LastHist,0,L25/DR_AmortQ))</f>
        <v>0</v>
      </c>
      <c r="N24" s="130" t="n">
        <f aca="false">IF(DRSchedMode=1,N22+N23,IF(N$5&lt;=LastHist,0,M25/DR_AmortQ))</f>
        <v>0</v>
      </c>
      <c r="O24" s="130" t="n">
        <f aca="false">IF(DRSchedMode=1,O22+O23,IF(O$5&lt;=LastHist,0,N25/DR_AmortQ))</f>
        <v>0</v>
      </c>
      <c r="P24" s="131" t="n">
        <f aca="false">IF(DRSchedMode=1,P22+P23,IF(P$5&lt;=LastHist,0,O25/DR_AmortQ))</f>
        <v>244.85</v>
      </c>
      <c r="Q24" s="131" t="n">
        <f aca="false">IF(DRSchedMode=1,Q22+Q23,IF(Q$5&lt;=LastHist,0,P25/DR_AmortQ))</f>
        <v>244.85</v>
      </c>
      <c r="R24" s="131" t="n">
        <f aca="false">IF(DRSchedMode=1,R22+R23,IF(R$5&lt;=LastHist,0,Q25/DR_AmortQ))</f>
        <v>319.85</v>
      </c>
      <c r="S24" s="131" t="n">
        <f aca="false">IF(DRSchedMode=1,S22+S23,IF(S$5&lt;=LastHist,0,R25/DR_AmortQ))</f>
        <v>394.85</v>
      </c>
      <c r="T24" s="131" t="n">
        <f aca="false">IF(DRSchedMode=1,T22+T23,IF(T$5&lt;=LastHist,0,S25/DR_AmortQ))</f>
        <v>542.65</v>
      </c>
      <c r="U24" s="131" t="n">
        <f aca="false">IF(DRSchedMode=1,U22+U23,IF(U$5&lt;=LastHist,0,T25/DR_AmortQ))</f>
        <v>617.65</v>
      </c>
      <c r="V24" s="131" t="n">
        <f aca="false">IF(DRSchedMode=1,V22+V23,IF(V$5&lt;=LastHist,0,U25/DR_AmortQ))</f>
        <v>692.65</v>
      </c>
      <c r="W24" s="131" t="n">
        <f aca="false">IF(DRSchedMode=1,W22+W23,IF(W$5&lt;=LastHist,0,V25/DR_AmortQ))</f>
        <v>767.65</v>
      </c>
      <c r="X24" s="131" t="n">
        <f aca="false">IF(DRSchedMode=1,X22+X23,IF(X$5&lt;=LastHist,0,W25/DR_AmortQ))</f>
        <v>835.416666666667</v>
      </c>
      <c r="Y24" s="131" t="n">
        <f aca="false">IF(DRSchedMode=1,Y22+Y23,IF(Y$5&lt;=LastHist,0,X25/DR_AmortQ))</f>
        <v>910.416666666667</v>
      </c>
      <c r="Z24" s="131" t="n">
        <f aca="false">IF(DRSchedMode=1,Z22+Z23,IF(Z$5&lt;=LastHist,0,Y25/DR_AmortQ))</f>
        <v>985.416666666667</v>
      </c>
      <c r="AA24" s="131" t="n">
        <f aca="false">IF(DRSchedMode=1,AA22+AA23,IF(AA$5&lt;=LastHist,0,Z25/DR_AmortQ))</f>
        <v>1060.41666666667</v>
      </c>
      <c r="AB24" s="131" t="n">
        <f aca="false">IF(DRSchedMode=1,AB22+AB23,IF(AB$5&lt;=LastHist,0,AA25/DR_AmortQ))</f>
        <v>1235.84451760417</v>
      </c>
      <c r="AC24" s="131" t="n">
        <f aca="false">IF(DRSchedMode=1,AC22+AC23,IF(AC$5&lt;=LastHist,0,AB25/DR_AmortQ))</f>
        <v>1314.16473244792</v>
      </c>
      <c r="AD24" s="131" t="n">
        <f aca="false">IF(DRSchedMode=1,AD22+AD23,IF(AD$5&lt;=LastHist,0,AC25/DR_AmortQ))</f>
        <v>1565.41598166667</v>
      </c>
      <c r="AE24" s="131" t="n">
        <f aca="false">IF(DRSchedMode=1,AE22+AE23,IF(AE$5&lt;=LastHist,0,AD25/DR_AmortQ))</f>
        <v>1565.41598166667</v>
      </c>
      <c r="AF24" s="131" t="n">
        <f aca="false">IF(DRSchedMode=1,AF22+AF23,IF(AF$5&lt;=LastHist,0,AE25/DR_AmortQ))</f>
        <v>1565.41598166667</v>
      </c>
      <c r="AG24" s="131" t="n">
        <f aca="false">IF(DRSchedMode=1,AG22+AG23,IF(AG$5&lt;=LastHist,0,AF25/DR_AmortQ))</f>
        <v>1565.41598166667</v>
      </c>
      <c r="AI24" s="131" t="n">
        <f aca="false">SUMIF($F$7:$AG$7,AI$7,$F24:$AG24)</f>
        <v>0</v>
      </c>
      <c r="AJ24" s="131" t="n">
        <f aca="false">SUMIF($F$7:$AG$7,AJ$7,$F24:$AG24)</f>
        <v>0</v>
      </c>
      <c r="AK24" s="131" t="n">
        <f aca="false">SUMIF($F$7:$AG$7,AK$7,$F24:$AG24)</f>
        <v>489.7</v>
      </c>
      <c r="AL24" s="131" t="n">
        <f aca="false">SUMIF($F$7:$AG$7,AL$7,$F24:$AG24)</f>
        <v>1875</v>
      </c>
      <c r="AM24" s="131" t="n">
        <f aca="false">SUMIF($F$7:$AG$7,AM$7,$F24:$AG24)</f>
        <v>3206.13333333333</v>
      </c>
      <c r="AN24" s="131" t="n">
        <f aca="false">SUMIF($F$7:$AG$7,AN$7,$F24:$AG24)</f>
        <v>4595.84258338542</v>
      </c>
      <c r="AO24" s="131" t="n">
        <f aca="false">SUMIF($F$7:$AG$7,AO$7,$F24:$AG24)</f>
        <v>6261.66392666667</v>
      </c>
    </row>
    <row r="25" customFormat="false" ht="15" hidden="false" customHeight="false" outlineLevel="0" collapsed="false">
      <c r="A25" s="112" t="s">
        <v>2689</v>
      </c>
      <c r="B25" s="24" t="s">
        <v>745</v>
      </c>
      <c r="C25" s="24" t="s">
        <v>736</v>
      </c>
      <c r="D25" s="24" t="s">
        <v>2690</v>
      </c>
      <c r="F25" s="130" t="n">
        <f aca="false">IF(F$5&lt;=LastHist,INDEX(H_DR,1,F$5),E25+F21-F24)</f>
        <v>0</v>
      </c>
      <c r="G25" s="130" t="n">
        <f aca="false">IF(G$5&lt;=LastHist,INDEX(H_DR,1,G$5),F25+G21-G24)</f>
        <v>0</v>
      </c>
      <c r="H25" s="130" t="n">
        <f aca="false">IF(H$5&lt;=LastHist,INDEX(H_DR,1,H$5),G25+H21-H24)</f>
        <v>0</v>
      </c>
      <c r="I25" s="130" t="n">
        <f aca="false">IF(I$5&lt;=LastHist,INDEX(H_DR,1,I$5),H25+I21-I24)</f>
        <v>0</v>
      </c>
      <c r="J25" s="130" t="n">
        <f aca="false">IF(J$5&lt;=LastHist,INDEX(H_DR,1,J$5),I25+J21-J24)</f>
        <v>0</v>
      </c>
      <c r="K25" s="130" t="n">
        <f aca="false">IF(K$5&lt;=LastHist,INDEX(H_DR,1,K$5),J25+K21-K24)</f>
        <v>0</v>
      </c>
      <c r="L25" s="130" t="n">
        <f aca="false">IF(L$5&lt;=LastHist,INDEX(H_DR,1,L$5),K25+L21-L24)</f>
        <v>0</v>
      </c>
      <c r="M25" s="130" t="n">
        <f aca="false">IF(M$5&lt;=LastHist,INDEX(H_DR,1,M$5),L25+M21-M24)</f>
        <v>1578</v>
      </c>
      <c r="N25" s="130" t="n">
        <f aca="false">IF(N$5&lt;=LastHist,INDEX(H_DR,1,N$5),M25+N21-N24)</f>
        <v>4778</v>
      </c>
      <c r="O25" s="130" t="n">
        <f aca="false">IF(O$5&lt;=LastHist,INDEX(H_DR,1,O$5),N25+O21-O24)</f>
        <v>5975</v>
      </c>
      <c r="P25" s="131" t="n">
        <f aca="false">IF(P$5&lt;=LastHist,INDEX(H_DR,1,P$5),O25+P21-P24)</f>
        <v>6930.15</v>
      </c>
      <c r="Q25" s="131" t="n">
        <f aca="false">IF(Q$5&lt;=LastHist,INDEX(H_DR,1,Q$5),P25+Q21-Q24)</f>
        <v>7885.3</v>
      </c>
      <c r="R25" s="131" t="n">
        <f aca="false">IF(R$5&lt;=LastHist,INDEX(H_DR,1,R$5),Q25+R21-R24)</f>
        <v>8765.45</v>
      </c>
      <c r="S25" s="131" t="n">
        <f aca="false">IF(S$5&lt;=LastHist,INDEX(H_DR,1,S$5),R25+S21-S24)</f>
        <v>9570.6</v>
      </c>
      <c r="T25" s="131" t="n">
        <f aca="false">IF(T$5&lt;=LastHist,INDEX(H_DR,1,T$5),S25+T21-T24)</f>
        <v>10227.95</v>
      </c>
      <c r="U25" s="131" t="n">
        <f aca="false">IF(U$5&lt;=LastHist,INDEX(H_DR,1,U$5),T25+U21-U24)</f>
        <v>10810.3</v>
      </c>
      <c r="V25" s="131" t="n">
        <f aca="false">IF(V$5&lt;=LastHist,INDEX(H_DR,1,V$5),U25+V21-V24)</f>
        <v>11317.65</v>
      </c>
      <c r="W25" s="131" t="n">
        <f aca="false">IF(W$5&lt;=LastHist,INDEX(H_DR,1,W$5),V25+W21-W24)</f>
        <v>11750</v>
      </c>
      <c r="X25" s="131" t="n">
        <f aca="false">IF(X$5&lt;=LastHist,INDEX(H_DR,1,X$5),W25+X21-X24)</f>
        <v>12114.5833333333</v>
      </c>
      <c r="Y25" s="131" t="n">
        <f aca="false">IF(Y$5&lt;=LastHist,INDEX(H_DR,1,Y$5),X25+Y21-Y24)</f>
        <v>12404.1666666667</v>
      </c>
      <c r="Z25" s="131" t="n">
        <f aca="false">IF(Z$5&lt;=LastHist,INDEX(H_DR,1,Z$5),Y25+Z21-Z24)</f>
        <v>14225.595615</v>
      </c>
      <c r="AA25" s="131" t="n">
        <f aca="false">IF(AA$5&lt;=LastHist,INDEX(H_DR,1,AA$5),Z25+AA21-AA24)</f>
        <v>14418.3023858333</v>
      </c>
      <c r="AB25" s="131" t="n">
        <f aca="false">IF(AB$5&lt;=LastHist,INDEX(H_DR,1,AB$5),AA25+AB21-AB24)</f>
        <v>17202.4778557292</v>
      </c>
      <c r="AC25" s="131" t="n">
        <f aca="false">IF(AC$5&lt;=LastHist,INDEX(H_DR,1,AC$5),AB25+AC21-AC24)</f>
        <v>15888.3131232813</v>
      </c>
      <c r="AD25" s="131" t="n">
        <f aca="false">IF(AD$5&lt;=LastHist,INDEX(H_DR,1,AD$5),AC25+AD21-AD24)</f>
        <v>14322.8971416146</v>
      </c>
      <c r="AE25" s="131" t="n">
        <f aca="false">IF(AE$5&lt;=LastHist,INDEX(H_DR,1,AE$5),AD25+AE21-AE24)</f>
        <v>12757.4811599479</v>
      </c>
      <c r="AF25" s="131" t="n">
        <f aca="false">IF(AF$5&lt;=LastHist,INDEX(H_DR,1,AF$5),AE25+AF21-AF24)</f>
        <v>11192.0651782813</v>
      </c>
      <c r="AG25" s="131" t="n">
        <f aca="false">IF(AG$5&lt;=LastHist,INDEX(H_DR,1,AG$5),AF25+AG21-AG24)</f>
        <v>9626.64919661458</v>
      </c>
      <c r="AI25" s="131" t="n">
        <f aca="false">INDEX($F25:$AG25,1,MATCH(AI$7,$F$7:$AG$7,1))</f>
        <v>0</v>
      </c>
      <c r="AJ25" s="131" t="n">
        <f aca="false">INDEX($F25:$AG25,1,MATCH(AJ$7,$F$7:$AG$7,1))</f>
        <v>1578</v>
      </c>
      <c r="AK25" s="131" t="n">
        <f aca="false">INDEX($F25:$AG25,1,MATCH(AK$7,$F$7:$AG$7,1))</f>
        <v>7885.3</v>
      </c>
      <c r="AL25" s="131" t="n">
        <f aca="false">INDEX($F25:$AG25,1,MATCH(AL$7,$F$7:$AG$7,1))</f>
        <v>10810.3</v>
      </c>
      <c r="AM25" s="131" t="n">
        <f aca="false">INDEX($F25:$AG25,1,MATCH(AM$7,$F$7:$AG$7,1))</f>
        <v>12404.1666666667</v>
      </c>
      <c r="AN25" s="131" t="n">
        <f aca="false">INDEX($F25:$AG25,1,MATCH(AN$7,$F$7:$AG$7,1))</f>
        <v>15888.3131232813</v>
      </c>
      <c r="AO25" s="131" t="n">
        <f aca="false">INDEX($F25:$AG25,1,MATCH(AO$7,$F$7:$AG$7,1))</f>
        <v>9626.64919661458</v>
      </c>
    </row>
    <row r="26" customFormat="false" ht="15" hidden="false" customHeight="false" outlineLevel="0" collapsed="false">
      <c r="A26" s="112" t="s">
        <v>2691</v>
      </c>
      <c r="B26" s="24" t="s">
        <v>745</v>
      </c>
      <c r="C26" s="24" t="s">
        <v>672</v>
      </c>
      <c r="D26" s="24"/>
      <c r="F26" s="130" t="n">
        <f aca="false">F21-F24</f>
        <v>0</v>
      </c>
      <c r="G26" s="130" t="n">
        <f aca="false">G21-G24</f>
        <v>0</v>
      </c>
      <c r="H26" s="130" t="n">
        <f aca="false">H21-H24</f>
        <v>0</v>
      </c>
      <c r="I26" s="130" t="n">
        <f aca="false">I21-I24</f>
        <v>0</v>
      </c>
      <c r="J26" s="130" t="n">
        <f aca="false">J21-J24</f>
        <v>0</v>
      </c>
      <c r="K26" s="130" t="n">
        <f aca="false">K21-K24</f>
        <v>0</v>
      </c>
      <c r="L26" s="130" t="n">
        <f aca="false">L21-L24</f>
        <v>0</v>
      </c>
      <c r="M26" s="130" t="n">
        <f aca="false">M21-M24</f>
        <v>0</v>
      </c>
      <c r="N26" s="130" t="n">
        <f aca="false">N21-N24</f>
        <v>0</v>
      </c>
      <c r="O26" s="130" t="n">
        <f aca="false">O21-O24</f>
        <v>0</v>
      </c>
      <c r="P26" s="131" t="n">
        <f aca="false">P21-P24</f>
        <v>955.15</v>
      </c>
      <c r="Q26" s="131" t="n">
        <f aca="false">Q21-Q24</f>
        <v>955.15</v>
      </c>
      <c r="R26" s="131" t="n">
        <f aca="false">R21-R24</f>
        <v>880.15</v>
      </c>
      <c r="S26" s="131" t="n">
        <f aca="false">S21-S24</f>
        <v>805.15</v>
      </c>
      <c r="T26" s="131" t="n">
        <f aca="false">T21-T24</f>
        <v>657.35</v>
      </c>
      <c r="U26" s="131" t="n">
        <f aca="false">U21-U24</f>
        <v>582.35</v>
      </c>
      <c r="V26" s="131" t="n">
        <f aca="false">V21-V24</f>
        <v>507.35</v>
      </c>
      <c r="W26" s="131" t="n">
        <f aca="false">W21-W24</f>
        <v>432.35</v>
      </c>
      <c r="X26" s="131" t="n">
        <f aca="false">X21-X24</f>
        <v>364.583333333333</v>
      </c>
      <c r="Y26" s="131" t="n">
        <f aca="false">Y21-Y24</f>
        <v>289.583333333333</v>
      </c>
      <c r="Z26" s="131" t="n">
        <f aca="false">Z21-Z24</f>
        <v>1821.42894833333</v>
      </c>
      <c r="AA26" s="131" t="n">
        <f aca="false">AA21-AA24</f>
        <v>192.706770833333</v>
      </c>
      <c r="AB26" s="131" t="n">
        <f aca="false">AB21-AB24</f>
        <v>2784.17546989583</v>
      </c>
      <c r="AC26" s="131" t="n">
        <f aca="false">AC21-AC24</f>
        <v>-1314.16473244792</v>
      </c>
      <c r="AD26" s="131" t="n">
        <f aca="false">AD21-AD24</f>
        <v>-1565.41598166667</v>
      </c>
      <c r="AE26" s="131" t="n">
        <f aca="false">AE21-AE24</f>
        <v>-1565.41598166667</v>
      </c>
      <c r="AF26" s="131" t="n">
        <f aca="false">AF21-AF24</f>
        <v>-1565.41598166667</v>
      </c>
      <c r="AG26" s="131" t="n">
        <f aca="false">AG21-AG24</f>
        <v>-1565.41598166667</v>
      </c>
      <c r="AI26" s="131" t="n">
        <f aca="false">SUMIF($F$7:$AG$7,AI$7,$F26:$AG26)</f>
        <v>0</v>
      </c>
      <c r="AJ26" s="131" t="n">
        <f aca="false">SUMIF($F$7:$AG$7,AJ$7,$F26:$AG26)</f>
        <v>0</v>
      </c>
      <c r="AK26" s="131" t="n">
        <f aca="false">SUMIF($F$7:$AG$7,AK$7,$F26:$AG26)</f>
        <v>1910.3</v>
      </c>
      <c r="AL26" s="131" t="n">
        <f aca="false">SUMIF($F$7:$AG$7,AL$7,$F26:$AG26)</f>
        <v>2925</v>
      </c>
      <c r="AM26" s="131" t="n">
        <f aca="false">SUMIF($F$7:$AG$7,AM$7,$F26:$AG26)</f>
        <v>1593.86666666667</v>
      </c>
      <c r="AN26" s="131" t="n">
        <f aca="false">SUMIF($F$7:$AG$7,AN$7,$F26:$AG26)</f>
        <v>3484.14645661458</v>
      </c>
      <c r="AO26" s="131" t="n">
        <f aca="false">SUMIF($F$7:$AG$7,AO$7,$F26:$AG26)</f>
        <v>-6261.66392666667</v>
      </c>
    </row>
    <row r="28" customFormat="false" ht="15" hidden="false" customHeight="false" outlineLevel="0" collapsed="false">
      <c r="A28" s="64" t="s">
        <v>2692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customFormat="false" ht="15" hidden="false" customHeight="false" outlineLevel="0" collapsed="false">
      <c r="A29" s="112" t="s">
        <v>2693</v>
      </c>
      <c r="B29" s="24" t="s">
        <v>745</v>
      </c>
      <c r="C29" s="24" t="s">
        <v>672</v>
      </c>
      <c r="D29" s="24" t="s">
        <v>2694</v>
      </c>
      <c r="F29" s="130" t="n">
        <f aca="false">IF(F$5&lt;=LastHist,0,ABS_LTC*INDEX(CapNew,1,1)*F17)</f>
        <v>0</v>
      </c>
      <c r="G29" s="130" t="n">
        <f aca="false">IF(G$5&lt;=LastHist,0,ABS_LTC*INDEX(CapNew,1,2)*G17)</f>
        <v>0</v>
      </c>
      <c r="H29" s="130" t="n">
        <f aca="false">IF(H$5&lt;=LastHist,0,ABS_LTC*INDEX(CapNew,1,3)*H17)</f>
        <v>0</v>
      </c>
      <c r="I29" s="130" t="n">
        <f aca="false">IF(I$5&lt;=LastHist,0,ABS_LTC*INDEX(CapNew,1,4)*I17)</f>
        <v>0</v>
      </c>
      <c r="J29" s="130" t="n">
        <f aca="false">IF(J$5&lt;=LastHist,0,ABS_LTC*INDEX(CapNew,1,5)*J17)</f>
        <v>0</v>
      </c>
      <c r="K29" s="130" t="n">
        <f aca="false">IF(K$5&lt;=LastHist,0,ABS_LTC*INDEX(CapNew,1,6)*K17)</f>
        <v>0</v>
      </c>
      <c r="L29" s="130" t="n">
        <f aca="false">IF(L$5&lt;=LastHist,0,ABS_LTC*INDEX(CapNew,1,7)*L17)</f>
        <v>0</v>
      </c>
      <c r="M29" s="130" t="n">
        <f aca="false">IF(M$5&lt;=LastHist,0,ABS_LTC*INDEX(CapNew,1,8)*M17)</f>
        <v>0</v>
      </c>
      <c r="N29" s="130" t="n">
        <f aca="false">IF(N$5&lt;=LastHist,0,ABS_LTC*INDEX(CapNew,1,9)*N17)</f>
        <v>0</v>
      </c>
      <c r="O29" s="130" t="n">
        <f aca="false">IF(O$5&lt;=LastHist,0,ABS_LTC*INDEX(CapNew,1,10)*O17)</f>
        <v>0</v>
      </c>
      <c r="P29" s="131" t="n">
        <f aca="false">IF(P$5&lt;=LastHist,0,ABS_LTC*INDEX(CapNew,1,11)*P17)</f>
        <v>0</v>
      </c>
      <c r="Q29" s="131" t="n">
        <f aca="false">IF(Q$5&lt;=LastHist,0,ABS_LTC*INDEX(CapNew,1,12)*Q17)</f>
        <v>0</v>
      </c>
      <c r="R29" s="131" t="n">
        <f aca="false">IF(R$5&lt;=LastHist,0,ABS_LTC*INDEX(CapNew,1,13)*R17)</f>
        <v>0</v>
      </c>
      <c r="S29" s="131" t="n">
        <f aca="false">IF(S$5&lt;=LastHist,0,ABS_LTC*INDEX(CapNew,1,14)*S17)</f>
        <v>0</v>
      </c>
      <c r="T29" s="131" t="n">
        <f aca="false">IF(T$5&lt;=LastHist,0,ABS_LTC*INDEX(CapNew,1,15)*T17)</f>
        <v>0</v>
      </c>
      <c r="U29" s="131" t="n">
        <f aca="false">IF(U$5&lt;=LastHist,0,ABS_LTC*INDEX(CapNew,1,16)*U17)</f>
        <v>0</v>
      </c>
      <c r="V29" s="131" t="n">
        <f aca="false">IF(V$5&lt;=LastHist,0,ABS_LTC*INDEX(CapNew,1,17)*V17)</f>
        <v>0</v>
      </c>
      <c r="W29" s="131" t="n">
        <f aca="false">IF(W$5&lt;=LastHist,0,ABS_LTC*INDEX(CapNew,1,18)*W17)</f>
        <v>0</v>
      </c>
      <c r="X29" s="131" t="n">
        <f aca="false">IF(X$5&lt;=LastHist,0,ABS_LTC*INDEX(CapNew,1,19)*X17)</f>
        <v>0</v>
      </c>
      <c r="Y29" s="131" t="n">
        <f aca="false">IF(Y$5&lt;=LastHist,0,ABS_LTC*INDEX(CapNew,1,20)*Y17)</f>
        <v>0</v>
      </c>
      <c r="Z29" s="131" t="n">
        <f aca="false">IF(Z$5&lt;=LastHist,0,ABS_LTC*INDEX(CapNew,1,21)*Z17)</f>
        <v>0</v>
      </c>
      <c r="AA29" s="131" t="n">
        <f aca="false">IF(AA$5&lt;=LastHist,0,ABS_LTC*INDEX(CapNew,1,22)*AA17)</f>
        <v>0</v>
      </c>
      <c r="AB29" s="131" t="n">
        <f aca="false">IF(AB$5&lt;=LastHist,0,ABS_LTC*INDEX(CapNew,1,23)*AB17)</f>
        <v>0</v>
      </c>
      <c r="AC29" s="131" t="n">
        <f aca="false">IF(AC$5&lt;=LastHist,0,ABS_LTC*INDEX(CapNew,1,24)*AC17)</f>
        <v>0</v>
      </c>
      <c r="AD29" s="131" t="n">
        <f aca="false">IF(AD$5&lt;=LastHist,0,ABS_LTC*INDEX(CapNew,1,25)*AD17)</f>
        <v>0</v>
      </c>
      <c r="AE29" s="131" t="n">
        <f aca="false">IF(AE$5&lt;=LastHist,0,ABS_LTC*INDEX(CapNew,1,26)*AE17)</f>
        <v>0</v>
      </c>
      <c r="AF29" s="131" t="n">
        <f aca="false">IF(AF$5&lt;=LastHist,0,ABS_LTC*INDEX(CapNew,1,27)*AF17)</f>
        <v>0</v>
      </c>
      <c r="AG29" s="131" t="n">
        <f aca="false">IF(AG$5&lt;=LastHist,0,ABS_LTC*INDEX(CapNew,1,28)*AG17)</f>
        <v>0</v>
      </c>
      <c r="AI29" s="131" t="n">
        <f aca="false">SUMIF($F$7:$AG$7,AI$7,$F29:$AG29)</f>
        <v>0</v>
      </c>
      <c r="AJ29" s="131" t="n">
        <f aca="false">SUMIF($F$7:$AG$7,AJ$7,$F29:$AG29)</f>
        <v>0</v>
      </c>
      <c r="AK29" s="131" t="n">
        <f aca="false">SUMIF($F$7:$AG$7,AK$7,$F29:$AG29)</f>
        <v>0</v>
      </c>
      <c r="AL29" s="131" t="n">
        <f aca="false">SUMIF($F$7:$AG$7,AL$7,$F29:$AG29)</f>
        <v>0</v>
      </c>
      <c r="AM29" s="131" t="n">
        <f aca="false">SUMIF($F$7:$AG$7,AM$7,$F29:$AG29)</f>
        <v>0</v>
      </c>
      <c r="AN29" s="131" t="n">
        <f aca="false">SUMIF($F$7:$AG$7,AN$7,$F29:$AG29)</f>
        <v>0</v>
      </c>
      <c r="AO29" s="131" t="n">
        <f aca="false">SUMIF($F$7:$AG$7,AO$7,$F29:$AG29)</f>
        <v>0</v>
      </c>
    </row>
    <row r="30" customFormat="false" ht="15" hidden="false" customHeight="false" outlineLevel="0" collapsed="false">
      <c r="A30" s="112" t="s">
        <v>2695</v>
      </c>
      <c r="B30" s="24" t="s">
        <v>745</v>
      </c>
      <c r="C30" s="24" t="s">
        <v>672</v>
      </c>
      <c r="D30" s="24"/>
      <c r="F30" s="130" t="n">
        <f aca="false">IF(F$5&lt;=LastHist,0,SUMPRODUCT(($F$5:$AG$5+GPULead&lt;F$5)*($F$5:$AG$5+GPULead+ABS_Term&gt;=F$5)*$F$29:$AG$29)/ABS_Term)</f>
        <v>0</v>
      </c>
      <c r="G30" s="130" t="n">
        <f aca="false">IF(G$5&lt;=LastHist,0,SUMPRODUCT(($F$5:$AG$5+GPULead&lt;G$5)*($F$5:$AG$5+GPULead+ABS_Term&gt;=G$5)*$F$29:$AG$29)/ABS_Term)</f>
        <v>0</v>
      </c>
      <c r="H30" s="130" t="n">
        <f aca="false">IF(H$5&lt;=LastHist,0,SUMPRODUCT(($F$5:$AG$5+GPULead&lt;H$5)*($F$5:$AG$5+GPULead+ABS_Term&gt;=H$5)*$F$29:$AG$29)/ABS_Term)</f>
        <v>0</v>
      </c>
      <c r="I30" s="130" t="n">
        <f aca="false">IF(I$5&lt;=LastHist,0,SUMPRODUCT(($F$5:$AG$5+GPULead&lt;I$5)*($F$5:$AG$5+GPULead+ABS_Term&gt;=I$5)*$F$29:$AG$29)/ABS_Term)</f>
        <v>0</v>
      </c>
      <c r="J30" s="130" t="n">
        <f aca="false">IF(J$5&lt;=LastHist,0,SUMPRODUCT(($F$5:$AG$5+GPULead&lt;J$5)*($F$5:$AG$5+GPULead+ABS_Term&gt;=J$5)*$F$29:$AG$29)/ABS_Term)</f>
        <v>0</v>
      </c>
      <c r="K30" s="130" t="n">
        <f aca="false">IF(K$5&lt;=LastHist,0,SUMPRODUCT(($F$5:$AG$5+GPULead&lt;K$5)*($F$5:$AG$5+GPULead+ABS_Term&gt;=K$5)*$F$29:$AG$29)/ABS_Term)</f>
        <v>0</v>
      </c>
      <c r="L30" s="130" t="n">
        <f aca="false">IF(L$5&lt;=LastHist,0,SUMPRODUCT(($F$5:$AG$5+GPULead&lt;L$5)*($F$5:$AG$5+GPULead+ABS_Term&gt;=L$5)*$F$29:$AG$29)/ABS_Term)</f>
        <v>0</v>
      </c>
      <c r="M30" s="130" t="n">
        <f aca="false">IF(M$5&lt;=LastHist,0,SUMPRODUCT(($F$5:$AG$5+GPULead&lt;M$5)*($F$5:$AG$5+GPULead+ABS_Term&gt;=M$5)*$F$29:$AG$29)/ABS_Term)</f>
        <v>0</v>
      </c>
      <c r="N30" s="130" t="n">
        <f aca="false">IF(N$5&lt;=LastHist,0,SUMPRODUCT(($F$5:$AG$5+GPULead&lt;N$5)*($F$5:$AG$5+GPULead+ABS_Term&gt;=N$5)*$F$29:$AG$29)/ABS_Term)</f>
        <v>0</v>
      </c>
      <c r="O30" s="130" t="n">
        <f aca="false">IF(O$5&lt;=LastHist,0,SUMPRODUCT(($F$5:$AG$5+GPULead&lt;O$5)*($F$5:$AG$5+GPULead+ABS_Term&gt;=O$5)*$F$29:$AG$29)/ABS_Term)</f>
        <v>0</v>
      </c>
      <c r="P30" s="131" t="n">
        <f aca="false">IF(P$5&lt;=LastHist,0,SUMPRODUCT(($F$5:$AG$5+GPULead&lt;P$5)*($F$5:$AG$5+GPULead+ABS_Term&gt;=P$5)*$F$29:$AG$29)/ABS_Term)</f>
        <v>0</v>
      </c>
      <c r="Q30" s="131" t="n">
        <f aca="false">IF(Q$5&lt;=LastHist,0,SUMPRODUCT(($F$5:$AG$5+GPULead&lt;Q$5)*($F$5:$AG$5+GPULead+ABS_Term&gt;=Q$5)*$F$29:$AG$29)/ABS_Term)</f>
        <v>0</v>
      </c>
      <c r="R30" s="131" t="n">
        <f aca="false">IF(R$5&lt;=LastHist,0,SUMPRODUCT(($F$5:$AG$5+GPULead&lt;R$5)*($F$5:$AG$5+GPULead+ABS_Term&gt;=R$5)*$F$29:$AG$29)/ABS_Term)</f>
        <v>0</v>
      </c>
      <c r="S30" s="131" t="n">
        <f aca="false">IF(S$5&lt;=LastHist,0,SUMPRODUCT(($F$5:$AG$5+GPULead&lt;S$5)*($F$5:$AG$5+GPULead+ABS_Term&gt;=S$5)*$F$29:$AG$29)/ABS_Term)</f>
        <v>0</v>
      </c>
      <c r="T30" s="131" t="n">
        <f aca="false">IF(T$5&lt;=LastHist,0,SUMPRODUCT(($F$5:$AG$5+GPULead&lt;T$5)*($F$5:$AG$5+GPULead+ABS_Term&gt;=T$5)*$F$29:$AG$29)/ABS_Term)</f>
        <v>0</v>
      </c>
      <c r="U30" s="131" t="n">
        <f aca="false">IF(U$5&lt;=LastHist,0,SUMPRODUCT(($F$5:$AG$5+GPULead&lt;U$5)*($F$5:$AG$5+GPULead+ABS_Term&gt;=U$5)*$F$29:$AG$29)/ABS_Term)</f>
        <v>0</v>
      </c>
      <c r="V30" s="131" t="n">
        <f aca="false">IF(V$5&lt;=LastHist,0,SUMPRODUCT(($F$5:$AG$5+GPULead&lt;V$5)*($F$5:$AG$5+GPULead+ABS_Term&gt;=V$5)*$F$29:$AG$29)/ABS_Term)</f>
        <v>0</v>
      </c>
      <c r="W30" s="131" t="n">
        <f aca="false">IF(W$5&lt;=LastHist,0,SUMPRODUCT(($F$5:$AG$5+GPULead&lt;W$5)*($F$5:$AG$5+GPULead+ABS_Term&gt;=W$5)*$F$29:$AG$29)/ABS_Term)</f>
        <v>0</v>
      </c>
      <c r="X30" s="131" t="n">
        <f aca="false">IF(X$5&lt;=LastHist,0,SUMPRODUCT(($F$5:$AG$5+GPULead&lt;X$5)*($F$5:$AG$5+GPULead+ABS_Term&gt;=X$5)*$F$29:$AG$29)/ABS_Term)</f>
        <v>0</v>
      </c>
      <c r="Y30" s="131" t="n">
        <f aca="false">IF(Y$5&lt;=LastHist,0,SUMPRODUCT(($F$5:$AG$5+GPULead&lt;Y$5)*($F$5:$AG$5+GPULead+ABS_Term&gt;=Y$5)*$F$29:$AG$29)/ABS_Term)</f>
        <v>0</v>
      </c>
      <c r="Z30" s="131" t="n">
        <f aca="false">IF(Z$5&lt;=LastHist,0,SUMPRODUCT(($F$5:$AG$5+GPULead&lt;Z$5)*($F$5:$AG$5+GPULead+ABS_Term&gt;=Z$5)*$F$29:$AG$29)/ABS_Term)</f>
        <v>0</v>
      </c>
      <c r="AA30" s="131" t="n">
        <f aca="false">IF(AA$5&lt;=LastHist,0,SUMPRODUCT(($F$5:$AG$5+GPULead&lt;AA$5)*($F$5:$AG$5+GPULead+ABS_Term&gt;=AA$5)*$F$29:$AG$29)/ABS_Term)</f>
        <v>0</v>
      </c>
      <c r="AB30" s="131" t="n">
        <f aca="false">IF(AB$5&lt;=LastHist,0,SUMPRODUCT(($F$5:$AG$5+GPULead&lt;AB$5)*($F$5:$AG$5+GPULead+ABS_Term&gt;=AB$5)*$F$29:$AG$29)/ABS_Term)</f>
        <v>0</v>
      </c>
      <c r="AC30" s="131" t="n">
        <f aca="false">IF(AC$5&lt;=LastHist,0,SUMPRODUCT(($F$5:$AG$5+GPULead&lt;AC$5)*($F$5:$AG$5+GPULead+ABS_Term&gt;=AC$5)*$F$29:$AG$29)/ABS_Term)</f>
        <v>0</v>
      </c>
      <c r="AD30" s="131" t="n">
        <f aca="false">IF(AD$5&lt;=LastHist,0,SUMPRODUCT(($F$5:$AG$5+GPULead&lt;AD$5)*($F$5:$AG$5+GPULead+ABS_Term&gt;=AD$5)*$F$29:$AG$29)/ABS_Term)</f>
        <v>0</v>
      </c>
      <c r="AE30" s="131" t="n">
        <f aca="false">IF(AE$5&lt;=LastHist,0,SUMPRODUCT(($F$5:$AG$5+GPULead&lt;AE$5)*($F$5:$AG$5+GPULead+ABS_Term&gt;=AE$5)*$F$29:$AG$29)/ABS_Term)</f>
        <v>0</v>
      </c>
      <c r="AF30" s="131" t="n">
        <f aca="false">IF(AF$5&lt;=LastHist,0,SUMPRODUCT(($F$5:$AG$5+GPULead&lt;AF$5)*($F$5:$AG$5+GPULead+ABS_Term&gt;=AF$5)*$F$29:$AG$29)/ABS_Term)</f>
        <v>0</v>
      </c>
      <c r="AG30" s="131" t="n">
        <f aca="false">IF(AG$5&lt;=LastHist,0,SUMPRODUCT(($F$5:$AG$5+GPULead&lt;AG$5)*($F$5:$AG$5+GPULead+ABS_Term&gt;=AG$5)*$F$29:$AG$29)/ABS_Term)</f>
        <v>0</v>
      </c>
      <c r="AI30" s="131" t="n">
        <f aca="false">SUMIF($F$7:$AG$7,AI$7,$F30:$AG30)</f>
        <v>0</v>
      </c>
      <c r="AJ30" s="131" t="n">
        <f aca="false">SUMIF($F$7:$AG$7,AJ$7,$F30:$AG30)</f>
        <v>0</v>
      </c>
      <c r="AK30" s="131" t="n">
        <f aca="false">SUMIF($F$7:$AG$7,AK$7,$F30:$AG30)</f>
        <v>0</v>
      </c>
      <c r="AL30" s="131" t="n">
        <f aca="false">SUMIF($F$7:$AG$7,AL$7,$F30:$AG30)</f>
        <v>0</v>
      </c>
      <c r="AM30" s="131" t="n">
        <f aca="false">SUMIF($F$7:$AG$7,AM$7,$F30:$AG30)</f>
        <v>0</v>
      </c>
      <c r="AN30" s="131" t="n">
        <f aca="false">SUMIF($F$7:$AG$7,AN$7,$F30:$AG30)</f>
        <v>0</v>
      </c>
      <c r="AO30" s="131" t="n">
        <f aca="false">SUMIF($F$7:$AG$7,AO$7,$F30:$AG30)</f>
        <v>0</v>
      </c>
    </row>
    <row r="31" customFormat="false" ht="15" hidden="false" customHeight="false" outlineLevel="0" collapsed="false">
      <c r="A31" s="112" t="s">
        <v>2696</v>
      </c>
      <c r="B31" s="24" t="s">
        <v>745</v>
      </c>
      <c r="C31" s="24" t="s">
        <v>672</v>
      </c>
      <c r="D31" s="24"/>
      <c r="E31" s="131" t="n">
        <f aca="false">0</f>
        <v>0</v>
      </c>
      <c r="F31" s="130" t="n">
        <f aca="false">E31+F29-F30</f>
        <v>0</v>
      </c>
      <c r="G31" s="130" t="n">
        <f aca="false">F31+G29-G30</f>
        <v>0</v>
      </c>
      <c r="H31" s="130" t="n">
        <f aca="false">G31+H29-H30</f>
        <v>0</v>
      </c>
      <c r="I31" s="130" t="n">
        <f aca="false">H31+I29-I30</f>
        <v>0</v>
      </c>
      <c r="J31" s="130" t="n">
        <f aca="false">I31+J29-J30</f>
        <v>0</v>
      </c>
      <c r="K31" s="130" t="n">
        <f aca="false">J31+K29-K30</f>
        <v>0</v>
      </c>
      <c r="L31" s="130" t="n">
        <f aca="false">K31+L29-L30</f>
        <v>0</v>
      </c>
      <c r="M31" s="130" t="n">
        <f aca="false">L31+M29-M30</f>
        <v>0</v>
      </c>
      <c r="N31" s="130" t="n">
        <f aca="false">M31+N29-N30</f>
        <v>0</v>
      </c>
      <c r="O31" s="130" t="n">
        <f aca="false">N31+O29-O30</f>
        <v>0</v>
      </c>
      <c r="P31" s="131" t="n">
        <f aca="false">O31+P29-P30</f>
        <v>0</v>
      </c>
      <c r="Q31" s="131" t="n">
        <f aca="false">P31+Q29-Q30</f>
        <v>0</v>
      </c>
      <c r="R31" s="131" t="n">
        <f aca="false">Q31+R29-R30</f>
        <v>0</v>
      </c>
      <c r="S31" s="131" t="n">
        <f aca="false">R31+S29-S30</f>
        <v>0</v>
      </c>
      <c r="T31" s="131" t="n">
        <f aca="false">S31+T29-T30</f>
        <v>0</v>
      </c>
      <c r="U31" s="131" t="n">
        <f aca="false">T31+U29-U30</f>
        <v>0</v>
      </c>
      <c r="V31" s="131" t="n">
        <f aca="false">U31+V29-V30</f>
        <v>0</v>
      </c>
      <c r="W31" s="131" t="n">
        <f aca="false">V31+W29-W30</f>
        <v>0</v>
      </c>
      <c r="X31" s="131" t="n">
        <f aca="false">W31+X29-X30</f>
        <v>0</v>
      </c>
      <c r="Y31" s="131" t="n">
        <f aca="false">X31+Y29-Y30</f>
        <v>0</v>
      </c>
      <c r="Z31" s="131" t="n">
        <f aca="false">Y31+Z29-Z30</f>
        <v>0</v>
      </c>
      <c r="AA31" s="131" t="n">
        <f aca="false">Z31+AA29-AA30</f>
        <v>0</v>
      </c>
      <c r="AB31" s="131" t="n">
        <f aca="false">AA31+AB29-AB30</f>
        <v>0</v>
      </c>
      <c r="AC31" s="131" t="n">
        <f aca="false">AB31+AC29-AC30</f>
        <v>0</v>
      </c>
      <c r="AD31" s="131" t="n">
        <f aca="false">AC31+AD29-AD30</f>
        <v>0</v>
      </c>
      <c r="AE31" s="131" t="n">
        <f aca="false">AD31+AE29-AE30</f>
        <v>0</v>
      </c>
      <c r="AF31" s="131" t="n">
        <f aca="false">AE31+AF29-AF30</f>
        <v>0</v>
      </c>
      <c r="AG31" s="131" t="n">
        <f aca="false">AF31+AG29-AG30</f>
        <v>0</v>
      </c>
      <c r="AI31" s="131" t="n">
        <f aca="false">INDEX($F31:$AG31,1,MATCH(AI$7,$F$7:$AG$7,1))</f>
        <v>0</v>
      </c>
      <c r="AJ31" s="131" t="n">
        <f aca="false">INDEX($F31:$AG31,1,MATCH(AJ$7,$F$7:$AG$7,1))</f>
        <v>0</v>
      </c>
      <c r="AK31" s="131" t="n">
        <f aca="false">INDEX($F31:$AG31,1,MATCH(AK$7,$F$7:$AG$7,1))</f>
        <v>0</v>
      </c>
      <c r="AL31" s="131" t="n">
        <f aca="false">INDEX($F31:$AG31,1,MATCH(AL$7,$F$7:$AG$7,1))</f>
        <v>0</v>
      </c>
      <c r="AM31" s="131" t="n">
        <f aca="false">INDEX($F31:$AG31,1,MATCH(AM$7,$F$7:$AG$7,1))</f>
        <v>0</v>
      </c>
      <c r="AN31" s="131" t="n">
        <f aca="false">INDEX($F31:$AG31,1,MATCH(AN$7,$F$7:$AG$7,1))</f>
        <v>0</v>
      </c>
      <c r="AO31" s="131" t="n">
        <f aca="false">INDEX($F31:$AG31,1,MATCH(AO$7,$F$7:$AG$7,1))</f>
        <v>0</v>
      </c>
    </row>
    <row r="32" customFormat="false" ht="15" hidden="false" customHeight="false" outlineLevel="0" collapsed="false">
      <c r="A32" s="112" t="s">
        <v>2697</v>
      </c>
      <c r="B32" s="24" t="s">
        <v>745</v>
      </c>
      <c r="C32" s="24" t="s">
        <v>672</v>
      </c>
      <c r="D32" s="24"/>
      <c r="F32" s="130" t="n">
        <f aca="false">IF(F$5&lt;=LastHist,0,E31*(SOFR+ABS_Spread)/4)</f>
        <v>0</v>
      </c>
      <c r="G32" s="130" t="n">
        <f aca="false">IF(G$5&lt;=LastHist,0,F31*(SOFR+ABS_Spread)/4)</f>
        <v>0</v>
      </c>
      <c r="H32" s="130" t="n">
        <f aca="false">IF(H$5&lt;=LastHist,0,G31*(SOFR+ABS_Spread)/4)</f>
        <v>0</v>
      </c>
      <c r="I32" s="130" t="n">
        <f aca="false">IF(I$5&lt;=LastHist,0,H31*(SOFR+ABS_Spread)/4)</f>
        <v>0</v>
      </c>
      <c r="J32" s="130" t="n">
        <f aca="false">IF(J$5&lt;=LastHist,0,I31*(SOFR+ABS_Spread)/4)</f>
        <v>0</v>
      </c>
      <c r="K32" s="130" t="n">
        <f aca="false">IF(K$5&lt;=LastHist,0,J31*(SOFR+ABS_Spread)/4)</f>
        <v>0</v>
      </c>
      <c r="L32" s="130" t="n">
        <f aca="false">IF(L$5&lt;=LastHist,0,K31*(SOFR+ABS_Spread)/4)</f>
        <v>0</v>
      </c>
      <c r="M32" s="130" t="n">
        <f aca="false">IF(M$5&lt;=LastHist,0,L31*(SOFR+ABS_Spread)/4)</f>
        <v>0</v>
      </c>
      <c r="N32" s="130" t="n">
        <f aca="false">IF(N$5&lt;=LastHist,0,M31*(SOFR+ABS_Spread)/4)</f>
        <v>0</v>
      </c>
      <c r="O32" s="130" t="n">
        <f aca="false">IF(O$5&lt;=LastHist,0,N31*(SOFR+ABS_Spread)/4)</f>
        <v>0</v>
      </c>
      <c r="P32" s="131" t="n">
        <f aca="false">IF(P$5&lt;=LastHist,0,O31*(SOFR+ABS_Spread)/4)</f>
        <v>0</v>
      </c>
      <c r="Q32" s="131" t="n">
        <f aca="false">IF(Q$5&lt;=LastHist,0,P31*(SOFR+ABS_Spread)/4)</f>
        <v>0</v>
      </c>
      <c r="R32" s="131" t="n">
        <f aca="false">IF(R$5&lt;=LastHist,0,Q31*(SOFR+ABS_Spread)/4)</f>
        <v>0</v>
      </c>
      <c r="S32" s="131" t="n">
        <f aca="false">IF(S$5&lt;=LastHist,0,R31*(SOFR+ABS_Spread)/4)</f>
        <v>0</v>
      </c>
      <c r="T32" s="131" t="n">
        <f aca="false">IF(T$5&lt;=LastHist,0,S31*(SOFR+ABS_Spread)/4)</f>
        <v>0</v>
      </c>
      <c r="U32" s="131" t="n">
        <f aca="false">IF(U$5&lt;=LastHist,0,T31*(SOFR+ABS_Spread)/4)</f>
        <v>0</v>
      </c>
      <c r="V32" s="131" t="n">
        <f aca="false">IF(V$5&lt;=LastHist,0,U31*(SOFR+ABS_Spread)/4)</f>
        <v>0</v>
      </c>
      <c r="W32" s="131" t="n">
        <f aca="false">IF(W$5&lt;=LastHist,0,V31*(SOFR+ABS_Spread)/4)</f>
        <v>0</v>
      </c>
      <c r="X32" s="131" t="n">
        <f aca="false">IF(X$5&lt;=LastHist,0,W31*(SOFR+ABS_Spread)/4)</f>
        <v>0</v>
      </c>
      <c r="Y32" s="131" t="n">
        <f aca="false">IF(Y$5&lt;=LastHist,0,X31*(SOFR+ABS_Spread)/4)</f>
        <v>0</v>
      </c>
      <c r="Z32" s="131" t="n">
        <f aca="false">IF(Z$5&lt;=LastHist,0,Y31*(SOFR+ABS_Spread)/4)</f>
        <v>0</v>
      </c>
      <c r="AA32" s="131" t="n">
        <f aca="false">IF(AA$5&lt;=LastHist,0,Z31*(SOFR+ABS_Spread)/4)</f>
        <v>0</v>
      </c>
      <c r="AB32" s="131" t="n">
        <f aca="false">IF(AB$5&lt;=LastHist,0,AA31*(SOFR+ABS_Spread)/4)</f>
        <v>0</v>
      </c>
      <c r="AC32" s="131" t="n">
        <f aca="false">IF(AC$5&lt;=LastHist,0,AB31*(SOFR+ABS_Spread)/4)</f>
        <v>0</v>
      </c>
      <c r="AD32" s="131" t="n">
        <f aca="false">IF(AD$5&lt;=LastHist,0,AC31*(SOFR+ABS_Spread)/4)</f>
        <v>0</v>
      </c>
      <c r="AE32" s="131" t="n">
        <f aca="false">IF(AE$5&lt;=LastHist,0,AD31*(SOFR+ABS_Spread)/4)</f>
        <v>0</v>
      </c>
      <c r="AF32" s="131" t="n">
        <f aca="false">IF(AF$5&lt;=LastHist,0,AE31*(SOFR+ABS_Spread)/4)</f>
        <v>0</v>
      </c>
      <c r="AG32" s="131" t="n">
        <f aca="false">IF(AG$5&lt;=LastHist,0,AF31*(SOFR+ABS_Spread)/4)</f>
        <v>0</v>
      </c>
      <c r="AI32" s="131" t="n">
        <f aca="false">SUMIF($F$7:$AG$7,AI$7,$F32:$AG32)</f>
        <v>0</v>
      </c>
      <c r="AJ32" s="131" t="n">
        <f aca="false">SUMIF($F$7:$AG$7,AJ$7,$F32:$AG32)</f>
        <v>0</v>
      </c>
      <c r="AK32" s="131" t="n">
        <f aca="false">SUMIF($F$7:$AG$7,AK$7,$F32:$AG32)</f>
        <v>0</v>
      </c>
      <c r="AL32" s="131" t="n">
        <f aca="false">SUMIF($F$7:$AG$7,AL$7,$F32:$AG32)</f>
        <v>0</v>
      </c>
      <c r="AM32" s="131" t="n">
        <f aca="false">SUMIF($F$7:$AG$7,AM$7,$F32:$AG32)</f>
        <v>0</v>
      </c>
      <c r="AN32" s="131" t="n">
        <f aca="false">SUMIF($F$7:$AG$7,AN$7,$F32:$AG32)</f>
        <v>0</v>
      </c>
      <c r="AO32" s="131" t="n">
        <f aca="false">SUMIF($F$7:$AG$7,AO$7,$F32:$AG32)</f>
        <v>0</v>
      </c>
    </row>
    <row r="34" customFormat="false" ht="15" hidden="false" customHeight="false" outlineLevel="0" collapsed="false">
      <c r="A34" s="64" t="s">
        <v>2698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customFormat="false" ht="15" hidden="false" customHeight="false" outlineLevel="0" collapsed="false">
      <c r="A35" s="112" t="s">
        <v>2699</v>
      </c>
      <c r="B35" s="24" t="s">
        <v>745</v>
      </c>
      <c r="C35" s="24" t="s">
        <v>672</v>
      </c>
      <c r="D35" s="24"/>
      <c r="F35" s="130" t="n">
        <f aca="false">0</f>
        <v>0</v>
      </c>
      <c r="G35" s="130" t="n">
        <f aca="false">IF(G$5&lt;=LastHist,0,INDEX(CF_Cash,1,1)*CashYield/4)</f>
        <v>0</v>
      </c>
      <c r="H35" s="130" t="n">
        <f aca="false">IF(H$5&lt;=LastHist,0,INDEX(CF_Cash,1,2)*CashYield/4)</f>
        <v>0</v>
      </c>
      <c r="I35" s="130" t="n">
        <f aca="false">IF(I$5&lt;=LastHist,0,INDEX(CF_Cash,1,3)*CashYield/4)</f>
        <v>0</v>
      </c>
      <c r="J35" s="130" t="n">
        <f aca="false">IF(J$5&lt;=LastHist,0,INDEX(CF_Cash,1,4)*CashYield/4)</f>
        <v>0</v>
      </c>
      <c r="K35" s="130" t="n">
        <f aca="false">IF(K$5&lt;=LastHist,0,INDEX(CF_Cash,1,5)*CashYield/4)</f>
        <v>0</v>
      </c>
      <c r="L35" s="130" t="n">
        <f aca="false">IF(L$5&lt;=LastHist,0,INDEX(CF_Cash,1,6)*CashYield/4)</f>
        <v>0</v>
      </c>
      <c r="M35" s="130" t="n">
        <f aca="false">IF(M$5&lt;=LastHist,0,INDEX(CF_Cash,1,7)*CashYield/4)</f>
        <v>0</v>
      </c>
      <c r="N35" s="130" t="n">
        <f aca="false">IF(N$5&lt;=LastHist,0,INDEX(CF_Cash,1,8)*CashYield/4)</f>
        <v>0</v>
      </c>
      <c r="O35" s="130" t="n">
        <f aca="false">IF(O$5&lt;=LastHist,0,INDEX(CF_Cash,1,9)*CashYield/4)</f>
        <v>0</v>
      </c>
      <c r="P35" s="131" t="n">
        <f aca="false">IF(P$5&lt;=LastHist,0,INDEX(CF_Cash,1,10)*CashYield/4)</f>
        <v>70.368375</v>
      </c>
      <c r="Q35" s="131" t="n">
        <f aca="false">IF(Q$5&lt;=LastHist,0,INDEX(CF_Cash,1,11)*CashYield/4)</f>
        <v>100.924802121778</v>
      </c>
      <c r="R35" s="131" t="n">
        <f aca="false">IF(R$5&lt;=LastHist,0,INDEX(CF_Cash,1,12)*CashYield/4)</f>
        <v>85.311775483341</v>
      </c>
      <c r="S35" s="131" t="n">
        <f aca="false">IF(S$5&lt;=LastHist,0,INDEX(CF_Cash,1,13)*CashYield/4)</f>
        <v>85.8456030576103</v>
      </c>
      <c r="T35" s="131" t="n">
        <f aca="false">IF(T$5&lt;=LastHist,0,INDEX(CF_Cash,1,14)*CashYield/4)</f>
        <v>20.5952632182597</v>
      </c>
      <c r="U35" s="131" t="n">
        <f aca="false">IF(U$5&lt;=LastHist,0,INDEX(CF_Cash,1,15)*CashYield/4)</f>
        <v>17.5</v>
      </c>
      <c r="V35" s="131" t="n">
        <f aca="false">IF(V$5&lt;=LastHist,0,INDEX(CF_Cash,1,16)*CashYield/4)</f>
        <v>17.5</v>
      </c>
      <c r="W35" s="131" t="n">
        <f aca="false">IF(W$5&lt;=LastHist,0,INDEX(CF_Cash,1,17)*CashYield/4)</f>
        <v>17.5</v>
      </c>
      <c r="X35" s="131" t="n">
        <f aca="false">IF(X$5&lt;=LastHist,0,INDEX(CF_Cash,1,18)*CashYield/4)</f>
        <v>17.5</v>
      </c>
      <c r="Y35" s="131" t="n">
        <f aca="false">IF(Y$5&lt;=LastHist,0,INDEX(CF_Cash,1,19)*CashYield/4)</f>
        <v>17.5</v>
      </c>
      <c r="Z35" s="131" t="n">
        <f aca="false">IF(Z$5&lt;=LastHist,0,INDEX(CF_Cash,1,20)*CashYield/4)</f>
        <v>17.5</v>
      </c>
      <c r="AA35" s="131" t="n">
        <f aca="false">IF(AA$5&lt;=LastHist,0,INDEX(CF_Cash,1,21)*CashYield/4)</f>
        <v>17.5</v>
      </c>
      <c r="AB35" s="131" t="n">
        <f aca="false">IF(AB$5&lt;=LastHist,0,INDEX(CF_Cash,1,22)*CashYield/4)</f>
        <v>17.5</v>
      </c>
      <c r="AC35" s="131" t="n">
        <f aca="false">IF(AC$5&lt;=LastHist,0,INDEX(CF_Cash,1,23)*CashYield/4)</f>
        <v>17.5</v>
      </c>
      <c r="AD35" s="131" t="n">
        <f aca="false">IF(AD$5&lt;=LastHist,0,INDEX(CF_Cash,1,24)*CashYield/4)</f>
        <v>44.9093357351112</v>
      </c>
      <c r="AE35" s="131" t="n">
        <f aca="false">IF(AE$5&lt;=LastHist,0,INDEX(CF_Cash,1,25)*CashYield/4)</f>
        <v>43.3371734119739</v>
      </c>
      <c r="AF35" s="131" t="n">
        <f aca="false">IF(AF$5&lt;=LastHist,0,INDEX(CF_Cash,1,26)*CashYield/4)</f>
        <v>79.6095888383572</v>
      </c>
      <c r="AG35" s="131" t="n">
        <f aca="false">IF(AG$5&lt;=LastHist,0,INDEX(CF_Cash,1,27)*CashYield/4)</f>
        <v>76.232771339519</v>
      </c>
      <c r="AI35" s="131" t="n">
        <f aca="false">SUMIF($F$7:$AG$7,AI$7,$F35:$AG35)</f>
        <v>0</v>
      </c>
      <c r="AJ35" s="131" t="n">
        <f aca="false">SUMIF($F$7:$AG$7,AJ$7,$F35:$AG35)</f>
        <v>0</v>
      </c>
      <c r="AK35" s="131" t="n">
        <f aca="false">SUMIF($F$7:$AG$7,AK$7,$F35:$AG35)</f>
        <v>171.293177121778</v>
      </c>
      <c r="AL35" s="131" t="n">
        <f aca="false">SUMIF($F$7:$AG$7,AL$7,$F35:$AG35)</f>
        <v>209.252641759211</v>
      </c>
      <c r="AM35" s="131" t="n">
        <f aca="false">SUMIF($F$7:$AG$7,AM$7,$F35:$AG35)</f>
        <v>70</v>
      </c>
      <c r="AN35" s="131" t="n">
        <f aca="false">SUMIF($F$7:$AG$7,AN$7,$F35:$AG35)</f>
        <v>70</v>
      </c>
      <c r="AO35" s="131" t="n">
        <f aca="false">SUMIF($F$7:$AG$7,AO$7,$F35:$AG35)</f>
        <v>244.088869324961</v>
      </c>
    </row>
    <row r="36" customFormat="false" ht="15" hidden="false" customHeight="false" outlineLevel="0" collapsed="false">
      <c r="A36" s="112" t="s">
        <v>2700</v>
      </c>
      <c r="B36" s="24" t="s">
        <v>745</v>
      </c>
      <c r="C36" s="24" t="s">
        <v>672</v>
      </c>
      <c r="D36" s="24"/>
      <c r="F36" s="130" t="n">
        <f aca="false">0</f>
        <v>0</v>
      </c>
      <c r="G36" s="130" t="n">
        <f aca="false">IF(G$5&lt;=LastHist,0,INDEX(CF_PlugBal,1,1)*(SOFR+PlugSpread)/4)</f>
        <v>0</v>
      </c>
      <c r="H36" s="130" t="n">
        <f aca="false">IF(H$5&lt;=LastHist,0,INDEX(CF_PlugBal,1,2)*(SOFR+PlugSpread)/4)</f>
        <v>0</v>
      </c>
      <c r="I36" s="130" t="n">
        <f aca="false">IF(I$5&lt;=LastHist,0,INDEX(CF_PlugBal,1,3)*(SOFR+PlugSpread)/4)</f>
        <v>0</v>
      </c>
      <c r="J36" s="130" t="n">
        <f aca="false">IF(J$5&lt;=LastHist,0,INDEX(CF_PlugBal,1,4)*(SOFR+PlugSpread)/4)</f>
        <v>0</v>
      </c>
      <c r="K36" s="130" t="n">
        <f aca="false">IF(K$5&lt;=LastHist,0,INDEX(CF_PlugBal,1,5)*(SOFR+PlugSpread)/4)</f>
        <v>0</v>
      </c>
      <c r="L36" s="130" t="n">
        <f aca="false">IF(L$5&lt;=LastHist,0,INDEX(CF_PlugBal,1,6)*(SOFR+PlugSpread)/4)</f>
        <v>0</v>
      </c>
      <c r="M36" s="130" t="n">
        <f aca="false">IF(M$5&lt;=LastHist,0,INDEX(CF_PlugBal,1,7)*(SOFR+PlugSpread)/4)</f>
        <v>0</v>
      </c>
      <c r="N36" s="130" t="n">
        <f aca="false">IF(N$5&lt;=LastHist,0,INDEX(CF_PlugBal,1,8)*(SOFR+PlugSpread)/4)</f>
        <v>0</v>
      </c>
      <c r="O36" s="130" t="n">
        <f aca="false">IF(O$5&lt;=LastHist,0,INDEX(CF_PlugBal,1,9)*(SOFR+PlugSpread)/4)</f>
        <v>0</v>
      </c>
      <c r="P36" s="131" t="n">
        <f aca="false">IF(P$5&lt;=LastHist,0,INDEX(CF_PlugBal,1,10)*(SOFR+PlugSpread)/4)</f>
        <v>0</v>
      </c>
      <c r="Q36" s="131" t="n">
        <f aca="false">IF(Q$5&lt;=LastHist,0,INDEX(CF_PlugBal,1,11)*(SOFR+PlugSpread)/4)</f>
        <v>0</v>
      </c>
      <c r="R36" s="131" t="n">
        <f aca="false">IF(R$5&lt;=LastHist,0,INDEX(CF_PlugBal,1,12)*(SOFR+PlugSpread)/4)</f>
        <v>0</v>
      </c>
      <c r="S36" s="131" t="n">
        <f aca="false">IF(S$5&lt;=LastHist,0,INDEX(CF_PlugBal,1,13)*(SOFR+PlugSpread)/4)</f>
        <v>0</v>
      </c>
      <c r="T36" s="131" t="n">
        <f aca="false">IF(T$5&lt;=LastHist,0,INDEX(CF_PlugBal,1,14)*(SOFR+PlugSpread)/4)</f>
        <v>0</v>
      </c>
      <c r="U36" s="131" t="n">
        <f aca="false">IF(U$5&lt;=LastHist,0,INDEX(CF_PlugBal,1,15)*(SOFR+PlugSpread)/4)</f>
        <v>25.6735092160273</v>
      </c>
      <c r="V36" s="131" t="n">
        <f aca="false">IF(V$5&lt;=LastHist,0,INDEX(CF_PlugBal,1,16)*(SOFR+PlugSpread)/4)</f>
        <v>57.1194384418147</v>
      </c>
      <c r="W36" s="131" t="n">
        <f aca="false">IF(W$5&lt;=LastHist,0,INDEX(CF_PlugBal,1,17)*(SOFR+PlugSpread)/4)</f>
        <v>88.8715053146592</v>
      </c>
      <c r="X36" s="131" t="n">
        <f aca="false">IF(X$5&lt;=LastHist,0,INDEX(CF_PlugBal,1,18)*(SOFR+PlugSpread)/4)</f>
        <v>98.0435803023486</v>
      </c>
      <c r="Y36" s="131" t="n">
        <f aca="false">IF(Y$5&lt;=LastHist,0,INDEX(CF_PlugBal,1,19)*(SOFR+PlugSpread)/4)</f>
        <v>179.639183376278</v>
      </c>
      <c r="Z36" s="131" t="n">
        <f aca="false">IF(Z$5&lt;=LastHist,0,INDEX(CF_PlugBal,1,20)*(SOFR+PlugSpread)/4)</f>
        <v>186.810187962515</v>
      </c>
      <c r="AA36" s="131" t="n">
        <f aca="false">IF(AA$5&lt;=LastHist,0,INDEX(CF_PlugBal,1,21)*(SOFR+PlugSpread)/4)</f>
        <v>250.117170605492</v>
      </c>
      <c r="AB36" s="131" t="n">
        <f aca="false">IF(AB$5&lt;=LastHist,0,INDEX(CF_PlugBal,1,22)*(SOFR+PlugSpread)/4)</f>
        <v>263.628405780271</v>
      </c>
      <c r="AC36" s="131" t="n">
        <f aca="false">IF(AC$5&lt;=LastHist,0,INDEX(CF_PlugBal,1,23)*(SOFR+PlugSpread)/4)</f>
        <v>358.395757526194</v>
      </c>
      <c r="AD36" s="131" t="n">
        <f aca="false">IF(AD$5&lt;=LastHist,0,INDEX(CF_PlugBal,1,24)*(SOFR+PlugSpread)/4)</f>
        <v>358.395757526194</v>
      </c>
      <c r="AE36" s="131" t="n">
        <f aca="false">IF(AE$5&lt;=LastHist,0,INDEX(CF_PlugBal,1,25)*(SOFR+PlugSpread)/4)</f>
        <v>358.395757526194</v>
      </c>
      <c r="AF36" s="131" t="n">
        <f aca="false">IF(AF$5&lt;=LastHist,0,INDEX(CF_PlugBal,1,26)*(SOFR+PlugSpread)/4)</f>
        <v>358.395757526194</v>
      </c>
      <c r="AG36" s="131" t="n">
        <f aca="false">IF(AG$5&lt;=LastHist,0,INDEX(CF_PlugBal,1,27)*(SOFR+PlugSpread)/4)</f>
        <v>358.395757526194</v>
      </c>
      <c r="AI36" s="131" t="n">
        <f aca="false">SUMIF($F$7:$AG$7,AI$7,$F36:$AG36)</f>
        <v>0</v>
      </c>
      <c r="AJ36" s="131" t="n">
        <f aca="false">SUMIF($F$7:$AG$7,AJ$7,$F36:$AG36)</f>
        <v>0</v>
      </c>
      <c r="AK36" s="131" t="n">
        <f aca="false">SUMIF($F$7:$AG$7,AK$7,$F36:$AG36)</f>
        <v>0</v>
      </c>
      <c r="AL36" s="131" t="n">
        <f aca="false">SUMIF($F$7:$AG$7,AL$7,$F36:$AG36)</f>
        <v>25.6735092160273</v>
      </c>
      <c r="AM36" s="131" t="n">
        <f aca="false">SUMIF($F$7:$AG$7,AM$7,$F36:$AG36)</f>
        <v>423.6737074351</v>
      </c>
      <c r="AN36" s="131" t="n">
        <f aca="false">SUMIF($F$7:$AG$7,AN$7,$F36:$AG36)</f>
        <v>1058.95152187447</v>
      </c>
      <c r="AO36" s="131" t="n">
        <f aca="false">SUMIF($F$7:$AG$7,AO$7,$F36:$AG36)</f>
        <v>1433.58303010478</v>
      </c>
    </row>
    <row r="37" customFormat="false" ht="15" hidden="false" customHeight="false" outlineLevel="0" collapsed="false">
      <c r="A37" s="112" t="s">
        <v>2701</v>
      </c>
      <c r="B37" s="24" t="s">
        <v>745</v>
      </c>
      <c r="C37" s="24" t="s">
        <v>672</v>
      </c>
      <c r="D37" s="24" t="s">
        <v>2702</v>
      </c>
      <c r="F37" s="130" t="n">
        <f aca="false">IF(F$5&lt;=LastHist,0,-INDEX(CV_cpn,1,1)-INDEX(Sec_Int,1,1)-INDEX(ABS_Int,1,1)-F36+F35)</f>
        <v>0</v>
      </c>
      <c r="G37" s="130" t="n">
        <f aca="false">IF(G$5&lt;=LastHist,0,-INDEX(CV_cpn,1,2)-INDEX(Sec_Int,1,2)-INDEX(ABS_Int,1,2)-G36+G35)</f>
        <v>0</v>
      </c>
      <c r="H37" s="130" t="n">
        <f aca="false">IF(H$5&lt;=LastHist,0,-INDEX(CV_cpn,1,3)-INDEX(Sec_Int,1,3)-INDEX(ABS_Int,1,3)-H36+H35)</f>
        <v>0</v>
      </c>
      <c r="I37" s="130" t="n">
        <f aca="false">IF(I$5&lt;=LastHist,0,-INDEX(CV_cpn,1,4)-INDEX(Sec_Int,1,4)-INDEX(ABS_Int,1,4)-I36+I35)</f>
        <v>0</v>
      </c>
      <c r="J37" s="130" t="n">
        <f aca="false">IF(J$5&lt;=LastHist,0,-INDEX(CV_cpn,1,5)-INDEX(Sec_Int,1,5)-INDEX(ABS_Int,1,5)-J36+J35)</f>
        <v>0</v>
      </c>
      <c r="K37" s="130" t="n">
        <f aca="false">IF(K$5&lt;=LastHist,0,-INDEX(CV_cpn,1,6)-INDEX(Sec_Int,1,6)-INDEX(ABS_Int,1,6)-K36+K35)</f>
        <v>0</v>
      </c>
      <c r="L37" s="130" t="n">
        <f aca="false">IF(L$5&lt;=LastHist,0,-INDEX(CV_cpn,1,7)-INDEX(Sec_Int,1,7)-INDEX(ABS_Int,1,7)-L36+L35)</f>
        <v>0</v>
      </c>
      <c r="M37" s="130" t="n">
        <f aca="false">IF(M$5&lt;=LastHist,0,-INDEX(CV_cpn,1,8)-INDEX(Sec_Int,1,8)-INDEX(ABS_Int,1,8)-M36+M35)</f>
        <v>0</v>
      </c>
      <c r="N37" s="130" t="n">
        <f aca="false">IF(N$5&lt;=LastHist,0,-INDEX(CV_cpn,1,9)-INDEX(Sec_Int,1,9)-INDEX(ABS_Int,1,9)-N36+N35)</f>
        <v>0</v>
      </c>
      <c r="O37" s="130" t="n">
        <f aca="false">IF(O$5&lt;=LastHist,0,-INDEX(CV_cpn,1,10)-INDEX(Sec_Int,1,10)-INDEX(ABS_Int,1,10)-O36+O35)</f>
        <v>0</v>
      </c>
      <c r="P37" s="131" t="n">
        <f aca="false">IF(P$5&lt;=LastHist,0,-INDEX(CV_cpn,1,11)-INDEX(Sec_Int,1,11)-INDEX(ABS_Int,1,11)-P36+P35)</f>
        <v>4.69259375000001</v>
      </c>
      <c r="Q37" s="131" t="n">
        <f aca="false">IF(Q$5&lt;=LastHist,0,-INDEX(CV_cpn,1,12)-INDEX(Sec_Int,1,12)-INDEX(ABS_Int,1,12)-Q36+Q35)</f>
        <v>35.2490208717784</v>
      </c>
      <c r="R37" s="131" t="n">
        <f aca="false">IF(R$5&lt;=LastHist,0,-INDEX(CV_cpn,1,13)-INDEX(Sec_Int,1,13)-INDEX(ABS_Int,1,13)-R36+R35)</f>
        <v>-13.964005766659</v>
      </c>
      <c r="S37" s="131" t="n">
        <f aca="false">IF(S$5&lt;=LastHist,0,-INDEX(CV_cpn,1,14)-INDEX(Sec_Int,1,14)-INDEX(ABS_Int,1,14)-S36+S35)</f>
        <v>-13.4301781923897</v>
      </c>
      <c r="T37" s="131" t="n">
        <f aca="false">IF(T$5&lt;=LastHist,0,-INDEX(CV_cpn,1,15)-INDEX(Sec_Int,1,15)-INDEX(ABS_Int,1,15)-T36+T35)</f>
        <v>-112.28051803174</v>
      </c>
      <c r="U37" s="131" t="n">
        <f aca="false">IF(U$5&lt;=LastHist,0,-INDEX(CV_cpn,1,16)-INDEX(Sec_Int,1,16)-INDEX(ABS_Int,1,16)-U36+U35)</f>
        <v>-141.049290466027</v>
      </c>
      <c r="V37" s="131" t="n">
        <f aca="false">IF(V$5&lt;=LastHist,0,-INDEX(CV_cpn,1,17)-INDEX(Sec_Int,1,17)-INDEX(ABS_Int,1,17)-V36+V35)</f>
        <v>-172.495219691815</v>
      </c>
      <c r="W37" s="131" t="n">
        <f aca="false">IF(W$5&lt;=LastHist,0,-INDEX(CV_cpn,1,18)-INDEX(Sec_Int,1,18)-INDEX(ABS_Int,1,18)-W36+W35)</f>
        <v>-204.247286564659</v>
      </c>
      <c r="X37" s="131" t="n">
        <f aca="false">IF(X$5&lt;=LastHist,0,-INDEX(CV_cpn,1,19)-INDEX(Sec_Int,1,19)-INDEX(ABS_Int,1,19)-X36+X35)</f>
        <v>-213.419361552349</v>
      </c>
      <c r="Y37" s="131" t="n">
        <f aca="false">IF(Y$5&lt;=LastHist,0,-INDEX(CV_cpn,1,20)-INDEX(Sec_Int,1,20)-INDEX(ABS_Int,1,20)-Y36+Y35)</f>
        <v>-295.014964626278</v>
      </c>
      <c r="Z37" s="131" t="n">
        <f aca="false">IF(Z$5&lt;=LastHist,0,-INDEX(CV_cpn,1,21)-INDEX(Sec_Int,1,21)-INDEX(ABS_Int,1,21)-Z36+Z35)</f>
        <v>-302.185969212515</v>
      </c>
      <c r="AA37" s="131" t="n">
        <f aca="false">IF(AA$5&lt;=LastHist,0,-INDEX(CV_cpn,1,22)-INDEX(Sec_Int,1,22)-INDEX(ABS_Int,1,22)-AA36+AA35)</f>
        <v>-365.055451855492</v>
      </c>
      <c r="AB37" s="131" t="n">
        <f aca="false">IF(AB$5&lt;=LastHist,0,-INDEX(CV_cpn,1,23)-INDEX(Sec_Int,1,23)-INDEX(ABS_Int,1,23)-AB36+AB35)</f>
        <v>-378.566687030271</v>
      </c>
      <c r="AC37" s="131" t="n">
        <f aca="false">IF(AC$5&lt;=LastHist,0,-INDEX(CV_cpn,1,24)-INDEX(Sec_Int,1,24)-INDEX(ABS_Int,1,24)-AC36+AC35)</f>
        <v>-473.334038776194</v>
      </c>
      <c r="AD37" s="131" t="n">
        <f aca="false">IF(AD$5&lt;=LastHist,0,-INDEX(CV_cpn,1,25)-INDEX(Sec_Int,1,25)-INDEX(ABS_Int,1,25)-AD36+AD35)</f>
        <v>-441.612203041083</v>
      </c>
      <c r="AE37" s="131" t="n">
        <f aca="false">IF(AE$5&lt;=LastHist,0,-INDEX(CV_cpn,1,26)-INDEX(Sec_Int,1,26)-INDEX(ABS_Int,1,26)-AE36+AE35)</f>
        <v>-443.18436536422</v>
      </c>
      <c r="AF37" s="131" t="n">
        <f aca="false">IF(AF$5&lt;=LastHist,0,-INDEX(CV_cpn,1,27)-INDEX(Sec_Int,1,27)-INDEX(ABS_Int,1,27)-AF36+AF35)</f>
        <v>-398.158824937837</v>
      </c>
      <c r="AG37" s="131" t="n">
        <f aca="false">IF(AG$5&lt;=LastHist,0,-INDEX(CV_cpn,1,28)-INDEX(Sec_Int,1,28)-INDEX(ABS_Int,1,28)-AG36+AG35)</f>
        <v>-401.535642436675</v>
      </c>
      <c r="AI37" s="131" t="n">
        <f aca="false">SUMIF($F$7:$AG$7,AI$7,$F37:$AG37)</f>
        <v>0</v>
      </c>
      <c r="AJ37" s="131" t="n">
        <f aca="false">SUMIF($F$7:$AG$7,AJ$7,$F37:$AG37)</f>
        <v>0</v>
      </c>
      <c r="AK37" s="131" t="n">
        <f aca="false">SUMIF($F$7:$AG$7,AK$7,$F37:$AG37)</f>
        <v>39.9416146217784</v>
      </c>
      <c r="AL37" s="131" t="n">
        <f aca="false">SUMIF($F$7:$AG$7,AL$7,$F37:$AG37)</f>
        <v>-280.723992456816</v>
      </c>
      <c r="AM37" s="131" t="n">
        <f aca="false">SUMIF($F$7:$AG$7,AM$7,$F37:$AG37)</f>
        <v>-885.1768324351</v>
      </c>
      <c r="AN37" s="131" t="n">
        <f aca="false">SUMIF($F$7:$AG$7,AN$7,$F37:$AG37)</f>
        <v>-1519.14214687447</v>
      </c>
      <c r="AO37" s="131" t="n">
        <f aca="false">SUMIF($F$7:$AG$7,AO$7,$F37:$AG37)</f>
        <v>-1684.49103577981</v>
      </c>
    </row>
    <row r="38" customFormat="false" ht="15" hidden="false" customHeight="false" outlineLevel="0" collapsed="false">
      <c r="A38" s="3" t="s">
        <v>2703</v>
      </c>
      <c r="B38" s="24" t="s">
        <v>745</v>
      </c>
      <c r="C38" s="24" t="s">
        <v>672</v>
      </c>
      <c r="D38" s="24"/>
      <c r="F38" s="132" t="n">
        <f aca="false">F11+F12+F37+F26</f>
        <v>0</v>
      </c>
      <c r="G38" s="132" t="n">
        <f aca="false">G11+G12+G37+G26</f>
        <v>0</v>
      </c>
      <c r="H38" s="132" t="n">
        <f aca="false">H11+H12+H37+H26</f>
        <v>0</v>
      </c>
      <c r="I38" s="132" t="n">
        <f aca="false">I11+I12+I37+I26</f>
        <v>0</v>
      </c>
      <c r="J38" s="132" t="n">
        <f aca="false">J11+J12+J37+J26</f>
        <v>0</v>
      </c>
      <c r="K38" s="132" t="n">
        <f aca="false">K11+K12+K37+K26</f>
        <v>0</v>
      </c>
      <c r="L38" s="132" t="n">
        <f aca="false">L11+L12+L37+L26</f>
        <v>0</v>
      </c>
      <c r="M38" s="132" t="n">
        <f aca="false">M11+M12+M37+M26</f>
        <v>0</v>
      </c>
      <c r="N38" s="132" t="n">
        <f aca="false">N11+N12+N37+N26</f>
        <v>0</v>
      </c>
      <c r="O38" s="132" t="n">
        <f aca="false">O11+O12+O37+O26</f>
        <v>0</v>
      </c>
      <c r="P38" s="104" t="n">
        <f aca="false">P11+P12+P37+P26</f>
        <v>1223.40220278543</v>
      </c>
      <c r="Q38" s="104" t="n">
        <f aca="false">Q11+Q12+Q37+Q26</f>
        <v>1312.43024397221</v>
      </c>
      <c r="R38" s="104" t="n">
        <f aca="false">R11+R12+R37+R26</f>
        <v>1370.06797242834</v>
      </c>
      <c r="S38" s="104" t="n">
        <f aca="false">S11+S12+S37+S26</f>
        <v>1621.07741424872</v>
      </c>
      <c r="T38" s="104" t="n">
        <f aca="false">T11+T12+T37+T26</f>
        <v>1827.75817090421</v>
      </c>
      <c r="U38" s="104" t="n">
        <f aca="false">U11+U12+U37+U26</f>
        <v>2038.51643470267</v>
      </c>
      <c r="V38" s="104" t="n">
        <f aca="false">V11+V12+V37+V26</f>
        <v>2625.1961193854</v>
      </c>
      <c r="W38" s="104" t="n">
        <f aca="false">W11+W12+W37+W26</f>
        <v>2967.1111991197</v>
      </c>
      <c r="X38" s="104" t="n">
        <f aca="false">X11+X12+X37+X26</f>
        <v>3210.15386762936</v>
      </c>
      <c r="Y38" s="104" t="n">
        <f aca="false">Y11+Y12+Y37+Y26</f>
        <v>3308.93263127838</v>
      </c>
      <c r="Z38" s="104" t="n">
        <f aca="false">Z11+Z12+Z37+Z26</f>
        <v>5459.85887653234</v>
      </c>
      <c r="AA38" s="104" t="n">
        <f aca="false">AA11+AA12+AA37+AA26</f>
        <v>4259.69499316972</v>
      </c>
      <c r="AB38" s="104" t="n">
        <f aca="false">AB11+AB12+AB37+AB26</f>
        <v>7284.63561547155</v>
      </c>
      <c r="AC38" s="104" t="n">
        <f aca="false">AC11+AC12+AC37+AC26</f>
        <v>3599.88816190977</v>
      </c>
      <c r="AD38" s="104" t="n">
        <f aca="false">AD11+AD12+AD37+AD26</f>
        <v>4191.91516730113</v>
      </c>
      <c r="AE38" s="104" t="n">
        <f aca="false">AE11+AE12+AE37+AE26</f>
        <v>4718.13789538259</v>
      </c>
      <c r="AF38" s="104" t="n">
        <f aca="false">AF11+AF12+AF37+AF26</f>
        <v>4726.41962539201</v>
      </c>
      <c r="AG38" s="104" t="n">
        <f aca="false">AG11+AG12+AG37+AG26</f>
        <v>4829.12768742614</v>
      </c>
      <c r="AI38" s="104" t="n">
        <f aca="false">SUMIF($F$7:$AG$7,AI$7,$F38:$AG38)</f>
        <v>0</v>
      </c>
      <c r="AJ38" s="104" t="n">
        <f aca="false">SUMIF($F$7:$AG$7,AJ$7,$F38:$AG38)</f>
        <v>0</v>
      </c>
      <c r="AK38" s="104" t="n">
        <f aca="false">SUMIF($F$7:$AG$7,AK$7,$F38:$AG38)</f>
        <v>2535.83244675763</v>
      </c>
      <c r="AL38" s="104" t="n">
        <f aca="false">SUMIF($F$7:$AG$7,AL$7,$F38:$AG38)</f>
        <v>6857.41999228394</v>
      </c>
      <c r="AM38" s="104" t="n">
        <f aca="false">SUMIF($F$7:$AG$7,AM$7,$F38:$AG38)</f>
        <v>12111.3938174128</v>
      </c>
      <c r="AN38" s="104" t="n">
        <f aca="false">SUMIF($F$7:$AG$7,AN$7,$F38:$AG38)</f>
        <v>20604.0776470834</v>
      </c>
      <c r="AO38" s="104" t="n">
        <f aca="false">SUMIF($F$7:$AG$7,AO$7,$F38:$AG38)</f>
        <v>18465.6003755019</v>
      </c>
    </row>
    <row r="39" customFormat="false" ht="15" hidden="false" customHeight="false" outlineLevel="0" collapsed="false">
      <c r="A39" s="112" t="s">
        <v>2704</v>
      </c>
      <c r="B39" s="24" t="s">
        <v>745</v>
      </c>
      <c r="C39" s="24" t="s">
        <v>2371</v>
      </c>
      <c r="D39" s="24"/>
      <c r="F39" s="130" t="n">
        <f aca="false">IF(F$5&lt;=LastHist,0,-INDEX(Capex,1,1)+INDEX(CapResid,1,1))</f>
        <v>0</v>
      </c>
      <c r="G39" s="130" t="n">
        <f aca="false">IF(G$5&lt;=LastHist,0,-INDEX(Capex,1,2)+INDEX(CapResid,1,2))</f>
        <v>0</v>
      </c>
      <c r="H39" s="130" t="n">
        <f aca="false">IF(H$5&lt;=LastHist,0,-INDEX(Capex,1,3)+INDEX(CapResid,1,3))</f>
        <v>0</v>
      </c>
      <c r="I39" s="130" t="n">
        <f aca="false">IF(I$5&lt;=LastHist,0,-INDEX(Capex,1,4)+INDEX(CapResid,1,4))</f>
        <v>0</v>
      </c>
      <c r="J39" s="130" t="n">
        <f aca="false">IF(J$5&lt;=LastHist,0,-INDEX(Capex,1,5)+INDEX(CapResid,1,5))</f>
        <v>0</v>
      </c>
      <c r="K39" s="130" t="n">
        <f aca="false">IF(K$5&lt;=LastHist,0,-INDEX(Capex,1,6)+INDEX(CapResid,1,6))</f>
        <v>0</v>
      </c>
      <c r="L39" s="130" t="n">
        <f aca="false">IF(L$5&lt;=LastHist,0,-INDEX(Capex,1,7)+INDEX(CapResid,1,7))</f>
        <v>0</v>
      </c>
      <c r="M39" s="130" t="n">
        <f aca="false">IF(M$5&lt;=LastHist,0,-INDEX(Capex,1,8)+INDEX(CapResid,1,8))</f>
        <v>0</v>
      </c>
      <c r="N39" s="130" t="n">
        <f aca="false">IF(N$5&lt;=LastHist,0,-INDEX(Capex,1,9)+INDEX(CapResid,1,9))</f>
        <v>0</v>
      </c>
      <c r="O39" s="130" t="n">
        <f aca="false">IF(O$5&lt;=LastHist,0,-INDEX(Capex,1,10)+INDEX(CapResid,1,10))</f>
        <v>0</v>
      </c>
      <c r="P39" s="131" t="n">
        <f aca="false">IF(P$5&lt;=LastHist,0,-INDEX(Capex,1,11)+INDEX(CapResid,1,11))</f>
        <v>-3411.23910315362</v>
      </c>
      <c r="Q39" s="131" t="n">
        <f aca="false">IF(Q$5&lt;=LastHist,0,-INDEX(Capex,1,12)+INDEX(CapResid,1,12))</f>
        <v>-6076.17795017791</v>
      </c>
      <c r="R39" s="131" t="n">
        <f aca="false">IF(R$5&lt;=LastHist,0,-INDEX(Capex,1,13)+INDEX(CapResid,1,13))</f>
        <v>-7631.1460633193</v>
      </c>
      <c r="S39" s="131" t="n">
        <f aca="false">IF(S$5&lt;=LastHist,0,-INDEX(Capex,1,14)+INDEX(CapResid,1,14))</f>
        <v>-9078.25911017451</v>
      </c>
      <c r="T39" s="131" t="n">
        <f aca="false">IF(T$5&lt;=LastHist,0,-INDEX(Capex,1,15)+INDEX(CapResid,1,15))</f>
        <v>-11437.7048342016</v>
      </c>
      <c r="U39" s="131" t="n">
        <f aca="false">IF(U$5&lt;=LastHist,0,-INDEX(Capex,1,16)+INDEX(CapResid,1,16))</f>
        <v>-5632.3369176498</v>
      </c>
      <c r="V39" s="131" t="n">
        <f aca="false">IF(V$5&lt;=LastHist,0,-INDEX(Capex,1,17)+INDEX(CapResid,1,17))</f>
        <v>-6254.0037619962</v>
      </c>
      <c r="W39" s="131" t="n">
        <f aca="false">IF(W$5&lt;=LastHist,0,-INDEX(Capex,1,18)+INDEX(CapResid,1,18))</f>
        <v>-4015.34834056992</v>
      </c>
      <c r="X39" s="131" t="n">
        <f aca="false">IF(X$5&lt;=LastHist,0,-INDEX(Capex,1,19)+INDEX(CapResid,1,19))</f>
        <v>-12535.365647507</v>
      </c>
      <c r="Y39" s="131" t="n">
        <f aca="false">IF(Y$5&lt;=LastHist,0,-INDEX(Capex,1,20)+INDEX(CapResid,1,20))</f>
        <v>-4128.47601256269</v>
      </c>
      <c r="Z39" s="131" t="n">
        <f aca="false">IF(Z$5&lt;=LastHist,0,-INDEX(Capex,1,21)+INDEX(CapResid,1,21))</f>
        <v>-12694.9426071582</v>
      </c>
      <c r="AA39" s="131" t="n">
        <f aca="false">IF(AA$5&lt;=LastHist,0,-INDEX(Capex,1,22)+INDEX(CapResid,1,22))</f>
        <v>-5803.83615600156</v>
      </c>
      <c r="AB39" s="131" t="n">
        <f aca="false">IF(AB$5&lt;=LastHist,0,-INDEX(Capex,1,23)+INDEX(CapResid,1,23))</f>
        <v>-18115.19010072</v>
      </c>
      <c r="AC39" s="131" t="n">
        <f aca="false">IF(AC$5&lt;=LastHist,0,-INDEX(Capex,1,24)+INDEX(CapResid,1,24))</f>
        <v>-467.392649325632</v>
      </c>
      <c r="AD39" s="131" t="n">
        <f aca="false">IF(AD$5&lt;=LastHist,0,-INDEX(Capex,1,25)+INDEX(CapResid,1,25))</f>
        <v>-576.590861373967</v>
      </c>
      <c r="AE39" s="131" t="n">
        <f aca="false">IF(AE$5&lt;=LastHist,0,-INDEX(Capex,1,26)+INDEX(CapResid,1,26))</f>
        <v>-572.718989510218</v>
      </c>
      <c r="AF39" s="131" t="n">
        <f aca="false">IF(AF$5&lt;=LastHist,0,-INDEX(Capex,1,27)+INDEX(CapResid,1,27))</f>
        <v>-888.34162525923</v>
      </c>
      <c r="AG39" s="131" t="n">
        <f aca="false">IF(AG$5&lt;=LastHist,0,-INDEX(Capex,1,28)+INDEX(CapResid,1,28))</f>
        <v>-1673.04198492783</v>
      </c>
      <c r="AI39" s="131" t="n">
        <f aca="false">SUMIF($F$7:$AG$7,AI$7,$F39:$AG39)</f>
        <v>0</v>
      </c>
      <c r="AJ39" s="131" t="n">
        <f aca="false">SUMIF($F$7:$AG$7,AJ$7,$F39:$AG39)</f>
        <v>0</v>
      </c>
      <c r="AK39" s="131" t="n">
        <f aca="false">SUMIF($F$7:$AG$7,AK$7,$F39:$AG39)</f>
        <v>-9487.41705333152</v>
      </c>
      <c r="AL39" s="131" t="n">
        <f aca="false">SUMIF($F$7:$AG$7,AL$7,$F39:$AG39)</f>
        <v>-33779.4469253452</v>
      </c>
      <c r="AM39" s="131" t="n">
        <f aca="false">SUMIF($F$7:$AG$7,AM$7,$F39:$AG39)</f>
        <v>-26933.1937626358</v>
      </c>
      <c r="AN39" s="131" t="n">
        <f aca="false">SUMIF($F$7:$AG$7,AN$7,$F39:$AG39)</f>
        <v>-37081.3615132054</v>
      </c>
      <c r="AO39" s="131" t="n">
        <f aca="false">SUMIF($F$7:$AG$7,AO$7,$F39:$AG39)</f>
        <v>-3710.69346107125</v>
      </c>
    </row>
    <row r="40" customFormat="false" ht="15" hidden="false" customHeight="false" outlineLevel="0" collapsed="false">
      <c r="A40" s="112" t="s">
        <v>2705</v>
      </c>
      <c r="B40" s="24" t="s">
        <v>745</v>
      </c>
      <c r="C40" s="24" t="s">
        <v>736</v>
      </c>
      <c r="D40" s="24"/>
      <c r="F40" s="130" t="n">
        <f aca="false">IF(F$5&lt;=LastHist,0,-CLT1Prepay/3*AND(F$5&gt;=12,F$5&lt;=14)-InferizeOn*InferizeAmt*(F$5=12))</f>
        <v>0</v>
      </c>
      <c r="G40" s="130" t="n">
        <f aca="false">IF(G$5&lt;=LastHist,0,-CLT1Prepay/3*AND(G$5&gt;=12,G$5&lt;=14)-InferizeOn*InferizeAmt*(G$5=12))</f>
        <v>0</v>
      </c>
      <c r="H40" s="130" t="n">
        <f aca="false">IF(H$5&lt;=LastHist,0,-CLT1Prepay/3*AND(H$5&gt;=12,H$5&lt;=14)-InferizeOn*InferizeAmt*(H$5=12))</f>
        <v>0</v>
      </c>
      <c r="I40" s="130" t="n">
        <f aca="false">IF(I$5&lt;=LastHist,0,-CLT1Prepay/3*AND(I$5&gt;=12,I$5&lt;=14)-InferizeOn*InferizeAmt*(I$5=12))</f>
        <v>0</v>
      </c>
      <c r="J40" s="130" t="n">
        <f aca="false">IF(J$5&lt;=LastHist,0,-CLT1Prepay/3*AND(J$5&gt;=12,J$5&lt;=14)-InferizeOn*InferizeAmt*(J$5=12))</f>
        <v>0</v>
      </c>
      <c r="K40" s="130" t="n">
        <f aca="false">IF(K$5&lt;=LastHist,0,-CLT1Prepay/3*AND(K$5&gt;=12,K$5&lt;=14)-InferizeOn*InferizeAmt*(K$5=12))</f>
        <v>0</v>
      </c>
      <c r="L40" s="130" t="n">
        <f aca="false">IF(L$5&lt;=LastHist,0,-CLT1Prepay/3*AND(L$5&gt;=12,L$5&lt;=14)-InferizeOn*InferizeAmt*(L$5=12))</f>
        <v>0</v>
      </c>
      <c r="M40" s="130" t="n">
        <f aca="false">IF(M$5&lt;=LastHist,0,-CLT1Prepay/3*AND(M$5&gt;=12,M$5&lt;=14)-InferizeOn*InferizeAmt*(M$5=12))</f>
        <v>0</v>
      </c>
      <c r="N40" s="130" t="n">
        <f aca="false">IF(N$5&lt;=LastHist,0,-CLT1Prepay/3*AND(N$5&gt;=12,N$5&lt;=14)-InferizeOn*InferizeAmt*(N$5=12))</f>
        <v>0</v>
      </c>
      <c r="O40" s="130" t="n">
        <f aca="false">IF(O$5&lt;=LastHist,0,-CLT1Prepay/3*AND(O$5&gt;=12,O$5&lt;=14)-InferizeOn*InferizeAmt*(O$5=12))</f>
        <v>0</v>
      </c>
      <c r="P40" s="131" t="n">
        <f aca="false">IF(P$5&lt;=LastHist,0,-CLT1Prepay/3*AND(P$5&gt;=12,P$5&lt;=14)-InferizeOn*InferizeAmt*(P$5=12))</f>
        <v>-0</v>
      </c>
      <c r="Q40" s="131" t="n">
        <f aca="false">IF(Q$5&lt;=LastHist,0,-CLT1Prepay/3*AND(Q$5&gt;=12,Q$5&lt;=14)-InferizeOn*InferizeAmt*(Q$5=12))</f>
        <v>-0</v>
      </c>
      <c r="R40" s="131" t="n">
        <f aca="false">IF(R$5&lt;=LastHist,0,-CLT1Prepay/3*AND(R$5&gt;=12,R$5&lt;=14)-InferizeOn*InferizeAmt*(R$5=12))</f>
        <v>-0</v>
      </c>
      <c r="S40" s="131" t="n">
        <f aca="false">IF(S$5&lt;=LastHist,0,-CLT1Prepay/3*AND(S$5&gt;=12,S$5&lt;=14)-InferizeOn*InferizeAmt*(S$5=12))</f>
        <v>-0</v>
      </c>
      <c r="T40" s="131" t="n">
        <f aca="false">IF(T$5&lt;=LastHist,0,-CLT1Prepay/3*AND(T$5&gt;=12,T$5&lt;=14)-InferizeOn*InferizeAmt*(T$5=12))</f>
        <v>-0</v>
      </c>
      <c r="U40" s="131" t="n">
        <f aca="false">IF(U$5&lt;=LastHist,0,-CLT1Prepay/3*AND(U$5&gt;=12,U$5&lt;=14)-InferizeOn*InferizeAmt*(U$5=12))</f>
        <v>-0</v>
      </c>
      <c r="V40" s="131" t="n">
        <f aca="false">IF(V$5&lt;=LastHist,0,-CLT1Prepay/3*AND(V$5&gt;=12,V$5&lt;=14)-InferizeOn*InferizeAmt*(V$5=12))</f>
        <v>-0</v>
      </c>
      <c r="W40" s="131" t="n">
        <f aca="false">IF(W$5&lt;=LastHist,0,-CLT1Prepay/3*AND(W$5&gt;=12,W$5&lt;=14)-InferizeOn*InferizeAmt*(W$5=12))</f>
        <v>-0</v>
      </c>
      <c r="X40" s="131" t="n">
        <f aca="false">IF(X$5&lt;=LastHist,0,-CLT1Prepay/3*AND(X$5&gt;=12,X$5&lt;=14)-InferizeOn*InferizeAmt*(X$5=12))</f>
        <v>-0</v>
      </c>
      <c r="Y40" s="131" t="n">
        <f aca="false">IF(Y$5&lt;=LastHist,0,-CLT1Prepay/3*AND(Y$5&gt;=12,Y$5&lt;=14)-InferizeOn*InferizeAmt*(Y$5=12))</f>
        <v>-0</v>
      </c>
      <c r="Z40" s="131" t="n">
        <f aca="false">IF(Z$5&lt;=LastHist,0,-CLT1Prepay/3*AND(Z$5&gt;=12,Z$5&lt;=14)-InferizeOn*InferizeAmt*(Z$5=12))</f>
        <v>-0</v>
      </c>
      <c r="AA40" s="131" t="n">
        <f aca="false">IF(AA$5&lt;=LastHist,0,-CLT1Prepay/3*AND(AA$5&gt;=12,AA$5&lt;=14)-InferizeOn*InferizeAmt*(AA$5=12))</f>
        <v>-0</v>
      </c>
      <c r="AB40" s="131" t="n">
        <f aca="false">IF(AB$5&lt;=LastHist,0,-CLT1Prepay/3*AND(AB$5&gt;=12,AB$5&lt;=14)-InferizeOn*InferizeAmt*(AB$5=12))</f>
        <v>-0</v>
      </c>
      <c r="AC40" s="131" t="n">
        <f aca="false">IF(AC$5&lt;=LastHist,0,-CLT1Prepay/3*AND(AC$5&gt;=12,AC$5&lt;=14)-InferizeOn*InferizeAmt*(AC$5=12))</f>
        <v>-0</v>
      </c>
      <c r="AD40" s="131" t="n">
        <f aca="false">IF(AD$5&lt;=LastHist,0,-CLT1Prepay/3*AND(AD$5&gt;=12,AD$5&lt;=14)-InferizeOn*InferizeAmt*(AD$5=12))</f>
        <v>-0</v>
      </c>
      <c r="AE40" s="131" t="n">
        <f aca="false">IF(AE$5&lt;=LastHist,0,-CLT1Prepay/3*AND(AE$5&gt;=12,AE$5&lt;=14)-InferizeOn*InferizeAmt*(AE$5=12))</f>
        <v>-0</v>
      </c>
      <c r="AF40" s="131" t="n">
        <f aca="false">IF(AF$5&lt;=LastHist,0,-CLT1Prepay/3*AND(AF$5&gt;=12,AF$5&lt;=14)-InferizeOn*InferizeAmt*(AF$5=12))</f>
        <v>-0</v>
      </c>
      <c r="AG40" s="131" t="n">
        <f aca="false">IF(AG$5&lt;=LastHist,0,-CLT1Prepay/3*AND(AG$5&gt;=12,AG$5&lt;=14)-InferizeOn*InferizeAmt*(AG$5=12))</f>
        <v>-0</v>
      </c>
      <c r="AI40" s="131" t="n">
        <f aca="false">SUMIF($F$7:$AG$7,AI$7,$F40:$AG40)</f>
        <v>0</v>
      </c>
      <c r="AJ40" s="131" t="n">
        <f aca="false">SUMIF($F$7:$AG$7,AJ$7,$F40:$AG40)</f>
        <v>0</v>
      </c>
      <c r="AK40" s="131" t="n">
        <f aca="false">SUMIF($F$7:$AG$7,AK$7,$F40:$AG40)</f>
        <v>0</v>
      </c>
      <c r="AL40" s="131" t="n">
        <f aca="false">SUMIF($F$7:$AG$7,AL$7,$F40:$AG40)</f>
        <v>0</v>
      </c>
      <c r="AM40" s="131" t="n">
        <f aca="false">SUMIF($F$7:$AG$7,AM$7,$F40:$AG40)</f>
        <v>0</v>
      </c>
      <c r="AN40" s="131" t="n">
        <f aca="false">SUMIF($F$7:$AG$7,AN$7,$F40:$AG40)</f>
        <v>0</v>
      </c>
      <c r="AO40" s="131" t="n">
        <f aca="false">SUMIF($F$7:$AG$7,AO$7,$F40:$AG40)</f>
        <v>0</v>
      </c>
    </row>
    <row r="41" customFormat="false" ht="15" hidden="false" customHeight="false" outlineLevel="0" collapsed="false">
      <c r="A41" s="3" t="s">
        <v>2706</v>
      </c>
      <c r="B41" s="24" t="s">
        <v>745</v>
      </c>
      <c r="C41" s="24" t="s">
        <v>672</v>
      </c>
      <c r="D41" s="24"/>
      <c r="F41" s="132" t="n">
        <f aca="false">F38+F39+F40</f>
        <v>0</v>
      </c>
      <c r="G41" s="132" t="n">
        <f aca="false">G38+G39+G40</f>
        <v>0</v>
      </c>
      <c r="H41" s="132" t="n">
        <f aca="false">H38+H39+H40</f>
        <v>0</v>
      </c>
      <c r="I41" s="132" t="n">
        <f aca="false">I38+I39+I40</f>
        <v>0</v>
      </c>
      <c r="J41" s="132" t="n">
        <f aca="false">J38+J39+J40</f>
        <v>0</v>
      </c>
      <c r="K41" s="132" t="n">
        <f aca="false">K38+K39+K40</f>
        <v>0</v>
      </c>
      <c r="L41" s="132" t="n">
        <f aca="false">L38+L39+L40</f>
        <v>0</v>
      </c>
      <c r="M41" s="132" t="n">
        <f aca="false">M38+M39+M40</f>
        <v>0</v>
      </c>
      <c r="N41" s="132" t="n">
        <f aca="false">N38+N39+N40</f>
        <v>0</v>
      </c>
      <c r="O41" s="132" t="n">
        <f aca="false">O38+O39+O40</f>
        <v>0</v>
      </c>
      <c r="P41" s="104" t="n">
        <f aca="false">P38+P39+P40</f>
        <v>-2187.83690036819</v>
      </c>
      <c r="Q41" s="104" t="n">
        <f aca="false">Q38+Q39+Q40</f>
        <v>-4763.7477062057</v>
      </c>
      <c r="R41" s="104" t="n">
        <f aca="false">R38+R39+R40</f>
        <v>-6261.07809089097</v>
      </c>
      <c r="S41" s="104" t="n">
        <f aca="false">S38+S39+S40</f>
        <v>-7457.18169592578</v>
      </c>
      <c r="T41" s="104" t="n">
        <f aca="false">T38+T39+T40</f>
        <v>-9609.94666329739</v>
      </c>
      <c r="U41" s="104" t="n">
        <f aca="false">U38+U39+U40</f>
        <v>-3593.82048294713</v>
      </c>
      <c r="V41" s="104" t="n">
        <f aca="false">V38+V39+V40</f>
        <v>-3628.8076426108</v>
      </c>
      <c r="W41" s="104" t="n">
        <f aca="false">W38+W39+W40</f>
        <v>-1048.23714145022</v>
      </c>
      <c r="X41" s="104" t="n">
        <f aca="false">X38+X39+X40</f>
        <v>-9325.2117798776</v>
      </c>
      <c r="Y41" s="104" t="n">
        <f aca="false">Y38+Y39+Y40</f>
        <v>-819.543381284312</v>
      </c>
      <c r="Z41" s="104" t="n">
        <f aca="false">Z38+Z39+Z40</f>
        <v>-7235.0837306259</v>
      </c>
      <c r="AA41" s="104" t="n">
        <f aca="false">AA38+AA39+AA40</f>
        <v>-1544.14116283184</v>
      </c>
      <c r="AB41" s="104" t="n">
        <f aca="false">AB38+AB39+AB40</f>
        <v>-10830.5544852484</v>
      </c>
      <c r="AC41" s="104" t="n">
        <f aca="false">AC38+AC39+AC40</f>
        <v>3132.49551258414</v>
      </c>
      <c r="AD41" s="104" t="n">
        <f aca="false">AD38+AD39+AD40</f>
        <v>3615.32430592717</v>
      </c>
      <c r="AE41" s="104" t="n">
        <f aca="false">AE38+AE39+AE40</f>
        <v>4145.41890587237</v>
      </c>
      <c r="AF41" s="104" t="n">
        <f aca="false">AF38+AF39+AF40</f>
        <v>3838.07800013278</v>
      </c>
      <c r="AG41" s="104" t="n">
        <f aca="false">AG38+AG39+AG40</f>
        <v>3156.08570249831</v>
      </c>
      <c r="AI41" s="104" t="n">
        <f aca="false">SUMIF($F$7:$AG$7,AI$7,$F41:$AG41)</f>
        <v>0</v>
      </c>
      <c r="AJ41" s="104" t="n">
        <f aca="false">SUMIF($F$7:$AG$7,AJ$7,$F41:$AG41)</f>
        <v>0</v>
      </c>
      <c r="AK41" s="104" t="n">
        <f aca="false">SUMIF($F$7:$AG$7,AK$7,$F41:$AG41)</f>
        <v>-6951.58460657389</v>
      </c>
      <c r="AL41" s="104" t="n">
        <f aca="false">SUMIF($F$7:$AG$7,AL$7,$F41:$AG41)</f>
        <v>-26922.0269330613</v>
      </c>
      <c r="AM41" s="104" t="n">
        <f aca="false">SUMIF($F$7:$AG$7,AM$7,$F41:$AG41)</f>
        <v>-14821.7999452229</v>
      </c>
      <c r="AN41" s="104" t="n">
        <f aca="false">SUMIF($F$7:$AG$7,AN$7,$F41:$AG41)</f>
        <v>-16477.283866122</v>
      </c>
      <c r="AO41" s="104" t="n">
        <f aca="false">SUMIF($F$7:$AG$7,AO$7,$F41:$AG41)</f>
        <v>14754.9069144306</v>
      </c>
    </row>
    <row r="42" customFormat="false" ht="15" hidden="false" customHeight="false" outlineLevel="0" collapsed="false">
      <c r="A42" s="112" t="s">
        <v>2707</v>
      </c>
      <c r="B42" s="24" t="s">
        <v>745</v>
      </c>
      <c r="C42" s="24" t="s">
        <v>672</v>
      </c>
      <c r="D42" s="24" t="s">
        <v>2708</v>
      </c>
      <c r="F42" s="130" t="n">
        <f aca="false">IF(F$5&lt;=LastHist,0,INDEX(PL_EBITDA,1,1)-MAX(0,INDEX(PL_EBIT,1,1)+CapIntFix*INDEX(Dep_CI,1,1))*TaxRate+F26-INDEX(Capex,1,1)+INDEX(CapResid,1,1))</f>
        <v>0</v>
      </c>
      <c r="G42" s="130" t="n">
        <f aca="false">IF(G$5&lt;=LastHist,0,INDEX(PL_EBITDA,1,2)-MAX(0,INDEX(PL_EBIT,1,2)+CapIntFix*INDEX(Dep_CI,1,2))*TaxRate+G26-INDEX(Capex,1,2)+INDEX(CapResid,1,2))</f>
        <v>0</v>
      </c>
      <c r="H42" s="130" t="n">
        <f aca="false">IF(H$5&lt;=LastHist,0,INDEX(PL_EBITDA,1,3)-MAX(0,INDEX(PL_EBIT,1,3)+CapIntFix*INDEX(Dep_CI,1,3))*TaxRate+H26-INDEX(Capex,1,3)+INDEX(CapResid,1,3))</f>
        <v>0</v>
      </c>
      <c r="I42" s="130" t="n">
        <f aca="false">IF(I$5&lt;=LastHist,0,INDEX(PL_EBITDA,1,4)-MAX(0,INDEX(PL_EBIT,1,4)+CapIntFix*INDEX(Dep_CI,1,4))*TaxRate+I26-INDEX(Capex,1,4)+INDEX(CapResid,1,4))</f>
        <v>0</v>
      </c>
      <c r="J42" s="130" t="n">
        <f aca="false">IF(J$5&lt;=LastHist,0,INDEX(PL_EBITDA,1,5)-MAX(0,INDEX(PL_EBIT,1,5)+CapIntFix*INDEX(Dep_CI,1,5))*TaxRate+J26-INDEX(Capex,1,5)+INDEX(CapResid,1,5))</f>
        <v>0</v>
      </c>
      <c r="K42" s="130" t="n">
        <f aca="false">IF(K$5&lt;=LastHist,0,INDEX(PL_EBITDA,1,6)-MAX(0,INDEX(PL_EBIT,1,6)+CapIntFix*INDEX(Dep_CI,1,6))*TaxRate+K26-INDEX(Capex,1,6)+INDEX(CapResid,1,6))</f>
        <v>0</v>
      </c>
      <c r="L42" s="130" t="n">
        <f aca="false">IF(L$5&lt;=LastHist,0,INDEX(PL_EBITDA,1,7)-MAX(0,INDEX(PL_EBIT,1,7)+CapIntFix*INDEX(Dep_CI,1,7))*TaxRate+L26-INDEX(Capex,1,7)+INDEX(CapResid,1,7))</f>
        <v>0</v>
      </c>
      <c r="M42" s="130" t="n">
        <f aca="false">IF(M$5&lt;=LastHist,0,INDEX(PL_EBITDA,1,8)-MAX(0,INDEX(PL_EBIT,1,8)+CapIntFix*INDEX(Dep_CI,1,8))*TaxRate+M26-INDEX(Capex,1,8)+INDEX(CapResid,1,8))</f>
        <v>0</v>
      </c>
      <c r="N42" s="130" t="n">
        <f aca="false">IF(N$5&lt;=LastHist,0,INDEX(PL_EBITDA,1,9)-MAX(0,INDEX(PL_EBIT,1,9)+CapIntFix*INDEX(Dep_CI,1,9))*TaxRate+N26-INDEX(Capex,1,9)+INDEX(CapResid,1,9))</f>
        <v>0</v>
      </c>
      <c r="O42" s="130" t="n">
        <f aca="false">IF(O$5&lt;=LastHist,0,INDEX(PL_EBITDA,1,10)-MAX(0,INDEX(PL_EBIT,1,10)+CapIntFix*INDEX(Dep_CI,1,10))*TaxRate+O26-INDEX(Capex,1,10)+INDEX(CapResid,1,10))</f>
        <v>0</v>
      </c>
      <c r="P42" s="131" t="n">
        <f aca="false">IF(P$5&lt;=LastHist,0,INDEX(PL_EBITDA,1,11)-MAX(0,INDEX(PL_EBIT,1,11)+CapIntFix*INDEX(Dep_CI,1,11))*TaxRate+P26-INDEX(Capex,1,11)+INDEX(CapResid,1,11))</f>
        <v>-2192.52949411819</v>
      </c>
      <c r="Q42" s="131" t="n">
        <f aca="false">IF(Q$5&lt;=LastHist,0,INDEX(PL_EBITDA,1,12)-MAX(0,INDEX(PL_EBIT,1,12)+CapIntFix*INDEX(Dep_CI,1,12))*TaxRate+Q26-INDEX(Capex,1,12)+INDEX(CapResid,1,12))</f>
        <v>-4798.99672707748</v>
      </c>
      <c r="R42" s="131" t="n">
        <f aca="false">IF(R$5&lt;=LastHist,0,INDEX(PL_EBITDA,1,13)-MAX(0,INDEX(PL_EBIT,1,13)+CapIntFix*INDEX(Dep_CI,1,13))*TaxRate+R26-INDEX(Capex,1,13)+INDEX(CapResid,1,13))</f>
        <v>-6247.11408512431</v>
      </c>
      <c r="S42" s="131" t="n">
        <f aca="false">IF(S$5&lt;=LastHist,0,INDEX(PL_EBITDA,1,14)-MAX(0,INDEX(PL_EBIT,1,14)+CapIntFix*INDEX(Dep_CI,1,14))*TaxRate+S26-INDEX(Capex,1,14)+INDEX(CapResid,1,14))</f>
        <v>-7443.75151773339</v>
      </c>
      <c r="T42" s="131" t="n">
        <f aca="false">IF(T$5&lt;=LastHist,0,INDEX(PL_EBITDA,1,15)-MAX(0,INDEX(PL_EBIT,1,15)+CapIntFix*INDEX(Dep_CI,1,15))*TaxRate+T26-INDEX(Capex,1,15)+INDEX(CapResid,1,15))</f>
        <v>-9497.66614526565</v>
      </c>
      <c r="U42" s="131" t="n">
        <f aca="false">IF(U$5&lt;=LastHist,0,INDEX(PL_EBITDA,1,16)-MAX(0,INDEX(PL_EBIT,1,16)+CapIntFix*INDEX(Dep_CI,1,16))*TaxRate+U26-INDEX(Capex,1,16)+INDEX(CapResid,1,16))</f>
        <v>-3452.7711924811</v>
      </c>
      <c r="V42" s="131" t="n">
        <f aca="false">IF(V$5&lt;=LastHist,0,INDEX(PL_EBITDA,1,17)-MAX(0,INDEX(PL_EBIT,1,17)+CapIntFix*INDEX(Dep_CI,1,17))*TaxRate+V26-INDEX(Capex,1,17)+INDEX(CapResid,1,17))</f>
        <v>-3456.31242291899</v>
      </c>
      <c r="W42" s="131" t="n">
        <f aca="false">IF(W$5&lt;=LastHist,0,INDEX(PL_EBITDA,1,18)-MAX(0,INDEX(PL_EBIT,1,18)+CapIntFix*INDEX(Dep_CI,1,18))*TaxRate+W26-INDEX(Capex,1,18)+INDEX(CapResid,1,18))</f>
        <v>-843.989854885562</v>
      </c>
      <c r="X42" s="131" t="n">
        <f aca="false">IF(X$5&lt;=LastHist,0,INDEX(PL_EBITDA,1,19)-MAX(0,INDEX(PL_EBIT,1,19)+CapIntFix*INDEX(Dep_CI,1,19))*TaxRate+X26-INDEX(Capex,1,19)+INDEX(CapResid,1,19))</f>
        <v>-9111.79241832525</v>
      </c>
      <c r="Y42" s="131" t="n">
        <f aca="false">IF(Y$5&lt;=LastHist,0,INDEX(PL_EBITDA,1,20)-MAX(0,INDEX(PL_EBIT,1,20)+CapIntFix*INDEX(Dep_CI,1,20))*TaxRate+Y26-INDEX(Capex,1,20)+INDEX(CapResid,1,20))</f>
        <v>-554.771073911715</v>
      </c>
      <c r="Z42" s="131" t="n">
        <f aca="false">IF(Z$5&lt;=LastHist,0,INDEX(PL_EBITDA,1,21)-MAX(0,INDEX(PL_EBIT,1,21)+CapIntFix*INDEX(Dep_CI,1,21))*TaxRate+Z26-INDEX(Capex,1,21)+INDEX(CapResid,1,21))</f>
        <v>-6955.48210830947</v>
      </c>
      <c r="AA42" s="131" t="n">
        <f aca="false">IF(AA$5&lt;=LastHist,0,INDEX(PL_EBITDA,1,22)-MAX(0,INDEX(PL_EBIT,1,22)+CapIntFix*INDEX(Dep_CI,1,22))*TaxRate+AA26-INDEX(Capex,1,22)+INDEX(CapResid,1,22))</f>
        <v>-1298.10016753877</v>
      </c>
      <c r="AB42" s="131" t="n">
        <f aca="false">IF(AB$5&lt;=LastHist,0,INDEX(PL_EBITDA,1,23)-MAX(0,INDEX(PL_EBIT,1,23)+CapIntFix*INDEX(Dep_CI,1,23))*TaxRate+AB26-INDEX(Capex,1,23)+INDEX(CapResid,1,23))</f>
        <v>-10516.2873986383</v>
      </c>
      <c r="AC42" s="131" t="n">
        <f aca="false">IF(AC$5&lt;=LastHist,0,INDEX(PL_EBITDA,1,24)-MAX(0,INDEX(PL_EBIT,1,24)+CapIntFix*INDEX(Dep_CI,1,24))*TaxRate+AC26-INDEX(Capex,1,24)+INDEX(CapResid,1,24))</f>
        <v>3450.35899567395</v>
      </c>
      <c r="AD42" s="131" t="n">
        <f aca="false">IF(AD$5&lt;=LastHist,0,INDEX(PL_EBITDA,1,25)-MAX(0,INDEX(PL_EBIT,1,25)+CapIntFix*INDEX(Dep_CI,1,25))*TaxRate+AD26-INDEX(Capex,1,25)+INDEX(CapResid,1,25))</f>
        <v>3934.74069829296</v>
      </c>
      <c r="AE42" s="131" t="n">
        <f aca="false">IF(AE$5&lt;=LastHist,0,INDEX(PL_EBITDA,1,26)-MAX(0,INDEX(PL_EBIT,1,26)+CapIntFix*INDEX(Dep_CI,1,26))*TaxRate+AE26-INDEX(Capex,1,26)+INDEX(CapResid,1,26))</f>
        <v>4435.72866207547</v>
      </c>
      <c r="AF42" s="131" t="n">
        <f aca="false">IF(AF$5&lt;=LastHist,0,INDEX(PL_EBITDA,1,27)-MAX(0,INDEX(PL_EBIT,1,27)+CapIntFix*INDEX(Dep_CI,1,27))*TaxRate+AF26-INDEX(Capex,1,27)+INDEX(CapResid,1,27))</f>
        <v>4099.01552160651</v>
      </c>
      <c r="AG42" s="131" t="n">
        <f aca="false">IF(AG$5&lt;=LastHist,0,INDEX(PL_EBITDA,1,28)-MAX(0,INDEX(PL_EBIT,1,28)+CapIntFix*INDEX(Dep_CI,1,28))*TaxRate+AG26-INDEX(Capex,1,28)+INDEX(CapResid,1,28))</f>
        <v>3418.2917248481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-6991.52622119567</v>
      </c>
      <c r="AL42" s="131" t="n">
        <f aca="false">SUMIF($F$7:$AG$7,AL$7,$F42:$AG42)</f>
        <v>-26641.3029406045</v>
      </c>
      <c r="AM42" s="131" t="n">
        <f aca="false">SUMIF($F$7:$AG$7,AM$7,$F42:$AG42)</f>
        <v>-13966.8657700415</v>
      </c>
      <c r="AN42" s="131" t="n">
        <f aca="false">SUMIF($F$7:$AG$7,AN$7,$F42:$AG42)</f>
        <v>-15319.5106788126</v>
      </c>
      <c r="AO42" s="131" t="n">
        <f aca="false">SUMIF($F$7:$AG$7,AO$7,$F42:$AG42)</f>
        <v>15887.776606823</v>
      </c>
    </row>
    <row r="44" customFormat="false" ht="15" hidden="false" customHeight="false" outlineLevel="0" collapsed="false">
      <c r="A44" s="64" t="s">
        <v>2709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customFormat="false" ht="15" hidden="false" customHeight="false" outlineLevel="0" collapsed="false">
      <c r="A45" s="112" t="s">
        <v>2710</v>
      </c>
      <c r="B45" s="24" t="s">
        <v>745</v>
      </c>
      <c r="C45" s="24" t="s">
        <v>2461</v>
      </c>
      <c r="D45" s="24" t="s">
        <v>2711</v>
      </c>
      <c r="F45" s="130" t="n">
        <f aca="false">(IF(F$5=11,AugNet,0)+(1-FP_Fee)*(MAX(0,INDEX(CVo_8,1,1)-CVo_8_E)+MAX(0,INDEX(CVo_9,1,1)-CVo_9_E)+MAX(0,INDEX(CVo_10,1,1)-CVo_10_E)+MAX(0,INDEX(CVo_11,1,1)-CVo_11_E)))*(F$5&gt;LastHist)</f>
        <v>0</v>
      </c>
      <c r="G45" s="130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30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30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30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30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30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30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30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30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31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31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31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31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31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31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31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31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31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31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31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31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31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31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31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31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31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31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31" t="n">
        <f aca="false">SUMIF($F$7:$AG$7,AI$7,$F45:$AG45)</f>
        <v>0</v>
      </c>
      <c r="AJ45" s="131" t="n">
        <f aca="false">SUMIF($F$7:$AG$7,AJ$7,$F45:$AG45)</f>
        <v>0</v>
      </c>
      <c r="AK45" s="131" t="n">
        <f aca="false">SUMIF($F$7:$AG$7,AK$7,$F45:$AG45)</f>
        <v>5680</v>
      </c>
      <c r="AL45" s="131" t="n">
        <f aca="false">SUMIF($F$7:$AG$7,AL$7,$F45:$AG45)</f>
        <v>12644.1739130435</v>
      </c>
      <c r="AM45" s="131" t="n">
        <f aca="false">SUMIF($F$7:$AG$7,AM$7,$F45:$AG45)</f>
        <v>0</v>
      </c>
      <c r="AN45" s="131" t="n">
        <f aca="false">SUMIF($F$7:$AG$7,AN$7,$F45:$AG45)</f>
        <v>0</v>
      </c>
      <c r="AO45" s="131" t="n">
        <f aca="false">SUMIF($F$7:$AG$7,AO$7,$F45:$AG45)</f>
        <v>0</v>
      </c>
    </row>
    <row r="46" customFormat="false" ht="15" hidden="false" customHeight="false" outlineLevel="0" collapsed="false">
      <c r="A46" s="112" t="s">
        <v>2712</v>
      </c>
      <c r="B46" s="24" t="s">
        <v>745</v>
      </c>
      <c r="C46" s="24" t="s">
        <v>672</v>
      </c>
      <c r="D46" s="24"/>
      <c r="F46" s="130" t="n">
        <f aca="false">(1-FP_Fee)*(MAX(0,INDEX(CVo_8,1,1)-CVo_8_E)+MAX(0,INDEX(CVo_9,1,1)-CVo_9_E)+MAX(0,INDEX(CVo_10,1,1)-CVo_10_E)+MAX(0,INDEX(CVo_11,1,1)-CVo_11_E))*(F$5&gt;LastHist)</f>
        <v>0</v>
      </c>
      <c r="G46" s="130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30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30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30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30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30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30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30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30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31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31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31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31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31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31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31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31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31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31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31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31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31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31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31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31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31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31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31" t="n">
        <f aca="false">SUMIF($F$7:$AG$7,AI$7,$F46:$AG46)</f>
        <v>0</v>
      </c>
      <c r="AJ46" s="131" t="n">
        <f aca="false">SUMIF($F$7:$AG$7,AJ$7,$F46:$AG46)</f>
        <v>0</v>
      </c>
      <c r="AK46" s="131" t="n">
        <f aca="false">SUMIF($F$7:$AG$7,AK$7,$F46:$AG46)</f>
        <v>0</v>
      </c>
      <c r="AL46" s="131" t="n">
        <f aca="false">SUMIF($F$7:$AG$7,AL$7,$F46:$AG46)</f>
        <v>12644.1739130435</v>
      </c>
      <c r="AM46" s="131" t="n">
        <f aca="false">SUMIF($F$7:$AG$7,AM$7,$F46:$AG46)</f>
        <v>0</v>
      </c>
      <c r="AN46" s="131" t="n">
        <f aca="false">SUMIF($F$7:$AG$7,AN$7,$F46:$AG46)</f>
        <v>0</v>
      </c>
      <c r="AO46" s="131" t="n">
        <f aca="false">SUMIF($F$7:$AG$7,AO$7,$F46:$AG46)</f>
        <v>0</v>
      </c>
    </row>
    <row r="47" customFormat="false" ht="15" hidden="false" customHeight="false" outlineLevel="0" collapsed="false">
      <c r="A47" s="112" t="s">
        <v>2713</v>
      </c>
      <c r="B47" s="24" t="s">
        <v>745</v>
      </c>
      <c r="C47" s="24" t="s">
        <v>2461</v>
      </c>
      <c r="D47" s="24"/>
      <c r="F47" s="130" t="n">
        <f aca="false">IF(F$5&lt;=LastHist,0,-INDEX(CV_rep,1,1))</f>
        <v>0</v>
      </c>
      <c r="G47" s="130" t="n">
        <f aca="false">IF(G$5&lt;=LastHist,0,-INDEX(CV_rep,1,2))</f>
        <v>0</v>
      </c>
      <c r="H47" s="130" t="n">
        <f aca="false">IF(H$5&lt;=LastHist,0,-INDEX(CV_rep,1,3))</f>
        <v>0</v>
      </c>
      <c r="I47" s="130" t="n">
        <f aca="false">IF(I$5&lt;=LastHist,0,-INDEX(CV_rep,1,4))</f>
        <v>0</v>
      </c>
      <c r="J47" s="130" t="n">
        <f aca="false">IF(J$5&lt;=LastHist,0,-INDEX(CV_rep,1,5))</f>
        <v>0</v>
      </c>
      <c r="K47" s="130" t="n">
        <f aca="false">IF(K$5&lt;=LastHist,0,-INDEX(CV_rep,1,6))</f>
        <v>0</v>
      </c>
      <c r="L47" s="130" t="n">
        <f aca="false">IF(L$5&lt;=LastHist,0,-INDEX(CV_rep,1,7))</f>
        <v>0</v>
      </c>
      <c r="M47" s="130" t="n">
        <f aca="false">IF(M$5&lt;=LastHist,0,-INDEX(CV_rep,1,8))</f>
        <v>0</v>
      </c>
      <c r="N47" s="130" t="n">
        <f aca="false">IF(N$5&lt;=LastHist,0,-INDEX(CV_rep,1,9))</f>
        <v>0</v>
      </c>
      <c r="O47" s="130" t="n">
        <f aca="false">IF(O$5&lt;=LastHist,0,-INDEX(CV_rep,1,10))</f>
        <v>0</v>
      </c>
      <c r="P47" s="131" t="n">
        <f aca="false">IF(P$5&lt;=LastHist,0,-INDEX(CV_rep,1,11))</f>
        <v>-0</v>
      </c>
      <c r="Q47" s="131" t="n">
        <f aca="false">IF(Q$5&lt;=LastHist,0,-INDEX(CV_rep,1,12))</f>
        <v>-0</v>
      </c>
      <c r="R47" s="131" t="n">
        <f aca="false">IF(R$5&lt;=LastHist,0,-INDEX(CV_rep,1,13))</f>
        <v>-0</v>
      </c>
      <c r="S47" s="131" t="n">
        <f aca="false">IF(S$5&lt;=LastHist,0,-INDEX(CV_rep,1,14))</f>
        <v>-0</v>
      </c>
      <c r="T47" s="131" t="n">
        <f aca="false">IF(T$5&lt;=LastHist,0,-INDEX(CV_rep,1,15))</f>
        <v>-0</v>
      </c>
      <c r="U47" s="131" t="n">
        <f aca="false">IF(U$5&lt;=LastHist,0,-INDEX(CV_rep,1,16))</f>
        <v>-0</v>
      </c>
      <c r="V47" s="131" t="n">
        <f aca="false">IF(V$5&lt;=LastHist,0,-INDEX(CV_rep,1,17))</f>
        <v>-0</v>
      </c>
      <c r="W47" s="131" t="n">
        <f aca="false">IF(W$5&lt;=LastHist,0,-INDEX(CV_rep,1,18))</f>
        <v>-0</v>
      </c>
      <c r="X47" s="131" t="n">
        <f aca="false">IF(X$5&lt;=LastHist,0,-INDEX(CV_rep,1,19))</f>
        <v>-0</v>
      </c>
      <c r="Y47" s="131" t="n">
        <f aca="false">IF(Y$5&lt;=LastHist,0,-INDEX(CV_rep,1,20))</f>
        <v>-0</v>
      </c>
      <c r="Z47" s="131" t="n">
        <f aca="false">IF(Z$5&lt;=LastHist,0,-INDEX(CV_rep,1,21))</f>
        <v>-0</v>
      </c>
      <c r="AA47" s="131" t="n">
        <f aca="false">IF(AA$5&lt;=LastHist,0,-INDEX(CV_rep,1,22))</f>
        <v>-0</v>
      </c>
      <c r="AB47" s="131" t="n">
        <f aca="false">IF(AB$5&lt;=LastHist,0,-INDEX(CV_rep,1,23))</f>
        <v>-0</v>
      </c>
      <c r="AC47" s="131" t="n">
        <f aca="false">IF(AC$5&lt;=LastHist,0,-INDEX(CV_rep,1,24))</f>
        <v>-0</v>
      </c>
      <c r="AD47" s="131" t="n">
        <f aca="false">IF(AD$5&lt;=LastHist,0,-INDEX(CV_rep,1,25))</f>
        <v>-3795</v>
      </c>
      <c r="AE47" s="131" t="n">
        <f aca="false">IF(AE$5&lt;=LastHist,0,-INDEX(CV_rep,1,26))</f>
        <v>-0</v>
      </c>
      <c r="AF47" s="131" t="n">
        <f aca="false">IF(AF$5&lt;=LastHist,0,-INDEX(CV_rep,1,27))</f>
        <v>-4224</v>
      </c>
      <c r="AG47" s="131" t="n">
        <f aca="false">IF(AG$5&lt;=LastHist,0,-INDEX(CV_rep,1,28))</f>
        <v>-0</v>
      </c>
      <c r="AI47" s="131" t="n">
        <f aca="false">SUMIF($F$7:$AG$7,AI$7,$F47:$AG47)</f>
        <v>0</v>
      </c>
      <c r="AJ47" s="131" t="n">
        <f aca="false">SUMIF($F$7:$AG$7,AJ$7,$F47:$AG47)</f>
        <v>0</v>
      </c>
      <c r="AK47" s="131" t="n">
        <f aca="false">SUMIF($F$7:$AG$7,AK$7,$F47:$AG47)</f>
        <v>0</v>
      </c>
      <c r="AL47" s="131" t="n">
        <f aca="false">SUMIF($F$7:$AG$7,AL$7,$F47:$AG47)</f>
        <v>0</v>
      </c>
      <c r="AM47" s="131" t="n">
        <f aca="false">SUMIF($F$7:$AG$7,AM$7,$F47:$AG47)</f>
        <v>0</v>
      </c>
      <c r="AN47" s="131" t="n">
        <f aca="false">SUMIF($F$7:$AG$7,AN$7,$F47:$AG47)</f>
        <v>0</v>
      </c>
      <c r="AO47" s="131" t="n">
        <f aca="false">SUMIF($F$7:$AG$7,AO$7,$F47:$AG47)</f>
        <v>-8019</v>
      </c>
    </row>
    <row r="48" customFormat="false" ht="15" hidden="false" customHeight="false" outlineLevel="0" collapsed="false">
      <c r="A48" s="112" t="s">
        <v>2714</v>
      </c>
      <c r="B48" s="24" t="s">
        <v>745</v>
      </c>
      <c r="C48" s="24" t="s">
        <v>2461</v>
      </c>
      <c r="D48" s="24"/>
      <c r="F48" s="130" t="n">
        <f aca="false">IF(F$5&lt;=LastHist,0,INDEX(Sec_Flow,1,1))</f>
        <v>0</v>
      </c>
      <c r="G48" s="130" t="n">
        <f aca="false">IF(G$5&lt;=LastHist,0,INDEX(Sec_Flow,1,2))</f>
        <v>0</v>
      </c>
      <c r="H48" s="130" t="n">
        <f aca="false">IF(H$5&lt;=LastHist,0,INDEX(Sec_Flow,1,3))</f>
        <v>0</v>
      </c>
      <c r="I48" s="130" t="n">
        <f aca="false">IF(I$5&lt;=LastHist,0,INDEX(Sec_Flow,1,4))</f>
        <v>0</v>
      </c>
      <c r="J48" s="130" t="n">
        <f aca="false">IF(J$5&lt;=LastHist,0,INDEX(Sec_Flow,1,5))</f>
        <v>0</v>
      </c>
      <c r="K48" s="130" t="n">
        <f aca="false">IF(K$5&lt;=LastHist,0,INDEX(Sec_Flow,1,6))</f>
        <v>0</v>
      </c>
      <c r="L48" s="130" t="n">
        <f aca="false">IF(L$5&lt;=LastHist,0,INDEX(Sec_Flow,1,7))</f>
        <v>0</v>
      </c>
      <c r="M48" s="130" t="n">
        <f aca="false">IF(M$5&lt;=LastHist,0,INDEX(Sec_Flow,1,8))</f>
        <v>0</v>
      </c>
      <c r="N48" s="130" t="n">
        <f aca="false">IF(N$5&lt;=LastHist,0,INDEX(Sec_Flow,1,9))</f>
        <v>0</v>
      </c>
      <c r="O48" s="130" t="n">
        <f aca="false">IF(O$5&lt;=LastHist,0,INDEX(Sec_Flow,1,10))</f>
        <v>0</v>
      </c>
      <c r="P48" s="131" t="n">
        <f aca="false">IF(P$5&lt;=LastHist,0,INDEX(Sec_Flow,1,11))</f>
        <v>0</v>
      </c>
      <c r="Q48" s="131" t="n">
        <f aca="false">IF(Q$5&lt;=LastHist,0,INDEX(Sec_Flow,1,12))</f>
        <v>0</v>
      </c>
      <c r="R48" s="131" t="n">
        <f aca="false">IF(R$5&lt;=LastHist,0,INDEX(Sec_Flow,1,13))</f>
        <v>0</v>
      </c>
      <c r="S48" s="131" t="n">
        <f aca="false">IF(S$5&lt;=LastHist,0,INDEX(Sec_Flow,1,14))</f>
        <v>0</v>
      </c>
      <c r="T48" s="131" t="n">
        <f aca="false">IF(T$5&lt;=LastHist,0,INDEX(Sec_Flow,1,15))</f>
        <v>0</v>
      </c>
      <c r="U48" s="131" t="n">
        <f aca="false">IF(U$5&lt;=LastHist,0,INDEX(Sec_Flow,1,16))</f>
        <v>0</v>
      </c>
      <c r="V48" s="131" t="n">
        <f aca="false">IF(V$5&lt;=LastHist,0,INDEX(Sec_Flow,1,17))</f>
        <v>0</v>
      </c>
      <c r="W48" s="131" t="n">
        <f aca="false">IF(W$5&lt;=LastHist,0,INDEX(Sec_Flow,1,18))</f>
        <v>0</v>
      </c>
      <c r="X48" s="131" t="n">
        <f aca="false">IF(X$5&lt;=LastHist,0,INDEX(Sec_Flow,1,19))</f>
        <v>0</v>
      </c>
      <c r="Y48" s="131" t="n">
        <f aca="false">IF(Y$5&lt;=LastHist,0,INDEX(Sec_Flow,1,20))</f>
        <v>0</v>
      </c>
      <c r="Z48" s="131" t="n">
        <f aca="false">IF(Z$5&lt;=LastHist,0,INDEX(Sec_Flow,1,21))</f>
        <v>0</v>
      </c>
      <c r="AA48" s="131" t="n">
        <f aca="false">IF(AA$5&lt;=LastHist,0,INDEX(Sec_Flow,1,22))</f>
        <v>0</v>
      </c>
      <c r="AB48" s="131" t="n">
        <f aca="false">IF(AB$5&lt;=LastHist,0,INDEX(Sec_Flow,1,23))</f>
        <v>0</v>
      </c>
      <c r="AC48" s="131" t="n">
        <f aca="false">IF(AC$5&lt;=LastHist,0,INDEX(Sec_Flow,1,24))</f>
        <v>0</v>
      </c>
      <c r="AD48" s="131" t="n">
        <f aca="false">IF(AD$5&lt;=LastHist,0,INDEX(Sec_Flow,1,25))</f>
        <v>0</v>
      </c>
      <c r="AE48" s="131" t="n">
        <f aca="false">IF(AE$5&lt;=LastHist,0,INDEX(Sec_Flow,1,26))</f>
        <v>0</v>
      </c>
      <c r="AF48" s="131" t="n">
        <f aca="false">IF(AF$5&lt;=LastHist,0,INDEX(Sec_Flow,1,27))</f>
        <v>0</v>
      </c>
      <c r="AG48" s="131" t="n">
        <f aca="false">IF(AG$5&lt;=LastHist,0,INDEX(Sec_Flow,1,28))</f>
        <v>-0</v>
      </c>
      <c r="AI48" s="131" t="n">
        <f aca="false">SUMIF($F$7:$AG$7,AI$7,$F48:$AG48)</f>
        <v>0</v>
      </c>
      <c r="AJ48" s="131" t="n">
        <f aca="false">SUMIF($F$7:$AG$7,AJ$7,$F48:$AG48)</f>
        <v>0</v>
      </c>
      <c r="AK48" s="131" t="n">
        <f aca="false">SUMIF($F$7:$AG$7,AK$7,$F48:$AG48)</f>
        <v>0</v>
      </c>
      <c r="AL48" s="131" t="n">
        <f aca="false">SUMIF($F$7:$AG$7,AL$7,$F48:$AG48)</f>
        <v>0</v>
      </c>
      <c r="AM48" s="131" t="n">
        <f aca="false">SUMIF($F$7:$AG$7,AM$7,$F48:$AG48)</f>
        <v>0</v>
      </c>
      <c r="AN48" s="131" t="n">
        <f aca="false">SUMIF($F$7:$AG$7,AN$7,$F48:$AG48)</f>
        <v>0</v>
      </c>
      <c r="AO48" s="131" t="n">
        <f aca="false">SUMIF($F$7:$AG$7,AO$7,$F48:$AG48)</f>
        <v>0</v>
      </c>
    </row>
    <row r="49" customFormat="false" ht="15" hidden="false" customHeight="false" outlineLevel="0" collapsed="false">
      <c r="A49" s="112" t="s">
        <v>2715</v>
      </c>
      <c r="B49" s="24" t="s">
        <v>745</v>
      </c>
      <c r="C49" s="24" t="s">
        <v>736</v>
      </c>
      <c r="D49" s="24"/>
      <c r="F49" s="130" t="n">
        <f aca="false">(IF(F$5=11,ATM_Q3*SharePx,0)+IF(F$5=FP_ATMIdx,FP_ATMProc,0))*(F$5&gt;LastHist)</f>
        <v>0</v>
      </c>
      <c r="G49" s="130" t="n">
        <f aca="false">(IF(G$5=11,ATM_Q3*SharePx,0)+IF(G$5=FP_ATMIdx,FP_ATMProc,0))*(G$5&gt;LastHist)</f>
        <v>0</v>
      </c>
      <c r="H49" s="130" t="n">
        <f aca="false">(IF(H$5=11,ATM_Q3*SharePx,0)+IF(H$5=FP_ATMIdx,FP_ATMProc,0))*(H$5&gt;LastHist)</f>
        <v>0</v>
      </c>
      <c r="I49" s="130" t="n">
        <f aca="false">(IF(I$5=11,ATM_Q3*SharePx,0)+IF(I$5=FP_ATMIdx,FP_ATMProc,0))*(I$5&gt;LastHist)</f>
        <v>0</v>
      </c>
      <c r="J49" s="130" t="n">
        <f aca="false">(IF(J$5=11,ATM_Q3*SharePx,0)+IF(J$5=FP_ATMIdx,FP_ATMProc,0))*(J$5&gt;LastHist)</f>
        <v>0</v>
      </c>
      <c r="K49" s="130" t="n">
        <f aca="false">(IF(K$5=11,ATM_Q3*SharePx,0)+IF(K$5=FP_ATMIdx,FP_ATMProc,0))*(K$5&gt;LastHist)</f>
        <v>0</v>
      </c>
      <c r="L49" s="130" t="n">
        <f aca="false">(IF(L$5=11,ATM_Q3*SharePx,0)+IF(L$5=FP_ATMIdx,FP_ATMProc,0))*(L$5&gt;LastHist)</f>
        <v>0</v>
      </c>
      <c r="M49" s="130" t="n">
        <f aca="false">(IF(M$5=11,ATM_Q3*SharePx,0)+IF(M$5=FP_ATMIdx,FP_ATMProc,0))*(M$5&gt;LastHist)</f>
        <v>0</v>
      </c>
      <c r="N49" s="130" t="n">
        <f aca="false">(IF(N$5=11,ATM_Q3*SharePx,0)+IF(N$5=FP_ATMIdx,FP_ATMProc,0))*(N$5&gt;LastHist)</f>
        <v>0</v>
      </c>
      <c r="O49" s="130" t="n">
        <f aca="false">(IF(O$5=11,ATM_Q3*SharePx,0)+IF(O$5=FP_ATMIdx,FP_ATMProc,0))*(O$5&gt;LastHist)</f>
        <v>0</v>
      </c>
      <c r="P49" s="131" t="n">
        <f aca="false">(IF(P$5=11,ATM_Q3*SharePx,0)+IF(P$5=FP_ATMIdx,FP_ATMProc,0))*(P$5&gt;LastHist)</f>
        <v>0</v>
      </c>
      <c r="Q49" s="131" t="n">
        <f aca="false">(IF(Q$5=11,ATM_Q3*SharePx,0)+IF(Q$5=FP_ATMIdx,FP_ATMProc,0))*(Q$5&gt;LastHist)</f>
        <v>2979.40180467</v>
      </c>
      <c r="R49" s="131" t="n">
        <f aca="false">(IF(R$5=11,ATM_Q3*SharePx,0)+IF(R$5=FP_ATMIdx,FP_ATMProc,0))*(R$5&gt;LastHist)</f>
        <v>0</v>
      </c>
      <c r="S49" s="131" t="n">
        <f aca="false">(IF(S$5=11,ATM_Q3*SharePx,0)+IF(S$5=FP_ATMIdx,FP_ATMProc,0))*(S$5&gt;LastHist)</f>
        <v>0</v>
      </c>
      <c r="T49" s="131" t="n">
        <f aca="false">(IF(T$5=11,ATM_Q3*SharePx,0)+IF(T$5=FP_ATMIdx,FP_ATMProc,0))*(T$5&gt;LastHist)</f>
        <v>0</v>
      </c>
      <c r="U49" s="131" t="n">
        <f aca="false">(IF(U$5=11,ATM_Q3*SharePx,0)+IF(U$5=FP_ATMIdx,FP_ATMProc,0))*(U$5&gt;LastHist)</f>
        <v>0</v>
      </c>
      <c r="V49" s="131" t="n">
        <f aca="false">(IF(V$5=11,ATM_Q3*SharePx,0)+IF(V$5=FP_ATMIdx,FP_ATMProc,0))*(V$5&gt;LastHist)</f>
        <v>0</v>
      </c>
      <c r="W49" s="131" t="n">
        <f aca="false">(IF(W$5=11,ATM_Q3*SharePx,0)+IF(W$5=FP_ATMIdx,FP_ATMProc,0))*(W$5&gt;LastHist)</f>
        <v>0</v>
      </c>
      <c r="X49" s="131" t="n">
        <f aca="false">(IF(X$5=11,ATM_Q3*SharePx,0)+IF(X$5=FP_ATMIdx,FP_ATMProc,0))*(X$5&gt;LastHist)</f>
        <v>0</v>
      </c>
      <c r="Y49" s="131" t="n">
        <f aca="false">(IF(Y$5=11,ATM_Q3*SharePx,0)+IF(Y$5=FP_ATMIdx,FP_ATMProc,0))*(Y$5&gt;LastHist)</f>
        <v>0</v>
      </c>
      <c r="Z49" s="131" t="n">
        <f aca="false">(IF(Z$5=11,ATM_Q3*SharePx,0)+IF(Z$5=FP_ATMIdx,FP_ATMProc,0))*(Z$5&gt;LastHist)</f>
        <v>0</v>
      </c>
      <c r="AA49" s="131" t="n">
        <f aca="false">(IF(AA$5=11,ATM_Q3*SharePx,0)+IF(AA$5=FP_ATMIdx,FP_ATMProc,0))*(AA$5&gt;LastHist)</f>
        <v>0</v>
      </c>
      <c r="AB49" s="131" t="n">
        <f aca="false">(IF(AB$5=11,ATM_Q3*SharePx,0)+IF(AB$5=FP_ATMIdx,FP_ATMProc,0))*(AB$5&gt;LastHist)</f>
        <v>0</v>
      </c>
      <c r="AC49" s="131" t="n">
        <f aca="false">(IF(AC$5=11,ATM_Q3*SharePx,0)+IF(AC$5=FP_ATMIdx,FP_ATMProc,0))*(AC$5&gt;LastHist)</f>
        <v>0</v>
      </c>
      <c r="AD49" s="131" t="n">
        <f aca="false">(IF(AD$5=11,ATM_Q3*SharePx,0)+IF(AD$5=FP_ATMIdx,FP_ATMProc,0))*(AD$5&gt;LastHist)</f>
        <v>0</v>
      </c>
      <c r="AE49" s="131" t="n">
        <f aca="false">(IF(AE$5=11,ATM_Q3*SharePx,0)+IF(AE$5=FP_ATMIdx,FP_ATMProc,0))*(AE$5&gt;LastHist)</f>
        <v>0</v>
      </c>
      <c r="AF49" s="131" t="n">
        <f aca="false">(IF(AF$5=11,ATM_Q3*SharePx,0)+IF(AF$5=FP_ATMIdx,FP_ATMProc,0))*(AF$5&gt;LastHist)</f>
        <v>0</v>
      </c>
      <c r="AG49" s="131" t="n">
        <f aca="false">(IF(AG$5=11,ATM_Q3*SharePx,0)+IF(AG$5=FP_ATMIdx,FP_ATMProc,0))*(AG$5&gt;LastHist)</f>
        <v>0</v>
      </c>
      <c r="AI49" s="131" t="n">
        <f aca="false">SUMIF($F$7:$AG$7,AI$7,$F49:$AG49)</f>
        <v>0</v>
      </c>
      <c r="AJ49" s="131" t="n">
        <f aca="false">SUMIF($F$7:$AG$7,AJ$7,$F49:$AG49)</f>
        <v>0</v>
      </c>
      <c r="AK49" s="131" t="n">
        <f aca="false">SUMIF($F$7:$AG$7,AK$7,$F49:$AG49)</f>
        <v>2979.40180467</v>
      </c>
      <c r="AL49" s="131" t="n">
        <f aca="false">SUMIF($F$7:$AG$7,AL$7,$F49:$AG49)</f>
        <v>0</v>
      </c>
      <c r="AM49" s="131" t="n">
        <f aca="false">SUMIF($F$7:$AG$7,AM$7,$F49:$AG49)</f>
        <v>0</v>
      </c>
      <c r="AN49" s="131" t="n">
        <f aca="false">SUMIF($F$7:$AG$7,AN$7,$F49:$AG49)</f>
        <v>0</v>
      </c>
      <c r="AO49" s="131" t="n">
        <f aca="false">SUMIF($F$7:$AG$7,AO$7,$F49:$AG49)</f>
        <v>0</v>
      </c>
    </row>
    <row r="50" customFormat="false" ht="15" hidden="false" customHeight="false" outlineLevel="0" collapsed="false">
      <c r="A50" s="112" t="s">
        <v>2716</v>
      </c>
      <c r="B50" s="24" t="s">
        <v>745</v>
      </c>
      <c r="C50" s="24" t="s">
        <v>672</v>
      </c>
      <c r="D50" s="24"/>
      <c r="F50" s="130" t="n">
        <f aca="false">IF(F$5&lt;=LastHist,0,E55+F41+F45+F47+F48+F49+INDEX(ABS_Draw,1,1)-INDEX(ABS_Rep,1,1))</f>
        <v>0</v>
      </c>
      <c r="G50" s="130" t="n">
        <f aca="false">IF(G$5&lt;=LastHist,0,F55+G41+G45+G47+G48+G49+INDEX(ABS_Draw,1,2)-INDEX(ABS_Rep,1,2))</f>
        <v>0</v>
      </c>
      <c r="H50" s="130" t="n">
        <f aca="false">IF(H$5&lt;=LastHist,0,G55+H41+H45+H47+H48+H49+INDEX(ABS_Draw,1,3)-INDEX(ABS_Rep,1,3))</f>
        <v>0</v>
      </c>
      <c r="I50" s="130" t="n">
        <f aca="false">IF(I$5&lt;=LastHist,0,H55+I41+I45+I47+I48+I49+INDEX(ABS_Draw,1,4)-INDEX(ABS_Rep,1,4))</f>
        <v>0</v>
      </c>
      <c r="J50" s="130" t="n">
        <f aca="false">IF(J$5&lt;=LastHist,0,I55+J41+J45+J47+J48+J49+INDEX(ABS_Draw,1,5)-INDEX(ABS_Rep,1,5))</f>
        <v>0</v>
      </c>
      <c r="K50" s="130" t="n">
        <f aca="false">IF(K$5&lt;=LastHist,0,J55+K41+K45+K47+K48+K49+INDEX(ABS_Draw,1,6)-INDEX(ABS_Rep,1,6))</f>
        <v>0</v>
      </c>
      <c r="L50" s="130" t="n">
        <f aca="false">IF(L$5&lt;=LastHist,0,K55+L41+L45+L47+L48+L49+INDEX(ABS_Draw,1,7)-INDEX(ABS_Rep,1,7))</f>
        <v>0</v>
      </c>
      <c r="M50" s="130" t="n">
        <f aca="false">IF(M$5&lt;=LastHist,0,L55+M41+M45+M47+M48+M49+INDEX(ABS_Draw,1,8)-INDEX(ABS_Rep,1,8))</f>
        <v>0</v>
      </c>
      <c r="N50" s="130" t="n">
        <f aca="false">IF(N$5&lt;=LastHist,0,M55+N41+N45+N47+N48+N49+INDEX(ABS_Draw,1,9)-INDEX(ABS_Rep,1,9))</f>
        <v>0</v>
      </c>
      <c r="O50" s="130" t="n">
        <f aca="false">IF(O$5&lt;=LastHist,0,N55+O41+O45+O47+O48+O49+INDEX(ABS_Draw,1,10)-INDEX(ABS_Rep,1,10))</f>
        <v>0</v>
      </c>
      <c r="P50" s="131" t="n">
        <f aca="false">IF(P$5&lt;=LastHist,0,O55+P41+P45+P47+P48+P49+INDEX(ABS_Draw,1,11)-INDEX(ABS_Rep,1,11))</f>
        <v>11534.2630996318</v>
      </c>
      <c r="Q50" s="131" t="n">
        <f aca="false">IF(Q$5&lt;=LastHist,0,P55+Q41+Q45+Q47+Q48+Q49+INDEX(ABS_Draw,1,12)-INDEX(ABS_Rep,1,12))</f>
        <v>9749.91719809611</v>
      </c>
      <c r="R50" s="131" t="n">
        <f aca="false">IF(R$5&lt;=LastHist,0,Q55+R41+R45+R47+R48+R49+INDEX(ABS_Draw,1,13)-INDEX(ABS_Rep,1,13))</f>
        <v>9810.92606372689</v>
      </c>
      <c r="S50" s="131" t="n">
        <f aca="false">IF(S$5&lt;=LastHist,0,R55+S41+S45+S47+S48+S49+INDEX(ABS_Draw,1,14)-INDEX(ABS_Rep,1,14))</f>
        <v>2353.7443678011</v>
      </c>
      <c r="T50" s="131" t="n">
        <f aca="false">IF(T$5&lt;=LastHist,0,S55+T41+T45+T47+T48+T49+INDEX(ABS_Draw,1,15)-INDEX(ABS_Rep,1,15))</f>
        <v>-934.115338974551</v>
      </c>
      <c r="U50" s="131" t="n">
        <f aca="false">IF(U$5&lt;=LastHist,0,T55+U41+U45+U47+U48+U49+INDEX(ABS_Draw,1,16)-INDEX(ABS_Rep,1,16))</f>
        <v>-1593.82048294713</v>
      </c>
      <c r="V50" s="131" t="n">
        <f aca="false">IF(V$5&lt;=LastHist,0,U55+V41+V45+V47+V48+V49+INDEX(ABS_Draw,1,17)-INDEX(ABS_Rep,1,17))</f>
        <v>-1628.8076426108</v>
      </c>
      <c r="W50" s="131" t="n">
        <f aca="false">IF(W$5&lt;=LastHist,0,V55+W41+W45+W47+W48+W49+INDEX(ABS_Draw,1,18)-INDEX(ABS_Rep,1,18))</f>
        <v>951.762858549779</v>
      </c>
      <c r="X50" s="131" t="n">
        <f aca="false">IF(X$5&lt;=LastHist,0,W55+X41+X45+X47+X48+X49+INDEX(ABS_Draw,1,19)-INDEX(ABS_Rep,1,19))</f>
        <v>-7325.2117798776</v>
      </c>
      <c r="Y50" s="131" t="n">
        <f aca="false">IF(Y$5&lt;=LastHist,0,X55+Y41+Y45+Y47+Y48+Y49+INDEX(ABS_Draw,1,20)-INDEX(ABS_Rep,1,20))</f>
        <v>1180.45661871569</v>
      </c>
      <c r="Z50" s="131" t="n">
        <f aca="false">IF(Z$5&lt;=LastHist,0,Y55+Z41+Z45+Z47+Z48+Z49+INDEX(ABS_Draw,1,21)-INDEX(ABS_Rep,1,21))</f>
        <v>-5235.0837306259</v>
      </c>
      <c r="AA50" s="131" t="n">
        <f aca="false">IF(AA$5&lt;=LastHist,0,Z55+AA41+AA45+AA47+AA48+AA49+INDEX(ABS_Draw,1,22)-INDEX(ABS_Rep,1,22))</f>
        <v>455.858837168164</v>
      </c>
      <c r="AB50" s="131" t="n">
        <f aca="false">IF(AB$5&lt;=LastHist,0,AA55+AB41+AB45+AB47+AB48+AB49+INDEX(ABS_Draw,1,23)-INDEX(ABS_Rep,1,23))</f>
        <v>-8830.5544852484</v>
      </c>
      <c r="AC50" s="131" t="n">
        <f aca="false">IF(AC$5&lt;=LastHist,0,AB55+AC41+AC45+AC47+AC48+AC49+INDEX(ABS_Draw,1,24)-INDEX(ABS_Rep,1,24))</f>
        <v>5132.49551258414</v>
      </c>
      <c r="AD50" s="131" t="n">
        <f aca="false">IF(AD$5&lt;=LastHist,0,AC55+AD41+AD45+AD47+AD48+AD49+INDEX(ABS_Draw,1,25)-INDEX(ABS_Rep,1,25))</f>
        <v>4952.81981851131</v>
      </c>
      <c r="AE50" s="131" t="n">
        <f aca="false">IF(AE$5&lt;=LastHist,0,AD55+AE41+AE45+AE47+AE48+AE49+INDEX(ABS_Draw,1,26)-INDEX(ABS_Rep,1,26))</f>
        <v>9098.23872438368</v>
      </c>
      <c r="AF50" s="131" t="n">
        <f aca="false">IF(AF$5&lt;=LastHist,0,AE55+AF41+AF45+AF47+AF48+AF49+INDEX(ABS_Draw,1,27)-INDEX(ABS_Rep,1,27))</f>
        <v>8712.31672451646</v>
      </c>
      <c r="AG50" s="131" t="n">
        <f aca="false">IF(AG$5&lt;=LastHist,0,AF55+AG41+AG45+AG47+AG48+AG49+INDEX(ABS_Draw,1,28)-INDEX(ABS_Rep,1,28))</f>
        <v>11868.4024270148</v>
      </c>
      <c r="AI50" s="131" t="n">
        <f aca="false">SUMIF($F$7:$AG$7,AI$7,$F50:$AG50)</f>
        <v>0</v>
      </c>
      <c r="AJ50" s="131" t="n">
        <f aca="false">SUMIF($F$7:$AG$7,AJ$7,$F50:$AG50)</f>
        <v>0</v>
      </c>
      <c r="AK50" s="131" t="n">
        <f aca="false">SUMIF($F$7:$AG$7,AK$7,$F50:$AG50)</f>
        <v>21284.1802977279</v>
      </c>
      <c r="AL50" s="131" t="n">
        <f aca="false">SUMIF($F$7:$AG$7,AL$7,$F50:$AG50)</f>
        <v>9636.73460960631</v>
      </c>
      <c r="AM50" s="131" t="n">
        <f aca="false">SUMIF($F$7:$AG$7,AM$7,$F50:$AG50)</f>
        <v>-6821.79994522293</v>
      </c>
      <c r="AN50" s="131" t="n">
        <f aca="false">SUMIF($F$7:$AG$7,AN$7,$F50:$AG50)</f>
        <v>-8477.28386612199</v>
      </c>
      <c r="AO50" s="131" t="n">
        <f aca="false">SUMIF($F$7:$AG$7,AO$7,$F50:$AG50)</f>
        <v>34631.7776944262</v>
      </c>
    </row>
    <row r="51" customFormat="false" ht="15" hidden="false" customHeight="false" outlineLevel="0" collapsed="false">
      <c r="A51" s="112" t="s">
        <v>2717</v>
      </c>
      <c r="B51" s="24" t="s">
        <v>745</v>
      </c>
      <c r="C51" s="24" t="s">
        <v>672</v>
      </c>
      <c r="D51" s="24"/>
      <c r="F51" s="130" t="n">
        <f aca="false">IF(F$5&lt;=LastHist,0,MAX(0,MinCash-F50))</f>
        <v>0</v>
      </c>
      <c r="G51" s="130" t="n">
        <f aca="false">IF(G$5&lt;=LastHist,0,MAX(0,MinCash-G50))</f>
        <v>0</v>
      </c>
      <c r="H51" s="130" t="n">
        <f aca="false">IF(H$5&lt;=LastHist,0,MAX(0,MinCash-H50))</f>
        <v>0</v>
      </c>
      <c r="I51" s="130" t="n">
        <f aca="false">IF(I$5&lt;=LastHist,0,MAX(0,MinCash-I50))</f>
        <v>0</v>
      </c>
      <c r="J51" s="130" t="n">
        <f aca="false">IF(J$5&lt;=LastHist,0,MAX(0,MinCash-J50))</f>
        <v>0</v>
      </c>
      <c r="K51" s="130" t="n">
        <f aca="false">IF(K$5&lt;=LastHist,0,MAX(0,MinCash-K50))</f>
        <v>0</v>
      </c>
      <c r="L51" s="130" t="n">
        <f aca="false">IF(L$5&lt;=LastHist,0,MAX(0,MinCash-L50))</f>
        <v>0</v>
      </c>
      <c r="M51" s="130" t="n">
        <f aca="false">IF(M$5&lt;=LastHist,0,MAX(0,MinCash-M50))</f>
        <v>0</v>
      </c>
      <c r="N51" s="130" t="n">
        <f aca="false">IF(N$5&lt;=LastHist,0,MAX(0,MinCash-N50))</f>
        <v>0</v>
      </c>
      <c r="O51" s="130" t="n">
        <f aca="false">IF(O$5&lt;=LastHist,0,MAX(0,MinCash-O50))</f>
        <v>0</v>
      </c>
      <c r="P51" s="131" t="n">
        <f aca="false">IF(P$5&lt;=LastHist,0,MAX(0,MinCash-P50))</f>
        <v>0</v>
      </c>
      <c r="Q51" s="131" t="n">
        <f aca="false">IF(Q$5&lt;=LastHist,0,MAX(0,MinCash-Q50))</f>
        <v>0</v>
      </c>
      <c r="R51" s="131" t="n">
        <f aca="false">IF(R$5&lt;=LastHist,0,MAX(0,MinCash-R50))</f>
        <v>0</v>
      </c>
      <c r="S51" s="131" t="n">
        <f aca="false">IF(S$5&lt;=LastHist,0,MAX(0,MinCash-S50))</f>
        <v>0</v>
      </c>
      <c r="T51" s="131" t="n">
        <f aca="false">IF(T$5&lt;=LastHist,0,MAX(0,MinCash-T50))</f>
        <v>2934.11533897455</v>
      </c>
      <c r="U51" s="131" t="n">
        <f aca="false">IF(U$5&lt;=LastHist,0,MAX(0,MinCash-U50))</f>
        <v>3593.82048294713</v>
      </c>
      <c r="V51" s="131" t="n">
        <f aca="false">IF(V$5&lt;=LastHist,0,MAX(0,MinCash-V50))</f>
        <v>3628.8076426108</v>
      </c>
      <c r="W51" s="131" t="n">
        <f aca="false">IF(W$5&lt;=LastHist,0,MAX(0,MinCash-W50))</f>
        <v>1048.23714145022</v>
      </c>
      <c r="X51" s="131" t="n">
        <f aca="false">IF(X$5&lt;=LastHist,0,MAX(0,MinCash-X50))</f>
        <v>9325.2117798776</v>
      </c>
      <c r="Y51" s="131" t="n">
        <f aca="false">IF(Y$5&lt;=LastHist,0,MAX(0,MinCash-Y50))</f>
        <v>819.543381284312</v>
      </c>
      <c r="Z51" s="131" t="n">
        <f aca="false">IF(Z$5&lt;=LastHist,0,MAX(0,MinCash-Z50))</f>
        <v>7235.0837306259</v>
      </c>
      <c r="AA51" s="131" t="n">
        <f aca="false">IF(AA$5&lt;=LastHist,0,MAX(0,MinCash-AA50))</f>
        <v>1544.14116283184</v>
      </c>
      <c r="AB51" s="131" t="n">
        <f aca="false">IF(AB$5&lt;=LastHist,0,MAX(0,MinCash-AB50))</f>
        <v>10830.5544852484</v>
      </c>
      <c r="AC51" s="131" t="n">
        <f aca="false">IF(AC$5&lt;=LastHist,0,MAX(0,MinCash-AC50))</f>
        <v>0</v>
      </c>
      <c r="AD51" s="131" t="n">
        <f aca="false">IF(AD$5&lt;=LastHist,0,MAX(0,MinCash-AD50))</f>
        <v>0</v>
      </c>
      <c r="AE51" s="131" t="n">
        <f aca="false">IF(AE$5&lt;=LastHist,0,MAX(0,MinCash-AE50))</f>
        <v>0</v>
      </c>
      <c r="AF51" s="131" t="n">
        <f aca="false">IF(AF$5&lt;=LastHist,0,MAX(0,MinCash-AF50))</f>
        <v>0</v>
      </c>
      <c r="AG51" s="131" t="n">
        <f aca="false">IF(AG$5&lt;=LastHist,0,MAX(0,MinCash-AG50))</f>
        <v>0</v>
      </c>
      <c r="AI51" s="131" t="n">
        <f aca="false">SUMIF($F$7:$AG$7,AI$7,$F51:$AG51)</f>
        <v>0</v>
      </c>
      <c r="AJ51" s="131" t="n">
        <f aca="false">SUMIF($F$7:$AG$7,AJ$7,$F51:$AG51)</f>
        <v>0</v>
      </c>
      <c r="AK51" s="131" t="n">
        <f aca="false">SUMIF($F$7:$AG$7,AK$7,$F51:$AG51)</f>
        <v>0</v>
      </c>
      <c r="AL51" s="131" t="n">
        <f aca="false">SUMIF($F$7:$AG$7,AL$7,$F51:$AG51)</f>
        <v>6527.93582192168</v>
      </c>
      <c r="AM51" s="131" t="n">
        <f aca="false">SUMIF($F$7:$AG$7,AM$7,$F51:$AG51)</f>
        <v>14821.7999452229</v>
      </c>
      <c r="AN51" s="131" t="n">
        <f aca="false">SUMIF($F$7:$AG$7,AN$7,$F51:$AG51)</f>
        <v>19609.7793787061</v>
      </c>
      <c r="AO51" s="131" t="n">
        <f aca="false">SUMIF($F$7:$AG$7,AO$7,$F51:$AG51)</f>
        <v>0</v>
      </c>
    </row>
    <row r="52" customFormat="false" ht="15" hidden="false" customHeight="false" outlineLevel="0" collapsed="false">
      <c r="A52" s="112" t="s">
        <v>2718</v>
      </c>
      <c r="B52" s="24" t="s">
        <v>745</v>
      </c>
      <c r="C52" s="24" t="s">
        <v>672</v>
      </c>
      <c r="D52" s="24"/>
      <c r="F52" s="130" t="n">
        <f aca="false">F51*PlugDebtSh</f>
        <v>0</v>
      </c>
      <c r="G52" s="130" t="n">
        <f aca="false">G51*PlugDebtSh</f>
        <v>0</v>
      </c>
      <c r="H52" s="130" t="n">
        <f aca="false">H51*PlugDebtSh</f>
        <v>0</v>
      </c>
      <c r="I52" s="130" t="n">
        <f aca="false">I51*PlugDebtSh</f>
        <v>0</v>
      </c>
      <c r="J52" s="130" t="n">
        <f aca="false">J51*PlugDebtSh</f>
        <v>0</v>
      </c>
      <c r="K52" s="130" t="n">
        <f aca="false">K51*PlugDebtSh</f>
        <v>0</v>
      </c>
      <c r="L52" s="130" t="n">
        <f aca="false">L51*PlugDebtSh</f>
        <v>0</v>
      </c>
      <c r="M52" s="130" t="n">
        <f aca="false">M51*PlugDebtSh</f>
        <v>0</v>
      </c>
      <c r="N52" s="130" t="n">
        <f aca="false">N51*PlugDebtSh</f>
        <v>0</v>
      </c>
      <c r="O52" s="130" t="n">
        <f aca="false">O51*PlugDebtSh</f>
        <v>0</v>
      </c>
      <c r="P52" s="131" t="n">
        <f aca="false">P51*PlugDebtSh</f>
        <v>0</v>
      </c>
      <c r="Q52" s="131" t="n">
        <f aca="false">Q51*PlugDebtSh</f>
        <v>0</v>
      </c>
      <c r="R52" s="131" t="n">
        <f aca="false">R51*PlugDebtSh</f>
        <v>0</v>
      </c>
      <c r="S52" s="131" t="n">
        <f aca="false">S51*PlugDebtSh</f>
        <v>0</v>
      </c>
      <c r="T52" s="131" t="n">
        <f aca="false">T51*PlugDebtSh</f>
        <v>1467.05766948728</v>
      </c>
      <c r="U52" s="131" t="n">
        <f aca="false">U51*PlugDebtSh</f>
        <v>1796.91024147356</v>
      </c>
      <c r="V52" s="131" t="n">
        <f aca="false">V51*PlugDebtSh</f>
        <v>1814.4038213054</v>
      </c>
      <c r="W52" s="131" t="n">
        <f aca="false">W51*PlugDebtSh</f>
        <v>524.118570725111</v>
      </c>
      <c r="X52" s="131" t="n">
        <f aca="false">X51*PlugDebtSh</f>
        <v>4662.6058899388</v>
      </c>
      <c r="Y52" s="131" t="n">
        <f aca="false">Y51*PlugDebtSh</f>
        <v>409.771690642156</v>
      </c>
      <c r="Z52" s="131" t="n">
        <f aca="false">Z51*PlugDebtSh</f>
        <v>3617.54186531295</v>
      </c>
      <c r="AA52" s="131" t="n">
        <f aca="false">AA51*PlugDebtSh</f>
        <v>772.070581415918</v>
      </c>
      <c r="AB52" s="131" t="n">
        <f aca="false">AB51*PlugDebtSh</f>
        <v>5415.2772426242</v>
      </c>
      <c r="AC52" s="131" t="n">
        <f aca="false">AC51*PlugDebtSh</f>
        <v>0</v>
      </c>
      <c r="AD52" s="131" t="n">
        <f aca="false">AD51*PlugDebtSh</f>
        <v>0</v>
      </c>
      <c r="AE52" s="131" t="n">
        <f aca="false">AE51*PlugDebtSh</f>
        <v>0</v>
      </c>
      <c r="AF52" s="131" t="n">
        <f aca="false">AF51*PlugDebtSh</f>
        <v>0</v>
      </c>
      <c r="AG52" s="131" t="n">
        <f aca="false">AG51*PlugDebtSh</f>
        <v>0</v>
      </c>
      <c r="AI52" s="131" t="n">
        <f aca="false">SUMIF($F$7:$AG$7,AI$7,$F52:$AG52)</f>
        <v>0</v>
      </c>
      <c r="AJ52" s="131" t="n">
        <f aca="false">SUMIF($F$7:$AG$7,AJ$7,$F52:$AG52)</f>
        <v>0</v>
      </c>
      <c r="AK52" s="131" t="n">
        <f aca="false">SUMIF($F$7:$AG$7,AK$7,$F52:$AG52)</f>
        <v>0</v>
      </c>
      <c r="AL52" s="131" t="n">
        <f aca="false">SUMIF($F$7:$AG$7,AL$7,$F52:$AG52)</f>
        <v>3263.96791096084</v>
      </c>
      <c r="AM52" s="131" t="n">
        <f aca="false">SUMIF($F$7:$AG$7,AM$7,$F52:$AG52)</f>
        <v>7410.89997261147</v>
      </c>
      <c r="AN52" s="131" t="n">
        <f aca="false">SUMIF($F$7:$AG$7,AN$7,$F52:$AG52)</f>
        <v>9804.88968935307</v>
      </c>
      <c r="AO52" s="131" t="n">
        <f aca="false">SUMIF($F$7:$AG$7,AO$7,$F52:$AG52)</f>
        <v>0</v>
      </c>
    </row>
    <row r="53" customFormat="false" ht="15" hidden="false" customHeight="false" outlineLevel="0" collapsed="false">
      <c r="A53" s="112" t="s">
        <v>2719</v>
      </c>
      <c r="B53" s="24" t="s">
        <v>745</v>
      </c>
      <c r="C53" s="24" t="s">
        <v>672</v>
      </c>
      <c r="D53" s="24"/>
      <c r="F53" s="130" t="n">
        <f aca="false">F51*(1-PlugDebtSh)</f>
        <v>0</v>
      </c>
      <c r="G53" s="130" t="n">
        <f aca="false">G51*(1-PlugDebtSh)</f>
        <v>0</v>
      </c>
      <c r="H53" s="130" t="n">
        <f aca="false">H51*(1-PlugDebtSh)</f>
        <v>0</v>
      </c>
      <c r="I53" s="130" t="n">
        <f aca="false">I51*(1-PlugDebtSh)</f>
        <v>0</v>
      </c>
      <c r="J53" s="130" t="n">
        <f aca="false">J51*(1-PlugDebtSh)</f>
        <v>0</v>
      </c>
      <c r="K53" s="130" t="n">
        <f aca="false">K51*(1-PlugDebtSh)</f>
        <v>0</v>
      </c>
      <c r="L53" s="130" t="n">
        <f aca="false">L51*(1-PlugDebtSh)</f>
        <v>0</v>
      </c>
      <c r="M53" s="130" t="n">
        <f aca="false">M51*(1-PlugDebtSh)</f>
        <v>0</v>
      </c>
      <c r="N53" s="130" t="n">
        <f aca="false">N51*(1-PlugDebtSh)</f>
        <v>0</v>
      </c>
      <c r="O53" s="130" t="n">
        <f aca="false">O51*(1-PlugDebtSh)</f>
        <v>0</v>
      </c>
      <c r="P53" s="131" t="n">
        <f aca="false">P51*(1-PlugDebtSh)</f>
        <v>0</v>
      </c>
      <c r="Q53" s="131" t="n">
        <f aca="false">Q51*(1-PlugDebtSh)</f>
        <v>0</v>
      </c>
      <c r="R53" s="131" t="n">
        <f aca="false">R51*(1-PlugDebtSh)</f>
        <v>0</v>
      </c>
      <c r="S53" s="131" t="n">
        <f aca="false">S51*(1-PlugDebtSh)</f>
        <v>0</v>
      </c>
      <c r="T53" s="131" t="n">
        <f aca="false">T51*(1-PlugDebtSh)</f>
        <v>1467.05766948728</v>
      </c>
      <c r="U53" s="131" t="n">
        <f aca="false">U51*(1-PlugDebtSh)</f>
        <v>1796.91024147356</v>
      </c>
      <c r="V53" s="131" t="n">
        <f aca="false">V51*(1-PlugDebtSh)</f>
        <v>1814.4038213054</v>
      </c>
      <c r="W53" s="131" t="n">
        <f aca="false">W51*(1-PlugDebtSh)</f>
        <v>524.118570725111</v>
      </c>
      <c r="X53" s="131" t="n">
        <f aca="false">X51*(1-PlugDebtSh)</f>
        <v>4662.6058899388</v>
      </c>
      <c r="Y53" s="131" t="n">
        <f aca="false">Y51*(1-PlugDebtSh)</f>
        <v>409.771690642156</v>
      </c>
      <c r="Z53" s="131" t="n">
        <f aca="false">Z51*(1-PlugDebtSh)</f>
        <v>3617.54186531295</v>
      </c>
      <c r="AA53" s="131" t="n">
        <f aca="false">AA51*(1-PlugDebtSh)</f>
        <v>772.070581415918</v>
      </c>
      <c r="AB53" s="131" t="n">
        <f aca="false">AB51*(1-PlugDebtSh)</f>
        <v>5415.2772426242</v>
      </c>
      <c r="AC53" s="131" t="n">
        <f aca="false">AC51*(1-PlugDebtSh)</f>
        <v>0</v>
      </c>
      <c r="AD53" s="131" t="n">
        <f aca="false">AD51*(1-PlugDebtSh)</f>
        <v>0</v>
      </c>
      <c r="AE53" s="131" t="n">
        <f aca="false">AE51*(1-PlugDebtSh)</f>
        <v>0</v>
      </c>
      <c r="AF53" s="131" t="n">
        <f aca="false">AF51*(1-PlugDebtSh)</f>
        <v>0</v>
      </c>
      <c r="AG53" s="131" t="n">
        <f aca="false">AG51*(1-PlugDebtSh)</f>
        <v>0</v>
      </c>
      <c r="AI53" s="131" t="n">
        <f aca="false">SUMIF($F$7:$AG$7,AI$7,$F53:$AG53)</f>
        <v>0</v>
      </c>
      <c r="AJ53" s="131" t="n">
        <f aca="false">SUMIF($F$7:$AG$7,AJ$7,$F53:$AG53)</f>
        <v>0</v>
      </c>
      <c r="AK53" s="131" t="n">
        <f aca="false">SUMIF($F$7:$AG$7,AK$7,$F53:$AG53)</f>
        <v>0</v>
      </c>
      <c r="AL53" s="131" t="n">
        <f aca="false">SUMIF($F$7:$AG$7,AL$7,$F53:$AG53)</f>
        <v>3263.96791096084</v>
      </c>
      <c r="AM53" s="131" t="n">
        <f aca="false">SUMIF($F$7:$AG$7,AM$7,$F53:$AG53)</f>
        <v>7410.89997261147</v>
      </c>
      <c r="AN53" s="131" t="n">
        <f aca="false">SUMIF($F$7:$AG$7,AN$7,$F53:$AG53)</f>
        <v>9804.88968935307</v>
      </c>
      <c r="AO53" s="131" t="n">
        <f aca="false">SUMIF($F$7:$AG$7,AO$7,$F53:$AG53)</f>
        <v>0</v>
      </c>
    </row>
    <row r="54" customFormat="false" ht="15" hidden="false" customHeight="false" outlineLevel="0" collapsed="false">
      <c r="A54" s="112" t="s">
        <v>2720</v>
      </c>
      <c r="B54" s="24" t="s">
        <v>809</v>
      </c>
      <c r="C54" s="24" t="s">
        <v>672</v>
      </c>
      <c r="D54" s="24" t="s">
        <v>2721</v>
      </c>
      <c r="F54" s="146" t="n">
        <f aca="false">F53/(SharePx*(1-EqDisc))</f>
        <v>0</v>
      </c>
      <c r="G54" s="146" t="n">
        <f aca="false">G53/(SharePx*(1-EqDisc))</f>
        <v>0</v>
      </c>
      <c r="H54" s="146" t="n">
        <f aca="false">H53/(SharePx*(1-EqDisc))</f>
        <v>0</v>
      </c>
      <c r="I54" s="146" t="n">
        <f aca="false">I53/(SharePx*(1-EqDisc))</f>
        <v>0</v>
      </c>
      <c r="J54" s="146" t="n">
        <f aca="false">J53/(SharePx*(1-EqDisc))</f>
        <v>0</v>
      </c>
      <c r="K54" s="146" t="n">
        <f aca="false">K53/(SharePx*(1-EqDisc))</f>
        <v>0</v>
      </c>
      <c r="L54" s="146" t="n">
        <f aca="false">L53/(SharePx*(1-EqDisc))</f>
        <v>0</v>
      </c>
      <c r="M54" s="146" t="n">
        <f aca="false">M53/(SharePx*(1-EqDisc))</f>
        <v>0</v>
      </c>
      <c r="N54" s="146" t="n">
        <f aca="false">N53/(SharePx*(1-EqDisc))</f>
        <v>0</v>
      </c>
      <c r="O54" s="146" t="n">
        <f aca="false">O53/(SharePx*(1-EqDisc))</f>
        <v>0</v>
      </c>
      <c r="P54" s="54" t="n">
        <f aca="false">P53/(SharePx*(1-EqDisc))</f>
        <v>0</v>
      </c>
      <c r="Q54" s="54" t="n">
        <f aca="false">Q53/(SharePx*(1-EqDisc))</f>
        <v>0</v>
      </c>
      <c r="R54" s="54" t="n">
        <f aca="false">R53/(SharePx*(1-EqDisc))</f>
        <v>0</v>
      </c>
      <c r="S54" s="54" t="n">
        <f aca="false">S53/(SharePx*(1-EqDisc))</f>
        <v>0</v>
      </c>
      <c r="T54" s="54" t="n">
        <f aca="false">T53/(SharePx*(1-EqDisc))</f>
        <v>6.2288644911671</v>
      </c>
      <c r="U54" s="54" t="n">
        <f aca="false">U53/(SharePx*(1-EqDisc))</f>
        <v>7.62935951988918</v>
      </c>
      <c r="V54" s="54" t="n">
        <f aca="false">V53/(SharePx*(1-EqDisc))</f>
        <v>7.70363413124512</v>
      </c>
      <c r="W54" s="54" t="n">
        <f aca="false">W53/(SharePx*(1-EqDisc))</f>
        <v>2.2253137161894</v>
      </c>
      <c r="X54" s="54" t="n">
        <f aca="false">X53/(SharePx*(1-EqDisc))</f>
        <v>19.796590732726</v>
      </c>
      <c r="Y54" s="54" t="n">
        <f aca="false">Y53/(SharePx*(1-EqDisc))</f>
        <v>1.73981731353375</v>
      </c>
      <c r="Z54" s="54" t="n">
        <f aca="false">Z53/(SharePx*(1-EqDisc))</f>
        <v>15.3594357868927</v>
      </c>
      <c r="AA54" s="54" t="n">
        <f aca="false">AA53/(SharePx*(1-EqDisc))</f>
        <v>3.27807360901981</v>
      </c>
      <c r="AB54" s="54" t="n">
        <f aca="false">AB53/(SharePx*(1-EqDisc))</f>
        <v>22.9922986859786</v>
      </c>
      <c r="AC54" s="54" t="n">
        <f aca="false">AC53/(SharePx*(1-EqDisc))</f>
        <v>0</v>
      </c>
      <c r="AD54" s="54" t="n">
        <f aca="false">AD53/(SharePx*(1-EqDisc))</f>
        <v>0</v>
      </c>
      <c r="AE54" s="54" t="n">
        <f aca="false">AE53/(SharePx*(1-EqDisc))</f>
        <v>0</v>
      </c>
      <c r="AF54" s="54" t="n">
        <f aca="false">AF53/(SharePx*(1-EqDisc))</f>
        <v>0</v>
      </c>
      <c r="AG54" s="54" t="n">
        <f aca="false">AG53/(SharePx*(1-EqDisc))</f>
        <v>0</v>
      </c>
      <c r="AI54" s="54" t="n">
        <f aca="false">SUMIF($F$7:$AG$7,AI$7,$F54:$AG54)</f>
        <v>0</v>
      </c>
      <c r="AJ54" s="54" t="n">
        <f aca="false">SUMIF($F$7:$AG$7,AJ$7,$F54:$AG54)</f>
        <v>0</v>
      </c>
      <c r="AK54" s="54" t="n">
        <f aca="false">SUMIF($F$7:$AG$7,AK$7,$F54:$AG54)</f>
        <v>0</v>
      </c>
      <c r="AL54" s="54" t="n">
        <f aca="false">SUMIF($F$7:$AG$7,AL$7,$F54:$AG54)</f>
        <v>13.8582240110563</v>
      </c>
      <c r="AM54" s="54" t="n">
        <f aca="false">SUMIF($F$7:$AG$7,AM$7,$F54:$AG54)</f>
        <v>31.4653558936943</v>
      </c>
      <c r="AN54" s="54" t="n">
        <f aca="false">SUMIF($F$7:$AG$7,AN$7,$F54:$AG54)</f>
        <v>41.6298080818911</v>
      </c>
      <c r="AO54" s="54" t="n">
        <f aca="false">SUMIF($F$7:$AG$7,AO$7,$F54:$AG54)</f>
        <v>0</v>
      </c>
    </row>
    <row r="55" customFormat="false" ht="15" hidden="false" customHeight="false" outlineLevel="0" collapsed="false">
      <c r="A55" s="3" t="s">
        <v>2722</v>
      </c>
      <c r="B55" s="24" t="s">
        <v>745</v>
      </c>
      <c r="C55" s="24" t="s">
        <v>2723</v>
      </c>
      <c r="D55" s="24" t="s">
        <v>2724</v>
      </c>
      <c r="E55" s="0" t="n">
        <f aca="false">0</f>
        <v>0</v>
      </c>
      <c r="F55" s="132" t="n">
        <f aca="false">IF(F$5&lt;=LastHist,INDEX(H_Cash,1,F$5),F50+F51)</f>
        <v>2288.2</v>
      </c>
      <c r="G55" s="132" t="n">
        <f aca="false">IF(G$5&lt;=LastHist,INDEX(H_Cash,1,G$5),G50+G51)</f>
        <v>2288.2</v>
      </c>
      <c r="H55" s="132" t="n">
        <f aca="false">IF(H$5&lt;=LastHist,INDEX(H_Cash,1,H$5),H50+H51)</f>
        <v>2288.2</v>
      </c>
      <c r="I55" s="132" t="n">
        <f aca="false">IF(I$5&lt;=LastHist,INDEX(H_Cash,1,I$5),I50+I51)</f>
        <v>2434.7</v>
      </c>
      <c r="J55" s="132" t="n">
        <f aca="false">IF(J$5&lt;=LastHist,INDEX(H_Cash,1,J$5),J50+J51)</f>
        <v>1447</v>
      </c>
      <c r="K55" s="132" t="n">
        <f aca="false">IF(K$5&lt;=LastHist,INDEX(H_Cash,1,K$5),K50+K51)</f>
        <v>1679.3</v>
      </c>
      <c r="L55" s="132" t="n">
        <f aca="false">IF(L$5&lt;=LastHist,INDEX(H_Cash,1,L$5),L50+L51)</f>
        <v>4794.8</v>
      </c>
      <c r="M55" s="132" t="n">
        <f aca="false">IF(M$5&lt;=LastHist,INDEX(H_Cash,1,M$5),M50+M51)</f>
        <v>3678.1</v>
      </c>
      <c r="N55" s="132" t="n">
        <f aca="false">IF(N$5&lt;=LastHist,INDEX(H_Cash,1,N$5),N50+N51)</f>
        <v>9298.2</v>
      </c>
      <c r="O55" s="132" t="n">
        <f aca="false">IF(O$5&lt;=LastHist,INDEX(H_Cash,1,O$5),O50+O51)</f>
        <v>8042.1</v>
      </c>
      <c r="P55" s="104" t="n">
        <f aca="false">IF(P$5&lt;=LastHist,INDEX(H_Cash,1,P$5),P50+P51)</f>
        <v>11534.2630996318</v>
      </c>
      <c r="Q55" s="104" t="n">
        <f aca="false">IF(Q$5&lt;=LastHist,INDEX(H_Cash,1,Q$5),Q50+Q51)</f>
        <v>9749.91719809611</v>
      </c>
      <c r="R55" s="104" t="n">
        <f aca="false">IF(R$5&lt;=LastHist,INDEX(H_Cash,1,R$5),R50+R51)</f>
        <v>9810.92606372689</v>
      </c>
      <c r="S55" s="104" t="n">
        <f aca="false">IF(S$5&lt;=LastHist,INDEX(H_Cash,1,S$5),S50+S51)</f>
        <v>2353.7443678011</v>
      </c>
      <c r="T55" s="104" t="n">
        <f aca="false">IF(T$5&lt;=LastHist,INDEX(H_Cash,1,T$5),T50+T51)</f>
        <v>2000</v>
      </c>
      <c r="U55" s="104" t="n">
        <f aca="false">IF(U$5&lt;=LastHist,INDEX(H_Cash,1,U$5),U50+U51)</f>
        <v>2000</v>
      </c>
      <c r="V55" s="104" t="n">
        <f aca="false">IF(V$5&lt;=LastHist,INDEX(H_Cash,1,V$5),V50+V51)</f>
        <v>2000</v>
      </c>
      <c r="W55" s="104" t="n">
        <f aca="false">IF(W$5&lt;=LastHist,INDEX(H_Cash,1,W$5),W50+W51)</f>
        <v>2000</v>
      </c>
      <c r="X55" s="104" t="n">
        <f aca="false">IF(X$5&lt;=LastHist,INDEX(H_Cash,1,X$5),X50+X51)</f>
        <v>2000</v>
      </c>
      <c r="Y55" s="104" t="n">
        <f aca="false">IF(Y$5&lt;=LastHist,INDEX(H_Cash,1,Y$5),Y50+Y51)</f>
        <v>2000</v>
      </c>
      <c r="Z55" s="104" t="n">
        <f aca="false">IF(Z$5&lt;=LastHist,INDEX(H_Cash,1,Z$5),Z50+Z51)</f>
        <v>2000</v>
      </c>
      <c r="AA55" s="104" t="n">
        <f aca="false">IF(AA$5&lt;=LastHist,INDEX(H_Cash,1,AA$5),AA50+AA51)</f>
        <v>2000</v>
      </c>
      <c r="AB55" s="104" t="n">
        <f aca="false">IF(AB$5&lt;=LastHist,INDEX(H_Cash,1,AB$5),AB50+AB51)</f>
        <v>2000</v>
      </c>
      <c r="AC55" s="104" t="n">
        <f aca="false">IF(AC$5&lt;=LastHist,INDEX(H_Cash,1,AC$5),AC50+AC51)</f>
        <v>5132.49551258414</v>
      </c>
      <c r="AD55" s="104" t="n">
        <f aca="false">IF(AD$5&lt;=LastHist,INDEX(H_Cash,1,AD$5),AD50+AD51)</f>
        <v>4952.81981851131</v>
      </c>
      <c r="AE55" s="104" t="n">
        <f aca="false">IF(AE$5&lt;=LastHist,INDEX(H_Cash,1,AE$5),AE50+AE51)</f>
        <v>9098.23872438368</v>
      </c>
      <c r="AF55" s="104" t="n">
        <f aca="false">IF(AF$5&lt;=LastHist,INDEX(H_Cash,1,AF$5),AF50+AF51)</f>
        <v>8712.31672451646</v>
      </c>
      <c r="AG55" s="104" t="n">
        <f aca="false">IF(AG$5&lt;=LastHist,INDEX(H_Cash,1,AG$5),AG50+AG51)</f>
        <v>11868.4024270148</v>
      </c>
      <c r="AI55" s="104" t="n">
        <f aca="false">INDEX($F55:$AG55,1,MATCH(AI$7,$F$7:$AG$7,1))</f>
        <v>2434.7</v>
      </c>
      <c r="AJ55" s="104" t="n">
        <f aca="false">INDEX($F55:$AG55,1,MATCH(AJ$7,$F$7:$AG$7,1))</f>
        <v>3678.1</v>
      </c>
      <c r="AK55" s="104" t="n">
        <f aca="false">INDEX($F55:$AG55,1,MATCH(AK$7,$F$7:$AG$7,1))</f>
        <v>9749.91719809611</v>
      </c>
      <c r="AL55" s="104" t="n">
        <f aca="false">INDEX($F55:$AG55,1,MATCH(AL$7,$F$7:$AG$7,1))</f>
        <v>2000</v>
      </c>
      <c r="AM55" s="104" t="n">
        <f aca="false">INDEX($F55:$AG55,1,MATCH(AM$7,$F$7:$AG$7,1))</f>
        <v>2000</v>
      </c>
      <c r="AN55" s="104" t="n">
        <f aca="false">INDEX($F55:$AG55,1,MATCH(AN$7,$F$7:$AG$7,1))</f>
        <v>5132.49551258414</v>
      </c>
      <c r="AO55" s="104" t="n">
        <f aca="false">INDEX($F55:$AG55,1,MATCH(AO$7,$F$7:$AG$7,1))</f>
        <v>11868.4024270148</v>
      </c>
    </row>
    <row r="57" customFormat="false" ht="15" hidden="false" customHeight="false" outlineLevel="0" collapsed="false">
      <c r="A57" s="64" t="s">
        <v>2725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</row>
    <row r="58" customFormat="false" ht="15" hidden="false" customHeight="false" outlineLevel="0" collapsed="false">
      <c r="A58" s="112" t="s">
        <v>2726</v>
      </c>
      <c r="B58" s="24" t="s">
        <v>745</v>
      </c>
      <c r="C58" s="24" t="s">
        <v>672</v>
      </c>
      <c r="D58" s="24"/>
      <c r="E58" s="131" t="n">
        <f aca="false">0</f>
        <v>0</v>
      </c>
      <c r="F58" s="130" t="n">
        <f aca="false">E58+F52</f>
        <v>0</v>
      </c>
      <c r="G58" s="130" t="n">
        <f aca="false">F58+G52</f>
        <v>0</v>
      </c>
      <c r="H58" s="130" t="n">
        <f aca="false">G58+H52</f>
        <v>0</v>
      </c>
      <c r="I58" s="130" t="n">
        <f aca="false">H58+I52</f>
        <v>0</v>
      </c>
      <c r="J58" s="130" t="n">
        <f aca="false">I58+J52</f>
        <v>0</v>
      </c>
      <c r="K58" s="130" t="n">
        <f aca="false">J58+K52</f>
        <v>0</v>
      </c>
      <c r="L58" s="130" t="n">
        <f aca="false">K58+L52</f>
        <v>0</v>
      </c>
      <c r="M58" s="130" t="n">
        <f aca="false">L58+M52</f>
        <v>0</v>
      </c>
      <c r="N58" s="130" t="n">
        <f aca="false">M58+N52</f>
        <v>0</v>
      </c>
      <c r="O58" s="130" t="n">
        <f aca="false">N58+O52</f>
        <v>0</v>
      </c>
      <c r="P58" s="131" t="n">
        <f aca="false">O58+P52</f>
        <v>0</v>
      </c>
      <c r="Q58" s="131" t="n">
        <f aca="false">P58+Q52</f>
        <v>0</v>
      </c>
      <c r="R58" s="131" t="n">
        <f aca="false">Q58+R52</f>
        <v>0</v>
      </c>
      <c r="S58" s="131" t="n">
        <f aca="false">R58+S52</f>
        <v>0</v>
      </c>
      <c r="T58" s="131" t="n">
        <f aca="false">S58+T52</f>
        <v>1467.05766948728</v>
      </c>
      <c r="U58" s="131" t="n">
        <f aca="false">T58+U52</f>
        <v>3263.96791096084</v>
      </c>
      <c r="V58" s="131" t="n">
        <f aca="false">U58+V52</f>
        <v>5078.37173226624</v>
      </c>
      <c r="W58" s="131" t="n">
        <f aca="false">V58+W52</f>
        <v>5602.49030299135</v>
      </c>
      <c r="X58" s="131" t="n">
        <f aca="false">W58+X52</f>
        <v>10265.0961929302</v>
      </c>
      <c r="Y58" s="131" t="n">
        <f aca="false">X58+Y52</f>
        <v>10674.8678835723</v>
      </c>
      <c r="Z58" s="131" t="n">
        <f aca="false">Y58+Z52</f>
        <v>14292.4097488853</v>
      </c>
      <c r="AA58" s="131" t="n">
        <f aca="false">Z58+AA52</f>
        <v>15064.4803303012</v>
      </c>
      <c r="AB58" s="131" t="n">
        <f aca="false">AA58+AB52</f>
        <v>20479.7575729254</v>
      </c>
      <c r="AC58" s="131" t="n">
        <f aca="false">AB58+AC52</f>
        <v>20479.7575729254</v>
      </c>
      <c r="AD58" s="131" t="n">
        <f aca="false">AC58+AD52</f>
        <v>20479.7575729254</v>
      </c>
      <c r="AE58" s="131" t="n">
        <f aca="false">AD58+AE52</f>
        <v>20479.7575729254</v>
      </c>
      <c r="AF58" s="131" t="n">
        <f aca="false">AE58+AF52</f>
        <v>20479.7575729254</v>
      </c>
      <c r="AG58" s="131" t="n">
        <f aca="false">AF58+AG52</f>
        <v>20479.7575729254</v>
      </c>
      <c r="AI58" s="131" t="n">
        <f aca="false">INDEX($F58:$AG58,1,MATCH(AI$7,$F$7:$AG$7,1))</f>
        <v>0</v>
      </c>
      <c r="AJ58" s="131" t="n">
        <f aca="false">INDEX($F58:$AG58,1,MATCH(AJ$7,$F$7:$AG$7,1))</f>
        <v>0</v>
      </c>
      <c r="AK58" s="131" t="n">
        <f aca="false">INDEX($F58:$AG58,1,MATCH(AK$7,$F$7:$AG$7,1))</f>
        <v>0</v>
      </c>
      <c r="AL58" s="131" t="n">
        <f aca="false">INDEX($F58:$AG58,1,MATCH(AL$7,$F$7:$AG$7,1))</f>
        <v>3263.96791096084</v>
      </c>
      <c r="AM58" s="131" t="n">
        <f aca="false">INDEX($F58:$AG58,1,MATCH(AM$7,$F$7:$AG$7,1))</f>
        <v>10674.8678835723</v>
      </c>
      <c r="AN58" s="131" t="n">
        <f aca="false">INDEX($F58:$AG58,1,MATCH(AN$7,$F$7:$AG$7,1))</f>
        <v>20479.7575729254</v>
      </c>
      <c r="AO58" s="131" t="n">
        <f aca="false">INDEX($F58:$AG58,1,MATCH(AO$7,$F$7:$AG$7,1))</f>
        <v>20479.7575729254</v>
      </c>
    </row>
    <row r="59" customFormat="false" ht="15" hidden="false" customHeight="false" outlineLevel="0" collapsed="false">
      <c r="A59" s="112" t="s">
        <v>2727</v>
      </c>
      <c r="B59" s="24" t="s">
        <v>745</v>
      </c>
      <c r="C59" s="24" t="s">
        <v>672</v>
      </c>
      <c r="D59" s="24"/>
      <c r="F59" s="130" t="n">
        <f aca="false">INDEX(CV_bal,1,1)+INDEX(Sec_Bal,1,1)+F58</f>
        <v>0</v>
      </c>
      <c r="G59" s="130" t="n">
        <f aca="false">INDEX(CV_bal,1,2)+INDEX(Sec_Bal,1,2)+G58</f>
        <v>0</v>
      </c>
      <c r="H59" s="130" t="n">
        <f aca="false">INDEX(CV_bal,1,3)+INDEX(Sec_Bal,1,3)+H58</f>
        <v>0</v>
      </c>
      <c r="I59" s="130" t="n">
        <f aca="false">INDEX(CV_bal,1,4)+INDEX(Sec_Bal,1,4)+I58</f>
        <v>0</v>
      </c>
      <c r="J59" s="130" t="n">
        <f aca="false">INDEX(CV_bal,1,5)+INDEX(Sec_Bal,1,5)+J58</f>
        <v>0</v>
      </c>
      <c r="K59" s="130" t="n">
        <f aca="false">INDEX(CV_bal,1,6)+INDEX(Sec_Bal,1,6)+K58</f>
        <v>977.717696391198</v>
      </c>
      <c r="L59" s="130" t="n">
        <f aca="false">INDEX(CV_bal,1,7)+INDEX(Sec_Bal,1,7)+L58</f>
        <v>4153.55863884143</v>
      </c>
      <c r="M59" s="130" t="n">
        <f aca="false">INDEX(CV_bal,1,8)+INDEX(Sec_Bal,1,8)+M58</f>
        <v>4184.0439892422</v>
      </c>
      <c r="N59" s="130" t="n">
        <f aca="false">INDEX(CV_bal,1,9)+INDEX(Sec_Bal,1,9)+N58</f>
        <v>8556.00126497794</v>
      </c>
      <c r="O59" s="130" t="n">
        <f aca="false">INDEX(CV_bal,1,10)+INDEX(Sec_Bal,1,10)+O58</f>
        <v>8624.49645117217</v>
      </c>
      <c r="P59" s="131" t="n">
        <f aca="false">INDEX(CV_bal,1,11)+INDEX(Sec_Bal,1,11)+P58</f>
        <v>13618.5823768008</v>
      </c>
      <c r="Q59" s="131" t="n">
        <f aca="false">INDEX(CV_bal,1,12)+INDEX(Sec_Bal,1,12)+Q58</f>
        <v>13723.9597745188</v>
      </c>
      <c r="R59" s="131" t="n">
        <f aca="false">INDEX(CV_bal,1,13)+INDEX(Sec_Bal,1,13)+R58</f>
        <v>20251.0967009347</v>
      </c>
      <c r="S59" s="131" t="n">
        <f aca="false">INDEX(CV_bal,1,14)+INDEX(Sec_Bal,1,14)+S58</f>
        <v>20403.963827577</v>
      </c>
      <c r="T59" s="131" t="n">
        <f aca="false">INDEX(CV_bal,1,15)+INDEX(Sec_Bal,1,15)+T58</f>
        <v>28450.6425792859</v>
      </c>
      <c r="U59" s="131" t="n">
        <f aca="false">INDEX(CV_bal,1,16)+INDEX(Sec_Bal,1,16)+U58</f>
        <v>30451.181017173</v>
      </c>
      <c r="V59" s="131" t="n">
        <f aca="false">INDEX(CV_bal,1,17)+INDEX(Sec_Bal,1,17)+V58</f>
        <v>32466.999684931</v>
      </c>
      <c r="W59" s="131" t="n">
        <f aca="false">INDEX(CV_bal,1,18)+INDEX(Sec_Bal,1,18)+W58</f>
        <v>33192.5331021086</v>
      </c>
      <c r="X59" s="131" t="n">
        <f aca="false">INDEX(CV_bal,1,19)+INDEX(Sec_Bal,1,19)+X58</f>
        <v>38058.767188461</v>
      </c>
      <c r="Y59" s="131" t="n">
        <f aca="false">INDEX(CV_bal,1,20)+INDEX(Sec_Bal,1,20)+Y58</f>
        <v>38672.1670755167</v>
      </c>
      <c r="Z59" s="131" t="n">
        <f aca="false">INDEX(CV_bal,1,21)+INDEX(Sec_Bal,1,21)+Z58</f>
        <v>42488.9104373212</v>
      </c>
      <c r="AA59" s="131" t="n">
        <f aca="false">INDEX(CV_bal,1,22)+INDEX(Sec_Bal,1,22)+AA58</f>
        <v>43359.2785865349</v>
      </c>
      <c r="AB59" s="131" t="n">
        <f aca="false">INDEX(CV_bal,1,23)+INDEX(Sec_Bal,1,23)+AB58</f>
        <v>48977.2171415644</v>
      </c>
      <c r="AC59" s="131" t="n">
        <f aca="false">INDEX(CV_bal,1,24)+INDEX(Sec_Bal,1,24)+AC58</f>
        <v>49179.8784539697</v>
      </c>
      <c r="AD59" s="131" t="n">
        <f aca="false">INDEX(CV_bal,1,25)+INDEX(Sec_Bal,1,25)+AD58</f>
        <v>45571.190733979</v>
      </c>
      <c r="AE59" s="131" t="n">
        <f aca="false">INDEX(CV_bal,1,26)+INDEX(Sec_Bal,1,26)+AE58</f>
        <v>45746.9481832154</v>
      </c>
      <c r="AF59" s="131" t="n">
        <f aca="false">INDEX(CV_bal,1,27)+INDEX(Sec_Bal,1,27)+AF58</f>
        <v>39866.1179898076</v>
      </c>
      <c r="AG59" s="131" t="n">
        <f aca="false">INDEX(CV_bal,1,28)+INDEX(Sec_Bal,1,28)+AG58</f>
        <v>40004.1916989127</v>
      </c>
      <c r="AI59" s="131" t="n">
        <f aca="false">INDEX($F59:$AG59,1,MATCH(AI$7,$F$7:$AG$7,1))</f>
        <v>0</v>
      </c>
      <c r="AJ59" s="131" t="n">
        <f aca="false">INDEX($F59:$AG59,1,MATCH(AJ$7,$F$7:$AG$7,1))</f>
        <v>4184.0439892422</v>
      </c>
      <c r="AK59" s="131" t="n">
        <f aca="false">INDEX($F59:$AG59,1,MATCH(AK$7,$F$7:$AG$7,1))</f>
        <v>13723.9597745188</v>
      </c>
      <c r="AL59" s="131" t="n">
        <f aca="false">INDEX($F59:$AG59,1,MATCH(AL$7,$F$7:$AG$7,1))</f>
        <v>30451.181017173</v>
      </c>
      <c r="AM59" s="131" t="n">
        <f aca="false">INDEX($F59:$AG59,1,MATCH(AM$7,$F$7:$AG$7,1))</f>
        <v>38672.1670755167</v>
      </c>
      <c r="AN59" s="131" t="n">
        <f aca="false">INDEX($F59:$AG59,1,MATCH(AN$7,$F$7:$AG$7,1))</f>
        <v>49179.8784539697</v>
      </c>
      <c r="AO59" s="131" t="n">
        <f aca="false">INDEX($F59:$AG59,1,MATCH(AO$7,$F$7:$AG$7,1))</f>
        <v>40004.1916989127</v>
      </c>
    </row>
    <row r="60" customFormat="false" ht="15" hidden="false" customHeight="false" outlineLevel="0" collapsed="false">
      <c r="A60" s="112" t="s">
        <v>2728</v>
      </c>
      <c r="B60" s="24" t="s">
        <v>745</v>
      </c>
      <c r="C60" s="24" t="s">
        <v>672</v>
      </c>
      <c r="D60" s="24"/>
      <c r="F60" s="130" t="n">
        <f aca="false">INDEX(CV_debt,1,1)+INDEX(Sec_Bal,1,1)+F58</f>
        <v>0</v>
      </c>
      <c r="G60" s="130" t="n">
        <f aca="false">INDEX(CV_debt,1,2)+INDEX(Sec_Bal,1,2)+G58</f>
        <v>0</v>
      </c>
      <c r="H60" s="130" t="n">
        <f aca="false">INDEX(CV_debt,1,3)+INDEX(Sec_Bal,1,3)+H58</f>
        <v>0</v>
      </c>
      <c r="I60" s="130" t="n">
        <f aca="false">INDEX(CV_debt,1,4)+INDEX(Sec_Bal,1,4)+I58</f>
        <v>0</v>
      </c>
      <c r="J60" s="130" t="n">
        <f aca="false">INDEX(CV_debt,1,5)+INDEX(Sec_Bal,1,5)+J58</f>
        <v>0</v>
      </c>
      <c r="K60" s="130" t="n">
        <f aca="false">INDEX(CV_debt,1,6)+INDEX(Sec_Bal,1,6)+K58</f>
        <v>977.717696391198</v>
      </c>
      <c r="L60" s="130" t="n">
        <f aca="false">INDEX(CV_debt,1,7)+INDEX(Sec_Bal,1,7)+L58</f>
        <v>4153.55863884143</v>
      </c>
      <c r="M60" s="130" t="n">
        <f aca="false">INDEX(CV_debt,1,8)+INDEX(Sec_Bal,1,8)+M58</f>
        <v>4184.0439892422</v>
      </c>
      <c r="N60" s="130" t="n">
        <f aca="false">INDEX(CV_debt,1,9)+INDEX(Sec_Bal,1,9)+N58</f>
        <v>8556.00126497794</v>
      </c>
      <c r="O60" s="130" t="n">
        <f aca="false">INDEX(CV_debt,1,10)+INDEX(Sec_Bal,1,10)+O58</f>
        <v>8624.49645117217</v>
      </c>
      <c r="P60" s="131" t="n">
        <f aca="false">INDEX(CV_debt,1,11)+INDEX(Sec_Bal,1,11)+P58</f>
        <v>13618.5823768008</v>
      </c>
      <c r="Q60" s="131" t="n">
        <f aca="false">INDEX(CV_debt,1,12)+INDEX(Sec_Bal,1,12)+Q58</f>
        <v>13723.9597745188</v>
      </c>
      <c r="R60" s="131" t="n">
        <f aca="false">INDEX(CV_debt,1,13)+INDEX(Sec_Bal,1,13)+R58</f>
        <v>20251.0967009347</v>
      </c>
      <c r="S60" s="131" t="n">
        <f aca="false">INDEX(CV_debt,1,14)+INDEX(Sec_Bal,1,14)+S58</f>
        <v>20403.963827577</v>
      </c>
      <c r="T60" s="131" t="n">
        <f aca="false">INDEX(CV_debt,1,15)+INDEX(Sec_Bal,1,15)+T58</f>
        <v>28450.6425792859</v>
      </c>
      <c r="U60" s="131" t="n">
        <f aca="false">INDEX(CV_debt,1,16)+INDEX(Sec_Bal,1,16)+U58</f>
        <v>30451.181017173</v>
      </c>
      <c r="V60" s="131" t="n">
        <f aca="false">INDEX(CV_debt,1,17)+INDEX(Sec_Bal,1,17)+V58</f>
        <v>32466.999684931</v>
      </c>
      <c r="W60" s="131" t="n">
        <f aca="false">INDEX(CV_debt,1,18)+INDEX(Sec_Bal,1,18)+W58</f>
        <v>33192.5331021086</v>
      </c>
      <c r="X60" s="131" t="n">
        <f aca="false">INDEX(CV_debt,1,19)+INDEX(Sec_Bal,1,19)+X58</f>
        <v>38058.767188461</v>
      </c>
      <c r="Y60" s="131" t="n">
        <f aca="false">INDEX(CV_debt,1,20)+INDEX(Sec_Bal,1,20)+Y58</f>
        <v>38672.1670755167</v>
      </c>
      <c r="Z60" s="131" t="n">
        <f aca="false">INDEX(CV_debt,1,21)+INDEX(Sec_Bal,1,21)+Z58</f>
        <v>42488.9104373212</v>
      </c>
      <c r="AA60" s="131" t="n">
        <f aca="false">INDEX(CV_debt,1,22)+INDEX(Sec_Bal,1,22)+AA58</f>
        <v>43359.2785865349</v>
      </c>
      <c r="AB60" s="131" t="n">
        <f aca="false">INDEX(CV_debt,1,23)+INDEX(Sec_Bal,1,23)+AB58</f>
        <v>48977.2171415644</v>
      </c>
      <c r="AC60" s="131" t="n">
        <f aca="false">INDEX(CV_debt,1,24)+INDEX(Sec_Bal,1,24)+AC58</f>
        <v>49179.8784539697</v>
      </c>
      <c r="AD60" s="131" t="n">
        <f aca="false">INDEX(CV_debt,1,25)+INDEX(Sec_Bal,1,25)+AD58</f>
        <v>45571.190733979</v>
      </c>
      <c r="AE60" s="131" t="n">
        <f aca="false">INDEX(CV_debt,1,26)+INDEX(Sec_Bal,1,26)+AE58</f>
        <v>45746.9481832154</v>
      </c>
      <c r="AF60" s="131" t="n">
        <f aca="false">INDEX(CV_debt,1,27)+INDEX(Sec_Bal,1,27)+AF58</f>
        <v>39866.1179898076</v>
      </c>
      <c r="AG60" s="131" t="n">
        <f aca="false">INDEX(CV_debt,1,28)+INDEX(Sec_Bal,1,28)+AG58</f>
        <v>40004.1916989127</v>
      </c>
      <c r="AI60" s="131" t="n">
        <f aca="false">INDEX($F60:$AG60,1,MATCH(AI$7,$F$7:$AG$7,1))</f>
        <v>0</v>
      </c>
      <c r="AJ60" s="131" t="n">
        <f aca="false">INDEX($F60:$AG60,1,MATCH(AJ$7,$F$7:$AG$7,1))</f>
        <v>4184.0439892422</v>
      </c>
      <c r="AK60" s="131" t="n">
        <f aca="false">INDEX($F60:$AG60,1,MATCH(AK$7,$F$7:$AG$7,1))</f>
        <v>13723.9597745188</v>
      </c>
      <c r="AL60" s="131" t="n">
        <f aca="false">INDEX($F60:$AG60,1,MATCH(AL$7,$F$7:$AG$7,1))</f>
        <v>30451.181017173</v>
      </c>
      <c r="AM60" s="131" t="n">
        <f aca="false">INDEX($F60:$AG60,1,MATCH(AM$7,$F$7:$AG$7,1))</f>
        <v>38672.1670755167</v>
      </c>
      <c r="AN60" s="131" t="n">
        <f aca="false">INDEX($F60:$AG60,1,MATCH(AN$7,$F$7:$AG$7,1))</f>
        <v>49179.8784539697</v>
      </c>
      <c r="AO60" s="131" t="n">
        <f aca="false">INDEX($F60:$AG60,1,MATCH(AO$7,$F$7:$AG$7,1))</f>
        <v>40004.1916989127</v>
      </c>
    </row>
    <row r="61" customFormat="false" ht="15" hidden="false" customHeight="false" outlineLevel="0" collapsed="false">
      <c r="A61" s="3" t="s">
        <v>2729</v>
      </c>
      <c r="B61" s="24" t="s">
        <v>745</v>
      </c>
      <c r="C61" s="24" t="s">
        <v>672</v>
      </c>
      <c r="D61" s="24"/>
      <c r="F61" s="132" t="n">
        <f aca="false">F60-F55</f>
        <v>-2288.2</v>
      </c>
      <c r="G61" s="132" t="n">
        <f aca="false">G60-G55</f>
        <v>-2288.2</v>
      </c>
      <c r="H61" s="132" t="n">
        <f aca="false">H60-H55</f>
        <v>-2288.2</v>
      </c>
      <c r="I61" s="132" t="n">
        <f aca="false">I60-I55</f>
        <v>-2434.7</v>
      </c>
      <c r="J61" s="132" t="n">
        <f aca="false">J60-J55</f>
        <v>-1447</v>
      </c>
      <c r="K61" s="132" t="n">
        <f aca="false">K60-K55</f>
        <v>-701.582303608802</v>
      </c>
      <c r="L61" s="132" t="n">
        <f aca="false">L60-L55</f>
        <v>-641.241361158571</v>
      </c>
      <c r="M61" s="132" t="n">
        <f aca="false">M60-M55</f>
        <v>505.943989242197</v>
      </c>
      <c r="N61" s="132" t="n">
        <f aca="false">N60-N55</f>
        <v>-742.198735022057</v>
      </c>
      <c r="O61" s="132" t="n">
        <f aca="false">O60-O55</f>
        <v>582.396451172164</v>
      </c>
      <c r="P61" s="104" t="n">
        <f aca="false">P60-P55</f>
        <v>2084.31927716894</v>
      </c>
      <c r="Q61" s="104" t="n">
        <f aca="false">Q60-Q55</f>
        <v>3974.04257642269</v>
      </c>
      <c r="R61" s="104" t="n">
        <f aca="false">R60-R55</f>
        <v>10440.1706372079</v>
      </c>
      <c r="S61" s="104" t="n">
        <f aca="false">S60-S55</f>
        <v>18050.2194597759</v>
      </c>
      <c r="T61" s="104" t="n">
        <f aca="false">T60-T55</f>
        <v>26450.6425792859</v>
      </c>
      <c r="U61" s="104" t="n">
        <f aca="false">U60-U55</f>
        <v>28451.181017173</v>
      </c>
      <c r="V61" s="104" t="n">
        <f aca="false">V60-V55</f>
        <v>30466.999684931</v>
      </c>
      <c r="W61" s="104" t="n">
        <f aca="false">W60-W55</f>
        <v>31192.5331021086</v>
      </c>
      <c r="X61" s="104" t="n">
        <f aca="false">X60-X55</f>
        <v>36058.767188461</v>
      </c>
      <c r="Y61" s="104" t="n">
        <f aca="false">Y60-Y55</f>
        <v>36672.1670755167</v>
      </c>
      <c r="Z61" s="104" t="n">
        <f aca="false">Z60-Z55</f>
        <v>40488.9104373212</v>
      </c>
      <c r="AA61" s="104" t="n">
        <f aca="false">AA60-AA55</f>
        <v>41359.2785865349</v>
      </c>
      <c r="AB61" s="104" t="n">
        <f aca="false">AB60-AB55</f>
        <v>46977.2171415644</v>
      </c>
      <c r="AC61" s="104" t="n">
        <f aca="false">AC60-AC55</f>
        <v>44047.3829413856</v>
      </c>
      <c r="AD61" s="104" t="n">
        <f aca="false">AD60-AD55</f>
        <v>40618.3709154677</v>
      </c>
      <c r="AE61" s="104" t="n">
        <f aca="false">AE60-AE55</f>
        <v>36648.7094588317</v>
      </c>
      <c r="AF61" s="104" t="n">
        <f aca="false">AF60-AF55</f>
        <v>31153.8012652911</v>
      </c>
      <c r="AG61" s="104" t="n">
        <f aca="false">AG60-AG55</f>
        <v>28135.7892718979</v>
      </c>
      <c r="AI61" s="104" t="n">
        <f aca="false">INDEX($F61:$AG61,1,MATCH(AI$7,$F$7:$AG$7,1))</f>
        <v>-2434.7</v>
      </c>
      <c r="AJ61" s="104" t="n">
        <f aca="false">INDEX($F61:$AG61,1,MATCH(AJ$7,$F$7:$AG$7,1))</f>
        <v>505.943989242197</v>
      </c>
      <c r="AK61" s="104" t="n">
        <f aca="false">INDEX($F61:$AG61,1,MATCH(AK$7,$F$7:$AG$7,1))</f>
        <v>3974.04257642269</v>
      </c>
      <c r="AL61" s="104" t="n">
        <f aca="false">INDEX($F61:$AG61,1,MATCH(AL$7,$F$7:$AG$7,1))</f>
        <v>28451.181017173</v>
      </c>
      <c r="AM61" s="104" t="n">
        <f aca="false">INDEX($F61:$AG61,1,MATCH(AM$7,$F$7:$AG$7,1))</f>
        <v>36672.1670755167</v>
      </c>
      <c r="AN61" s="104" t="n">
        <f aca="false">INDEX($F61:$AG61,1,MATCH(AN$7,$F$7:$AG$7,1))</f>
        <v>44047.3829413856</v>
      </c>
      <c r="AO61" s="104" t="n">
        <f aca="false">INDEX($F61:$AG61,1,MATCH(AO$7,$F$7:$AG$7,1))</f>
        <v>28135.7892718979</v>
      </c>
    </row>
    <row r="63" customFormat="false" ht="15" hidden="false" customHeight="false" outlineLevel="0" collapsed="false">
      <c r="A63" s="64" t="s">
        <v>2730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</row>
    <row r="64" customFormat="false" ht="15" hidden="false" customHeight="false" outlineLevel="0" collapsed="false">
      <c r="A64" s="112" t="s">
        <v>2731</v>
      </c>
      <c r="B64" s="24" t="s">
        <v>745</v>
      </c>
      <c r="C64" s="24" t="s">
        <v>672</v>
      </c>
      <c r="D64" s="24" t="s">
        <v>1233</v>
      </c>
      <c r="O64" s="117" t="n">
        <f aca="false">CS_Cash</f>
        <v>8042.1</v>
      </c>
    </row>
    <row r="65" customFormat="false" ht="15" hidden="false" customHeight="false" outlineLevel="0" collapsed="false">
      <c r="A65" s="112" t="s">
        <v>2732</v>
      </c>
      <c r="B65" s="24" t="s">
        <v>745</v>
      </c>
      <c r="C65" s="24" t="s">
        <v>672</v>
      </c>
      <c r="D65" s="24"/>
      <c r="P65" s="114" t="n">
        <f aca="false">AugGross</f>
        <v>5750</v>
      </c>
      <c r="Q65" s="114" t="n">
        <f aca="false">0</f>
        <v>0</v>
      </c>
      <c r="R65" s="114" t="n">
        <f aca="false">0</f>
        <v>0</v>
      </c>
      <c r="S65" s="114" t="n">
        <f aca="false">0</f>
        <v>0</v>
      </c>
      <c r="T65" s="114" t="n">
        <f aca="false">0</f>
        <v>0</v>
      </c>
      <c r="U65" s="114" t="n">
        <f aca="false">0</f>
        <v>0</v>
      </c>
      <c r="V65" s="114" t="n">
        <f aca="false">0</f>
        <v>0</v>
      </c>
      <c r="W65" s="114" t="n">
        <f aca="false">0</f>
        <v>0</v>
      </c>
      <c r="X65" s="114" t="n">
        <f aca="false">0</f>
        <v>0</v>
      </c>
      <c r="Y65" s="114" t="n">
        <f aca="false">0</f>
        <v>0</v>
      </c>
      <c r="Z65" s="114" t="n">
        <f aca="false">0</f>
        <v>0</v>
      </c>
      <c r="AA65" s="114" t="n">
        <f aca="false">0</f>
        <v>0</v>
      </c>
      <c r="AB65" s="114" t="n">
        <f aca="false">0</f>
        <v>0</v>
      </c>
      <c r="AC65" s="114" t="n">
        <f aca="false">0</f>
        <v>0</v>
      </c>
      <c r="AD65" s="114" t="n">
        <f aca="false">0</f>
        <v>0</v>
      </c>
      <c r="AE65" s="114" t="n">
        <f aca="false">0</f>
        <v>0</v>
      </c>
      <c r="AF65" s="114" t="n">
        <f aca="false">0</f>
        <v>0</v>
      </c>
      <c r="AG65" s="114" t="n">
        <f aca="false">0</f>
        <v>0</v>
      </c>
      <c r="AI65" s="114" t="n">
        <f aca="false">SUMIF($F$7:$AG$7,AI$7,$F65:$AG65)</f>
        <v>0</v>
      </c>
      <c r="AJ65" s="114" t="n">
        <f aca="false">SUMIF($F$7:$AG$7,AJ$7,$F65:$AG65)</f>
        <v>0</v>
      </c>
      <c r="AK65" s="114" t="n">
        <f aca="false">SUMIF($F$7:$AG$7,AK$7,$F65:$AG65)</f>
        <v>5750</v>
      </c>
      <c r="AL65" s="114" t="n">
        <f aca="false">SUMIF($F$7:$AG$7,AL$7,$F65:$AG65)</f>
        <v>0</v>
      </c>
      <c r="AM65" s="114" t="n">
        <f aca="false">SUMIF($F$7:$AG$7,AM$7,$F65:$AG65)</f>
        <v>0</v>
      </c>
      <c r="AN65" s="114" t="n">
        <f aca="false">SUMIF($F$7:$AG$7,AN$7,$F65:$AG65)</f>
        <v>0</v>
      </c>
      <c r="AO65" s="114" t="n">
        <f aca="false">SUMIF($F$7:$AG$7,AO$7,$F65:$AG65)</f>
        <v>0</v>
      </c>
    </row>
    <row r="66" customFormat="false" ht="15" hidden="false" customHeight="false" outlineLevel="0" collapsed="false">
      <c r="A66" s="112" t="s">
        <v>2733</v>
      </c>
      <c r="B66" s="24" t="s">
        <v>745</v>
      </c>
      <c r="C66" s="24" t="s">
        <v>672</v>
      </c>
      <c r="D66" s="24"/>
      <c r="P66" s="114" t="n">
        <f aca="false">SecAmt*LoanOn</f>
        <v>0</v>
      </c>
      <c r="Q66" s="114" t="n">
        <f aca="false">0</f>
        <v>0</v>
      </c>
      <c r="R66" s="114" t="n">
        <f aca="false">0</f>
        <v>0</v>
      </c>
      <c r="S66" s="114" t="n">
        <f aca="false">0</f>
        <v>0</v>
      </c>
      <c r="T66" s="114" t="n">
        <f aca="false">0</f>
        <v>0</v>
      </c>
      <c r="U66" s="114" t="n">
        <f aca="false">0</f>
        <v>0</v>
      </c>
      <c r="V66" s="114" t="n">
        <f aca="false">0</f>
        <v>0</v>
      </c>
      <c r="W66" s="114" t="n">
        <f aca="false">0</f>
        <v>0</v>
      </c>
      <c r="X66" s="114" t="n">
        <f aca="false">0</f>
        <v>0</v>
      </c>
      <c r="Y66" s="114" t="n">
        <f aca="false">0</f>
        <v>0</v>
      </c>
      <c r="Z66" s="114" t="n">
        <f aca="false">0</f>
        <v>0</v>
      </c>
      <c r="AA66" s="114" t="n">
        <f aca="false">0</f>
        <v>0</v>
      </c>
      <c r="AB66" s="114" t="n">
        <f aca="false">0</f>
        <v>0</v>
      </c>
      <c r="AC66" s="114" t="n">
        <f aca="false">0</f>
        <v>0</v>
      </c>
      <c r="AD66" s="114" t="n">
        <f aca="false">0</f>
        <v>0</v>
      </c>
      <c r="AE66" s="114" t="n">
        <f aca="false">0</f>
        <v>0</v>
      </c>
      <c r="AF66" s="114" t="n">
        <f aca="false">0</f>
        <v>0</v>
      </c>
      <c r="AG66" s="114" t="n">
        <f aca="false">0</f>
        <v>0</v>
      </c>
      <c r="AI66" s="114" t="n">
        <f aca="false">SUMIF($F$7:$AG$7,AI$7,$F66:$AG66)</f>
        <v>0</v>
      </c>
      <c r="AJ66" s="114" t="n">
        <f aca="false">SUMIF($F$7:$AG$7,AJ$7,$F66:$AG66)</f>
        <v>0</v>
      </c>
      <c r="AK66" s="114" t="n">
        <f aca="false">SUMIF($F$7:$AG$7,AK$7,$F66:$AG66)</f>
        <v>0</v>
      </c>
      <c r="AL66" s="114" t="n">
        <f aca="false">SUMIF($F$7:$AG$7,AL$7,$F66:$AG66)</f>
        <v>0</v>
      </c>
      <c r="AM66" s="114" t="n">
        <f aca="false">SUMIF($F$7:$AG$7,AM$7,$F66:$AG66)</f>
        <v>0</v>
      </c>
      <c r="AN66" s="114" t="n">
        <f aca="false">SUMIF($F$7:$AG$7,AN$7,$F66:$AG66)</f>
        <v>0</v>
      </c>
      <c r="AO66" s="114" t="n">
        <f aca="false">SUMIF($F$7:$AG$7,AO$7,$F66:$AG66)</f>
        <v>0</v>
      </c>
    </row>
    <row r="67" customFormat="false" ht="15" hidden="false" customHeight="false" outlineLevel="0" collapsed="false">
      <c r="A67" s="112" t="s">
        <v>2734</v>
      </c>
      <c r="B67" s="24" t="s">
        <v>745</v>
      </c>
      <c r="C67" s="24" t="s">
        <v>672</v>
      </c>
      <c r="D67" s="24"/>
      <c r="P67" s="114" t="n">
        <f aca="false">IF(FP_On=0,ATMOn*ATM_Rem*SharePx*(P$5=11),0)+INDEX(CF_ATM,1,11)</f>
        <v>0</v>
      </c>
      <c r="Q67" s="114" t="n">
        <f aca="false">IF(FP_On=0,ATMOn*ATM_Rem*SharePx*(Q$5=11),0)+INDEX(CF_ATM,1,12)</f>
        <v>2979.40180467</v>
      </c>
      <c r="R67" s="114" t="n">
        <f aca="false">IF(FP_On=0,ATMOn*ATM_Rem*SharePx*(R$5=11),0)+INDEX(CF_ATM,1,13)</f>
        <v>0</v>
      </c>
      <c r="S67" s="114" t="n">
        <f aca="false">IF(FP_On=0,ATMOn*ATM_Rem*SharePx*(S$5=11),0)+INDEX(CF_ATM,1,14)</f>
        <v>0</v>
      </c>
      <c r="T67" s="114" t="n">
        <f aca="false">IF(FP_On=0,ATMOn*ATM_Rem*SharePx*(T$5=11),0)+INDEX(CF_ATM,1,15)</f>
        <v>0</v>
      </c>
      <c r="U67" s="114" t="n">
        <f aca="false">IF(FP_On=0,ATMOn*ATM_Rem*SharePx*(U$5=11),0)+INDEX(CF_ATM,1,16)</f>
        <v>0</v>
      </c>
      <c r="V67" s="114" t="n">
        <f aca="false">IF(FP_On=0,ATMOn*ATM_Rem*SharePx*(V$5=11),0)+INDEX(CF_ATM,1,17)</f>
        <v>0</v>
      </c>
      <c r="W67" s="114" t="n">
        <f aca="false">IF(FP_On=0,ATMOn*ATM_Rem*SharePx*(W$5=11),0)+INDEX(CF_ATM,1,18)</f>
        <v>0</v>
      </c>
      <c r="X67" s="114" t="n">
        <f aca="false">IF(FP_On=0,ATMOn*ATM_Rem*SharePx*(X$5=11),0)+INDEX(CF_ATM,1,19)</f>
        <v>0</v>
      </c>
      <c r="Y67" s="114" t="n">
        <f aca="false">IF(FP_On=0,ATMOn*ATM_Rem*SharePx*(Y$5=11),0)+INDEX(CF_ATM,1,20)</f>
        <v>0</v>
      </c>
      <c r="Z67" s="114" t="n">
        <f aca="false">IF(FP_On=0,ATMOn*ATM_Rem*SharePx*(Z$5=11),0)+INDEX(CF_ATM,1,21)</f>
        <v>0</v>
      </c>
      <c r="AA67" s="114" t="n">
        <f aca="false">IF(FP_On=0,ATMOn*ATM_Rem*SharePx*(AA$5=11),0)+INDEX(CF_ATM,1,22)</f>
        <v>0</v>
      </c>
      <c r="AB67" s="114" t="n">
        <f aca="false">IF(FP_On=0,ATMOn*ATM_Rem*SharePx*(AB$5=11),0)+INDEX(CF_ATM,1,23)</f>
        <v>0</v>
      </c>
      <c r="AC67" s="114" t="n">
        <f aca="false">IF(FP_On=0,ATMOn*ATM_Rem*SharePx*(AC$5=11),0)+INDEX(CF_ATM,1,24)</f>
        <v>0</v>
      </c>
      <c r="AD67" s="114" t="n">
        <f aca="false">IF(FP_On=0,ATMOn*ATM_Rem*SharePx*(AD$5=11),0)+INDEX(CF_ATM,1,25)</f>
        <v>0</v>
      </c>
      <c r="AE67" s="114" t="n">
        <f aca="false">IF(FP_On=0,ATMOn*ATM_Rem*SharePx*(AE$5=11),0)+INDEX(CF_ATM,1,26)</f>
        <v>0</v>
      </c>
      <c r="AF67" s="114" t="n">
        <f aca="false">IF(FP_On=0,ATMOn*ATM_Rem*SharePx*(AF$5=11),0)+INDEX(CF_ATM,1,27)</f>
        <v>0</v>
      </c>
      <c r="AG67" s="114" t="n">
        <f aca="false">IF(FP_On=0,ATMOn*ATM_Rem*SharePx*(AG$5=11),0)+INDEX(CF_ATM,1,28)</f>
        <v>0</v>
      </c>
      <c r="AI67" s="114" t="n">
        <f aca="false">SUMIF($F$7:$AG$7,AI$7,$F67:$AG67)</f>
        <v>0</v>
      </c>
      <c r="AJ67" s="114" t="n">
        <f aca="false">SUMIF($F$7:$AG$7,AJ$7,$F67:$AG67)</f>
        <v>0</v>
      </c>
      <c r="AK67" s="114" t="n">
        <f aca="false">SUMIF($F$7:$AG$7,AK$7,$F67:$AG67)</f>
        <v>2979.40180467</v>
      </c>
      <c r="AL67" s="114" t="n">
        <f aca="false">SUMIF($F$7:$AG$7,AL$7,$F67:$AG67)</f>
        <v>0</v>
      </c>
      <c r="AM67" s="114" t="n">
        <f aca="false">SUMIF($F$7:$AG$7,AM$7,$F67:$AG67)</f>
        <v>0</v>
      </c>
      <c r="AN67" s="114" t="n">
        <f aca="false">SUMIF($F$7:$AG$7,AN$7,$F67:$AG67)</f>
        <v>0</v>
      </c>
      <c r="AO67" s="114" t="n">
        <f aca="false">SUMIF($F$7:$AG$7,AO$7,$F67:$AG67)</f>
        <v>0</v>
      </c>
    </row>
    <row r="68" customFormat="false" ht="15" hidden="false" customHeight="false" outlineLevel="0" collapsed="false">
      <c r="A68" s="112" t="s">
        <v>2735</v>
      </c>
      <c r="B68" s="24" t="s">
        <v>745</v>
      </c>
      <c r="C68" s="24" t="s">
        <v>672</v>
      </c>
      <c r="D68" s="24"/>
      <c r="P68" s="114" t="n">
        <f aca="false">INDEX(CF_FPConv,1,11)</f>
        <v>0</v>
      </c>
      <c r="Q68" s="114" t="n">
        <f aca="false">INDEX(CF_FPConv,1,12)</f>
        <v>0</v>
      </c>
      <c r="R68" s="114" t="n">
        <f aca="false">INDEX(CF_FPConv,1,13)</f>
        <v>6322.08695652174</v>
      </c>
      <c r="S68" s="114" t="n">
        <f aca="false">INDEX(CF_FPConv,1,14)</f>
        <v>0</v>
      </c>
      <c r="T68" s="114" t="n">
        <f aca="false">INDEX(CF_FPConv,1,15)</f>
        <v>6322.08695652174</v>
      </c>
      <c r="U68" s="114" t="n">
        <f aca="false">INDEX(CF_FPConv,1,16)</f>
        <v>0</v>
      </c>
      <c r="V68" s="114" t="n">
        <f aca="false">INDEX(CF_FPConv,1,17)</f>
        <v>0</v>
      </c>
      <c r="W68" s="114" t="n">
        <f aca="false">INDEX(CF_FPConv,1,18)</f>
        <v>0</v>
      </c>
      <c r="X68" s="114" t="n">
        <f aca="false">INDEX(CF_FPConv,1,19)</f>
        <v>0</v>
      </c>
      <c r="Y68" s="114" t="n">
        <f aca="false">INDEX(CF_FPConv,1,20)</f>
        <v>0</v>
      </c>
      <c r="Z68" s="114" t="n">
        <f aca="false">INDEX(CF_FPConv,1,21)</f>
        <v>0</v>
      </c>
      <c r="AA68" s="114" t="n">
        <f aca="false">INDEX(CF_FPConv,1,22)</f>
        <v>0</v>
      </c>
      <c r="AB68" s="114" t="n">
        <f aca="false">INDEX(CF_FPConv,1,23)</f>
        <v>0</v>
      </c>
      <c r="AC68" s="114" t="n">
        <f aca="false">INDEX(CF_FPConv,1,24)</f>
        <v>0</v>
      </c>
      <c r="AD68" s="114" t="n">
        <f aca="false">INDEX(CF_FPConv,1,25)</f>
        <v>0</v>
      </c>
      <c r="AE68" s="114" t="n">
        <f aca="false">INDEX(CF_FPConv,1,26)</f>
        <v>0</v>
      </c>
      <c r="AF68" s="114" t="n">
        <f aca="false">INDEX(CF_FPConv,1,27)</f>
        <v>0</v>
      </c>
      <c r="AG68" s="114" t="n">
        <f aca="false">INDEX(CF_FPConv,1,28)</f>
        <v>0</v>
      </c>
      <c r="AI68" s="114" t="n">
        <f aca="false">SUMIF($F$7:$AG$7,AI$7,$F68:$AG68)</f>
        <v>0</v>
      </c>
      <c r="AJ68" s="114" t="n">
        <f aca="false">SUMIF($F$7:$AG$7,AJ$7,$F68:$AG68)</f>
        <v>0</v>
      </c>
      <c r="AK68" s="114" t="n">
        <f aca="false">SUMIF($F$7:$AG$7,AK$7,$F68:$AG68)</f>
        <v>0</v>
      </c>
      <c r="AL68" s="114" t="n">
        <f aca="false">SUMIF($F$7:$AG$7,AL$7,$F68:$AG68)</f>
        <v>12644.1739130435</v>
      </c>
      <c r="AM68" s="114" t="n">
        <f aca="false">SUMIF($F$7:$AG$7,AM$7,$F68:$AG68)</f>
        <v>0</v>
      </c>
      <c r="AN68" s="114" t="n">
        <f aca="false">SUMIF($F$7:$AG$7,AN$7,$F68:$AG68)</f>
        <v>0</v>
      </c>
      <c r="AO68" s="114" t="n">
        <f aca="false">SUMIF($F$7:$AG$7,AO$7,$F68:$AG68)</f>
        <v>0</v>
      </c>
    </row>
    <row r="69" customFormat="false" ht="15" hidden="false" customHeight="false" outlineLevel="0" collapsed="false">
      <c r="A69" s="112" t="s">
        <v>2736</v>
      </c>
      <c r="B69" s="24" t="s">
        <v>745</v>
      </c>
      <c r="C69" s="24" t="s">
        <v>672</v>
      </c>
      <c r="D69" s="24"/>
      <c r="P69" s="114" t="n">
        <f aca="false">INDEX(CF_FCF,1,11)+INDEX(CF_PlugIntRow,1,11)</f>
        <v>-2187.83690036819</v>
      </c>
      <c r="Q69" s="114" t="n">
        <f aca="false">INDEX(CF_FCF,1,12)+INDEX(CF_PlugIntRow,1,12)</f>
        <v>-4763.7477062057</v>
      </c>
      <c r="R69" s="114" t="n">
        <f aca="false">INDEX(CF_FCF,1,13)+INDEX(CF_PlugIntRow,1,13)</f>
        <v>-6261.07809089097</v>
      </c>
      <c r="S69" s="114" t="n">
        <f aca="false">INDEX(CF_FCF,1,14)+INDEX(CF_PlugIntRow,1,14)</f>
        <v>-7457.18169592578</v>
      </c>
      <c r="T69" s="114" t="n">
        <f aca="false">INDEX(CF_FCF,1,15)+INDEX(CF_PlugIntRow,1,15)</f>
        <v>-9609.94666329739</v>
      </c>
      <c r="U69" s="114" t="n">
        <f aca="false">INDEX(CF_FCF,1,16)+INDEX(CF_PlugIntRow,1,16)</f>
        <v>-3568.1469737311</v>
      </c>
      <c r="V69" s="114" t="n">
        <f aca="false">INDEX(CF_FCF,1,17)+INDEX(CF_PlugIntRow,1,17)</f>
        <v>-3571.68820416899</v>
      </c>
      <c r="W69" s="114" t="n">
        <f aca="false">INDEX(CF_FCF,1,18)+INDEX(CF_PlugIntRow,1,18)</f>
        <v>-959.365636135562</v>
      </c>
      <c r="X69" s="114" t="n">
        <f aca="false">INDEX(CF_FCF,1,19)+INDEX(CF_PlugIntRow,1,19)</f>
        <v>-9227.16819957525</v>
      </c>
      <c r="Y69" s="114" t="n">
        <f aca="false">INDEX(CF_FCF,1,20)+INDEX(CF_PlugIntRow,1,20)</f>
        <v>-639.904197908034</v>
      </c>
      <c r="Z69" s="114" t="n">
        <f aca="false">INDEX(CF_FCF,1,21)+INDEX(CF_PlugIntRow,1,21)</f>
        <v>-7048.27354266338</v>
      </c>
      <c r="AA69" s="114" t="n">
        <f aca="false">INDEX(CF_FCF,1,22)+INDEX(CF_PlugIntRow,1,22)</f>
        <v>-1294.02399222634</v>
      </c>
      <c r="AB69" s="114" t="n">
        <f aca="false">INDEX(CF_FCF,1,23)+INDEX(CF_PlugIntRow,1,23)</f>
        <v>-10566.9260794681</v>
      </c>
      <c r="AC69" s="114" t="n">
        <f aca="false">INDEX(CF_FCF,1,24)+INDEX(CF_PlugIntRow,1,24)</f>
        <v>3490.89127011033</v>
      </c>
      <c r="AD69" s="114" t="n">
        <f aca="false">INDEX(CF_FCF,1,25)+INDEX(CF_PlugIntRow,1,25)</f>
        <v>3973.72006345336</v>
      </c>
      <c r="AE69" s="114" t="n">
        <f aca="false">INDEX(CF_FCF,1,26)+INDEX(CF_PlugIntRow,1,26)</f>
        <v>4503.81466339856</v>
      </c>
      <c r="AF69" s="114" t="n">
        <f aca="false">INDEX(CF_FCF,1,27)+INDEX(CF_PlugIntRow,1,27)</f>
        <v>4196.47375765898</v>
      </c>
      <c r="AG69" s="114" t="n">
        <f aca="false">INDEX(CF_FCF,1,28)+INDEX(CF_PlugIntRow,1,28)</f>
        <v>3514.48146002451</v>
      </c>
      <c r="AI69" s="114" t="n">
        <f aca="false">SUMIF($F$7:$AG$7,AI$7,$F69:$AG69)</f>
        <v>0</v>
      </c>
      <c r="AJ69" s="114" t="n">
        <f aca="false">SUMIF($F$7:$AG$7,AJ$7,$F69:$AG69)</f>
        <v>0</v>
      </c>
      <c r="AK69" s="114" t="n">
        <f aca="false">SUMIF($F$7:$AG$7,AK$7,$F69:$AG69)</f>
        <v>-6951.58460657389</v>
      </c>
      <c r="AL69" s="114" t="n">
        <f aca="false">SUMIF($F$7:$AG$7,AL$7,$F69:$AG69)</f>
        <v>-26896.3534238452</v>
      </c>
      <c r="AM69" s="114" t="n">
        <f aca="false">SUMIF($F$7:$AG$7,AM$7,$F69:$AG69)</f>
        <v>-14398.1262377878</v>
      </c>
      <c r="AN69" s="114" t="n">
        <f aca="false">SUMIF($F$7:$AG$7,AN$7,$F69:$AG69)</f>
        <v>-15418.3323442475</v>
      </c>
      <c r="AO69" s="114" t="n">
        <f aca="false">SUMIF($F$7:$AG$7,AO$7,$F69:$AG69)</f>
        <v>16188.4899445354</v>
      </c>
    </row>
    <row r="70" customFormat="false" ht="15" hidden="false" customHeight="false" outlineLevel="0" collapsed="false">
      <c r="A70" s="112" t="s">
        <v>2737</v>
      </c>
      <c r="B70" s="24" t="s">
        <v>745</v>
      </c>
      <c r="C70" s="24" t="s">
        <v>672</v>
      </c>
      <c r="D70" s="24"/>
      <c r="P70" s="114" t="n">
        <f aca="false">0</f>
        <v>0</v>
      </c>
      <c r="Q70" s="114" t="n">
        <f aca="false">-INDEX(CV_rep,1,12)+MIN(0,INDEX(Sec_Flow,1,12))</f>
        <v>0</v>
      </c>
      <c r="R70" s="114" t="n">
        <f aca="false">-INDEX(CV_rep,1,13)+MIN(0,INDEX(Sec_Flow,1,13))</f>
        <v>0</v>
      </c>
      <c r="S70" s="114" t="n">
        <f aca="false">-INDEX(CV_rep,1,14)+MIN(0,INDEX(Sec_Flow,1,14))</f>
        <v>0</v>
      </c>
      <c r="T70" s="114" t="n">
        <f aca="false">-INDEX(CV_rep,1,15)+MIN(0,INDEX(Sec_Flow,1,15))</f>
        <v>0</v>
      </c>
      <c r="U70" s="114" t="n">
        <f aca="false">-INDEX(CV_rep,1,16)+MIN(0,INDEX(Sec_Flow,1,16))</f>
        <v>0</v>
      </c>
      <c r="V70" s="114" t="n">
        <f aca="false">-INDEX(CV_rep,1,17)+MIN(0,INDEX(Sec_Flow,1,17))</f>
        <v>0</v>
      </c>
      <c r="W70" s="114" t="n">
        <f aca="false">-INDEX(CV_rep,1,18)+MIN(0,INDEX(Sec_Flow,1,18))</f>
        <v>0</v>
      </c>
      <c r="X70" s="114" t="n">
        <f aca="false">-INDEX(CV_rep,1,19)+MIN(0,INDEX(Sec_Flow,1,19))</f>
        <v>0</v>
      </c>
      <c r="Y70" s="114" t="n">
        <f aca="false">-INDEX(CV_rep,1,20)+MIN(0,INDEX(Sec_Flow,1,20))</f>
        <v>0</v>
      </c>
      <c r="Z70" s="114" t="n">
        <f aca="false">-INDEX(CV_rep,1,21)+MIN(0,INDEX(Sec_Flow,1,21))</f>
        <v>0</v>
      </c>
      <c r="AA70" s="114" t="n">
        <f aca="false">-INDEX(CV_rep,1,22)+MIN(0,INDEX(Sec_Flow,1,22))</f>
        <v>0</v>
      </c>
      <c r="AB70" s="114" t="n">
        <f aca="false">-INDEX(CV_rep,1,23)+MIN(0,INDEX(Sec_Flow,1,23))</f>
        <v>0</v>
      </c>
      <c r="AC70" s="114" t="n">
        <f aca="false">-INDEX(CV_rep,1,24)+MIN(0,INDEX(Sec_Flow,1,24))</f>
        <v>0</v>
      </c>
      <c r="AD70" s="114" t="n">
        <f aca="false">-INDEX(CV_rep,1,25)+MIN(0,INDEX(Sec_Flow,1,25))</f>
        <v>-3795</v>
      </c>
      <c r="AE70" s="114" t="n">
        <f aca="false">-INDEX(CV_rep,1,26)+MIN(0,INDEX(Sec_Flow,1,26))</f>
        <v>0</v>
      </c>
      <c r="AF70" s="114" t="n">
        <f aca="false">-INDEX(CV_rep,1,27)+MIN(0,INDEX(Sec_Flow,1,27))</f>
        <v>-4224</v>
      </c>
      <c r="AG70" s="114" t="n">
        <f aca="false">-INDEX(CV_rep,1,28)+MIN(0,INDEX(Sec_Flow,1,28))</f>
        <v>-0</v>
      </c>
      <c r="AI70" s="114" t="n">
        <f aca="false">SUMIF($F$7:$AG$7,AI$7,$F70:$AG70)</f>
        <v>0</v>
      </c>
      <c r="AJ70" s="114" t="n">
        <f aca="false">SUMIF($F$7:$AG$7,AJ$7,$F70:$AG70)</f>
        <v>0</v>
      </c>
      <c r="AK70" s="114" t="n">
        <f aca="false">SUMIF($F$7:$AG$7,AK$7,$F70:$AG70)</f>
        <v>0</v>
      </c>
      <c r="AL70" s="114" t="n">
        <f aca="false">SUMIF($F$7:$AG$7,AL$7,$F70:$AG70)</f>
        <v>0</v>
      </c>
      <c r="AM70" s="114" t="n">
        <f aca="false">SUMIF($F$7:$AG$7,AM$7,$F70:$AG70)</f>
        <v>0</v>
      </c>
      <c r="AN70" s="114" t="n">
        <f aca="false">SUMIF($F$7:$AG$7,AN$7,$F70:$AG70)</f>
        <v>0</v>
      </c>
      <c r="AO70" s="114" t="n">
        <f aca="false">SUMIF($F$7:$AG$7,AO$7,$F70:$AG70)</f>
        <v>-8019</v>
      </c>
    </row>
    <row r="71" customFormat="false" ht="15" hidden="false" customHeight="false" outlineLevel="0" collapsed="false">
      <c r="A71" s="112" t="s">
        <v>2738</v>
      </c>
      <c r="B71" s="24" t="s">
        <v>745</v>
      </c>
      <c r="C71" s="24" t="s">
        <v>672</v>
      </c>
      <c r="D71" s="24"/>
      <c r="P71" s="114" t="n">
        <f aca="false">INDEX(ABS_Draw,1,11)-INDEX(ABS_Rep,1,11)</f>
        <v>0</v>
      </c>
      <c r="Q71" s="114" t="n">
        <f aca="false">INDEX(ABS_Draw,1,12)-INDEX(ABS_Rep,1,12)</f>
        <v>0</v>
      </c>
      <c r="R71" s="114" t="n">
        <f aca="false">INDEX(ABS_Draw,1,13)-INDEX(ABS_Rep,1,13)</f>
        <v>0</v>
      </c>
      <c r="S71" s="114" t="n">
        <f aca="false">INDEX(ABS_Draw,1,14)-INDEX(ABS_Rep,1,14)</f>
        <v>0</v>
      </c>
      <c r="T71" s="114" t="n">
        <f aca="false">INDEX(ABS_Draw,1,15)-INDEX(ABS_Rep,1,15)</f>
        <v>0</v>
      </c>
      <c r="U71" s="114" t="n">
        <f aca="false">INDEX(ABS_Draw,1,16)-INDEX(ABS_Rep,1,16)</f>
        <v>0</v>
      </c>
      <c r="V71" s="114" t="n">
        <f aca="false">INDEX(ABS_Draw,1,17)-INDEX(ABS_Rep,1,17)</f>
        <v>0</v>
      </c>
      <c r="W71" s="114" t="n">
        <f aca="false">INDEX(ABS_Draw,1,18)-INDEX(ABS_Rep,1,18)</f>
        <v>0</v>
      </c>
      <c r="X71" s="114" t="n">
        <f aca="false">INDEX(ABS_Draw,1,19)-INDEX(ABS_Rep,1,19)</f>
        <v>0</v>
      </c>
      <c r="Y71" s="114" t="n">
        <f aca="false">INDEX(ABS_Draw,1,20)-INDEX(ABS_Rep,1,20)</f>
        <v>0</v>
      </c>
      <c r="Z71" s="114" t="n">
        <f aca="false">INDEX(ABS_Draw,1,21)-INDEX(ABS_Rep,1,21)</f>
        <v>0</v>
      </c>
      <c r="AA71" s="114" t="n">
        <f aca="false">INDEX(ABS_Draw,1,22)-INDEX(ABS_Rep,1,22)</f>
        <v>0</v>
      </c>
      <c r="AB71" s="114" t="n">
        <f aca="false">INDEX(ABS_Draw,1,23)-INDEX(ABS_Rep,1,23)</f>
        <v>0</v>
      </c>
      <c r="AC71" s="114" t="n">
        <f aca="false">INDEX(ABS_Draw,1,24)-INDEX(ABS_Rep,1,24)</f>
        <v>0</v>
      </c>
      <c r="AD71" s="114" t="n">
        <f aca="false">INDEX(ABS_Draw,1,25)-INDEX(ABS_Rep,1,25)</f>
        <v>0</v>
      </c>
      <c r="AE71" s="114" t="n">
        <f aca="false">INDEX(ABS_Draw,1,26)-INDEX(ABS_Rep,1,26)</f>
        <v>0</v>
      </c>
      <c r="AF71" s="114" t="n">
        <f aca="false">INDEX(ABS_Draw,1,27)-INDEX(ABS_Rep,1,27)</f>
        <v>0</v>
      </c>
      <c r="AG71" s="114" t="n">
        <f aca="false">INDEX(ABS_Draw,1,28)-INDEX(ABS_Rep,1,28)</f>
        <v>0</v>
      </c>
      <c r="AI71" s="114" t="n">
        <f aca="false">SUMIF($F$7:$AG$7,AI$7,$F71:$AG71)</f>
        <v>0</v>
      </c>
      <c r="AJ71" s="114" t="n">
        <f aca="false">SUMIF($F$7:$AG$7,AJ$7,$F71:$AG71)</f>
        <v>0</v>
      </c>
      <c r="AK71" s="114" t="n">
        <f aca="false">SUMIF($F$7:$AG$7,AK$7,$F71:$AG71)</f>
        <v>0</v>
      </c>
      <c r="AL71" s="114" t="n">
        <f aca="false">SUMIF($F$7:$AG$7,AL$7,$F71:$AG71)</f>
        <v>0</v>
      </c>
      <c r="AM71" s="114" t="n">
        <f aca="false">SUMIF($F$7:$AG$7,AM$7,$F71:$AG71)</f>
        <v>0</v>
      </c>
      <c r="AN71" s="114" t="n">
        <f aca="false">SUMIF($F$7:$AG$7,AN$7,$F71:$AG71)</f>
        <v>0</v>
      </c>
      <c r="AO71" s="114" t="n">
        <f aca="false">SUMIF($F$7:$AG$7,AO$7,$F71:$AG71)</f>
        <v>0</v>
      </c>
    </row>
    <row r="72" customFormat="false" ht="15" hidden="false" customHeight="false" outlineLevel="0" collapsed="false">
      <c r="A72" s="112" t="s">
        <v>2739</v>
      </c>
      <c r="B72" s="24" t="s">
        <v>745</v>
      </c>
      <c r="C72" s="24" t="s">
        <v>672</v>
      </c>
      <c r="D72" s="24"/>
      <c r="P72" s="114" t="n">
        <f aca="false">FP_On*FP_Resize*(P$5&lt;=FP_TopEnd)*MAX(0,FP_MinBuf-(O74+P65+P66+P67+P68+P69+P70+P71))</f>
        <v>0</v>
      </c>
      <c r="Q72" s="114" t="n">
        <f aca="false">FP_On*FP_Resize*(Q$5&lt;=FP_TopEnd)*MAX(0,FP_MinBuf-(P74+Q65+Q66+Q67+Q68+Q69+Q70+Q71))</f>
        <v>0</v>
      </c>
      <c r="R72" s="114" t="n">
        <f aca="false">FP_On*FP_Resize*(R$5&lt;=FP_TopEnd)*MAX(0,FP_MinBuf-(Q74+R65+R66+R67+R68+R69+R70+R71))</f>
        <v>0</v>
      </c>
      <c r="S72" s="114" t="n">
        <f aca="false">FP_On*FP_Resize*(S$5&lt;=FP_TopEnd)*MAX(0,FP_MinBuf-(R74+S65+S66+S67+S68+S69+S70+S71))</f>
        <v>0</v>
      </c>
      <c r="T72" s="114" t="n">
        <f aca="false">FP_On*FP_Resize*(T$5&lt;=FP_TopEnd)*MAX(0,FP_MinBuf-(S74+T65+T66+T67+T68+T69+T70+T71))</f>
        <v>1864.11533897455</v>
      </c>
      <c r="U72" s="114" t="n">
        <f aca="false">FP_On*FP_Resize*(U$5&lt;=FP_TopEnd)*MAX(0,FP_MinBuf-(T74+U65+U66+U67+U68+U69+U70+U71))</f>
        <v>3568.1469737311</v>
      </c>
      <c r="V72" s="114" t="n">
        <f aca="false">FP_On*FP_Resize*(V$5&lt;=FP_TopEnd)*MAX(0,FP_MinBuf-(U74+V65+V66+V67+V68+V69+V70+V71))</f>
        <v>3571.68820416899</v>
      </c>
      <c r="W72" s="114" t="n">
        <f aca="false">FP_On*FP_Resize*(W$5&lt;=FP_TopEnd)*MAX(0,FP_MinBuf-(V74+W65+W66+W67+W68+W69+W70+W71))</f>
        <v>959.365636135562</v>
      </c>
      <c r="X72" s="114" t="n">
        <f aca="false">FP_On*FP_Resize*(X$5&lt;=FP_TopEnd)*MAX(0,FP_MinBuf-(W74+X65+X66+X67+X68+X69+X70+X71))</f>
        <v>9227.16819957525</v>
      </c>
      <c r="Y72" s="114" t="n">
        <f aca="false">FP_On*FP_Resize*(Y$5&lt;=FP_TopEnd)*MAX(0,FP_MinBuf-(X74+Y65+Y66+Y67+Y68+Y69+Y70+Y71))</f>
        <v>639.904197908034</v>
      </c>
      <c r="Z72" s="114" t="n">
        <f aca="false">FP_On*FP_Resize*(Z$5&lt;=FP_TopEnd)*MAX(0,FP_MinBuf-(Y74+Z65+Z66+Z67+Z68+Z69+Z70+Z71))</f>
        <v>7048.27354266338</v>
      </c>
      <c r="AA72" s="114" t="n">
        <f aca="false">FP_On*FP_Resize*(AA$5&lt;=FP_TopEnd)*MAX(0,FP_MinBuf-(Z74+AA65+AA66+AA67+AA68+AA69+AA70+AA71))</f>
        <v>1294.02399222634</v>
      </c>
      <c r="AB72" s="114" t="n">
        <f aca="false">FP_On*FP_Resize*(AB$5&lt;=FP_TopEnd)*MAX(0,FP_MinBuf-(AA74+AB65+AB66+AB67+AB68+AB69+AB70+AB71))</f>
        <v>10566.9260794681</v>
      </c>
      <c r="AC72" s="114" t="n">
        <f aca="false">FP_On*FP_Resize*(AC$5&lt;=FP_TopEnd)*MAX(0,FP_MinBuf-(AB74+AC65+AC66+AC67+AC68+AC69+AC70+AC71))</f>
        <v>0</v>
      </c>
      <c r="AD72" s="114" t="n">
        <f aca="false">FP_On*FP_Resize*(AD$5&lt;=FP_TopEnd)*MAX(0,FP_MinBuf-(AC74+AD65+AD66+AD67+AD68+AD69+AD70+AD71))</f>
        <v>0</v>
      </c>
      <c r="AE72" s="114" t="n">
        <f aca="false">FP_On*FP_Resize*(AE$5&lt;=FP_TopEnd)*MAX(0,FP_MinBuf-(AD74+AE65+AE66+AE67+AE68+AE69+AE70+AE71))</f>
        <v>0</v>
      </c>
      <c r="AF72" s="114" t="n">
        <f aca="false">FP_On*FP_Resize*(AF$5&lt;=FP_TopEnd)*MAX(0,FP_MinBuf-(AE74+AF65+AF66+AF67+AF68+AF69+AF70+AF71))</f>
        <v>0</v>
      </c>
      <c r="AG72" s="114" t="n">
        <f aca="false">FP_On*FP_Resize*(AG$5&lt;=FP_TopEnd)*MAX(0,FP_MinBuf-(AF74+AG65+AG66+AG67+AG68+AG69+AG70+AG71))</f>
        <v>0</v>
      </c>
      <c r="AI72" s="114" t="n">
        <f aca="false">SUMIF($F$7:$AG$7,AI$7,$F72:$AG72)</f>
        <v>0</v>
      </c>
      <c r="AJ72" s="114" t="n">
        <f aca="false">SUMIF($F$7:$AG$7,AJ$7,$F72:$AG72)</f>
        <v>0</v>
      </c>
      <c r="AK72" s="114" t="n">
        <f aca="false">SUMIF($F$7:$AG$7,AK$7,$F72:$AG72)</f>
        <v>0</v>
      </c>
      <c r="AL72" s="114" t="n">
        <f aca="false">SUMIF($F$7:$AG$7,AL$7,$F72:$AG72)</f>
        <v>5432.26231270565</v>
      </c>
      <c r="AM72" s="114" t="n">
        <f aca="false">SUMIF($F$7:$AG$7,AM$7,$F72:$AG72)</f>
        <v>14398.1262377878</v>
      </c>
      <c r="AN72" s="114" t="n">
        <f aca="false">SUMIF($F$7:$AG$7,AN$7,$F72:$AG72)</f>
        <v>18909.2236143579</v>
      </c>
      <c r="AO72" s="114" t="n">
        <f aca="false">SUMIF($F$7:$AG$7,AO$7,$F72:$AG72)</f>
        <v>0</v>
      </c>
    </row>
    <row r="73" customFormat="false" ht="15" hidden="false" customHeight="false" outlineLevel="0" collapsed="false">
      <c r="A73" s="112" t="s">
        <v>2740</v>
      </c>
      <c r="B73" s="24" t="s">
        <v>745</v>
      </c>
      <c r="C73" s="24" t="s">
        <v>672</v>
      </c>
      <c r="D73" s="24"/>
      <c r="F73" s="146" t="n">
        <f aca="false">0</f>
        <v>0</v>
      </c>
      <c r="G73" s="146" t="n">
        <f aca="false">0</f>
        <v>0</v>
      </c>
      <c r="H73" s="146" t="n">
        <f aca="false">0</f>
        <v>0</v>
      </c>
      <c r="I73" s="146" t="n">
        <f aca="false">0</f>
        <v>0</v>
      </c>
      <c r="J73" s="146" t="n">
        <f aca="false">0</f>
        <v>0</v>
      </c>
      <c r="K73" s="146" t="n">
        <f aca="false">0</f>
        <v>0</v>
      </c>
      <c r="L73" s="146" t="n">
        <f aca="false">0</f>
        <v>0</v>
      </c>
      <c r="M73" s="146" t="n">
        <f aca="false">0</f>
        <v>0</v>
      </c>
      <c r="N73" s="146" t="n">
        <f aca="false">0</f>
        <v>0</v>
      </c>
      <c r="O73" s="146" t="n">
        <f aca="false">0</f>
        <v>0</v>
      </c>
      <c r="P73" s="54" t="n">
        <f aca="false">P72/(SharePx*(1-FP_EqDisc))</f>
        <v>0</v>
      </c>
      <c r="Q73" s="54" t="n">
        <f aca="false">Q72/(SharePx*(1-FP_EqDisc))</f>
        <v>0</v>
      </c>
      <c r="R73" s="54" t="n">
        <f aca="false">R72/(SharePx*(1-FP_EqDisc))</f>
        <v>0</v>
      </c>
      <c r="S73" s="54" t="n">
        <f aca="false">S72/(SharePx*(1-FP_EqDisc))</f>
        <v>0</v>
      </c>
      <c r="T73" s="54" t="n">
        <f aca="false">T72/(SharePx*(1-FP_EqDisc))</f>
        <v>7.91470034469508</v>
      </c>
      <c r="U73" s="54" t="n">
        <f aca="false">U72/(SharePx*(1-FP_EqDisc))</f>
        <v>15.1497139111829</v>
      </c>
      <c r="V73" s="54" t="n">
        <f aca="false">V72/(SharePx*(1-FP_EqDisc))</f>
        <v>15.1647493422968</v>
      </c>
      <c r="W73" s="54" t="n">
        <f aca="false">W72/(SharePx*(1-FP_EqDisc))</f>
        <v>4.07329491488853</v>
      </c>
      <c r="X73" s="54" t="n">
        <f aca="false">X72/(SharePx*(1-FP_EqDisc))</f>
        <v>39.1769059579284</v>
      </c>
      <c r="Y73" s="54" t="n">
        <f aca="false">Y72/(SharePx*(1-FP_EqDisc))</f>
        <v>2.71691878172121</v>
      </c>
      <c r="Z73" s="54" t="n">
        <f aca="false">Z72/(SharePx*(1-FP_EqDisc))</f>
        <v>29.9257089254522</v>
      </c>
      <c r="AA73" s="54" t="n">
        <f aca="false">AA72/(SharePx*(1-FP_EqDisc))</f>
        <v>5.49419444343587</v>
      </c>
      <c r="AB73" s="54" t="n">
        <f aca="false">AB72/(SharePx*(1-FP_EqDisc))</f>
        <v>44.8652783091957</v>
      </c>
      <c r="AC73" s="54" t="n">
        <f aca="false">AC72/(SharePx*(1-FP_EqDisc))</f>
        <v>0</v>
      </c>
      <c r="AD73" s="54" t="n">
        <f aca="false">AD72/(SharePx*(1-FP_EqDisc))</f>
        <v>0</v>
      </c>
      <c r="AE73" s="54" t="n">
        <f aca="false">AE72/(SharePx*(1-FP_EqDisc))</f>
        <v>0</v>
      </c>
      <c r="AF73" s="54" t="n">
        <f aca="false">AF72/(SharePx*(1-FP_EqDisc))</f>
        <v>0</v>
      </c>
      <c r="AG73" s="54" t="n">
        <f aca="false">AG72/(SharePx*(1-FP_EqDisc))</f>
        <v>0</v>
      </c>
      <c r="AI73" s="54" t="n">
        <f aca="false">SUMIF($F$7:$AG$7,AI$7,$F73:$AG73)</f>
        <v>0</v>
      </c>
      <c r="AJ73" s="54" t="n">
        <f aca="false">SUMIF($F$7:$AG$7,AJ$7,$F73:$AG73)</f>
        <v>0</v>
      </c>
      <c r="AK73" s="54" t="n">
        <f aca="false">SUMIF($F$7:$AG$7,AK$7,$F73:$AG73)</f>
        <v>0</v>
      </c>
      <c r="AL73" s="54" t="n">
        <f aca="false">SUMIF($F$7:$AG$7,AL$7,$F73:$AG73)</f>
        <v>23.064414255878</v>
      </c>
      <c r="AM73" s="54" t="n">
        <f aca="false">SUMIF($F$7:$AG$7,AM$7,$F73:$AG73)</f>
        <v>61.1318689968349</v>
      </c>
      <c r="AN73" s="54" t="n">
        <f aca="false">SUMIF($F$7:$AG$7,AN$7,$F73:$AG73)</f>
        <v>80.2851816780838</v>
      </c>
      <c r="AO73" s="54" t="n">
        <f aca="false">SUMIF($F$7:$AG$7,AO$7,$F73:$AG73)</f>
        <v>0</v>
      </c>
    </row>
    <row r="74" customFormat="false" ht="15" hidden="false" customHeight="false" outlineLevel="0" collapsed="false">
      <c r="A74" s="3" t="s">
        <v>2741</v>
      </c>
      <c r="B74" s="24" t="s">
        <v>745</v>
      </c>
      <c r="C74" s="24" t="s">
        <v>672</v>
      </c>
      <c r="D74" s="24"/>
      <c r="O74" s="119" t="n">
        <f aca="false">CS_Cash</f>
        <v>8042.1</v>
      </c>
      <c r="P74" s="120" t="n">
        <f aca="false">O74+P65+P66+P67+P68+P69+P70+P71+P72</f>
        <v>11604.2630996318</v>
      </c>
      <c r="Q74" s="120" t="n">
        <f aca="false">P74+Q65+Q66+Q67+Q68+Q69+Q70+Q71+Q72</f>
        <v>9819.91719809611</v>
      </c>
      <c r="R74" s="120" t="n">
        <f aca="false">Q74+R65+R66+R67+R68+R69+R70+R71+R72</f>
        <v>9880.92606372689</v>
      </c>
      <c r="S74" s="120" t="n">
        <f aca="false">R74+S65+S66+S67+S68+S69+S70+S71+S72</f>
        <v>2423.7443678011</v>
      </c>
      <c r="T74" s="120" t="n">
        <f aca="false">S74+T65+T66+T67+T68+T69+T70+T71+T72</f>
        <v>1000</v>
      </c>
      <c r="U74" s="120" t="n">
        <f aca="false">T74+U65+U66+U67+U68+U69+U70+U71+U72</f>
        <v>1000</v>
      </c>
      <c r="V74" s="120" t="n">
        <f aca="false">U74+V65+V66+V67+V68+V69+V70+V71+V72</f>
        <v>1000</v>
      </c>
      <c r="W74" s="120" t="n">
        <f aca="false">V74+W65+W66+W67+W68+W69+W70+W71+W72</f>
        <v>1000</v>
      </c>
      <c r="X74" s="120" t="n">
        <f aca="false">W74+X65+X66+X67+X68+X69+X70+X71+X72</f>
        <v>1000</v>
      </c>
      <c r="Y74" s="120" t="n">
        <f aca="false">X74+Y65+Y66+Y67+Y68+Y69+Y70+Y71+Y72</f>
        <v>1000</v>
      </c>
      <c r="Z74" s="120" t="n">
        <f aca="false">Y74+Z65+Z66+Z67+Z68+Z69+Z70+Z71+Z72</f>
        <v>1000</v>
      </c>
      <c r="AA74" s="120" t="n">
        <f aca="false">Z74+AA65+AA66+AA67+AA68+AA69+AA70+AA71+AA72</f>
        <v>1000</v>
      </c>
      <c r="AB74" s="120" t="n">
        <f aca="false">AA74+AB65+AB66+AB67+AB68+AB69+AB70+AB71+AB72</f>
        <v>1000</v>
      </c>
      <c r="AC74" s="120" t="n">
        <f aca="false">AB74+AC65+AC66+AC67+AC68+AC69+AC70+AC71+AC72</f>
        <v>4490.89127011033</v>
      </c>
      <c r="AD74" s="120" t="n">
        <f aca="false">AC74+AD65+AD66+AD67+AD68+AD69+AD70+AD71+AD72</f>
        <v>4669.6113335637</v>
      </c>
      <c r="AE74" s="120" t="n">
        <f aca="false">AD74+AE65+AE66+AE67+AE68+AE69+AE70+AE71+AE72</f>
        <v>9173.42599696226</v>
      </c>
      <c r="AF74" s="120" t="n">
        <f aca="false">AE74+AF65+AF66+AF67+AF68+AF69+AF70+AF71+AF72</f>
        <v>9145.89975462123</v>
      </c>
      <c r="AG74" s="120" t="n">
        <f aca="false">AF74+AG65+AG66+AG67+AG68+AG69+AG70+AG71+AG72</f>
        <v>12660.3812146457</v>
      </c>
      <c r="AI74" s="120" t="n">
        <f aca="false">INDEX($F74:$AG74,1,MATCH(AI$7,$F$7:$AG$7,1))</f>
        <v>0</v>
      </c>
      <c r="AJ74" s="120" t="n">
        <f aca="false">INDEX($F74:$AG74,1,MATCH(AJ$7,$F$7:$AG$7,1))</f>
        <v>0</v>
      </c>
      <c r="AK74" s="120" t="n">
        <f aca="false">INDEX($F74:$AG74,1,MATCH(AK$7,$F$7:$AG$7,1))</f>
        <v>9819.91719809611</v>
      </c>
      <c r="AL74" s="120" t="n">
        <f aca="false">INDEX($F74:$AG74,1,MATCH(AL$7,$F$7:$AG$7,1))</f>
        <v>1000</v>
      </c>
      <c r="AM74" s="120" t="n">
        <f aca="false">INDEX($F74:$AG74,1,MATCH(AM$7,$F$7:$AG$7,1))</f>
        <v>1000</v>
      </c>
      <c r="AN74" s="120" t="n">
        <f aca="false">INDEX($F74:$AG74,1,MATCH(AN$7,$F$7:$AG$7,1))</f>
        <v>4490.89127011033</v>
      </c>
      <c r="AO74" s="120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2742</v>
      </c>
      <c r="E75" s="5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4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2743</v>
      </c>
      <c r="E77" s="35" t="n">
        <f aca="false">SUMPRODUCT((Q_Yr=2026)*(Q_Idx&gt;LastHist)*CF_Prepay)</f>
        <v>2400</v>
      </c>
      <c r="F77" s="35" t="n">
        <f aca="false">Prepay26-(DR_Open-DR_YE25)</f>
        <v>4602.3</v>
      </c>
    </row>
    <row r="79" customFormat="false" ht="15" hidden="false" customHeight="false" outlineLevel="0" collapsed="false">
      <c r="A79" s="3" t="s">
        <v>2744</v>
      </c>
      <c r="E79" s="3" t="s">
        <v>2745</v>
      </c>
      <c r="F79" s="3" t="s">
        <v>2746</v>
      </c>
      <c r="G79" s="3" t="s">
        <v>2747</v>
      </c>
      <c r="H79" s="3" t="s">
        <v>2748</v>
      </c>
    </row>
    <row r="80" customFormat="false" ht="15" hidden="false" customHeight="false" outlineLevel="0" collapsed="false">
      <c r="A80" s="0" t="s">
        <v>480</v>
      </c>
      <c r="E80" s="32" t="n">
        <f aca="false">Liq_Start/1000</f>
        <v>13.7921</v>
      </c>
      <c r="F80" s="32" t="n">
        <f aca="false">INDEX(Liq,1,13)/1000</f>
        <v>9.88092606372689</v>
      </c>
      <c r="G80" s="32" t="n">
        <f aca="false">INDEX(Liq,1,14)/1000</f>
        <v>2.4237443678011</v>
      </c>
      <c r="H80" s="32" t="n">
        <f aca="false">INDEX(Liq,1,16)/1000</f>
        <v>1</v>
      </c>
    </row>
    <row r="81" customFormat="false" ht="15" hidden="false" customHeight="false" outlineLevel="0" collapsed="false">
      <c r="A81" s="0" t="s">
        <v>2749</v>
      </c>
      <c r="E81" s="32" t="n">
        <f aca="false">Sk_Start</f>
        <v>14.6</v>
      </c>
      <c r="F81" s="32" t="n">
        <f aca="false">Sk_Q127</f>
        <v>1.1</v>
      </c>
      <c r="G81" s="32" t="n">
        <f aca="false">Sk_Q227</f>
        <v>-2.7</v>
      </c>
      <c r="H81" s="32" t="n">
        <f aca="false">Sk_YE27</f>
        <v>-9.9</v>
      </c>
    </row>
    <row r="82" customFormat="false" ht="15" hidden="false" customHeight="false" outlineLevel="0" collapsed="false">
      <c r="A82" s="0" t="s">
        <v>2750</v>
      </c>
      <c r="E82" s="150" t="n">
        <f aca="false">E80-E81</f>
        <v>-0.8079</v>
      </c>
      <c r="F82" s="150" t="n">
        <f aca="false">F80-F81</f>
        <v>8.78092606372689</v>
      </c>
      <c r="G82" s="150" t="n">
        <f aca="false">G80-G81</f>
        <v>5.1237443678011</v>
      </c>
      <c r="H82" s="150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2669</v>
      </c>
    </row>
    <row r="2" customFormat="false" ht="15" hidden="false" customHeight="false" outlineLevel="0" collapsed="false">
      <c r="A2" s="24" t="s">
        <v>2751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9" customFormat="false" ht="15" hidden="false" customHeight="false" outlineLevel="0" collapsed="false">
      <c r="A9" s="112" t="s">
        <v>2752</v>
      </c>
      <c r="B9" s="24" t="s">
        <v>809</v>
      </c>
      <c r="C9" s="24" t="s">
        <v>736</v>
      </c>
      <c r="D9" s="24" t="s">
        <v>2753</v>
      </c>
      <c r="F9" s="146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46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46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46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46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46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46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46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46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46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54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54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54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54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54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54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54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54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54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54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54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54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54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54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54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54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54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54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54" t="n">
        <f aca="false">INDEX($F9:$AG9,1,MATCH(AI$7,$F$7:$AG$7,1))</f>
        <v>235.7536</v>
      </c>
      <c r="AJ9" s="54" t="n">
        <f aca="false">INDEX($F9:$AG9,1,MATCH(AJ$7,$F$7:$AG$7,1))</f>
        <v>253.016971</v>
      </c>
      <c r="AK9" s="54" t="n">
        <f aca="false">INDEX($F9:$AG9,1,MATCH(AK$7,$F$7:$AG$7,1))</f>
        <v>287.625218</v>
      </c>
      <c r="AL9" s="54" t="n">
        <f aca="false">INDEX($F9:$AG9,1,MATCH(AL$7,$F$7:$AG$7,1))</f>
        <v>287.625218</v>
      </c>
      <c r="AM9" s="54" t="n">
        <f aca="false">INDEX($F9:$AG9,1,MATCH(AM$7,$F$7:$AG$7,1))</f>
        <v>287.625218</v>
      </c>
      <c r="AN9" s="54" t="n">
        <f aca="false">INDEX($F9:$AG9,1,MATCH(AN$7,$F$7:$AG$7,1))</f>
        <v>287.625218</v>
      </c>
      <c r="AO9" s="54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2754</v>
      </c>
      <c r="B10" s="24" t="s">
        <v>809</v>
      </c>
      <c r="C10" s="24" t="s">
        <v>672</v>
      </c>
      <c r="D10" s="24" t="s">
        <v>2755</v>
      </c>
      <c r="F10" s="147" t="n">
        <f aca="false">F9+IF(F$5&lt;=LastHist,0,INDEX(Sh_PlanCum,1,F$5))</f>
        <v>199.34</v>
      </c>
      <c r="G10" s="147" t="n">
        <f aca="false">G9+IF(G$5&lt;=LastHist,0,INDEX(Sh_PlanCum,1,G$5))</f>
        <v>199.34</v>
      </c>
      <c r="H10" s="147" t="n">
        <f aca="false">H9+IF(H$5&lt;=LastHist,0,INDEX(Sh_PlanCum,1,H$5))</f>
        <v>199.340118</v>
      </c>
      <c r="I10" s="147" t="n">
        <f aca="false">I9+IF(I$5&lt;=LastHist,0,INDEX(Sh_PlanCum,1,I$5))</f>
        <v>235.7536</v>
      </c>
      <c r="J10" s="147" t="n">
        <f aca="false">J9+IF(J$5&lt;=LastHist,0,INDEX(Sh_PlanCum,1,J$5))</f>
        <v>238.108831</v>
      </c>
      <c r="K10" s="147" t="n">
        <f aca="false">K9+IF(K$5&lt;=LastHist,0,INDEX(Sh_PlanCum,1,K$5))</f>
        <v>238.705092</v>
      </c>
      <c r="L10" s="147" t="n">
        <f aca="false">L9+IF(L$5&lt;=LastHist,0,INDEX(Sh_PlanCum,1,L$5))</f>
        <v>251.807222</v>
      </c>
      <c r="M10" s="147" t="n">
        <f aca="false">M9+IF(M$5&lt;=LastHist,0,INDEX(Sh_PlanCum,1,M$5))</f>
        <v>253.016971</v>
      </c>
      <c r="N10" s="147" t="n">
        <f aca="false">N9+IF(N$5&lt;=LastHist,0,INDEX(Sh_PlanCum,1,N$5))</f>
        <v>253.898194</v>
      </c>
      <c r="O10" s="147" t="n">
        <f aca="false">O9+IF(O$5&lt;=LastHist,0,INDEX(Sh_PlanCum,1,O$5))</f>
        <v>271.855218</v>
      </c>
      <c r="P10" s="70" t="n">
        <f aca="false">P9+IF(P$5&lt;=LastHist,0,INDEX(Sh_PlanCum,1,P$5))</f>
        <v>287.625218</v>
      </c>
      <c r="Q10" s="70" t="n">
        <f aca="false">Q9+IF(Q$5&lt;=LastHist,0,INDEX(Sh_PlanCum,1,Q$5))</f>
        <v>1038.01617688011</v>
      </c>
      <c r="R10" s="70" t="n">
        <f aca="false">R9+IF(R$5&lt;=LastHist,0,INDEX(Sh_PlanCum,1,R$5))</f>
        <v>1038.01617688011</v>
      </c>
      <c r="S10" s="70" t="n">
        <f aca="false">S9+IF(S$5&lt;=LastHist,0,INDEX(Sh_PlanCum,1,S$5))</f>
        <v>1038.01617688011</v>
      </c>
      <c r="T10" s="70" t="n">
        <f aca="false">T9+IF(T$5&lt;=LastHist,0,INDEX(Sh_PlanCum,1,T$5))</f>
        <v>1507.51152808911</v>
      </c>
      <c r="U10" s="70" t="n">
        <f aca="false">U9+IF(U$5&lt;=LastHist,0,INDEX(Sh_PlanCum,1,U$5))</f>
        <v>2406.18361214519</v>
      </c>
      <c r="V10" s="70" t="n">
        <f aca="false">V9+IF(V$5&lt;=LastHist,0,INDEX(Sh_PlanCum,1,V$5))</f>
        <v>3305.74758909728</v>
      </c>
      <c r="W10" s="70" t="n">
        <f aca="false">W9+IF(W$5&lt;=LastHist,0,INDEX(Sh_PlanCum,1,W$5))</f>
        <v>3547.37303836968</v>
      </c>
      <c r="X10" s="70" t="n">
        <f aca="false">X9+IF(X$5&lt;=LastHist,0,INDEX(Sh_PlanCum,1,X$5))</f>
        <v>5871.32396777253</v>
      </c>
      <c r="Y10" s="70" t="n">
        <f aca="false">Y9+IF(Y$5&lt;=LastHist,0,INDEX(Sh_PlanCum,1,Y$5))</f>
        <v>6032.48998569833</v>
      </c>
      <c r="Z10" s="70" t="n">
        <f aca="false">Z9+IF(Z$5&lt;=LastHist,0,INDEX(Sh_PlanCum,1,Z$5))</f>
        <v>7807.66536950808</v>
      </c>
      <c r="AA10" s="70" t="n">
        <f aca="false">AA9+IF(AA$5&lt;=LastHist,0,INDEX(Sh_PlanCum,1,AA$5))</f>
        <v>8159.47205538627</v>
      </c>
      <c r="AB10" s="70" t="n">
        <f aca="false">AB9+IF(AB$5&lt;=LastHist,0,INDEX(Sh_PlanCum,1,AB$5))</f>
        <v>10820.8538739643</v>
      </c>
      <c r="AC10" s="70" t="n">
        <f aca="false">AC9+IF(AC$5&lt;=LastHist,0,INDEX(Sh_PlanCum,1,AC$5))</f>
        <v>10820.8538739643</v>
      </c>
      <c r="AD10" s="70" t="n">
        <f aca="false">AD9+IF(AD$5&lt;=LastHist,0,INDEX(Sh_PlanCum,1,AD$5))</f>
        <v>10820.8538739643</v>
      </c>
      <c r="AE10" s="70" t="n">
        <f aca="false">AE9+IF(AE$5&lt;=LastHist,0,INDEX(Sh_PlanCum,1,AE$5))</f>
        <v>10820.8538739643</v>
      </c>
      <c r="AF10" s="70" t="n">
        <f aca="false">AF9+IF(AF$5&lt;=LastHist,0,INDEX(Sh_PlanCum,1,AF$5))</f>
        <v>11278.8448227346</v>
      </c>
      <c r="AG10" s="70" t="n">
        <f aca="false">AG9+IF(AG$5&lt;=LastHist,0,INDEX(Sh_PlanCum,1,AG$5))</f>
        <v>11278.8448227346</v>
      </c>
      <c r="AI10" s="70" t="n">
        <f aca="false">INDEX($F10:$AG10,1,MATCH(AI$7,$F$7:$AG$7,1))</f>
        <v>235.7536</v>
      </c>
      <c r="AJ10" s="70" t="n">
        <f aca="false">INDEX($F10:$AG10,1,MATCH(AJ$7,$F$7:$AG$7,1))</f>
        <v>253.016971</v>
      </c>
      <c r="AK10" s="70" t="n">
        <f aca="false">INDEX($F10:$AG10,1,MATCH(AK$7,$F$7:$AG$7,1))</f>
        <v>1038.01617688011</v>
      </c>
      <c r="AL10" s="70" t="n">
        <f aca="false">INDEX($F10:$AG10,1,MATCH(AL$7,$F$7:$AG$7,1))</f>
        <v>2406.18361214519</v>
      </c>
      <c r="AM10" s="70" t="n">
        <f aca="false">INDEX($F10:$AG10,1,MATCH(AM$7,$F$7:$AG$7,1))</f>
        <v>6032.48998569833</v>
      </c>
      <c r="AN10" s="70" t="n">
        <f aca="false">INDEX($F10:$AG10,1,MATCH(AN$7,$F$7:$AG$7,1))</f>
        <v>10820.8538739643</v>
      </c>
      <c r="AO10" s="70" t="n">
        <f aca="false">INDEX($F10:$AG10,1,MATCH(AO$7,$F$7:$AG$7,1))</f>
        <v>11278.8448227346</v>
      </c>
    </row>
    <row r="11" customFormat="false" ht="15" hidden="false" customHeight="false" outlineLevel="0" collapsed="false">
      <c r="A11" s="112" t="s">
        <v>1284</v>
      </c>
      <c r="B11" s="24" t="s">
        <v>809</v>
      </c>
      <c r="C11" s="24" t="s">
        <v>736</v>
      </c>
      <c r="D11" s="24"/>
      <c r="F11" s="146" t="n">
        <f aca="false">IF(F$5&gt;=NVDA_Idx,NVDA_W,0)</f>
        <v>0</v>
      </c>
      <c r="G11" s="146" t="n">
        <f aca="false">IF(G$5&gt;=NVDA_Idx,NVDA_W,0)</f>
        <v>0</v>
      </c>
      <c r="H11" s="146" t="n">
        <f aca="false">IF(H$5&gt;=NVDA_Idx,NVDA_W,0)</f>
        <v>0</v>
      </c>
      <c r="I11" s="146" t="n">
        <f aca="false">IF(I$5&gt;=NVDA_Idx,NVDA_W,0)</f>
        <v>0</v>
      </c>
      <c r="J11" s="146" t="n">
        <f aca="false">IF(J$5&gt;=NVDA_Idx,NVDA_W,0)</f>
        <v>0</v>
      </c>
      <c r="K11" s="146" t="n">
        <f aca="false">IF(K$5&gt;=NVDA_Idx,NVDA_W,0)</f>
        <v>0</v>
      </c>
      <c r="L11" s="146" t="n">
        <f aca="false">IF(L$5&gt;=NVDA_Idx,NVDA_W,0)</f>
        <v>0</v>
      </c>
      <c r="M11" s="146" t="n">
        <f aca="false">IF(M$5&gt;=NVDA_Idx,NVDA_W,0)</f>
        <v>0</v>
      </c>
      <c r="N11" s="146" t="n">
        <f aca="false">IF(N$5&gt;=NVDA_Idx,NVDA_W,0)</f>
        <v>21.065936</v>
      </c>
      <c r="O11" s="146" t="n">
        <f aca="false">IF(O$5&gt;=NVDA_Idx,NVDA_W,0)</f>
        <v>21.065936</v>
      </c>
      <c r="P11" s="54" t="n">
        <f aca="false">IF(P$5&gt;=NVDA_Idx,NVDA_W,0)</f>
        <v>21.065936</v>
      </c>
      <c r="Q11" s="54" t="n">
        <f aca="false">IF(Q$5&gt;=NVDA_Idx,NVDA_W,0)</f>
        <v>21.065936</v>
      </c>
      <c r="R11" s="54" t="n">
        <f aca="false">IF(R$5&gt;=NVDA_Idx,NVDA_W,0)</f>
        <v>21.065936</v>
      </c>
      <c r="S11" s="54" t="n">
        <f aca="false">IF(S$5&gt;=NVDA_Idx,NVDA_W,0)</f>
        <v>21.065936</v>
      </c>
      <c r="T11" s="54" t="n">
        <f aca="false">IF(T$5&gt;=NVDA_Idx,NVDA_W,0)</f>
        <v>21.065936</v>
      </c>
      <c r="U11" s="54" t="n">
        <f aca="false">IF(U$5&gt;=NVDA_Idx,NVDA_W,0)</f>
        <v>21.065936</v>
      </c>
      <c r="V11" s="54" t="n">
        <f aca="false">IF(V$5&gt;=NVDA_Idx,NVDA_W,0)</f>
        <v>21.065936</v>
      </c>
      <c r="W11" s="54" t="n">
        <f aca="false">IF(W$5&gt;=NVDA_Idx,NVDA_W,0)</f>
        <v>21.065936</v>
      </c>
      <c r="X11" s="54" t="n">
        <f aca="false">IF(X$5&gt;=NVDA_Idx,NVDA_W,0)</f>
        <v>21.065936</v>
      </c>
      <c r="Y11" s="54" t="n">
        <f aca="false">IF(Y$5&gt;=NVDA_Idx,NVDA_W,0)</f>
        <v>21.065936</v>
      </c>
      <c r="Z11" s="54" t="n">
        <f aca="false">IF(Z$5&gt;=NVDA_Idx,NVDA_W,0)</f>
        <v>21.065936</v>
      </c>
      <c r="AA11" s="54" t="n">
        <f aca="false">IF(AA$5&gt;=NVDA_Idx,NVDA_W,0)</f>
        <v>21.065936</v>
      </c>
      <c r="AB11" s="54" t="n">
        <f aca="false">IF(AB$5&gt;=NVDA_Idx,NVDA_W,0)</f>
        <v>21.065936</v>
      </c>
      <c r="AC11" s="54" t="n">
        <f aca="false">IF(AC$5&gt;=NVDA_Idx,NVDA_W,0)</f>
        <v>21.065936</v>
      </c>
      <c r="AD11" s="54" t="n">
        <f aca="false">IF(AD$5&gt;=NVDA_Idx,NVDA_W,0)</f>
        <v>21.065936</v>
      </c>
      <c r="AE11" s="54" t="n">
        <f aca="false">IF(AE$5&gt;=NVDA_Idx,NVDA_W,0)</f>
        <v>21.065936</v>
      </c>
      <c r="AF11" s="54" t="n">
        <f aca="false">IF(AF$5&gt;=NVDA_Idx,NVDA_W,0)</f>
        <v>21.065936</v>
      </c>
      <c r="AG11" s="54" t="n">
        <f aca="false">IF(AG$5&gt;=NVDA_Idx,NVDA_W,0)</f>
        <v>21.065936</v>
      </c>
      <c r="AI11" s="54" t="n">
        <f aca="false">INDEX($F11:$AG11,1,MATCH(AI$7,$F$7:$AG$7,1))</f>
        <v>0</v>
      </c>
      <c r="AJ11" s="54" t="n">
        <f aca="false">INDEX($F11:$AG11,1,MATCH(AJ$7,$F$7:$AG$7,1))</f>
        <v>0</v>
      </c>
      <c r="AK11" s="54" t="n">
        <f aca="false">INDEX($F11:$AG11,1,MATCH(AK$7,$F$7:$AG$7,1))</f>
        <v>21.065936</v>
      </c>
      <c r="AL11" s="54" t="n">
        <f aca="false">INDEX($F11:$AG11,1,MATCH(AL$7,$F$7:$AG$7,1))</f>
        <v>21.065936</v>
      </c>
      <c r="AM11" s="54" t="n">
        <f aca="false">INDEX($F11:$AG11,1,MATCH(AM$7,$F$7:$AG$7,1))</f>
        <v>21.065936</v>
      </c>
      <c r="AN11" s="54" t="n">
        <f aca="false">INDEX($F11:$AG11,1,MATCH(AN$7,$F$7:$AG$7,1))</f>
        <v>21.065936</v>
      </c>
      <c r="AO11" s="54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2756</v>
      </c>
      <c r="B12" s="24" t="s">
        <v>809</v>
      </c>
      <c r="C12" s="24" t="s">
        <v>672</v>
      </c>
      <c r="D12" s="24"/>
      <c r="F12" s="147" t="n">
        <f aca="false">F10+F11</f>
        <v>199.34</v>
      </c>
      <c r="G12" s="147" t="n">
        <f aca="false">G10+G11</f>
        <v>199.34</v>
      </c>
      <c r="H12" s="147" t="n">
        <f aca="false">H10+H11</f>
        <v>199.340118</v>
      </c>
      <c r="I12" s="147" t="n">
        <f aca="false">I10+I11</f>
        <v>235.7536</v>
      </c>
      <c r="J12" s="147" t="n">
        <f aca="false">J10+J11</f>
        <v>238.108831</v>
      </c>
      <c r="K12" s="147" t="n">
        <f aca="false">K10+K11</f>
        <v>238.705092</v>
      </c>
      <c r="L12" s="147" t="n">
        <f aca="false">L10+L11</f>
        <v>251.807222</v>
      </c>
      <c r="M12" s="147" t="n">
        <f aca="false">M10+M11</f>
        <v>253.016971</v>
      </c>
      <c r="N12" s="147" t="n">
        <f aca="false">N10+N11</f>
        <v>274.96413</v>
      </c>
      <c r="O12" s="147" t="n">
        <f aca="false">O10+O11</f>
        <v>292.921154</v>
      </c>
      <c r="P12" s="70" t="n">
        <f aca="false">P10+P11</f>
        <v>308.691154</v>
      </c>
      <c r="Q12" s="70" t="n">
        <f aca="false">Q10+Q11</f>
        <v>1059.08211288011</v>
      </c>
      <c r="R12" s="70" t="n">
        <f aca="false">R10+R11</f>
        <v>1059.08211288011</v>
      </c>
      <c r="S12" s="70" t="n">
        <f aca="false">S10+S11</f>
        <v>1059.08211288011</v>
      </c>
      <c r="T12" s="70" t="n">
        <f aca="false">T10+T11</f>
        <v>1528.57746408911</v>
      </c>
      <c r="U12" s="70" t="n">
        <f aca="false">U10+U11</f>
        <v>2427.24954814519</v>
      </c>
      <c r="V12" s="70" t="n">
        <f aca="false">V10+V11</f>
        <v>3326.81352509728</v>
      </c>
      <c r="W12" s="70" t="n">
        <f aca="false">W10+W11</f>
        <v>3568.43897436968</v>
      </c>
      <c r="X12" s="70" t="n">
        <f aca="false">X10+X11</f>
        <v>5892.38990377253</v>
      </c>
      <c r="Y12" s="70" t="n">
        <f aca="false">Y10+Y11</f>
        <v>6053.55592169833</v>
      </c>
      <c r="Z12" s="70" t="n">
        <f aca="false">Z10+Z11</f>
        <v>7828.73130550808</v>
      </c>
      <c r="AA12" s="70" t="n">
        <f aca="false">AA10+AA11</f>
        <v>8180.53799138627</v>
      </c>
      <c r="AB12" s="70" t="n">
        <f aca="false">AB10+AB11</f>
        <v>10841.9198099643</v>
      </c>
      <c r="AC12" s="70" t="n">
        <f aca="false">AC10+AC11</f>
        <v>10841.9198099643</v>
      </c>
      <c r="AD12" s="70" t="n">
        <f aca="false">AD10+AD11</f>
        <v>10841.9198099643</v>
      </c>
      <c r="AE12" s="70" t="n">
        <f aca="false">AE10+AE11</f>
        <v>10841.9198099643</v>
      </c>
      <c r="AF12" s="70" t="n">
        <f aca="false">AF10+AF11</f>
        <v>11299.9107587346</v>
      </c>
      <c r="AG12" s="70" t="n">
        <f aca="false">AG10+AG11</f>
        <v>11299.9107587346</v>
      </c>
      <c r="AI12" s="70" t="n">
        <f aca="false">INDEX($F12:$AG12,1,MATCH(AI$7,$F$7:$AG$7,1))</f>
        <v>235.7536</v>
      </c>
      <c r="AJ12" s="70" t="n">
        <f aca="false">INDEX($F12:$AG12,1,MATCH(AJ$7,$F$7:$AG$7,1))</f>
        <v>253.016971</v>
      </c>
      <c r="AK12" s="70" t="n">
        <f aca="false">INDEX($F12:$AG12,1,MATCH(AK$7,$F$7:$AG$7,1))</f>
        <v>1059.08211288011</v>
      </c>
      <c r="AL12" s="70" t="n">
        <f aca="false">INDEX($F12:$AG12,1,MATCH(AL$7,$F$7:$AG$7,1))</f>
        <v>2427.24954814519</v>
      </c>
      <c r="AM12" s="70" t="n">
        <f aca="false">INDEX($F12:$AG12,1,MATCH(AM$7,$F$7:$AG$7,1))</f>
        <v>6053.55592169833</v>
      </c>
      <c r="AN12" s="70" t="n">
        <f aca="false">INDEX($F12:$AG12,1,MATCH(AN$7,$F$7:$AG$7,1))</f>
        <v>10841.9198099643</v>
      </c>
      <c r="AO12" s="70" t="n">
        <f aca="false">INDEX($F12:$AG12,1,MATCH(AO$7,$F$7:$AG$7,1))</f>
        <v>11299.9107587346</v>
      </c>
    </row>
    <row r="13" customFormat="false" ht="15" hidden="false" customHeight="false" outlineLevel="0" collapsed="false">
      <c r="A13" s="112" t="s">
        <v>2757</v>
      </c>
      <c r="B13" s="24" t="s">
        <v>809</v>
      </c>
      <c r="C13" s="24" t="s">
        <v>736</v>
      </c>
      <c r="D13" s="24"/>
      <c r="F13" s="146" t="n">
        <f aca="false">Options*MAX(0,1-OptK/DilPx)</f>
        <v>0</v>
      </c>
      <c r="G13" s="146" t="n">
        <f aca="false">Options*MAX(0,1-OptK/DilPx)</f>
        <v>0</v>
      </c>
      <c r="H13" s="146" t="n">
        <f aca="false">Options*MAX(0,1-OptK/DilPx)</f>
        <v>0</v>
      </c>
      <c r="I13" s="146" t="n">
        <f aca="false">Options*MAX(0,1-OptK/DilPx)</f>
        <v>0</v>
      </c>
      <c r="J13" s="146" t="n">
        <f aca="false">Options*MAX(0,1-OptK/DilPx)</f>
        <v>0</v>
      </c>
      <c r="K13" s="146" t="n">
        <f aca="false">Options*MAX(0,1-OptK/DilPx)</f>
        <v>0</v>
      </c>
      <c r="L13" s="146" t="n">
        <f aca="false">Options*MAX(0,1-OptK/DilPx)</f>
        <v>0</v>
      </c>
      <c r="M13" s="146" t="n">
        <f aca="false">Options*MAX(0,1-OptK/DilPx)</f>
        <v>0</v>
      </c>
      <c r="N13" s="146" t="n">
        <f aca="false">Options*MAX(0,1-OptK/DilPx)</f>
        <v>0</v>
      </c>
      <c r="O13" s="146" t="n">
        <f aca="false">Options*MAX(0,1-OptK/DilPx)</f>
        <v>0</v>
      </c>
      <c r="P13" s="54" t="n">
        <f aca="false">Options*MAX(0,1-OptK/DilPx)</f>
        <v>0</v>
      </c>
      <c r="Q13" s="54" t="n">
        <f aca="false">Options*MAX(0,1-OptK/DilPx)</f>
        <v>0</v>
      </c>
      <c r="R13" s="54" t="n">
        <f aca="false">Options*MAX(0,1-OptK/DilPx)</f>
        <v>0</v>
      </c>
      <c r="S13" s="54" t="n">
        <f aca="false">Options*MAX(0,1-OptK/DilPx)</f>
        <v>0</v>
      </c>
      <c r="T13" s="54" t="n">
        <f aca="false">Options*MAX(0,1-OptK/DilPx)</f>
        <v>0</v>
      </c>
      <c r="U13" s="54" t="n">
        <f aca="false">Options*MAX(0,1-OptK/DilPx)</f>
        <v>0</v>
      </c>
      <c r="V13" s="54" t="n">
        <f aca="false">Options*MAX(0,1-OptK/DilPx)</f>
        <v>0</v>
      </c>
      <c r="W13" s="54" t="n">
        <f aca="false">Options*MAX(0,1-OptK/DilPx)</f>
        <v>0</v>
      </c>
      <c r="X13" s="54" t="n">
        <f aca="false">Options*MAX(0,1-OptK/DilPx)</f>
        <v>0</v>
      </c>
      <c r="Y13" s="54" t="n">
        <f aca="false">Options*MAX(0,1-OptK/DilPx)</f>
        <v>0</v>
      </c>
      <c r="Z13" s="54" t="n">
        <f aca="false">Options*MAX(0,1-OptK/DilPx)</f>
        <v>0</v>
      </c>
      <c r="AA13" s="54" t="n">
        <f aca="false">Options*MAX(0,1-OptK/DilPx)</f>
        <v>0</v>
      </c>
      <c r="AB13" s="54" t="n">
        <f aca="false">Options*MAX(0,1-OptK/DilPx)</f>
        <v>0</v>
      </c>
      <c r="AC13" s="54" t="n">
        <f aca="false">Options*MAX(0,1-OptK/DilPx)</f>
        <v>0</v>
      </c>
      <c r="AD13" s="54" t="n">
        <f aca="false">Options*MAX(0,1-OptK/DilPx)</f>
        <v>0</v>
      </c>
      <c r="AE13" s="54" t="n">
        <f aca="false">Options*MAX(0,1-OptK/DilPx)</f>
        <v>0</v>
      </c>
      <c r="AF13" s="54" t="n">
        <f aca="false">Options*MAX(0,1-OptK/DilPx)</f>
        <v>0</v>
      </c>
      <c r="AG13" s="54" t="n">
        <f aca="false">Options*MAX(0,1-OptK/DilPx)</f>
        <v>0</v>
      </c>
      <c r="AI13" s="54" t="n">
        <f aca="false">INDEX($F13:$AG13,1,MATCH(AI$7,$F$7:$AG$7,1))</f>
        <v>0</v>
      </c>
      <c r="AJ13" s="54" t="n">
        <f aca="false">INDEX($F13:$AG13,1,MATCH(AJ$7,$F$7:$AG$7,1))</f>
        <v>0</v>
      </c>
      <c r="AK13" s="54" t="n">
        <f aca="false">INDEX($F13:$AG13,1,MATCH(AK$7,$F$7:$AG$7,1))</f>
        <v>0</v>
      </c>
      <c r="AL13" s="54" t="n">
        <f aca="false">INDEX($F13:$AG13,1,MATCH(AL$7,$F$7:$AG$7,1))</f>
        <v>0</v>
      </c>
      <c r="AM13" s="54" t="n">
        <f aca="false">INDEX($F13:$AG13,1,MATCH(AM$7,$F$7:$AG$7,1))</f>
        <v>0</v>
      </c>
      <c r="AN13" s="54" t="n">
        <f aca="false">INDEX($F13:$AG13,1,MATCH(AN$7,$F$7:$AG$7,1))</f>
        <v>0</v>
      </c>
      <c r="AO13" s="54" t="n">
        <f aca="false">INDEX($F13:$AG13,1,MATCH(AO$7,$F$7:$AG$7,1))</f>
        <v>0</v>
      </c>
    </row>
    <row r="14" customFormat="false" ht="15" hidden="false" customHeight="false" outlineLevel="0" collapsed="false">
      <c r="A14" s="112" t="s">
        <v>2758</v>
      </c>
      <c r="B14" s="24" t="s">
        <v>809</v>
      </c>
      <c r="C14" s="24" t="s">
        <v>736</v>
      </c>
      <c r="D14" s="24"/>
      <c r="F14" s="146" t="n">
        <f aca="false">RSU+EigenIn*Eigen</f>
        <v>6.234091</v>
      </c>
      <c r="G14" s="146" t="n">
        <f aca="false">RSU+EigenIn*Eigen</f>
        <v>6.234091</v>
      </c>
      <c r="H14" s="146" t="n">
        <f aca="false">RSU+EigenIn*Eigen</f>
        <v>6.234091</v>
      </c>
      <c r="I14" s="146" t="n">
        <f aca="false">RSU+EigenIn*Eigen</f>
        <v>6.234091</v>
      </c>
      <c r="J14" s="146" t="n">
        <f aca="false">RSU+EigenIn*Eigen</f>
        <v>6.234091</v>
      </c>
      <c r="K14" s="146" t="n">
        <f aca="false">RSU+EigenIn*Eigen</f>
        <v>6.234091</v>
      </c>
      <c r="L14" s="146" t="n">
        <f aca="false">RSU+EigenIn*Eigen</f>
        <v>6.234091</v>
      </c>
      <c r="M14" s="146" t="n">
        <f aca="false">RSU+EigenIn*Eigen</f>
        <v>6.234091</v>
      </c>
      <c r="N14" s="146" t="n">
        <f aca="false">RSU+EigenIn*Eigen</f>
        <v>6.234091</v>
      </c>
      <c r="O14" s="146" t="n">
        <f aca="false">RSU+EigenIn*Eigen</f>
        <v>6.234091</v>
      </c>
      <c r="P14" s="54" t="n">
        <f aca="false">RSU+EigenIn*Eigen</f>
        <v>6.234091</v>
      </c>
      <c r="Q14" s="54" t="n">
        <f aca="false">RSU+EigenIn*Eigen</f>
        <v>6.234091</v>
      </c>
      <c r="R14" s="54" t="n">
        <f aca="false">RSU+EigenIn*Eigen</f>
        <v>6.234091</v>
      </c>
      <c r="S14" s="54" t="n">
        <f aca="false">RSU+EigenIn*Eigen</f>
        <v>6.234091</v>
      </c>
      <c r="T14" s="54" t="n">
        <f aca="false">RSU+EigenIn*Eigen</f>
        <v>6.234091</v>
      </c>
      <c r="U14" s="54" t="n">
        <f aca="false">RSU+EigenIn*Eigen</f>
        <v>6.234091</v>
      </c>
      <c r="V14" s="54" t="n">
        <f aca="false">RSU+EigenIn*Eigen</f>
        <v>6.234091</v>
      </c>
      <c r="W14" s="54" t="n">
        <f aca="false">RSU+EigenIn*Eigen</f>
        <v>6.234091</v>
      </c>
      <c r="X14" s="54" t="n">
        <f aca="false">RSU+EigenIn*Eigen</f>
        <v>6.234091</v>
      </c>
      <c r="Y14" s="54" t="n">
        <f aca="false">RSU+EigenIn*Eigen</f>
        <v>6.234091</v>
      </c>
      <c r="Z14" s="54" t="n">
        <f aca="false">RSU+EigenIn*Eigen</f>
        <v>6.234091</v>
      </c>
      <c r="AA14" s="54" t="n">
        <f aca="false">RSU+EigenIn*Eigen</f>
        <v>6.234091</v>
      </c>
      <c r="AB14" s="54" t="n">
        <f aca="false">RSU+EigenIn*Eigen</f>
        <v>6.234091</v>
      </c>
      <c r="AC14" s="54" t="n">
        <f aca="false">RSU+EigenIn*Eigen</f>
        <v>6.234091</v>
      </c>
      <c r="AD14" s="54" t="n">
        <f aca="false">RSU+EigenIn*Eigen</f>
        <v>6.234091</v>
      </c>
      <c r="AE14" s="54" t="n">
        <f aca="false">RSU+EigenIn*Eigen</f>
        <v>6.234091</v>
      </c>
      <c r="AF14" s="54" t="n">
        <f aca="false">RSU+EigenIn*Eigen</f>
        <v>6.234091</v>
      </c>
      <c r="AG14" s="54" t="n">
        <f aca="false">RSU+EigenIn*Eigen</f>
        <v>6.234091</v>
      </c>
      <c r="AI14" s="54" t="n">
        <f aca="false">INDEX($F14:$AG14,1,MATCH(AI$7,$F$7:$AG$7,1))</f>
        <v>6.234091</v>
      </c>
      <c r="AJ14" s="54" t="n">
        <f aca="false">INDEX($F14:$AG14,1,MATCH(AJ$7,$F$7:$AG$7,1))</f>
        <v>6.234091</v>
      </c>
      <c r="AK14" s="54" t="n">
        <f aca="false">INDEX($F14:$AG14,1,MATCH(AK$7,$F$7:$AG$7,1))</f>
        <v>6.234091</v>
      </c>
      <c r="AL14" s="54" t="n">
        <f aca="false">INDEX($F14:$AG14,1,MATCH(AL$7,$F$7:$AG$7,1))</f>
        <v>6.234091</v>
      </c>
      <c r="AM14" s="54" t="n">
        <f aca="false">INDEX($F14:$AG14,1,MATCH(AM$7,$F$7:$AG$7,1))</f>
        <v>6.234091</v>
      </c>
      <c r="AN14" s="54" t="n">
        <f aca="false">INDEX($F14:$AG14,1,MATCH(AN$7,$F$7:$AG$7,1))</f>
        <v>6.234091</v>
      </c>
      <c r="AO14" s="54" t="n">
        <f aca="false">INDEX($F14:$AG14,1,MATCH(AO$7,$F$7:$AG$7,1))</f>
        <v>6.234091</v>
      </c>
    </row>
    <row r="15" customFormat="false" ht="15" hidden="false" customHeight="false" outlineLevel="0" collapsed="false">
      <c r="A15" s="112" t="s">
        <v>2759</v>
      </c>
      <c r="B15" s="24" t="s">
        <v>809</v>
      </c>
      <c r="C15" s="24" t="s">
        <v>2461</v>
      </c>
      <c r="D15" s="24"/>
      <c r="F15" s="146" t="n">
        <f aca="false">INDEX(CV_dil,1,1)</f>
        <v>0</v>
      </c>
      <c r="G15" s="146" t="n">
        <f aca="false">INDEX(CV_dil,1,2)</f>
        <v>0</v>
      </c>
      <c r="H15" s="146" t="n">
        <f aca="false">INDEX(CV_dil,1,3)</f>
        <v>0</v>
      </c>
      <c r="I15" s="146" t="n">
        <f aca="false">INDEX(CV_dil,1,4)</f>
        <v>0</v>
      </c>
      <c r="J15" s="146" t="n">
        <f aca="false">INDEX(CV_dil,1,5)</f>
        <v>0</v>
      </c>
      <c r="K15" s="146" t="n">
        <f aca="false">INDEX(CV_dil,1,6)</f>
        <v>0</v>
      </c>
      <c r="L15" s="146" t="n">
        <f aca="false">INDEX(CV_dil,1,7)</f>
        <v>0</v>
      </c>
      <c r="M15" s="146" t="n">
        <f aca="false">INDEX(CV_dil,1,8)</f>
        <v>0</v>
      </c>
      <c r="N15" s="146" t="n">
        <f aca="false">INDEX(CV_dil,1,9)</f>
        <v>0</v>
      </c>
      <c r="O15" s="146" t="n">
        <f aca="false">INDEX(CV_dil,1,10)</f>
        <v>0</v>
      </c>
      <c r="P15" s="54" t="n">
        <f aca="false">INDEX(CV_dil,1,11)</f>
        <v>0</v>
      </c>
      <c r="Q15" s="54" t="n">
        <f aca="false">INDEX(CV_dil,1,12)</f>
        <v>0</v>
      </c>
      <c r="R15" s="54" t="n">
        <f aca="false">INDEX(CV_dil,1,13)</f>
        <v>0</v>
      </c>
      <c r="S15" s="54" t="n">
        <f aca="false">INDEX(CV_dil,1,14)</f>
        <v>0</v>
      </c>
      <c r="T15" s="54" t="n">
        <f aca="false">INDEX(CV_dil,1,15)</f>
        <v>0</v>
      </c>
      <c r="U15" s="54" t="n">
        <f aca="false">INDEX(CV_dil,1,16)</f>
        <v>0</v>
      </c>
      <c r="V15" s="54" t="n">
        <f aca="false">INDEX(CV_dil,1,17)</f>
        <v>0</v>
      </c>
      <c r="W15" s="54" t="n">
        <f aca="false">INDEX(CV_dil,1,18)</f>
        <v>0</v>
      </c>
      <c r="X15" s="54" t="n">
        <f aca="false">INDEX(CV_dil,1,19)</f>
        <v>0</v>
      </c>
      <c r="Y15" s="54" t="n">
        <f aca="false">INDEX(CV_dil,1,20)</f>
        <v>0</v>
      </c>
      <c r="Z15" s="54" t="n">
        <f aca="false">INDEX(CV_dil,1,21)</f>
        <v>0</v>
      </c>
      <c r="AA15" s="54" t="n">
        <f aca="false">INDEX(CV_dil,1,22)</f>
        <v>0</v>
      </c>
      <c r="AB15" s="54" t="n">
        <f aca="false">INDEX(CV_dil,1,23)</f>
        <v>0</v>
      </c>
      <c r="AC15" s="54" t="n">
        <f aca="false">INDEX(CV_dil,1,24)</f>
        <v>0</v>
      </c>
      <c r="AD15" s="54" t="n">
        <f aca="false">INDEX(CV_dil,1,25)</f>
        <v>0</v>
      </c>
      <c r="AE15" s="54" t="n">
        <f aca="false">INDEX(CV_dil,1,26)</f>
        <v>0</v>
      </c>
      <c r="AF15" s="54" t="n">
        <f aca="false">INDEX(CV_dil,1,27)</f>
        <v>0</v>
      </c>
      <c r="AG15" s="54" t="n">
        <f aca="false">INDEX(CV_dil,1,28)</f>
        <v>0</v>
      </c>
      <c r="AI15" s="54" t="n">
        <f aca="false">INDEX($F15:$AG15,1,MATCH(AI$7,$F$7:$AG$7,1))</f>
        <v>0</v>
      </c>
      <c r="AJ15" s="54" t="n">
        <f aca="false">INDEX($F15:$AG15,1,MATCH(AJ$7,$F$7:$AG$7,1))</f>
        <v>0</v>
      </c>
      <c r="AK15" s="54" t="n">
        <f aca="false">INDEX($F15:$AG15,1,MATCH(AK$7,$F$7:$AG$7,1))</f>
        <v>0</v>
      </c>
      <c r="AL15" s="54" t="n">
        <f aca="false">INDEX($F15:$AG15,1,MATCH(AL$7,$F$7:$AG$7,1))</f>
        <v>0</v>
      </c>
      <c r="AM15" s="54" t="n">
        <f aca="false">INDEX($F15:$AG15,1,MATCH(AM$7,$F$7:$AG$7,1))</f>
        <v>0</v>
      </c>
      <c r="AN15" s="54" t="n">
        <f aca="false">INDEX($F15:$AG15,1,MATCH(AN$7,$F$7:$AG$7,1))</f>
        <v>0</v>
      </c>
      <c r="AO15" s="54" t="n">
        <f aca="false">INDEX($F15:$AG15,1,MATCH(AO$7,$F$7:$AG$7,1))</f>
        <v>0</v>
      </c>
    </row>
    <row r="16" customFormat="false" ht="15" hidden="false" customHeight="false" outlineLevel="0" collapsed="false">
      <c r="A16" s="3" t="s">
        <v>2760</v>
      </c>
      <c r="B16" s="24" t="s">
        <v>809</v>
      </c>
      <c r="C16" s="24" t="s">
        <v>672</v>
      </c>
      <c r="D16" s="24"/>
      <c r="F16" s="147" t="n">
        <f aca="false">F12+F13+F14+F15</f>
        <v>205.574091</v>
      </c>
      <c r="G16" s="147" t="n">
        <f aca="false">G12+G13+G14+G15</f>
        <v>205.574091</v>
      </c>
      <c r="H16" s="147" t="n">
        <f aca="false">H12+H13+H14+H15</f>
        <v>205.574209</v>
      </c>
      <c r="I16" s="147" t="n">
        <f aca="false">I12+I13+I14+I15</f>
        <v>241.987691</v>
      </c>
      <c r="J16" s="147" t="n">
        <f aca="false">J12+J13+J14+J15</f>
        <v>244.342922</v>
      </c>
      <c r="K16" s="147" t="n">
        <f aca="false">K12+K13+K14+K15</f>
        <v>244.939183</v>
      </c>
      <c r="L16" s="147" t="n">
        <f aca="false">L12+L13+L14+L15</f>
        <v>258.041313</v>
      </c>
      <c r="M16" s="147" t="n">
        <f aca="false">M12+M13+M14+M15</f>
        <v>259.251062</v>
      </c>
      <c r="N16" s="147" t="n">
        <f aca="false">N12+N13+N14+N15</f>
        <v>281.198221</v>
      </c>
      <c r="O16" s="147" t="n">
        <f aca="false">O12+O13+O14+O15</f>
        <v>299.155245</v>
      </c>
      <c r="P16" s="70" t="n">
        <f aca="false">P12+P13+P14+P15</f>
        <v>314.925245</v>
      </c>
      <c r="Q16" s="70" t="n">
        <f aca="false">Q12+Q13+Q14+Q15</f>
        <v>1065.31620388011</v>
      </c>
      <c r="R16" s="70" t="n">
        <f aca="false">R12+R13+R14+R15</f>
        <v>1065.31620388011</v>
      </c>
      <c r="S16" s="70" t="n">
        <f aca="false">S12+S13+S14+S15</f>
        <v>1065.31620388011</v>
      </c>
      <c r="T16" s="70" t="n">
        <f aca="false">T12+T13+T14+T15</f>
        <v>1534.81155508911</v>
      </c>
      <c r="U16" s="70" t="n">
        <f aca="false">U12+U13+U14+U15</f>
        <v>2433.48363914519</v>
      </c>
      <c r="V16" s="70" t="n">
        <f aca="false">V12+V13+V14+V15</f>
        <v>3333.04761609728</v>
      </c>
      <c r="W16" s="70" t="n">
        <f aca="false">W12+W13+W14+W15</f>
        <v>3574.67306536968</v>
      </c>
      <c r="X16" s="70" t="n">
        <f aca="false">X12+X13+X14+X15</f>
        <v>5898.62399477253</v>
      </c>
      <c r="Y16" s="70" t="n">
        <f aca="false">Y12+Y13+Y14+Y15</f>
        <v>6059.79001269833</v>
      </c>
      <c r="Z16" s="70" t="n">
        <f aca="false">Z12+Z13+Z14+Z15</f>
        <v>7834.96539650808</v>
      </c>
      <c r="AA16" s="70" t="n">
        <f aca="false">AA12+AA13+AA14+AA15</f>
        <v>8186.77208238627</v>
      </c>
      <c r="AB16" s="70" t="n">
        <f aca="false">AB12+AB13+AB14+AB15</f>
        <v>10848.1539009643</v>
      </c>
      <c r="AC16" s="70" t="n">
        <f aca="false">AC12+AC13+AC14+AC15</f>
        <v>10848.1539009643</v>
      </c>
      <c r="AD16" s="70" t="n">
        <f aca="false">AD12+AD13+AD14+AD15</f>
        <v>10848.1539009643</v>
      </c>
      <c r="AE16" s="70" t="n">
        <f aca="false">AE12+AE13+AE14+AE15</f>
        <v>10848.1539009643</v>
      </c>
      <c r="AF16" s="70" t="n">
        <f aca="false">AF12+AF13+AF14+AF15</f>
        <v>11306.1448497346</v>
      </c>
      <c r="AG16" s="70" t="n">
        <f aca="false">AG12+AG13+AG14+AG15</f>
        <v>11306.1448497346</v>
      </c>
      <c r="AI16" s="70" t="n">
        <f aca="false">INDEX($F16:$AG16,1,MATCH(AI$7,$F$7:$AG$7,1))</f>
        <v>241.987691</v>
      </c>
      <c r="AJ16" s="70" t="n">
        <f aca="false">INDEX($F16:$AG16,1,MATCH(AJ$7,$F$7:$AG$7,1))</f>
        <v>259.251062</v>
      </c>
      <c r="AK16" s="70" t="n">
        <f aca="false">INDEX($F16:$AG16,1,MATCH(AK$7,$F$7:$AG$7,1))</f>
        <v>1065.31620388011</v>
      </c>
      <c r="AL16" s="70" t="n">
        <f aca="false">INDEX($F16:$AG16,1,MATCH(AL$7,$F$7:$AG$7,1))</f>
        <v>2433.48363914519</v>
      </c>
      <c r="AM16" s="70" t="n">
        <f aca="false">INDEX($F16:$AG16,1,MATCH(AM$7,$F$7:$AG$7,1))</f>
        <v>6059.79001269833</v>
      </c>
      <c r="AN16" s="70" t="n">
        <f aca="false">INDEX($F16:$AG16,1,MATCH(AN$7,$F$7:$AG$7,1))</f>
        <v>10848.1539009643</v>
      </c>
      <c r="AO16" s="70" t="n">
        <f aca="false">INDEX($F16:$AG16,1,MATCH(AO$7,$F$7:$AG$7,1))</f>
        <v>11306.1448497346</v>
      </c>
    </row>
    <row r="17" customFormat="false" ht="15" hidden="false" customHeight="false" outlineLevel="0" collapsed="false">
      <c r="A17" s="112" t="s">
        <v>2761</v>
      </c>
      <c r="B17" s="24" t="s">
        <v>751</v>
      </c>
      <c r="C17" s="24"/>
      <c r="D17" s="24"/>
      <c r="F17" s="134" t="n">
        <f aca="false">F15/F12</f>
        <v>0</v>
      </c>
      <c r="G17" s="134" t="n">
        <f aca="false">G15/G12</f>
        <v>0</v>
      </c>
      <c r="H17" s="134" t="n">
        <f aca="false">H15/H12</f>
        <v>0</v>
      </c>
      <c r="I17" s="134" t="n">
        <f aca="false">I15/I12</f>
        <v>0</v>
      </c>
      <c r="J17" s="134" t="n">
        <f aca="false">J15/J12</f>
        <v>0</v>
      </c>
      <c r="K17" s="134" t="n">
        <f aca="false">K15/K12</f>
        <v>0</v>
      </c>
      <c r="L17" s="134" t="n">
        <f aca="false">L15/L12</f>
        <v>0</v>
      </c>
      <c r="M17" s="134" t="n">
        <f aca="false">M15/M12</f>
        <v>0</v>
      </c>
      <c r="N17" s="134" t="n">
        <f aca="false">N15/N12</f>
        <v>0</v>
      </c>
      <c r="O17" s="134" t="n">
        <f aca="false">O15/O12</f>
        <v>0</v>
      </c>
      <c r="P17" s="29" t="n">
        <f aca="false">P15/P12</f>
        <v>0</v>
      </c>
      <c r="Q17" s="29" t="n">
        <f aca="false">Q15/Q12</f>
        <v>0</v>
      </c>
      <c r="R17" s="29" t="n">
        <f aca="false">R15/R12</f>
        <v>0</v>
      </c>
      <c r="S17" s="29" t="n">
        <f aca="false">S15/S12</f>
        <v>0</v>
      </c>
      <c r="T17" s="29" t="n">
        <f aca="false">T15/T12</f>
        <v>0</v>
      </c>
      <c r="U17" s="29" t="n">
        <f aca="false">U15/U12</f>
        <v>0</v>
      </c>
      <c r="V17" s="29" t="n">
        <f aca="false">V15/V12</f>
        <v>0</v>
      </c>
      <c r="W17" s="29" t="n">
        <f aca="false">W15/W12</f>
        <v>0</v>
      </c>
      <c r="X17" s="29" t="n">
        <f aca="false">X15/X12</f>
        <v>0</v>
      </c>
      <c r="Y17" s="29" t="n">
        <f aca="false">Y15/Y12</f>
        <v>0</v>
      </c>
      <c r="Z17" s="29" t="n">
        <f aca="false">Z15/Z12</f>
        <v>0</v>
      </c>
      <c r="AA17" s="29" t="n">
        <f aca="false">AA15/AA12</f>
        <v>0</v>
      </c>
      <c r="AB17" s="29" t="n">
        <f aca="false">AB15/AB12</f>
        <v>0</v>
      </c>
      <c r="AC17" s="29" t="n">
        <f aca="false">AC15/AC12</f>
        <v>0</v>
      </c>
      <c r="AD17" s="29" t="n">
        <f aca="false">AD15/AD12</f>
        <v>0</v>
      </c>
      <c r="AE17" s="29" t="n">
        <f aca="false">AE15/AE12</f>
        <v>0</v>
      </c>
      <c r="AF17" s="29" t="n">
        <f aca="false">AF15/AF12</f>
        <v>0</v>
      </c>
      <c r="AG17" s="29" t="n">
        <f aca="false">AG15/AG12</f>
        <v>0</v>
      </c>
    </row>
    <row r="19" customFormat="false" ht="15" hidden="false" customHeight="false" outlineLevel="0" collapsed="false">
      <c r="A19" s="64" t="s">
        <v>2762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</row>
    <row r="20" customFormat="false" ht="15" hidden="false" customHeight="false" outlineLevel="0" collapsed="false">
      <c r="A20" s="112" t="s">
        <v>2763</v>
      </c>
      <c r="B20" s="24" t="s">
        <v>809</v>
      </c>
      <c r="C20" s="24" t="s">
        <v>672</v>
      </c>
      <c r="D20" s="24" t="s">
        <v>2764</v>
      </c>
      <c r="F20" s="146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46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46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46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46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46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46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46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46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46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54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54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750.390958880115</v>
      </c>
      <c r="R20" s="54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54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54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469.495351208991</v>
      </c>
      <c r="U20" s="54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898.672084056088</v>
      </c>
      <c r="V20" s="54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899.563976952083</v>
      </c>
      <c r="W20" s="54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241.625449272402</v>
      </c>
      <c r="X20" s="54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2323.95092940285</v>
      </c>
      <c r="Y20" s="54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161.166017925805</v>
      </c>
      <c r="Z20" s="54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1775.17538380975</v>
      </c>
      <c r="AA20" s="54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351.806685878194</v>
      </c>
      <c r="AB20" s="54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2661.38181857805</v>
      </c>
      <c r="AC20" s="54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54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54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54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457.990948770233</v>
      </c>
      <c r="AG20" s="54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54" t="n">
        <f aca="false">SUMIF($F$7:$AG$7,AI$7,$F20:$AG20)</f>
        <v>0</v>
      </c>
      <c r="AJ20" s="54" t="n">
        <f aca="false">SUMIF($F$7:$AG$7,AJ$7,$F20:$AG20)</f>
        <v>0</v>
      </c>
      <c r="AK20" s="54" t="n">
        <f aca="false">SUMIF($F$7:$AG$7,AK$7,$F20:$AG20)</f>
        <v>750.390958880115</v>
      </c>
      <c r="AL20" s="54" t="n">
        <f aca="false">SUMIF($F$7:$AG$7,AL$7,$F20:$AG20)</f>
        <v>1368.16743526508</v>
      </c>
      <c r="AM20" s="54" t="n">
        <f aca="false">SUMIF($F$7:$AG$7,AM$7,$F20:$AG20)</f>
        <v>3626.30637355314</v>
      </c>
      <c r="AN20" s="54" t="n">
        <f aca="false">SUMIF($F$7:$AG$7,AN$7,$F20:$AG20)</f>
        <v>4788.36388826599</v>
      </c>
      <c r="AO20" s="54" t="n">
        <f aca="false">SUMIF($F$7:$AG$7,AO$7,$F20:$AG20)</f>
        <v>457.990948770233</v>
      </c>
    </row>
    <row r="21" customFormat="false" ht="15" hidden="false" customHeight="false" outlineLevel="0" collapsed="false">
      <c r="A21" s="112" t="s">
        <v>2765</v>
      </c>
      <c r="B21" s="24" t="s">
        <v>809</v>
      </c>
      <c r="C21" s="24" t="s">
        <v>672</v>
      </c>
      <c r="D21" s="24"/>
      <c r="E21" s="54" t="n">
        <f aca="false">0</f>
        <v>0</v>
      </c>
      <c r="F21" s="146" t="n">
        <f aca="false">E21+F20</f>
        <v>0</v>
      </c>
      <c r="G21" s="146" t="n">
        <f aca="false">F21+G20</f>
        <v>0</v>
      </c>
      <c r="H21" s="146" t="n">
        <f aca="false">G21+H20</f>
        <v>0</v>
      </c>
      <c r="I21" s="146" t="n">
        <f aca="false">H21+I20</f>
        <v>0</v>
      </c>
      <c r="J21" s="146" t="n">
        <f aca="false">I21+J20</f>
        <v>0</v>
      </c>
      <c r="K21" s="146" t="n">
        <f aca="false">J21+K20</f>
        <v>0</v>
      </c>
      <c r="L21" s="146" t="n">
        <f aca="false">K21+L20</f>
        <v>0</v>
      </c>
      <c r="M21" s="146" t="n">
        <f aca="false">L21+M20</f>
        <v>0</v>
      </c>
      <c r="N21" s="146" t="n">
        <f aca="false">M21+N20</f>
        <v>0</v>
      </c>
      <c r="O21" s="146" t="n">
        <f aca="false">N21+O20</f>
        <v>0</v>
      </c>
      <c r="P21" s="54" t="n">
        <f aca="false">O21+P20</f>
        <v>0</v>
      </c>
      <c r="Q21" s="54" t="n">
        <f aca="false">P21+Q20</f>
        <v>750.390958880115</v>
      </c>
      <c r="R21" s="54" t="n">
        <f aca="false">Q21+R20</f>
        <v>750.390958880115</v>
      </c>
      <c r="S21" s="54" t="n">
        <f aca="false">R21+S20</f>
        <v>750.390958880115</v>
      </c>
      <c r="T21" s="54" t="n">
        <f aca="false">S21+T20</f>
        <v>1219.88631008911</v>
      </c>
      <c r="U21" s="54" t="n">
        <f aca="false">T21+U20</f>
        <v>2118.55839414519</v>
      </c>
      <c r="V21" s="54" t="n">
        <f aca="false">U21+V20</f>
        <v>3018.12237109728</v>
      </c>
      <c r="W21" s="54" t="n">
        <f aca="false">V21+W20</f>
        <v>3259.74782036968</v>
      </c>
      <c r="X21" s="54" t="n">
        <f aca="false">W21+X20</f>
        <v>5583.69874977253</v>
      </c>
      <c r="Y21" s="54" t="n">
        <f aca="false">X21+Y20</f>
        <v>5744.86476769833</v>
      </c>
      <c r="Z21" s="54" t="n">
        <f aca="false">Y21+Z20</f>
        <v>7520.04015150808</v>
      </c>
      <c r="AA21" s="54" t="n">
        <f aca="false">Z21+AA20</f>
        <v>7871.84683738627</v>
      </c>
      <c r="AB21" s="54" t="n">
        <f aca="false">AA21+AB20</f>
        <v>10533.2286559643</v>
      </c>
      <c r="AC21" s="54" t="n">
        <f aca="false">AB21+AC20</f>
        <v>10533.2286559643</v>
      </c>
      <c r="AD21" s="54" t="n">
        <f aca="false">AC21+AD20</f>
        <v>10533.2286559643</v>
      </c>
      <c r="AE21" s="54" t="n">
        <f aca="false">AD21+AE20</f>
        <v>10533.2286559643</v>
      </c>
      <c r="AF21" s="54" t="n">
        <f aca="false">AE21+AF20</f>
        <v>10991.2196047346</v>
      </c>
      <c r="AG21" s="54" t="n">
        <f aca="false">AF21+AG20</f>
        <v>10991.2196047346</v>
      </c>
      <c r="AI21" s="54" t="n">
        <f aca="false">INDEX($F21:$AG21,1,MATCH(AI$7,$F$7:$AG$7,1))</f>
        <v>0</v>
      </c>
      <c r="AJ21" s="54" t="n">
        <f aca="false">INDEX($F21:$AG21,1,MATCH(AJ$7,$F$7:$AG$7,1))</f>
        <v>0</v>
      </c>
      <c r="AK21" s="54" t="n">
        <f aca="false">INDEX($F21:$AG21,1,MATCH(AK$7,$F$7:$AG$7,1))</f>
        <v>750.390958880115</v>
      </c>
      <c r="AL21" s="54" t="n">
        <f aca="false">INDEX($F21:$AG21,1,MATCH(AL$7,$F$7:$AG$7,1))</f>
        <v>2118.55839414519</v>
      </c>
      <c r="AM21" s="54" t="n">
        <f aca="false">INDEX($F21:$AG21,1,MATCH(AM$7,$F$7:$AG$7,1))</f>
        <v>5744.86476769833</v>
      </c>
      <c r="AN21" s="54" t="n">
        <f aca="false">INDEX($F21:$AG21,1,MATCH(AN$7,$F$7:$AG$7,1))</f>
        <v>10533.2286559643</v>
      </c>
      <c r="AO21" s="54" t="n">
        <f aca="false">INDEX($F21:$AG21,1,MATCH(AO$7,$F$7:$AG$7,1))</f>
        <v>10991.2196047346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1373</v>
      </c>
    </row>
    <row r="2" customFormat="false" ht="15" hidden="false" customHeight="false" outlineLevel="0" collapsed="false">
      <c r="A2" s="24" t="s">
        <v>2766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2767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112" t="s">
        <v>2768</v>
      </c>
      <c r="B11" s="24" t="s">
        <v>745</v>
      </c>
      <c r="C11" s="24" t="s">
        <v>2661</v>
      </c>
      <c r="D11" s="24"/>
      <c r="F11" s="130" t="n">
        <f aca="false">INDEX(CF_UFCF,1,1)</f>
        <v>0</v>
      </c>
      <c r="G11" s="130" t="n">
        <f aca="false">INDEX(CF_UFCF,1,2)</f>
        <v>0</v>
      </c>
      <c r="H11" s="130" t="n">
        <f aca="false">INDEX(CF_UFCF,1,3)</f>
        <v>0</v>
      </c>
      <c r="I11" s="130" t="n">
        <f aca="false">INDEX(CF_UFCF,1,4)</f>
        <v>0</v>
      </c>
      <c r="J11" s="130" t="n">
        <f aca="false">INDEX(CF_UFCF,1,5)</f>
        <v>0</v>
      </c>
      <c r="K11" s="130" t="n">
        <f aca="false">INDEX(CF_UFCF,1,6)</f>
        <v>0</v>
      </c>
      <c r="L11" s="130" t="n">
        <f aca="false">INDEX(CF_UFCF,1,7)</f>
        <v>0</v>
      </c>
      <c r="M11" s="130" t="n">
        <f aca="false">INDEX(CF_UFCF,1,8)</f>
        <v>0</v>
      </c>
      <c r="N11" s="130" t="n">
        <f aca="false">INDEX(CF_UFCF,1,9)</f>
        <v>0</v>
      </c>
      <c r="O11" s="130" t="n">
        <f aca="false">INDEX(CF_UFCF,1,10)</f>
        <v>0</v>
      </c>
      <c r="P11" s="131" t="n">
        <f aca="false">INDEX(CF_UFCF,1,11)</f>
        <v>-2192.52949411819</v>
      </c>
      <c r="Q11" s="131" t="n">
        <f aca="false">INDEX(CF_UFCF,1,12)</f>
        <v>-4798.99672707748</v>
      </c>
      <c r="R11" s="131" t="n">
        <f aca="false">INDEX(CF_UFCF,1,13)</f>
        <v>-6247.11408512431</v>
      </c>
      <c r="S11" s="131" t="n">
        <f aca="false">INDEX(CF_UFCF,1,14)</f>
        <v>-7443.75151773339</v>
      </c>
      <c r="T11" s="131" t="n">
        <f aca="false">INDEX(CF_UFCF,1,15)</f>
        <v>-9497.66614526565</v>
      </c>
      <c r="U11" s="131" t="n">
        <f aca="false">INDEX(CF_UFCF,1,16)</f>
        <v>-3452.7711924811</v>
      </c>
      <c r="V11" s="131" t="n">
        <f aca="false">INDEX(CF_UFCF,1,17)</f>
        <v>-3456.31242291899</v>
      </c>
      <c r="W11" s="131" t="n">
        <f aca="false">INDEX(CF_UFCF,1,18)</f>
        <v>-843.989854885562</v>
      </c>
      <c r="X11" s="131" t="n">
        <f aca="false">INDEX(CF_UFCF,1,19)</f>
        <v>-9111.79241832525</v>
      </c>
      <c r="Y11" s="131" t="n">
        <f aca="false">INDEX(CF_UFCF,1,20)</f>
        <v>-554.771073911715</v>
      </c>
      <c r="Z11" s="131" t="n">
        <f aca="false">INDEX(CF_UFCF,1,21)</f>
        <v>-6955.48210830947</v>
      </c>
      <c r="AA11" s="131" t="n">
        <f aca="false">INDEX(CF_UFCF,1,22)</f>
        <v>-1298.10016753877</v>
      </c>
      <c r="AB11" s="131" t="n">
        <f aca="false">INDEX(CF_UFCF,1,23)</f>
        <v>-10516.2873986383</v>
      </c>
      <c r="AC11" s="131" t="n">
        <f aca="false">INDEX(CF_UFCF,1,24)</f>
        <v>3450.35899567395</v>
      </c>
      <c r="AD11" s="131" t="n">
        <f aca="false">INDEX(CF_UFCF,1,25)</f>
        <v>3934.74069829296</v>
      </c>
      <c r="AE11" s="131" t="n">
        <f aca="false">INDEX(CF_UFCF,1,26)</f>
        <v>4435.72866207547</v>
      </c>
      <c r="AF11" s="131" t="n">
        <f aca="false">INDEX(CF_UFCF,1,27)</f>
        <v>4099.01552160651</v>
      </c>
      <c r="AG11" s="131" t="n">
        <f aca="false">INDEX(CF_UFCF,1,28)</f>
        <v>3418.2917248481</v>
      </c>
      <c r="AI11" s="131" t="n">
        <f aca="false">SUMIF($F$7:$AG$7,AI$7,$F11:$AG11)</f>
        <v>0</v>
      </c>
      <c r="AJ11" s="131" t="n">
        <f aca="false">SUMIF($F$7:$AG$7,AJ$7,$F11:$AG11)</f>
        <v>0</v>
      </c>
      <c r="AK11" s="131" t="n">
        <f aca="false">SUMIF($F$7:$AG$7,AK$7,$F11:$AG11)</f>
        <v>-6991.52622119567</v>
      </c>
      <c r="AL11" s="131" t="n">
        <f aca="false">SUMIF($F$7:$AG$7,AL$7,$F11:$AG11)</f>
        <v>-26641.3029406045</v>
      </c>
      <c r="AM11" s="131" t="n">
        <f aca="false">SUMIF($F$7:$AG$7,AM$7,$F11:$AG11)</f>
        <v>-13966.8657700415</v>
      </c>
      <c r="AN11" s="131" t="n">
        <f aca="false">SUMIF($F$7:$AG$7,AN$7,$F11:$AG11)</f>
        <v>-15319.5106788126</v>
      </c>
      <c r="AO11" s="131" t="n">
        <f aca="false">SUMIF($F$7:$AG$7,AO$7,$F11:$AG11)</f>
        <v>15887.776606823</v>
      </c>
    </row>
    <row r="12" customFormat="false" ht="15" hidden="false" customHeight="false" outlineLevel="0" collapsed="false">
      <c r="A12" s="112" t="s">
        <v>2769</v>
      </c>
      <c r="B12" s="24" t="s">
        <v>930</v>
      </c>
      <c r="C12" s="24" t="s">
        <v>672</v>
      </c>
      <c r="D12" s="24"/>
      <c r="F12" s="133" t="n">
        <f aca="false">IF(F$4&gt;ValDate,1/(1+WACC)^((F$4-ValDate)/365.25),0)</f>
        <v>0</v>
      </c>
      <c r="G12" s="133" t="n">
        <f aca="false">IF(G$4&gt;ValDate,1/(1+WACC)^((G$4-ValDate)/365.25),0)</f>
        <v>0</v>
      </c>
      <c r="H12" s="133" t="n">
        <f aca="false">IF(H$4&gt;ValDate,1/(1+WACC)^((H$4-ValDate)/365.25),0)</f>
        <v>0</v>
      </c>
      <c r="I12" s="133" t="n">
        <f aca="false">IF(I$4&gt;ValDate,1/(1+WACC)^((I$4-ValDate)/365.25),0)</f>
        <v>0</v>
      </c>
      <c r="J12" s="133" t="n">
        <f aca="false">IF(J$4&gt;ValDate,1/(1+WACC)^((J$4-ValDate)/365.25),0)</f>
        <v>0</v>
      </c>
      <c r="K12" s="133" t="n">
        <f aca="false">IF(K$4&gt;ValDate,1/(1+WACC)^((K$4-ValDate)/365.25),0)</f>
        <v>0</v>
      </c>
      <c r="L12" s="133" t="n">
        <f aca="false">IF(L$4&gt;ValDate,1/(1+WACC)^((L$4-ValDate)/365.25),0)</f>
        <v>0</v>
      </c>
      <c r="M12" s="133" t="n">
        <f aca="false">IF(M$4&gt;ValDate,1/(1+WACC)^((M$4-ValDate)/365.25),0)</f>
        <v>0</v>
      </c>
      <c r="N12" s="133" t="n">
        <f aca="false">IF(N$4&gt;ValDate,1/(1+WACC)^((N$4-ValDate)/365.25),0)</f>
        <v>0</v>
      </c>
      <c r="O12" s="133" t="n">
        <f aca="false">IF(O$4&gt;ValDate,1/(1+WACC)^((O$4-ValDate)/365.25),0)</f>
        <v>0</v>
      </c>
      <c r="P12" s="37" t="n">
        <f aca="false">IF(P$4&gt;ValDate,1/(1+WACC)^((P$4-ValDate)/365.25),0)</f>
        <v>0</v>
      </c>
      <c r="Q12" s="37" t="n">
        <f aca="false">IF(Q$4&gt;ValDate,1/(1+WACC)^((Q$4-ValDate)/365.25),0)</f>
        <v>0.975169917110395</v>
      </c>
      <c r="R12" s="37" t="n">
        <f aca="false">IF(R$4&gt;ValDate,1/(1+WACC)^((R$4-ValDate)/365.25),0)</f>
        <v>0.950413103878456</v>
      </c>
      <c r="S12" s="37" t="n">
        <f aca="false">IF(S$4&gt;ValDate,1/(1+WACC)^((S$4-ValDate)/365.25),0)</f>
        <v>0.926020174017693</v>
      </c>
      <c r="T12" s="37" t="n">
        <f aca="false">IF(T$4&gt;ValDate,1/(1+WACC)^((T$4-ValDate)/365.25),0)</f>
        <v>0.901995546596339</v>
      </c>
      <c r="U12" s="37" t="n">
        <f aca="false">IF(U$4&gt;ValDate,1/(1+WACC)^((U$4-ValDate)/365.25),0)</f>
        <v>0.878594213071736</v>
      </c>
      <c r="V12" s="37" t="n">
        <f aca="false">IF(V$4&gt;ValDate,1/(1+WACC)^((V$4-ValDate)/365.25),0)</f>
        <v>0.856044558686635</v>
      </c>
      <c r="W12" s="37" t="n">
        <f aca="false">IF(W$4&gt;ValDate,1/(1+WACC)^((W$4-ValDate)/365.25),0)</f>
        <v>0.834073654884364</v>
      </c>
      <c r="X12" s="37" t="n">
        <f aca="false">IF(X$4&gt;ValDate,1/(1+WACC)^((X$4-ValDate)/365.25),0)</f>
        <v>0.812434483986365</v>
      </c>
      <c r="Y12" s="37" t="n">
        <f aca="false">IF(Y$4&gt;ValDate,1/(1+WACC)^((Y$4-ValDate)/365.25),0)</f>
        <v>0.791356718804048</v>
      </c>
      <c r="Z12" s="37" t="n">
        <f aca="false">IF(Z$4&gt;ValDate,1/(1+WACC)^((Z$4-ValDate)/365.25),0)</f>
        <v>0.771266404138348</v>
      </c>
      <c r="AA12" s="37" t="n">
        <f aca="false">IF(AA$4&gt;ValDate,1/(1+WACC)^((AA$4-ValDate)/365.25),0)</f>
        <v>0.751471383190788</v>
      </c>
      <c r="AB12" s="37" t="n">
        <f aca="false">IF(AB$4&gt;ValDate,1/(1+WACC)^((AB$4-ValDate)/365.25),0)</f>
        <v>0.731975242063928</v>
      </c>
      <c r="AC12" s="37" t="n">
        <f aca="false">IF(AC$4&gt;ValDate,1/(1+WACC)^((AC$4-ValDate)/365.25),0)</f>
        <v>0.712984907980876</v>
      </c>
      <c r="AD12" s="37" t="n">
        <f aca="false">IF(AD$4&gt;ValDate,1/(1+WACC)^((AD$4-ValDate)/365.25),0)</f>
        <v>0.694884232504362</v>
      </c>
      <c r="AE12" s="37" t="n">
        <f aca="false">IF(AE$4&gt;ValDate,1/(1+WACC)^((AE$4-ValDate)/365.25),0)</f>
        <v>0.677049606407923</v>
      </c>
      <c r="AF12" s="37" t="n">
        <f aca="false">IF(AF$4&gt;ValDate,1/(1+WACC)^((AF$4-ValDate)/365.25),0)</f>
        <v>0.659484260645365</v>
      </c>
      <c r="AG12" s="37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12" t="s">
        <v>2770</v>
      </c>
      <c r="B13" s="24" t="s">
        <v>745</v>
      </c>
      <c r="C13" s="24" t="s">
        <v>672</v>
      </c>
      <c r="D13" s="24"/>
      <c r="F13" s="130" t="n">
        <f aca="false">F11*F12</f>
        <v>0</v>
      </c>
      <c r="G13" s="130" t="n">
        <f aca="false">G11*G12</f>
        <v>0</v>
      </c>
      <c r="H13" s="130" t="n">
        <f aca="false">H11*H12</f>
        <v>0</v>
      </c>
      <c r="I13" s="130" t="n">
        <f aca="false">I11*I12</f>
        <v>0</v>
      </c>
      <c r="J13" s="130" t="n">
        <f aca="false">J11*J12</f>
        <v>0</v>
      </c>
      <c r="K13" s="130" t="n">
        <f aca="false">K11*K12</f>
        <v>0</v>
      </c>
      <c r="L13" s="130" t="n">
        <f aca="false">L11*L12</f>
        <v>0</v>
      </c>
      <c r="M13" s="130" t="n">
        <f aca="false">M11*M12</f>
        <v>0</v>
      </c>
      <c r="N13" s="130" t="n">
        <f aca="false">N11*N12</f>
        <v>0</v>
      </c>
      <c r="O13" s="130" t="n">
        <f aca="false">O11*O12</f>
        <v>0</v>
      </c>
      <c r="P13" s="131" t="n">
        <f aca="false">P11*P12</f>
        <v>-0</v>
      </c>
      <c r="Q13" s="131" t="n">
        <f aca="false">Q11*Q12</f>
        <v>-4679.8372405572</v>
      </c>
      <c r="R13" s="131" t="n">
        <f aca="false">R11*R12</f>
        <v>-5937.33908792581</v>
      </c>
      <c r="S13" s="131" t="n">
        <f aca="false">S11*S12</f>
        <v>-6893.06407579594</v>
      </c>
      <c r="T13" s="131" t="n">
        <f aca="false">T11*T12</f>
        <v>-8566.85256608843</v>
      </c>
      <c r="U13" s="131" t="n">
        <f aca="false">U11*U12</f>
        <v>-3033.58478877469</v>
      </c>
      <c r="V13" s="131" t="n">
        <f aca="false">V11*V12</f>
        <v>-2958.75744276082</v>
      </c>
      <c r="W13" s="131" t="n">
        <f aca="false">W11*W12</f>
        <v>-703.949702949725</v>
      </c>
      <c r="X13" s="131" t="n">
        <f aca="false">X11*X12</f>
        <v>-7402.73437157295</v>
      </c>
      <c r="Y13" s="131" t="n">
        <f aca="false">Y11*Y12</f>
        <v>-439.021816738172</v>
      </c>
      <c r="Z13" s="131" t="n">
        <f aca="false">Z11*Z12</f>
        <v>-5364.52967472447</v>
      </c>
      <c r="AA13" s="131" t="n">
        <f aca="false">AA11*AA12</f>
        <v>-975.485128420556</v>
      </c>
      <c r="AB13" s="131" t="n">
        <f aca="false">AB11*AB12</f>
        <v>-7697.66201423209</v>
      </c>
      <c r="AC13" s="131" t="n">
        <f aca="false">AC11*AC12</f>
        <v>2460.05389103158</v>
      </c>
      <c r="AD13" s="131" t="n">
        <f aca="false">AD11*AD12</f>
        <v>2734.18927023698</v>
      </c>
      <c r="AE13" s="131" t="n">
        <f aca="false">AE11*AE12</f>
        <v>3003.20834479054</v>
      </c>
      <c r="AF13" s="131" t="n">
        <f aca="false">AF11*AF12</f>
        <v>2703.23622064054</v>
      </c>
      <c r="AG13" s="131" t="n">
        <f aca="false">AG11*AG12</f>
        <v>2195.82388011849</v>
      </c>
      <c r="AI13" s="131" t="n">
        <f aca="false">SUMIF($F$7:$AG$7,AI$7,$F13:$AG13)</f>
        <v>0</v>
      </c>
      <c r="AJ13" s="131" t="n">
        <f aca="false">SUMIF($F$7:$AG$7,AJ$7,$F13:$AG13)</f>
        <v>0</v>
      </c>
      <c r="AK13" s="131" t="n">
        <f aca="false">SUMIF($F$7:$AG$7,AK$7,$F13:$AG13)</f>
        <v>-4679.8372405572</v>
      </c>
      <c r="AL13" s="131" t="n">
        <f aca="false">SUMIF($F$7:$AG$7,AL$7,$F13:$AG13)</f>
        <v>-24430.8405185849</v>
      </c>
      <c r="AM13" s="131" t="n">
        <f aca="false">SUMIF($F$7:$AG$7,AM$7,$F13:$AG13)</f>
        <v>-11504.4633340217</v>
      </c>
      <c r="AN13" s="131" t="n">
        <f aca="false">SUMIF($F$7:$AG$7,AN$7,$F13:$AG13)</f>
        <v>-11577.6229263455</v>
      </c>
      <c r="AO13" s="131" t="n">
        <f aca="false">SUMIF($F$7:$AG$7,AO$7,$F13:$AG13)</f>
        <v>10636.4577157866</v>
      </c>
    </row>
    <row r="16" customFormat="false" ht="15" hidden="false" customHeight="false" outlineLevel="0" collapsed="false">
      <c r="A16" s="64" t="s">
        <v>2771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customFormat="false" ht="15" hidden="false" customHeight="false" outlineLevel="0" collapsed="false">
      <c r="A17" s="112" t="s">
        <v>2772</v>
      </c>
      <c r="D17" s="24"/>
      <c r="E17" s="45" t="n">
        <f aca="false">IF(TGMode=1,MIN(TGCap,TermRR*TermRONC),TG)</f>
        <v>0.03</v>
      </c>
    </row>
    <row r="18" customFormat="false" ht="15" hidden="false" customHeight="false" outlineLevel="0" collapsed="false">
      <c r="A18" s="112" t="s">
        <v>2773</v>
      </c>
      <c r="D18" s="24"/>
      <c r="E18" s="114" t="n">
        <f aca="false">SUMIF(Q_Yr,2030,PL_Rev)</f>
        <v>40992.9502535623</v>
      </c>
    </row>
    <row r="19" customFormat="false" ht="15" hidden="false" customHeight="false" outlineLevel="0" collapsed="false">
      <c r="A19" s="112" t="s">
        <v>2774</v>
      </c>
      <c r="D19" s="24"/>
      <c r="E19" s="114" t="n">
        <f aca="false">SUMIF(Q_Yr,2030,PL_EBITDA)</f>
        <v>26826.0292130707</v>
      </c>
    </row>
    <row r="20" customFormat="false" ht="15" hidden="false" customHeight="false" outlineLevel="0" collapsed="false">
      <c r="A20" s="112" t="s">
        <v>2775</v>
      </c>
      <c r="D20" s="24"/>
      <c r="E20" s="114" t="n">
        <f aca="false">SUMIF(Q_Yr,2030,PL_DA)</f>
        <v>21800.4998543365</v>
      </c>
    </row>
    <row r="21" customFormat="false" ht="15" hidden="false" customHeight="false" outlineLevel="0" collapsed="false">
      <c r="A21" s="112" t="s">
        <v>2776</v>
      </c>
      <c r="D21" s="24"/>
      <c r="E21" s="37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12" t="s">
        <v>2777</v>
      </c>
      <c r="D22" s="24"/>
      <c r="E22" s="114" t="n">
        <f aca="false">4*INDEX(PL_EBITDA,1,28)</f>
        <v>27820.4007374768</v>
      </c>
    </row>
    <row r="23" customFormat="false" ht="15" hidden="false" customHeight="false" outlineLevel="0" collapsed="false">
      <c r="A23" s="112" t="s">
        <v>2778</v>
      </c>
      <c r="D23" s="24"/>
      <c r="E23" s="114" t="n">
        <f aca="false">IF(TermBase=0,V_EB30,V_EBX*IF(TermBase=1,V_TScale,1))*(1+V_g)</f>
        <v>28655.0127596011</v>
      </c>
    </row>
    <row r="24" customFormat="false" ht="15" hidden="false" customHeight="false" outlineLevel="0" collapsed="false">
      <c r="A24" s="112" t="s">
        <v>2779</v>
      </c>
      <c r="D24" s="24"/>
      <c r="E24" s="114" t="n">
        <f aca="false">IF(TermBase=0,V_DA30-CapIntFix*SUMIF(Q_Yr,2030,Dep_CI),4*(INDEX(PL_DA,1,28)-CapIntFix*INDEX(Dep_CI,1,28))*IF(TermBase=1,V_TScale,1))*(1+V_g)</f>
        <v>22149.4762774452</v>
      </c>
    </row>
    <row r="25" customFormat="false" ht="15" hidden="false" customHeight="false" outlineLevel="0" collapsed="false">
      <c r="A25" s="112" t="s">
        <v>2780</v>
      </c>
      <c r="D25" s="24" t="s">
        <v>2781</v>
      </c>
      <c r="E25" s="114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6" customFormat="false" ht="15" hidden="false" customHeight="false" outlineLevel="0" collapsed="false">
      <c r="A26" s="112" t="s">
        <v>2782</v>
      </c>
      <c r="D26" s="24"/>
      <c r="E26" s="114" t="n">
        <f aca="false">V_GRepl*GPU_Resid*(1-TaxRate)</f>
        <v>2138.580709419</v>
      </c>
    </row>
    <row r="27" customFormat="false" ht="15" hidden="false" customHeight="false" outlineLevel="0" collapsed="false">
      <c r="A27" s="112" t="s">
        <v>2783</v>
      </c>
      <c r="D27" s="24"/>
      <c r="E27" s="114" t="n">
        <f aca="false">SUM(CapShell)/Life_Shell+SUM(CapPow)/Life_Pow+SUMIF(Q_Yr,2030,CapMaint)</f>
        <v>2635.98434257125</v>
      </c>
    </row>
    <row r="28" customFormat="false" ht="15" hidden="false" customHeight="false" outlineLevel="0" collapsed="false">
      <c r="A28" s="112" t="s">
        <v>2784</v>
      </c>
      <c r="D28" s="24"/>
      <c r="E28" s="114" t="n">
        <f aca="false">IF(TGMode=1,IF(TermRONC&gt;0,V_g/TermRONC,0)*V_NOPAT,TG*INDEX(NBV,1,28))</f>
        <v>1140.63030065669</v>
      </c>
    </row>
    <row r="29" customFormat="false" ht="15" hidden="false" customHeight="false" outlineLevel="0" collapsed="false">
      <c r="A29" s="112" t="s">
        <v>2785</v>
      </c>
      <c r="D29" s="24"/>
      <c r="E29" s="114" t="n">
        <f aca="false">(V_GRepl-V_GResid+V_NonGPU)*(1+V_g)+V_GrowCx</f>
        <v>21443.9545217035</v>
      </c>
    </row>
    <row r="30" customFormat="false" ht="15" hidden="false" customHeight="false" outlineLevel="0" collapsed="false">
      <c r="A30" s="3" t="s">
        <v>2786</v>
      </c>
      <c r="D30" s="24"/>
      <c r="E30" s="120" t="n">
        <f aca="false">IF(TermMode=1,IF(ReplPxOn=1,V_CXReq,MAX(V_DAT*MaintRatio,V_CXReq)),V_DAT*MaintRatio)</f>
        <v>22149.4762774452</v>
      </c>
    </row>
    <row r="31" customFormat="false" ht="15" hidden="false" customHeight="false" outlineLevel="0" collapsed="false">
      <c r="A31" s="112" t="s">
        <v>2787</v>
      </c>
      <c r="D31" s="24"/>
      <c r="E31" s="33" t="str">
        <f aca="false">IF(V_CXT&gt;=(V_GRepl-V_GResid)*(1+V_g)-0.01,"OK","FLAG: below GPU replacement")</f>
        <v>OK</v>
      </c>
    </row>
    <row r="32" customFormat="false" ht="15" hidden="false" customHeight="false" outlineLevel="0" collapsed="false">
      <c r="A32" s="112" t="s">
        <v>2788</v>
      </c>
      <c r="D32" s="24"/>
      <c r="E32" s="114" t="n">
        <f aca="false">MAX(0,V_EBT-IF(TermMode=1,IF(ReplPxOn=1,(V_GRepl+V_NonGPU)*(1+V_g),MAX(V_DAT,(V_GRepl+V_NonGPU)*(1+V_g))),V_DAT))*TaxRate</f>
        <v>1586.42920522601</v>
      </c>
    </row>
    <row r="33" customFormat="false" ht="15" hidden="false" customHeight="false" outlineLevel="0" collapsed="false">
      <c r="A33" s="112" t="s">
        <v>2789</v>
      </c>
      <c r="D33" s="24"/>
      <c r="E33" s="114" t="n">
        <f aca="false">IF(TermMode=1,IF(ReplPxOn=1,(V_GRepl+V_NonGPU)*(1+V_g),MAX(V_DAT,(V_GRepl+V_NonGPU)*(1+V_g))),V_DAT)</f>
        <v>22506.0623517484</v>
      </c>
    </row>
    <row r="34" customFormat="false" ht="15" hidden="false" customHeight="false" outlineLevel="0" collapsed="false">
      <c r="A34" s="112" t="s">
        <v>2790</v>
      </c>
      <c r="D34" s="24"/>
      <c r="E34" s="114" t="n">
        <f aca="false">V_EBT-V_Dss-V_TXT</f>
        <v>4562.52120262675</v>
      </c>
    </row>
    <row r="35" customFormat="false" ht="15" hidden="false" customHeight="false" outlineLevel="0" collapsed="false">
      <c r="A35" s="112" t="s">
        <v>2791</v>
      </c>
      <c r="D35" s="24"/>
      <c r="E35" s="29" t="n">
        <f aca="false">IF(V_NOPAT&lt;&gt;0,V_GrowCx/V_NOPAT,0)</f>
        <v>0.25</v>
      </c>
    </row>
    <row r="36" customFormat="false" ht="15" hidden="false" customHeight="false" outlineLevel="0" collapsed="false">
      <c r="A36" s="112" t="s">
        <v>2792</v>
      </c>
      <c r="D36" s="24"/>
      <c r="E36" s="29" t="n">
        <f aca="false">IFERROR(V_NOPAT/INDEX(NBV,1,28),0)</f>
        <v>0.0663294555608965</v>
      </c>
    </row>
    <row r="37" customFormat="false" ht="15" hidden="false" customHeight="false" outlineLevel="0" collapsed="false">
      <c r="A37" s="3" t="s">
        <v>2793</v>
      </c>
      <c r="D37" s="24"/>
      <c r="E37" s="120" t="n">
        <f aca="false">V_EBT-V_TXT-V_CXT</f>
        <v>4919.10727692991</v>
      </c>
    </row>
    <row r="38" customFormat="false" ht="15" hidden="false" customHeight="false" outlineLevel="0" collapsed="false">
      <c r="A38" s="112" t="s">
        <v>2794</v>
      </c>
      <c r="D38" s="24"/>
      <c r="E38" s="114" t="n">
        <f aca="false">V_UFT/(WACC-V_g)</f>
        <v>61488.8409616238</v>
      </c>
    </row>
    <row r="39" customFormat="false" ht="15" hidden="false" customHeight="false" outlineLevel="0" collapsed="false">
      <c r="A39" s="112" t="s">
        <v>2795</v>
      </c>
      <c r="D39" s="24"/>
      <c r="E39" s="114" t="n">
        <f aca="false">V_EBT*ExitMult</f>
        <v>401170.178634416</v>
      </c>
    </row>
    <row r="40" customFormat="false" ht="15" hidden="false" customHeight="false" outlineLevel="0" collapsed="false">
      <c r="A40" s="112" t="s">
        <v>2796</v>
      </c>
      <c r="D40" s="24"/>
      <c r="E40" s="52" t="n">
        <f aca="false">IF(V_EBT&lt;&gt;0,V_TVG/V_EBT,0)</f>
        <v>2.14583191700103</v>
      </c>
    </row>
    <row r="41" customFormat="false" ht="15" hidden="false" customHeight="false" outlineLevel="0" collapsed="false">
      <c r="A41" s="112" t="s">
        <v>2797</v>
      </c>
      <c r="D41" s="24"/>
      <c r="E41" s="27" t="n">
        <f aca="false">IF(V_Rev30&lt;&gt;0,V_EB30/V_Rev30,0)</f>
        <v>0.654405917289144</v>
      </c>
    </row>
    <row r="42" customFormat="false" ht="15" hidden="false" customHeight="false" outlineLevel="0" collapsed="false">
      <c r="A42" s="112" t="s">
        <v>2798</v>
      </c>
      <c r="D42" s="24"/>
      <c r="E42" s="114" t="n">
        <f aca="false">DCFWeight*V_TVG+(1-DCFWeight)*V_TVM</f>
        <v>61488.8409616238</v>
      </c>
    </row>
    <row r="43" customFormat="false" ht="15" hidden="false" customHeight="false" outlineLevel="0" collapsed="false">
      <c r="A43" s="112" t="s">
        <v>2799</v>
      </c>
      <c r="D43" s="24"/>
      <c r="E43" s="114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4" customFormat="false" ht="15" hidden="false" customHeight="false" outlineLevel="0" collapsed="false">
      <c r="A44" s="3" t="s">
        <v>2800</v>
      </c>
      <c r="D44" s="24"/>
      <c r="E44" s="120" t="n">
        <f aca="false">IF(TVFloor=1,MAX(V_TVB,V_TVRO),V_TVB)</f>
        <v>71868.0542492547</v>
      </c>
    </row>
    <row r="45" customFormat="false" ht="15" hidden="false" customHeight="false" outlineLevel="0" collapsed="false">
      <c r="A45" s="112" t="s">
        <v>2801</v>
      </c>
      <c r="D45" s="24"/>
      <c r="E45" s="33" t="str">
        <f aca="false">IF(AND(TVFloor=1,V_TVRO&gt;V_TVB),"RUN-OFF (reinvestment value-destroying)","Going concern")</f>
        <v>RUN-OFF (reinvestment value-destroying)</v>
      </c>
    </row>
    <row r="46" customFormat="false" ht="15" hidden="false" customHeight="false" outlineLevel="0" collapsed="false">
      <c r="A46" s="112" t="s">
        <v>2802</v>
      </c>
      <c r="D46" s="24"/>
      <c r="E46" s="37" t="n">
        <f aca="false">INDEX($F$12:$AG$12,1,28)</f>
        <v>0.64237462945503</v>
      </c>
    </row>
    <row r="47" customFormat="false" ht="15" hidden="false" customHeight="false" outlineLevel="0" collapsed="false">
      <c r="A47" s="112" t="s">
        <v>2803</v>
      </c>
      <c r="D47" s="24"/>
      <c r="E47" s="114" t="n">
        <f aca="false">V_TV*V_DF28</f>
        <v>46166.2147180189</v>
      </c>
    </row>
    <row r="48" customFormat="false" ht="15" hidden="false" customHeight="false" outlineLevel="0" collapsed="false">
      <c r="A48" s="112" t="s">
        <v>2804</v>
      </c>
      <c r="D48" s="24"/>
      <c r="E48" s="114" t="n">
        <f aca="false">SUM($F$13:$AG$13)</f>
        <v>-41556.3063037227</v>
      </c>
    </row>
    <row r="49" customFormat="false" ht="15" hidden="false" customHeight="false" outlineLevel="0" collapsed="false">
      <c r="A49" s="112" t="s">
        <v>2805</v>
      </c>
      <c r="D49" s="24"/>
      <c r="E49" s="114" t="n">
        <f aca="false">INDEX(CF_DRBal,1,28)</f>
        <v>9626.64919661458</v>
      </c>
    </row>
    <row r="50" customFormat="false" ht="15" hidden="false" customHeight="false" outlineLevel="0" collapsed="false">
      <c r="A50" s="112" t="s">
        <v>2806</v>
      </c>
      <c r="D50" s="24"/>
      <c r="E50" s="114" t="n">
        <f aca="false">V_DR30*SUMPRODUCT((ROW($A$1:$A$120)&lt;=MAX(1,ROUND(DR_AmortQ/2,0)))/MAX(1,ROUND(DR_AmortQ/2,0))/(1+WACC)^(ROW($A$1:$A$120)/4))</f>
        <v>8575.56038378005</v>
      </c>
    </row>
    <row r="51" customFormat="false" ht="15" hidden="false" customHeight="false" outlineLevel="0" collapsed="false">
      <c r="A51" s="112" t="s">
        <v>2807</v>
      </c>
      <c r="D51" s="24" t="s">
        <v>2808</v>
      </c>
      <c r="E51" s="114" t="n">
        <f aca="false">-DRTermOn*V_DRPV*V_DF28</f>
        <v>-5508.72242389994</v>
      </c>
    </row>
    <row r="52" customFormat="false" ht="15" hidden="false" customHeight="false" outlineLevel="0" collapsed="false">
      <c r="A52" s="3" t="s">
        <v>2809</v>
      </c>
      <c r="D52" s="24"/>
      <c r="E52" s="120" t="n">
        <f aca="false">V_PVF+V_PVTV+V_DRAdj</f>
        <v>-898.814009603721</v>
      </c>
    </row>
    <row r="53" customFormat="false" ht="15" hidden="false" customHeight="false" outlineLevel="0" collapsed="false">
      <c r="A53" s="112" t="s">
        <v>2810</v>
      </c>
      <c r="D53" s="24" t="s">
        <v>2811</v>
      </c>
      <c r="E53" s="114" t="n">
        <f aca="false">0</f>
        <v>0</v>
      </c>
    </row>
    <row r="54" customFormat="false" ht="15" hidden="false" customHeight="false" outlineLevel="0" collapsed="false">
      <c r="A54" s="112" t="s">
        <v>2812</v>
      </c>
      <c r="D54" s="24" t="s">
        <v>2813</v>
      </c>
      <c r="E54" s="29" t="n">
        <f aca="false">(182.8-106.5)*2/AVERAGE(1577.5,4778.3,5975.2)</f>
        <v>0.0371259427459249</v>
      </c>
    </row>
    <row r="55" customFormat="false" ht="15" hidden="false" customHeight="false" outlineLevel="0" collapsed="false">
      <c r="A55" s="112" t="s">
        <v>2814</v>
      </c>
      <c r="D55" s="24"/>
      <c r="E55" s="27" t="n">
        <f aca="false">IF(V_EV&lt;&gt;0,V_PVTV/V_EV,0)</f>
        <v>-51.3634792345673</v>
      </c>
    </row>
    <row r="56" customFormat="false" ht="15" hidden="false" customHeight="false" outlineLevel="0" collapsed="false">
      <c r="A56" s="112" t="s">
        <v>2815</v>
      </c>
      <c r="D56" s="24" t="s">
        <v>2816</v>
      </c>
      <c r="E56" s="114" t="n">
        <v>-6992.16341447011</v>
      </c>
    </row>
    <row r="57" customFormat="false" ht="15" hidden="false" customHeight="false" outlineLevel="0" collapsed="false">
      <c r="A57" s="112" t="s">
        <v>2817</v>
      </c>
      <c r="D57" s="24"/>
      <c r="E57" s="25" t="n">
        <v>0.01</v>
      </c>
    </row>
    <row r="58" customFormat="false" ht="15" hidden="false" customHeight="false" outlineLevel="0" collapsed="false">
      <c r="A58" s="112" t="s">
        <v>2818</v>
      </c>
      <c r="D58" s="24"/>
      <c r="E58" s="114" t="n">
        <v>-898.814009603721</v>
      </c>
    </row>
    <row r="59" customFormat="false" ht="15" hidden="false" customHeight="false" outlineLevel="0" collapsed="false">
      <c r="A59" s="112" t="s">
        <v>2819</v>
      </c>
      <c r="D59" s="24"/>
      <c r="E59" s="114" t="n">
        <v>125480.859518724</v>
      </c>
    </row>
    <row r="60" customFormat="false" ht="15" hidden="false" customHeight="false" outlineLevel="0" collapsed="false">
      <c r="A60" s="112" t="s">
        <v>2820</v>
      </c>
      <c r="D60" s="24"/>
      <c r="E60" s="114" t="n">
        <v>-34363.0239982634</v>
      </c>
    </row>
    <row r="61" customFormat="false" ht="15" hidden="false" customHeight="false" outlineLevel="0" collapsed="false">
      <c r="A61" s="112" t="s">
        <v>2821</v>
      </c>
      <c r="D61" s="24"/>
      <c r="E61" s="37" t="n">
        <v>0.750319556751226</v>
      </c>
    </row>
    <row r="62" customFormat="false" ht="15" hidden="false" customHeight="false" outlineLevel="0" collapsed="false">
      <c r="A62" s="112" t="s">
        <v>2822</v>
      </c>
      <c r="D62" s="24"/>
      <c r="E62" s="37" t="n">
        <v>0.750319556751226</v>
      </c>
    </row>
    <row r="63" customFormat="false" ht="15" hidden="false" customHeight="false" outlineLevel="0" collapsed="false">
      <c r="A63" s="112" t="s">
        <v>2823</v>
      </c>
      <c r="D63" s="24"/>
      <c r="E63" s="37" t="n">
        <v>0.750319556751226</v>
      </c>
    </row>
    <row r="65" customFormat="false" ht="15" hidden="false" customHeight="false" outlineLevel="0" collapsed="false">
      <c r="A65" s="64" t="s">
        <v>2824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</row>
    <row r="66" customFormat="false" ht="15" hidden="false" customHeight="false" outlineLevel="0" collapsed="false">
      <c r="A66" s="112" t="s">
        <v>2825</v>
      </c>
      <c r="D66" s="24"/>
      <c r="E66" s="26" t="n">
        <f aca="false">MATCH(ValDate,Q_End,1)</f>
        <v>11</v>
      </c>
    </row>
    <row r="67" customFormat="false" ht="15" hidden="false" customHeight="false" outlineLevel="0" collapsed="false">
      <c r="A67" s="112" t="s">
        <v>2826</v>
      </c>
      <c r="D67" s="24"/>
      <c r="E67" s="33" t="str">
        <f aca="false">INDEX(Q_Lab,1,V_Q)</f>
        <v>Q3'26</v>
      </c>
    </row>
    <row r="68" customFormat="false" ht="15" hidden="false" customHeight="false" outlineLevel="0" collapsed="false">
      <c r="A68" s="112" t="s">
        <v>2827</v>
      </c>
      <c r="D68" s="24" t="s">
        <v>2828</v>
      </c>
      <c r="E68" s="114" t="n">
        <f aca="false">INDEX(CF_NetDebt,1,V_Q)</f>
        <v>2084.31927716894</v>
      </c>
    </row>
    <row r="69" customFormat="false" ht="15" hidden="false" customHeight="false" outlineLevel="0" collapsed="false">
      <c r="A69" s="112" t="s">
        <v>2829</v>
      </c>
      <c r="D69" s="24"/>
      <c r="E69" s="114" t="n">
        <f aca="false">(CH_Lo+SOTPPt*(CH_Hi-CH_Lo))*(1-SOTP_Disc)</f>
        <v>2144.1375</v>
      </c>
    </row>
    <row r="70" customFormat="false" ht="15" hidden="false" customHeight="false" outlineLevel="0" collapsed="false">
      <c r="A70" s="112" t="s">
        <v>2830</v>
      </c>
      <c r="D70" s="24"/>
      <c r="E70" s="114" t="n">
        <f aca="false">(TO_Lo+SOTPPt*(TO_Hi-TO_Lo))*(1-SOTP_Disc)</f>
        <v>97.95</v>
      </c>
    </row>
    <row r="71" customFormat="false" ht="15" hidden="false" customHeight="false" outlineLevel="0" collapsed="false">
      <c r="A71" s="112" t="s">
        <v>2831</v>
      </c>
      <c r="D71" s="24"/>
      <c r="E71" s="114" t="n">
        <f aca="false">(AV_Lo+AVPt*(AV_Hi-AV_Lo))*(1-SOTP_Disc)</f>
        <v>0</v>
      </c>
    </row>
    <row r="72" customFormat="false" ht="15" hidden="false" customHeight="false" outlineLevel="0" collapsed="false">
      <c r="A72" s="112" t="s">
        <v>2832</v>
      </c>
      <c r="D72" s="24"/>
      <c r="E72" s="114" t="n">
        <f aca="false">Other_Val*(1-SOTP_Disc)</f>
        <v>12.225</v>
      </c>
    </row>
    <row r="73" customFormat="false" ht="15" hidden="false" customHeight="false" outlineLevel="0" collapsed="false">
      <c r="A73" s="112" t="s">
        <v>2833</v>
      </c>
      <c r="D73" s="24" t="s">
        <v>2834</v>
      </c>
      <c r="E73" s="114" t="n">
        <f aca="false">IF(AND(AVBurnOn=1,V_AV&gt;0),-AVBurnQ*(SUM($F$12:$AG$12)+4*(1+V_g)/(WACC-V_g)*V_DF28),0)</f>
        <v>0</v>
      </c>
    </row>
    <row r="74" customFormat="false" ht="15" hidden="false" customHeight="false" outlineLevel="0" collapsed="false">
      <c r="A74" s="3" t="s">
        <v>2835</v>
      </c>
      <c r="D74" s="24"/>
      <c r="E74" s="120" t="n">
        <f aca="false">V_CH+V_TO+V_AV+V_OT+V_AVAdd</f>
        <v>2254.3125</v>
      </c>
    </row>
    <row r="75" customFormat="false" ht="15" hidden="false" customHeight="false" outlineLevel="0" collapsed="false">
      <c r="A75" s="112" t="s">
        <v>2836</v>
      </c>
      <c r="D75" s="24"/>
      <c r="E75" s="114" t="n">
        <f aca="false">OffBS_Energy+OffBS_Lease+OpLease</f>
        <v>18995</v>
      </c>
    </row>
    <row r="76" customFormat="false" ht="15" hidden="false" customHeight="false" outlineLevel="0" collapsed="false">
      <c r="A76" s="112" t="s">
        <v>2837</v>
      </c>
      <c r="D76" s="24"/>
      <c r="E76" s="39" t="n">
        <f aca="false">INDEX(Sh_Dil,1,V_Q)</f>
        <v>314.925245</v>
      </c>
    </row>
    <row r="78" customFormat="false" ht="15" hidden="false" customHeight="false" outlineLevel="0" collapsed="false">
      <c r="A78" s="64" t="s">
        <v>2838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customFormat="false" ht="15" hidden="false" customHeight="false" outlineLevel="0" collapsed="false">
      <c r="A79" s="3" t="s">
        <v>2839</v>
      </c>
      <c r="E79" s="3" t="s">
        <v>2840</v>
      </c>
      <c r="F79" s="3" t="s">
        <v>2617</v>
      </c>
      <c r="G79" s="3" t="s">
        <v>2841</v>
      </c>
      <c r="H79" s="3" t="s">
        <v>2842</v>
      </c>
      <c r="I79" s="3" t="s">
        <v>2843</v>
      </c>
      <c r="J79" s="3" t="s">
        <v>2844</v>
      </c>
      <c r="K79" s="3" t="s">
        <v>2477</v>
      </c>
      <c r="L79" s="3" t="s">
        <v>2845</v>
      </c>
      <c r="M79" s="3" t="s">
        <v>2846</v>
      </c>
      <c r="N79" s="3" t="s">
        <v>2847</v>
      </c>
      <c r="O79" s="3" t="s">
        <v>2848</v>
      </c>
      <c r="P79" s="3" t="s">
        <v>2849</v>
      </c>
      <c r="Q79" s="3" t="s">
        <v>2850</v>
      </c>
      <c r="R79" s="3" t="s">
        <v>2851</v>
      </c>
      <c r="S79" s="3" t="s">
        <v>2852</v>
      </c>
      <c r="T79" s="3" t="s">
        <v>2853</v>
      </c>
    </row>
    <row r="80" customFormat="false" ht="15" hidden="false" customHeight="false" outlineLevel="0" collapsed="false">
      <c r="A80" s="0" t="s">
        <v>2482</v>
      </c>
      <c r="E80" s="39" t="n">
        <f aca="false">INDEX(CVo_0,1,V_Q)</f>
        <v>87.5</v>
      </c>
      <c r="F80" s="39" t="n">
        <f aca="false">IF(CVDebtBasis=3,INDEX(CVc_0,1,V_Q),INDEX(CVb_0,1,V_Q))</f>
        <v>91.5428546743205</v>
      </c>
      <c r="G80" s="56" t="n">
        <f aca="false">INDEX(CV_Rate,1)</f>
        <v>19.4363</v>
      </c>
      <c r="H80" s="25" t="n">
        <f aca="false">INDEX(CV_Px,1)</f>
        <v>51.4501216795378</v>
      </c>
      <c r="I80" s="39" t="n">
        <f aca="false">INDEX(CVo_0,1,FP_PostQ)</f>
        <v>0</v>
      </c>
      <c r="J80" s="39" t="n">
        <f aca="false">IF(CVDebtBasis=3,INDEX(CVc_0,1,FP_PostQ),INDEX(CVb_0,1,FP_PostQ))</f>
        <v>0</v>
      </c>
      <c r="K80" s="26" t="n">
        <f aca="false">Financing!$N$12</f>
        <v>22</v>
      </c>
      <c r="L80" s="26" t="n">
        <f aca="false">IF(AND(K80&gt;V_Q,K80&lt;=FP_PostQ),1,0)</f>
        <v>1</v>
      </c>
      <c r="M80" s="39" t="n">
        <f aca="false">INDEX(CVo_0,1,MAX(1,MIN(28,K80-1)))</f>
        <v>87.5</v>
      </c>
      <c r="N80" s="25" t="n">
        <f aca="false">Financing!$L$12*Financing!$J$12</f>
        <v>60.4538929734569</v>
      </c>
      <c r="O80" s="26" t="n">
        <f aca="false">0</f>
        <v>0</v>
      </c>
      <c r="P80" s="26" t="n">
        <f aca="false">Financing!$O$12</f>
        <v>1</v>
      </c>
      <c r="Q80" s="37" t="n">
        <f aca="false">Financing!$J$12</f>
        <v>1.175</v>
      </c>
      <c r="R80" s="25" t="n">
        <f aca="false">IF(O80=1,1000000000,H80)</f>
        <v>51.4501216795378</v>
      </c>
      <c r="S80" s="39" t="n">
        <f aca="false">Financing!$E$12*O80</f>
        <v>0</v>
      </c>
      <c r="T80" s="27" t="n">
        <f aca="false">IF(O80=1,H80/FP_RefPx-1,0)</f>
        <v>0</v>
      </c>
    </row>
    <row r="81" customFormat="false" ht="15" hidden="false" customHeight="false" outlineLevel="0" collapsed="false">
      <c r="A81" s="0" t="s">
        <v>2485</v>
      </c>
      <c r="E81" s="39" t="n">
        <f aca="false">INDEX(CVo_1,1,V_Q)</f>
        <v>87.5</v>
      </c>
      <c r="F81" s="39" t="n">
        <f aca="false">IF(CVDebtBasis=3,INDEX(CVc_1,1,V_Q),INDEX(CVb_1,1,V_Q))</f>
        <v>90.3641810308848</v>
      </c>
      <c r="G81" s="56" t="n">
        <f aca="false">INDEX(CV_Rate,2)</f>
        <v>19.4363</v>
      </c>
      <c r="H81" s="25" t="n">
        <f aca="false">INDEX(CV_Px,2)</f>
        <v>51.4501216795378</v>
      </c>
      <c r="I81" s="39" t="n">
        <f aca="false">INDEX(CVo_1,1,FP_PostQ)</f>
        <v>87.5</v>
      </c>
      <c r="J81" s="39" t="n">
        <f aca="false">IF(CVDebtBasis=3,INDEX(CVc_1,1,FP_PostQ),INDEX(CVb_1,1,FP_PostQ))</f>
        <v>105.68770851419</v>
      </c>
      <c r="K81" s="26" t="n">
        <f aca="false">Financing!$N$13</f>
        <v>29</v>
      </c>
      <c r="L81" s="26" t="n">
        <f aca="false">IF(AND(K81&gt;V_Q,K81&lt;=FP_PostQ),1,0)</f>
        <v>0</v>
      </c>
      <c r="M81" s="39" t="n">
        <f aca="false">INDEX(CVo_1,1,MAX(1,MIN(28,K81-1)))</f>
        <v>87.5</v>
      </c>
      <c r="N81" s="25" t="n">
        <f aca="false">Financing!$L$13*Financing!$J$13</f>
        <v>63.0263990574338</v>
      </c>
      <c r="O81" s="26" t="n">
        <f aca="false">0</f>
        <v>0</v>
      </c>
      <c r="P81" s="26" t="n">
        <f aca="false">Financing!$O$13</f>
        <v>1</v>
      </c>
      <c r="Q81" s="37" t="n">
        <f aca="false">Financing!$J$13</f>
        <v>1.225</v>
      </c>
      <c r="R81" s="25" t="n">
        <f aca="false">IF(O81=1,1000000000,H81)</f>
        <v>51.4501216795378</v>
      </c>
      <c r="S81" s="39" t="n">
        <f aca="false">Financing!$E$13*O81</f>
        <v>0</v>
      </c>
      <c r="T81" s="27" t="n">
        <f aca="false">IF(O81=1,H81/FP_RefPx-1,0)</f>
        <v>0</v>
      </c>
    </row>
    <row r="82" customFormat="false" ht="15" hidden="false" customHeight="false" outlineLevel="0" collapsed="false">
      <c r="A82" s="0" t="s">
        <v>2487</v>
      </c>
      <c r="E82" s="39" t="n">
        <f aca="false">INDEX(CVo_2,1,V_Q)</f>
        <v>1581.25</v>
      </c>
      <c r="F82" s="39" t="n">
        <f aca="false">IF(CVDebtBasis=3,INDEX(CVc_2,1,V_Q),INDEX(CVb_2,1,V_Q))</f>
        <v>1601.9719522513</v>
      </c>
      <c r="G82" s="56" t="n">
        <f aca="false">INDEX(CV_Rate,3)</f>
        <v>7.2072</v>
      </c>
      <c r="H82" s="25" t="n">
        <f aca="false">INDEX(CV_Px,3)</f>
        <v>138.750138750139</v>
      </c>
      <c r="I82" s="39" t="n">
        <f aca="false">INDEX(CVo_2,1,FP_PostQ)</f>
        <v>0</v>
      </c>
      <c r="J82" s="39" t="n">
        <f aca="false">IF(CVDebtBasis=3,INDEX(CVc_2,1,FP_PostQ),INDEX(CVb_2,1,FP_PostQ))</f>
        <v>0</v>
      </c>
      <c r="K82" s="26" t="n">
        <f aca="false">Financing!$N$14</f>
        <v>27</v>
      </c>
      <c r="L82" s="26" t="n">
        <f aca="false">IF(AND(K82&gt;V_Q,K82&lt;=FP_PostQ),1,0)</f>
        <v>1</v>
      </c>
      <c r="M82" s="39" t="n">
        <f aca="false">INDEX(CVo_2,1,MAX(1,MIN(28,K82-1)))</f>
        <v>1581.25</v>
      </c>
      <c r="N82" s="25" t="n">
        <f aca="false">Financing!$L$14*Financing!$J$14</f>
        <v>159.56265956266</v>
      </c>
      <c r="O82" s="26" t="n">
        <f aca="false">0</f>
        <v>0</v>
      </c>
      <c r="P82" s="26" t="n">
        <f aca="false">Financing!$O$14</f>
        <v>1</v>
      </c>
      <c r="Q82" s="37" t="n">
        <f aca="false">Financing!$J$14</f>
        <v>1.15</v>
      </c>
      <c r="R82" s="25" t="n">
        <f aca="false">IF(O82=1,1000000000,H82)</f>
        <v>138.750138750139</v>
      </c>
      <c r="S82" s="39" t="n">
        <f aca="false">Financing!$E$14*O82</f>
        <v>0</v>
      </c>
      <c r="T82" s="27" t="n">
        <f aca="false">IF(O82=1,H82/FP_RefPx-1,0)</f>
        <v>0</v>
      </c>
    </row>
    <row r="83" customFormat="false" ht="15" hidden="false" customHeight="false" outlineLevel="0" collapsed="false">
      <c r="A83" s="0" t="s">
        <v>2489</v>
      </c>
      <c r="E83" s="39" t="n">
        <f aca="false">INDEX(CVo_3,1,V_Q)</f>
        <v>1581.25</v>
      </c>
      <c r="F83" s="39" t="n">
        <f aca="false">IF(CVDebtBasis=3,INDEX(CVc_3,1,V_Q),INDEX(CVb_3,1,V_Q))</f>
        <v>1584.8698840541</v>
      </c>
      <c r="G83" s="56" t="n">
        <f aca="false">INDEX(CV_Rate,4)</f>
        <v>7.2072</v>
      </c>
      <c r="H83" s="25" t="n">
        <f aca="false">INDEX(CV_Px,4)</f>
        <v>138.750138750139</v>
      </c>
      <c r="I83" s="39" t="n">
        <f aca="false">INDEX(CVo_3,1,FP_PostQ)</f>
        <v>1581.25</v>
      </c>
      <c r="J83" s="39" t="n">
        <f aca="false">IF(CVDebtBasis=3,INDEX(CVc_3,1,FP_PostQ),INDEX(CVb_3,1,FP_PostQ))</f>
        <v>1751.48931793742</v>
      </c>
      <c r="K83" s="26" t="n">
        <f aca="false">Financing!$N$15</f>
        <v>29</v>
      </c>
      <c r="L83" s="26" t="n">
        <f aca="false">IF(AND(K83&gt;V_Q,K83&lt;=FP_PostQ),1,0)</f>
        <v>0</v>
      </c>
      <c r="M83" s="39" t="n">
        <f aca="false">INDEX(CVo_3,1,MAX(1,MIN(28,K83-1)))</f>
        <v>1581.25</v>
      </c>
      <c r="N83" s="25" t="n">
        <f aca="false">Financing!$L$15*Financing!$J$15</f>
        <v>159.56265956266</v>
      </c>
      <c r="O83" s="26" t="n">
        <f aca="false">0</f>
        <v>0</v>
      </c>
      <c r="P83" s="26" t="n">
        <f aca="false">Financing!$O$15</f>
        <v>1</v>
      </c>
      <c r="Q83" s="37" t="n">
        <f aca="false">Financing!$J$15</f>
        <v>1.15</v>
      </c>
      <c r="R83" s="25" t="n">
        <f aca="false">IF(O83=1,1000000000,H83)</f>
        <v>138.750138750139</v>
      </c>
      <c r="S83" s="39" t="n">
        <f aca="false">Financing!$E$15*O83</f>
        <v>0</v>
      </c>
      <c r="T83" s="27" t="n">
        <f aca="false">IF(O83=1,H83/FP_RefPx-1,0)</f>
        <v>0</v>
      </c>
    </row>
    <row r="84" customFormat="false" ht="15" hidden="false" customHeight="false" outlineLevel="0" collapsed="false">
      <c r="A84" s="0" t="s">
        <v>2490</v>
      </c>
      <c r="E84" s="39" t="n">
        <f aca="false">INDEX(CVo_4,1,V_Q)</f>
        <v>2587.5</v>
      </c>
      <c r="F84" s="39" t="n">
        <f aca="false">IF(CVDebtBasis=3,INDEX(CVc_4,1,V_Q),INDEX(CVb_4,1,V_Q))</f>
        <v>2616.23716786649</v>
      </c>
      <c r="G84" s="56" t="n">
        <f aca="false">INDEX(CV_Rate,5)</f>
        <v>5.4579</v>
      </c>
      <c r="H84" s="25" t="n">
        <f aca="false">INDEX(CV_Px,5)</f>
        <v>183.220652631965</v>
      </c>
      <c r="I84" s="39" t="n">
        <f aca="false">INDEX(CVo_4,1,FP_PostQ)</f>
        <v>2587.5</v>
      </c>
      <c r="J84" s="39" t="n">
        <f aca="false">IF(CVDebtBasis=3,INDEX(CVc_4,1,FP_PostQ),INDEX(CVb_4,1,FP_PostQ))</f>
        <v>3082.76985274869</v>
      </c>
      <c r="K84" s="26" t="n">
        <f aca="false">Financing!$N$16</f>
        <v>29</v>
      </c>
      <c r="L84" s="26" t="n">
        <f aca="false">IF(AND(K84&gt;V_Q,K84&lt;=FP_PostQ),1,0)</f>
        <v>0</v>
      </c>
      <c r="M84" s="39" t="n">
        <f aca="false">INDEX(CVo_4,1,MAX(1,MIN(28,K84-1)))</f>
        <v>2587.5</v>
      </c>
      <c r="N84" s="25" t="n">
        <f aca="false">Financing!$L$16*Financing!$J$16</f>
        <v>219.864783158358</v>
      </c>
      <c r="O84" s="26" t="n">
        <f aca="false">0</f>
        <v>0</v>
      </c>
      <c r="P84" s="26" t="n">
        <f aca="false">Financing!$O$16</f>
        <v>1</v>
      </c>
      <c r="Q84" s="37" t="n">
        <f aca="false">Financing!$J$16</f>
        <v>1.2</v>
      </c>
      <c r="R84" s="25" t="n">
        <f aca="false">IF(O84=1,1000000000,H84)</f>
        <v>183.220652631965</v>
      </c>
      <c r="S84" s="39" t="n">
        <f aca="false">Financing!$E$16*O84</f>
        <v>0</v>
      </c>
      <c r="T84" s="27" t="n">
        <f aca="false">IF(O84=1,H84/FP_RefPx-1,0)</f>
        <v>0</v>
      </c>
    </row>
    <row r="85" customFormat="false" ht="15" hidden="false" customHeight="false" outlineLevel="0" collapsed="false">
      <c r="A85" s="0" t="s">
        <v>2492</v>
      </c>
      <c r="E85" s="39" t="n">
        <f aca="false">INDEX(CVo_5,1,V_Q)</f>
        <v>1750</v>
      </c>
      <c r="F85" s="39" t="n">
        <f aca="false">IF(CVDebtBasis=3,INDEX(CVc_5,1,V_Q),INDEX(CVb_5,1,V_Q))</f>
        <v>1758.04115571429</v>
      </c>
      <c r="G85" s="56" t="n">
        <f aca="false">INDEX(CV_Rate,6)</f>
        <v>5.546</v>
      </c>
      <c r="H85" s="25" t="n">
        <f aca="false">INDEX(CV_Px,6)</f>
        <v>180.310133429499</v>
      </c>
      <c r="I85" s="39" t="n">
        <f aca="false">INDEX(CVo_5,1,FP_PostQ)</f>
        <v>1750</v>
      </c>
      <c r="J85" s="39" t="n">
        <f aca="false">IF(CVDebtBasis=3,INDEX(CVc_5,1,FP_PostQ),INDEX(CVb_5,1,FP_PostQ))</f>
        <v>1983.258325</v>
      </c>
      <c r="K85" s="26" t="n">
        <f aca="false">Financing!$N$17</f>
        <v>29</v>
      </c>
      <c r="L85" s="26" t="n">
        <f aca="false">IF(AND(K85&gt;V_Q,K85&lt;=FP_PostQ),1,0)</f>
        <v>0</v>
      </c>
      <c r="M85" s="39" t="n">
        <f aca="false">INDEX(CVo_5,1,MAX(1,MIN(28,K85-1)))</f>
        <v>1750</v>
      </c>
      <c r="N85" s="25" t="n">
        <f aca="false">Financing!$L$17*Financing!$J$17</f>
        <v>216.372160115399</v>
      </c>
      <c r="O85" s="26" t="n">
        <f aca="false">0</f>
        <v>0</v>
      </c>
      <c r="P85" s="26" t="n">
        <f aca="false">Financing!$O$17</f>
        <v>1</v>
      </c>
      <c r="Q85" s="37" t="n">
        <f aca="false">Financing!$J$17</f>
        <v>1.2</v>
      </c>
      <c r="R85" s="25" t="n">
        <f aca="false">IF(O85=1,1000000000,H85)</f>
        <v>180.310133429499</v>
      </c>
      <c r="S85" s="39" t="n">
        <f aca="false">Financing!$E$17*O85</f>
        <v>0</v>
      </c>
      <c r="T85" s="27" t="n">
        <f aca="false">IF(O85=1,H85/FP_RefPx-1,0)</f>
        <v>0</v>
      </c>
    </row>
    <row r="86" customFormat="false" ht="15" hidden="false" customHeight="false" outlineLevel="0" collapsed="false">
      <c r="A86" s="0" t="s">
        <v>2494</v>
      </c>
      <c r="E86" s="39" t="n">
        <f aca="false">INDEX(CVo_6,1,V_Q)</f>
        <v>3450</v>
      </c>
      <c r="F86" s="39" t="n">
        <f aca="false">IF(CVDebtBasis=3,INDEX(CVc_6,1,V_Q),INDEX(CVb_6,1,V_Q))</f>
        <v>3460.04327301338</v>
      </c>
      <c r="G86" s="56" t="n">
        <f aca="false">INDEX(CV_Rate,7)</f>
        <v>3.1902</v>
      </c>
      <c r="H86" s="25" t="n">
        <f aca="false">INDEX(CV_Px,7)</f>
        <v>313.459971161683</v>
      </c>
      <c r="I86" s="39" t="n">
        <f aca="false">INDEX(CVo_6,1,FP_PostQ)</f>
        <v>0</v>
      </c>
      <c r="J86" s="39" t="n">
        <f aca="false">IF(CVDebtBasis=3,INDEX(CVc_6,1,FP_PostQ),INDEX(CVb_6,1,FP_PostQ))</f>
        <v>0</v>
      </c>
      <c r="K86" s="26" t="n">
        <f aca="false">Financing!$N$18</f>
        <v>25</v>
      </c>
      <c r="L86" s="26" t="n">
        <f aca="false">IF(AND(K86&gt;V_Q,K86&lt;=FP_PostQ),1,0)</f>
        <v>1</v>
      </c>
      <c r="M86" s="39" t="n">
        <f aca="false">INDEX(CVo_6,1,MAX(1,MIN(28,K86-1)))</f>
        <v>3450</v>
      </c>
      <c r="N86" s="25" t="n">
        <f aca="false">Financing!$L$18*Financing!$J$18</f>
        <v>344.805968277851</v>
      </c>
      <c r="O86" s="26" t="n">
        <f aca="false">0</f>
        <v>0</v>
      </c>
      <c r="P86" s="26" t="n">
        <f aca="false">Financing!$O$18</f>
        <v>0</v>
      </c>
      <c r="Q86" s="37" t="n">
        <f aca="false">Financing!$J$18</f>
        <v>1.1</v>
      </c>
      <c r="R86" s="25" t="n">
        <f aca="false">IF(O86=1,1000000000,H86)</f>
        <v>313.459971161683</v>
      </c>
      <c r="S86" s="39" t="n">
        <f aca="false">Financing!$E$18*O86</f>
        <v>0</v>
      </c>
      <c r="T86" s="27" t="n">
        <f aca="false">IF(O86=1,H86/FP_RefPx-1,0)</f>
        <v>0</v>
      </c>
    </row>
    <row r="87" customFormat="false" ht="15" hidden="false" customHeight="false" outlineLevel="0" collapsed="false">
      <c r="A87" s="0" t="s">
        <v>2496</v>
      </c>
      <c r="E87" s="39" t="n">
        <f aca="false">INDEX(CVo_7,1,V_Q)</f>
        <v>2300</v>
      </c>
      <c r="F87" s="39" t="n">
        <f aca="false">IF(CVDebtBasis=3,INDEX(CVc_7,1,V_Q),INDEX(CVb_7,1,V_Q))</f>
        <v>2307.78733528551</v>
      </c>
      <c r="G87" s="56" t="n">
        <f aca="false">INDEX(CV_Rate,8)</f>
        <v>3.0802</v>
      </c>
      <c r="H87" s="25" t="n">
        <f aca="false">INDEX(CV_Px,8)</f>
        <v>324.654243230959</v>
      </c>
      <c r="I87" s="39" t="n">
        <f aca="false">INDEX(CVo_7,1,FP_PostQ)</f>
        <v>2300</v>
      </c>
      <c r="J87" s="39" t="n">
        <f aca="false">IF(CVDebtBasis=3,INDEX(CVc_7,1,FP_PostQ),INDEX(CVb_7,1,FP_PostQ))</f>
        <v>2634.64494875549</v>
      </c>
      <c r="K87" s="26" t="n">
        <f aca="false">Financing!$N$19</f>
        <v>29</v>
      </c>
      <c r="L87" s="26" t="n">
        <f aca="false">IF(AND(K87&gt;V_Q,K87&lt;=FP_PostQ),1,0)</f>
        <v>0</v>
      </c>
      <c r="M87" s="39" t="n">
        <f aca="false">INDEX(CVo_7,1,MAX(1,MIN(28,K87-1)))</f>
        <v>2300</v>
      </c>
      <c r="N87" s="25" t="n">
        <f aca="false">Financing!$L$19*Financing!$J$19</f>
        <v>405.817804038699</v>
      </c>
      <c r="O87" s="26" t="n">
        <f aca="false">0</f>
        <v>0</v>
      </c>
      <c r="P87" s="26" t="n">
        <f aca="false">Financing!$O$19</f>
        <v>0</v>
      </c>
      <c r="Q87" s="37" t="n">
        <f aca="false">Financing!$J$19</f>
        <v>1.25</v>
      </c>
      <c r="R87" s="25" t="n">
        <f aca="false">IF(O87=1,1000000000,H87)</f>
        <v>324.654243230959</v>
      </c>
      <c r="S87" s="39" t="n">
        <f aca="false">Financing!$E$19*O87</f>
        <v>0</v>
      </c>
      <c r="T87" s="27" t="n">
        <f aca="false">IF(O87=1,H87/FP_RefPx-1,0)</f>
        <v>0</v>
      </c>
    </row>
    <row r="88" customFormat="false" ht="15" hidden="false" customHeight="false" outlineLevel="0" collapsed="false">
      <c r="A88" s="0" t="s">
        <v>2498</v>
      </c>
      <c r="E88" s="39" t="n">
        <f aca="false">INDEX(CVo_8,1,V_Q)</f>
        <v>0</v>
      </c>
      <c r="F88" s="39" t="n">
        <f aca="false">IF(CVDebtBasis=3,INDEX(CVc_8,1,V_Q),INDEX(CVb_8,1,V_Q))</f>
        <v>0</v>
      </c>
      <c r="G88" s="56" t="n">
        <f aca="false">INDEX(CV_Rate,9)</f>
        <v>2.94174751569422</v>
      </c>
      <c r="H88" s="25" t="n">
        <f aca="false">INDEX(CV_Px,9)</f>
        <v>339.934</v>
      </c>
      <c r="I88" s="39" t="n">
        <f aca="false">INDEX(CVo_8,1,FP_PostQ)</f>
        <v>0</v>
      </c>
      <c r="J88" s="39" t="n">
        <f aca="false">IF(CVDebtBasis=3,INDEX(CVc_8,1,FP_PostQ),INDEX(CVb_8,1,FP_PostQ))</f>
        <v>0</v>
      </c>
      <c r="K88" s="26" t="n">
        <f aca="false">Financing!$N$20</f>
        <v>27</v>
      </c>
      <c r="L88" s="26" t="n">
        <f aca="false">IF(AND(K88&gt;V_Q,K88&lt;=FP_PostQ),1,0)</f>
        <v>1</v>
      </c>
      <c r="M88" s="39" t="n">
        <f aca="false">INDEX(CVo_8,1,MAX(1,MIN(28,K88-1)))</f>
        <v>3840</v>
      </c>
      <c r="N88" s="25" t="n">
        <f aca="false">Financing!$L$20*Financing!$J$20</f>
        <v>373.9274</v>
      </c>
      <c r="O88" s="26" t="n">
        <f aca="false">1</f>
        <v>1</v>
      </c>
      <c r="P88" s="26" t="n">
        <f aca="false">Financing!$O$20</f>
        <v>0</v>
      </c>
      <c r="Q88" s="37" t="n">
        <f aca="false">Financing!$J$20</f>
        <v>1.1</v>
      </c>
      <c r="R88" s="25" t="n">
        <f aca="false">IF(O88=1,1000000000,H88)</f>
        <v>1000000000</v>
      </c>
      <c r="S88" s="39" t="n">
        <f aca="false">Financing!$E$20*O88</f>
        <v>3840</v>
      </c>
      <c r="T88" s="27" t="n">
        <f aca="false">IF(O88=1,H88/FP_RefPx-1,0)</f>
        <v>0.4</v>
      </c>
    </row>
    <row r="89" customFormat="false" ht="15" hidden="false" customHeight="false" outlineLevel="0" collapsed="false">
      <c r="A89" s="0" t="s">
        <v>2500</v>
      </c>
      <c r="E89" s="39" t="n">
        <f aca="false">INDEX(CVo_9,1,V_Q)</f>
        <v>0</v>
      </c>
      <c r="F89" s="39" t="n">
        <f aca="false">IF(CVDebtBasis=3,INDEX(CVc_9,1,V_Q),INDEX(CVb_9,1,V_Q))</f>
        <v>0</v>
      </c>
      <c r="G89" s="56" t="n">
        <f aca="false">INDEX(CV_Rate,10)</f>
        <v>2.84030794618753</v>
      </c>
      <c r="H89" s="25" t="n">
        <f aca="false">INDEX(CV_Px,10)</f>
        <v>352.0745</v>
      </c>
      <c r="I89" s="39" t="n">
        <f aca="false">INDEX(CVo_9,1,FP_PostQ)</f>
        <v>2560</v>
      </c>
      <c r="J89" s="39" t="n">
        <f aca="false">IF(CVDebtBasis=3,INDEX(CVc_9,1,FP_PostQ),INDEX(CVb_9,1,FP_PostQ))</f>
        <v>2890.98612125639</v>
      </c>
      <c r="K89" s="26" t="n">
        <f aca="false">Financing!$N$21</f>
        <v>29</v>
      </c>
      <c r="L89" s="26" t="n">
        <f aca="false">IF(AND(K89&gt;V_Q,K89&lt;=FP_PostQ),1,0)</f>
        <v>0</v>
      </c>
      <c r="M89" s="39" t="n">
        <f aca="false">INDEX(CVo_9,1,MAX(1,MIN(28,K89-1)))</f>
        <v>2560</v>
      </c>
      <c r="N89" s="25" t="n">
        <f aca="false">Financing!$L$21*Financing!$J$21</f>
        <v>440.093125</v>
      </c>
      <c r="O89" s="26" t="n">
        <f aca="false">1</f>
        <v>1</v>
      </c>
      <c r="P89" s="26" t="n">
        <f aca="false">Financing!$O$21</f>
        <v>0</v>
      </c>
      <c r="Q89" s="37" t="n">
        <f aca="false">Financing!$J$21</f>
        <v>1.25</v>
      </c>
      <c r="R89" s="25" t="n">
        <f aca="false">IF(O89=1,1000000000,H89)</f>
        <v>1000000000</v>
      </c>
      <c r="S89" s="39" t="n">
        <f aca="false">Financing!$E$21*O89</f>
        <v>2560</v>
      </c>
      <c r="T89" s="27" t="n">
        <f aca="false">IF(O89=1,H89/FP_RefPx-1,0)</f>
        <v>0.45</v>
      </c>
    </row>
    <row r="90" customFormat="false" ht="15" hidden="false" customHeight="false" outlineLevel="0" collapsed="false">
      <c r="A90" s="0" t="s">
        <v>2501</v>
      </c>
      <c r="E90" s="39" t="n">
        <f aca="false">INDEX(CVo_10,1,V_Q)</f>
        <v>0</v>
      </c>
      <c r="F90" s="39" t="n">
        <f aca="false">IF(CVDebtBasis=3,INDEX(CVc_10,1,V_Q),INDEX(CVb_10,1,V_Q))</f>
        <v>0</v>
      </c>
      <c r="G90" s="56" t="n">
        <f aca="false">INDEX(CV_Rate,11)</f>
        <v>2.94174751569422</v>
      </c>
      <c r="H90" s="25" t="n">
        <f aca="false">INDEX(CV_Px,11)</f>
        <v>339.934</v>
      </c>
      <c r="I90" s="39" t="n">
        <f aca="false">INDEX(CVo_10,1,FP_PostQ)</f>
        <v>3840</v>
      </c>
      <c r="J90" s="39" t="n">
        <f aca="false">IF(CVDebtBasis=3,INDEX(CVc_10,1,FP_PostQ),INDEX(CVb_10,1,FP_PostQ))</f>
        <v>4210.5</v>
      </c>
      <c r="K90" s="26" t="n">
        <f aca="false">Financing!$N$22</f>
        <v>29</v>
      </c>
      <c r="L90" s="26" t="n">
        <f aca="false">IF(AND(K90&gt;V_Q,K90&lt;=FP_PostQ),1,0)</f>
        <v>0</v>
      </c>
      <c r="M90" s="39" t="n">
        <f aca="false">INDEX(CVo_10,1,MAX(1,MIN(28,K90-1)))</f>
        <v>3840</v>
      </c>
      <c r="N90" s="25" t="n">
        <f aca="false">Financing!$L$22*Financing!$J$22</f>
        <v>373.9274</v>
      </c>
      <c r="O90" s="26" t="n">
        <f aca="false">1</f>
        <v>1</v>
      </c>
      <c r="P90" s="26" t="n">
        <f aca="false">Financing!$O$22</f>
        <v>0</v>
      </c>
      <c r="Q90" s="37" t="n">
        <f aca="false">Financing!$J$22</f>
        <v>1.1</v>
      </c>
      <c r="R90" s="25" t="n">
        <f aca="false">IF(O90=1,1000000000,H90)</f>
        <v>1000000000</v>
      </c>
      <c r="S90" s="39" t="n">
        <f aca="false">Financing!$E$22*O90</f>
        <v>3840</v>
      </c>
      <c r="T90" s="27" t="n">
        <f aca="false">IF(O90=1,H90/FP_RefPx-1,0)</f>
        <v>0.4</v>
      </c>
    </row>
    <row r="91" customFormat="false" ht="15" hidden="false" customHeight="false" outlineLevel="0" collapsed="false">
      <c r="A91" s="0" t="s">
        <v>2502</v>
      </c>
      <c r="E91" s="39" t="n">
        <f aca="false">INDEX(CVo_11,1,V_Q)</f>
        <v>0</v>
      </c>
      <c r="F91" s="39" t="n">
        <f aca="false">IF(CVDebtBasis=3,INDEX(CVc_11,1,V_Q),INDEX(CVb_11,1,V_Q))</f>
        <v>0</v>
      </c>
      <c r="G91" s="56" t="n">
        <f aca="false">INDEX(CV_Rate,12)</f>
        <v>2.84030794618753</v>
      </c>
      <c r="H91" s="25" t="n">
        <f aca="false">INDEX(CV_Px,12)</f>
        <v>352.0745</v>
      </c>
      <c r="I91" s="39" t="n">
        <f aca="false">INDEX(CVo_11,1,FP_PostQ)</f>
        <v>2560</v>
      </c>
      <c r="J91" s="39" t="n">
        <f aca="false">IF(CVDebtBasis=3,INDEX(CVc_11,1,FP_PostQ),INDEX(CVb_11,1,FP_PostQ))</f>
        <v>2848.36191171105</v>
      </c>
      <c r="K91" s="26" t="n">
        <f aca="false">Financing!$N$23</f>
        <v>29</v>
      </c>
      <c r="L91" s="26" t="n">
        <f aca="false">IF(AND(K91&gt;V_Q,K91&lt;=FP_PostQ),1,0)</f>
        <v>0</v>
      </c>
      <c r="M91" s="39" t="n">
        <f aca="false">INDEX(CVo_11,1,MAX(1,MIN(28,K91-1)))</f>
        <v>2560</v>
      </c>
      <c r="N91" s="25" t="n">
        <f aca="false">Financing!$L$23*Financing!$J$23</f>
        <v>440.093125</v>
      </c>
      <c r="O91" s="26" t="n">
        <f aca="false">1</f>
        <v>1</v>
      </c>
      <c r="P91" s="26" t="n">
        <f aca="false">Financing!$O$23</f>
        <v>0</v>
      </c>
      <c r="Q91" s="37" t="n">
        <f aca="false">Financing!$J$23</f>
        <v>1.25</v>
      </c>
      <c r="R91" s="25" t="n">
        <f aca="false">IF(O91=1,1000000000,H91)</f>
        <v>1000000000</v>
      </c>
      <c r="S91" s="39" t="n">
        <f aca="false">Financing!$E$23*O91</f>
        <v>2560</v>
      </c>
      <c r="T91" s="27" t="n">
        <f aca="false">IF(O91=1,H91/FP_RefPx-1,0)</f>
        <v>0.45</v>
      </c>
    </row>
    <row r="92" customFormat="false" ht="15" hidden="false" customHeight="false" outlineLevel="0" collapsed="false">
      <c r="A92" s="112" t="s">
        <v>2854</v>
      </c>
      <c r="D92" s="24"/>
      <c r="E92" s="114" t="n">
        <f aca="false">INDEX(CF_Cash,1,V_Q)</f>
        <v>11534.2630996318</v>
      </c>
    </row>
    <row r="93" customFormat="false" ht="15" hidden="false" customHeight="false" outlineLevel="0" collapsed="false">
      <c r="A93" s="112" t="s">
        <v>2855</v>
      </c>
      <c r="D93" s="24" t="s">
        <v>2856</v>
      </c>
      <c r="E93" s="114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4" customFormat="false" ht="15" hidden="false" customHeight="false" outlineLevel="0" collapsed="false">
      <c r="A94" s="112" t="s">
        <v>2857</v>
      </c>
      <c r="D94" s="24" t="s">
        <v>2858</v>
      </c>
      <c r="E94" s="54" t="n">
        <f aca="false">INDEX(Sh_BasicX,1,V_Q)+INDEX(Sh_Warr,1,V_Q)</f>
        <v>308.691154</v>
      </c>
    </row>
    <row r="95" customFormat="false" ht="15" hidden="false" customHeight="false" outlineLevel="0" collapsed="false">
      <c r="A95" s="112" t="s">
        <v>2859</v>
      </c>
      <c r="D95" s="24"/>
      <c r="E95" s="54" t="n">
        <f aca="false">RSU+EigenIn*Eigen</f>
        <v>6.234091</v>
      </c>
    </row>
    <row r="96" customFormat="false" ht="15" hidden="false" customHeight="false" outlineLevel="0" collapsed="false">
      <c r="A96" s="3" t="s">
        <v>2860</v>
      </c>
      <c r="E96" s="3" t="s">
        <v>2861</v>
      </c>
      <c r="F96" s="3" t="s">
        <v>2862</v>
      </c>
      <c r="G96" s="3" t="s">
        <v>2863</v>
      </c>
    </row>
    <row r="97" customFormat="false" ht="15" hidden="false" customHeight="false" outlineLevel="0" collapsed="false">
      <c r="A97" s="0" t="s">
        <v>2864</v>
      </c>
      <c r="E97" s="27" t="n">
        <f aca="false">0</f>
        <v>0</v>
      </c>
      <c r="F97" s="27" t="n">
        <f aca="false">OffBSWt</f>
        <v>0</v>
      </c>
      <c r="G97" s="27" t="n">
        <f aca="false">1</f>
        <v>1</v>
      </c>
    </row>
    <row r="98" customFormat="false" ht="15" hidden="false" customHeight="false" outlineLevel="0" collapsed="false">
      <c r="A98" s="0" t="s">
        <v>2865</v>
      </c>
      <c r="E98" s="25" t="n">
        <f aca="false">SharePx</f>
        <v>242.81</v>
      </c>
      <c r="F98" s="25" t="n">
        <f aca="false">SharePx</f>
        <v>242.81</v>
      </c>
      <c r="G98" s="25" t="n">
        <f aca="false">SharePx</f>
        <v>242.81</v>
      </c>
    </row>
    <row r="99" customFormat="false" ht="15" hidden="false" customHeight="false" outlineLevel="0" collapsed="false">
      <c r="A99" s="0" t="s">
        <v>2866</v>
      </c>
      <c r="E99" s="25" t="n">
        <f aca="false">MAX(0.01,(V_EV-E$97*V_OFF-V_ODEBT-CHOOSE(DilMethod,0,SUMPRODUCT((E98&lt;=$H$80:$H$91)*((CVDebtBasis=1)*$E$80:$E$91+(CVDebtBasis&gt;=2)*$F$80:$F$91)),SUMPRODUCT(((CVDebtBasis=1)*$E$80:$E$91+(CVDebtBasis&gt;=2)*$F$80:$F$91)))+V_CASH+V_SOTP)/(V_BASIC+V_RSU+Options*MAX(0,1-OptK/E98)+CHOOSE(DilMethod,SUMPRODUCT($E$80:$E$91,$G$80:$G$91)/1000,SUMPRODUCT((E98&gt;$H$80:$H$91)*$E$80:$E$91*$G$80:$G$91)/1000,SUMPRODUCT((($E$80:$E$91*$G$80:$G$91/1000*E98-((CVDebtBasis=1)*$E$80:$E$91+(CVDebtBasis&gt;=2)*$F$80:$F$91))&gt;0)*($E$80:$E$91*$G$80:$G$91/1000*E98-((CVDebtBasis=1)*$E$80:$E$91+(CVDebtBasis&gt;=2)*$F$80:$F$91)))/E98)))</f>
        <v>19.2887710162296</v>
      </c>
      <c r="F99" s="25" t="n">
        <f aca="false">MAX(0.01,(V_EV-F$97*V_OFF-V_ODEBT-CHOOSE(DilMethod,0,SUMPRODUCT((F98&lt;=$H$80:$H$91)*((CVDebtBasis=1)*$E$80:$E$91+(CVDebtBasis&gt;=2)*$F$80:$F$91)),SUMPRODUCT(((CVDebtBasis=1)*$E$80:$E$91+(CVDebtBasis&gt;=2)*$F$80:$F$91)))+V_CASH+V_SOTP)/(V_BASIC+V_RSU+Options*MAX(0,1-OptK/F98)+CHOOSE(DilMethod,SUMPRODUCT($E$80:$E$91,$G$80:$G$91)/1000,SUMPRODUCT((F98&gt;$H$80:$H$91)*$E$80:$E$91*$G$80:$G$91)/1000,SUMPRODUCT((($E$80:$E$91*$G$80:$G$91/1000*F98-((CVDebtBasis=1)*$E$80:$E$91+(CVDebtBasis&gt;=2)*$F$80:$F$91))&gt;0)*($E$80:$E$91*$G$80:$G$91/1000*F98-((CVDebtBasis=1)*$E$80:$E$91+(CVDebtBasis&gt;=2)*$F$80:$F$91)))/F98)))</f>
        <v>19.2887710162296</v>
      </c>
      <c r="G99" s="25" t="n">
        <f aca="false">MAX(0.01,(V_EV-G$97*V_OFF-V_ODEBT-CHOOSE(DilMethod,0,SUMPRODUCT((G98&lt;=$H$80:$H$91)*((CVDebtBasis=1)*$E$80:$E$91+(CVDebtBasis&gt;=2)*$F$80:$F$91)),SUMPRODUCT(((CVDebtBasis=1)*$E$80:$E$91+(CVDebtBasis&gt;=2)*$F$80:$F$91)))+V_CASH+V_SOTP)/(V_BASIC+V_RSU+Options*MAX(0,1-OptK/G98)+CHOOSE(DilMethod,SUMPRODUCT($E$80:$E$91,$G$80:$G$91)/1000,SUMPRODUCT((G98&gt;$H$80:$H$91)*$E$80:$E$91*$G$80:$G$91)/1000,SUMPRODUCT((($E$80:$E$91*$G$80:$G$91/1000*G98-((CVDebtBasis=1)*$E$80:$E$91+(CVDebtBasis&gt;=2)*$F$80:$F$91))&gt;0)*($E$80:$E$91*$G$80:$G$91/1000*G98-((CVDebtBasis=1)*$E$80:$E$91+(CVDebtBasis&gt;=2)*$F$80:$F$91)))/G98)))</f>
        <v>0.01</v>
      </c>
    </row>
    <row r="100" customFormat="false" ht="15" hidden="false" customHeight="false" outlineLevel="0" collapsed="false">
      <c r="A100" s="0" t="s">
        <v>2867</v>
      </c>
      <c r="E100" s="25" t="n">
        <f aca="false">MAX(0.01,(V_EV-E$97*V_OFF-V_ODEBT-CHOOSE(DilMethod,0,SUMPRODUCT((E99&lt;=$H$80:$H$91)*((CVDebtBasis=1)*$E$80:$E$91+(CVDebtBasis&gt;=2)*$F$80:$F$91)),SUMPRODUCT(((CVDebtBasis=1)*$E$80:$E$91+(CVDebtBasis&gt;=2)*$F$80:$F$91)))+V_CASH+V_SOTP)/(V_BASIC+V_RSU+Options*MAX(0,1-OptK/E99)+CHOOSE(DilMethod,SUMPRODUCT($E$80:$E$91,$G$80:$G$91)/1000,SUMPRODUCT((E99&gt;$H$80:$H$91)*$E$80:$E$91*$G$80:$G$91)/1000,SUMPRODUCT((($E$80:$E$91*$G$80:$G$91/1000*E99-((CVDebtBasis=1)*$E$80:$E$91+(CVDebtBasis&gt;=2)*$F$80:$F$91))&gt;0)*($E$80:$E$91*$G$80:$G$91/1000*E99-((CVDebtBasis=1)*$E$80:$E$91+(CVDebtBasis&gt;=2)*$F$80:$F$91)))/E99)))</f>
        <v>0.01</v>
      </c>
      <c r="F100" s="25" t="n">
        <f aca="false">MAX(0.01,(V_EV-F$97*V_OFF-V_ODEBT-CHOOSE(DilMethod,0,SUMPRODUCT((F99&lt;=$H$80:$H$91)*((CVDebtBasis=1)*$E$80:$E$91+(CVDebtBasis&gt;=2)*$F$80:$F$91)),SUMPRODUCT(((CVDebtBasis=1)*$E$80:$E$91+(CVDebtBasis&gt;=2)*$F$80:$F$91)))+V_CASH+V_SOTP)/(V_BASIC+V_RSU+Options*MAX(0,1-OptK/F99)+CHOOSE(DilMethod,SUMPRODUCT($E$80:$E$91,$G$80:$G$91)/1000,SUMPRODUCT((F99&gt;$H$80:$H$91)*$E$80:$E$91*$G$80:$G$91)/1000,SUMPRODUCT((($E$80:$E$91*$G$80:$G$91/1000*F99-((CVDebtBasis=1)*$E$80:$E$91+(CVDebtBasis&gt;=2)*$F$80:$F$91))&gt;0)*($E$80:$E$91*$G$80:$G$91/1000*F99-((CVDebtBasis=1)*$E$80:$E$91+(CVDebtBasis&gt;=2)*$F$80:$F$91)))/F99)))</f>
        <v>0.01</v>
      </c>
      <c r="G100" s="25" t="n">
        <f aca="false">MAX(0.01,(V_EV-G$97*V_OFF-V_ODEBT-CHOOSE(DilMethod,0,SUMPRODUCT((G99&lt;=$H$80:$H$91)*((CVDebtBasis=1)*$E$80:$E$91+(CVDebtBasis&gt;=2)*$F$80:$F$91)),SUMPRODUCT(((CVDebtBasis=1)*$E$80:$E$91+(CVDebtBasis&gt;=2)*$F$80:$F$91)))+V_CASH+V_SOTP)/(V_BASIC+V_RSU+Options*MAX(0,1-OptK/G99)+CHOOSE(DilMethod,SUMPRODUCT($E$80:$E$91,$G$80:$G$91)/1000,SUMPRODUCT((G99&gt;$H$80:$H$91)*$E$80:$E$91*$G$80:$G$91)/1000,SUMPRODUCT((($E$80:$E$91*$G$80:$G$91/1000*G99-((CVDebtBasis=1)*$E$80:$E$91+(CVDebtBasis&gt;=2)*$F$80:$F$91))&gt;0)*($E$80:$E$91*$G$80:$G$91/1000*G99-((CVDebtBasis=1)*$E$80:$E$91+(CVDebtBasis&gt;=2)*$F$80:$F$91)))/G99)))</f>
        <v>0.01</v>
      </c>
    </row>
    <row r="101" customFormat="false" ht="15" hidden="false" customHeight="false" outlineLevel="0" collapsed="false">
      <c r="A101" s="0" t="s">
        <v>2868</v>
      </c>
      <c r="E101" s="25" t="n">
        <f aca="false">MAX(0.01,(V_EV-E$97*V_OFF-V_ODEBT-CHOOSE(DilMethod,0,SUMPRODUCT((E100&lt;=$H$80:$H$91)*((CVDebtBasis=1)*$E$80:$E$91+(CVDebtBasis&gt;=2)*$F$80:$F$91)),SUMPRODUCT(((CVDebtBasis=1)*$E$80:$E$91+(CVDebtBasis&gt;=2)*$F$80:$F$91)))+V_CASH+V_SOTP)/(V_BASIC+V_RSU+Options*MAX(0,1-OptK/E100)+CHOOSE(DilMethod,SUMPRODUCT($E$80:$E$91,$G$80:$G$91)/1000,SUMPRODUCT((E100&gt;$H$80:$H$91)*$E$80:$E$91*$G$80:$G$91)/1000,SUMPRODUCT((($E$80:$E$91*$G$80:$G$91/1000*E100-((CVDebtBasis=1)*$E$80:$E$91+(CVDebtBasis&gt;=2)*$F$80:$F$91))&gt;0)*($E$80:$E$91*$G$80:$G$91/1000*E100-((CVDebtBasis=1)*$E$80:$E$91+(CVDebtBasis&gt;=2)*$F$80:$F$91)))/E100)))</f>
        <v>0.01</v>
      </c>
      <c r="F101" s="25" t="n">
        <f aca="false">MAX(0.01,(V_EV-F$97*V_OFF-V_ODEBT-CHOOSE(DilMethod,0,SUMPRODUCT((F100&lt;=$H$80:$H$91)*((CVDebtBasis=1)*$E$80:$E$91+(CVDebtBasis&gt;=2)*$F$80:$F$91)),SUMPRODUCT(((CVDebtBasis=1)*$E$80:$E$91+(CVDebtBasis&gt;=2)*$F$80:$F$91)))+V_CASH+V_SOTP)/(V_BASIC+V_RSU+Options*MAX(0,1-OptK/F100)+CHOOSE(DilMethod,SUMPRODUCT($E$80:$E$91,$G$80:$G$91)/1000,SUMPRODUCT((F100&gt;$H$80:$H$91)*$E$80:$E$91*$G$80:$G$91)/1000,SUMPRODUCT((($E$80:$E$91*$G$80:$G$91/1000*F100-((CVDebtBasis=1)*$E$80:$E$91+(CVDebtBasis&gt;=2)*$F$80:$F$91))&gt;0)*($E$80:$E$91*$G$80:$G$91/1000*F100-((CVDebtBasis=1)*$E$80:$E$91+(CVDebtBasis&gt;=2)*$F$80:$F$91)))/F100)))</f>
        <v>0.01</v>
      </c>
      <c r="G101" s="25" t="n">
        <f aca="false">MAX(0.01,(V_EV-G$97*V_OFF-V_ODEBT-CHOOSE(DilMethod,0,SUMPRODUCT((G100&lt;=$H$80:$H$91)*((CVDebtBasis=1)*$E$80:$E$91+(CVDebtBasis&gt;=2)*$F$80:$F$91)),SUMPRODUCT(((CVDebtBasis=1)*$E$80:$E$91+(CVDebtBasis&gt;=2)*$F$80:$F$91)))+V_CASH+V_SOTP)/(V_BASIC+V_RSU+Options*MAX(0,1-OptK/G100)+CHOOSE(DilMethod,SUMPRODUCT($E$80:$E$91,$G$80:$G$91)/1000,SUMPRODUCT((G100&gt;$H$80:$H$91)*$E$80:$E$91*$G$80:$G$91)/1000,SUMPRODUCT((($E$80:$E$91*$G$80:$G$91/1000*G100-((CVDebtBasis=1)*$E$80:$E$91+(CVDebtBasis&gt;=2)*$F$80:$F$91))&gt;0)*($E$80:$E$91*$G$80:$G$91/1000*G100-((CVDebtBasis=1)*$E$80:$E$91+(CVDebtBasis&gt;=2)*$F$80:$F$91)))/G100)))</f>
        <v>0.01</v>
      </c>
    </row>
    <row r="102" customFormat="false" ht="15" hidden="false" customHeight="false" outlineLevel="0" collapsed="false">
      <c r="A102" s="0" t="s">
        <v>2869</v>
      </c>
      <c r="E102" s="25" t="n">
        <f aca="false">MAX(0.01,(V_EV-E$97*V_OFF-V_ODEBT-CHOOSE(DilMethod,0,SUMPRODUCT((E101&lt;=$H$80:$H$91)*((CVDebtBasis=1)*$E$80:$E$91+(CVDebtBasis&gt;=2)*$F$80:$F$91)),SUMPRODUCT(((CVDebtBasis=1)*$E$80:$E$91+(CVDebtBasis&gt;=2)*$F$80:$F$91)))+V_CASH+V_SOTP)/(V_BASIC+V_RSU+Options*MAX(0,1-OptK/E101)+CHOOSE(DilMethod,SUMPRODUCT($E$80:$E$91,$G$80:$G$91)/1000,SUMPRODUCT((E101&gt;$H$80:$H$91)*$E$80:$E$91*$G$80:$G$91)/1000,SUMPRODUCT((($E$80:$E$91*$G$80:$G$91/1000*E101-((CVDebtBasis=1)*$E$80:$E$91+(CVDebtBasis&gt;=2)*$F$80:$F$91))&gt;0)*($E$80:$E$91*$G$80:$G$91/1000*E101-((CVDebtBasis=1)*$E$80:$E$91+(CVDebtBasis&gt;=2)*$F$80:$F$91)))/E101)))</f>
        <v>0.01</v>
      </c>
      <c r="F102" s="25" t="n">
        <f aca="false">MAX(0.01,(V_EV-F$97*V_OFF-V_ODEBT-CHOOSE(DilMethod,0,SUMPRODUCT((F101&lt;=$H$80:$H$91)*((CVDebtBasis=1)*$E$80:$E$91+(CVDebtBasis&gt;=2)*$F$80:$F$91)),SUMPRODUCT(((CVDebtBasis=1)*$E$80:$E$91+(CVDebtBasis&gt;=2)*$F$80:$F$91)))+V_CASH+V_SOTP)/(V_BASIC+V_RSU+Options*MAX(0,1-OptK/F101)+CHOOSE(DilMethod,SUMPRODUCT($E$80:$E$91,$G$80:$G$91)/1000,SUMPRODUCT((F101&gt;$H$80:$H$91)*$E$80:$E$91*$G$80:$G$91)/1000,SUMPRODUCT((($E$80:$E$91*$G$80:$G$91/1000*F101-((CVDebtBasis=1)*$E$80:$E$91+(CVDebtBasis&gt;=2)*$F$80:$F$91))&gt;0)*($E$80:$E$91*$G$80:$G$91/1000*F101-((CVDebtBasis=1)*$E$80:$E$91+(CVDebtBasis&gt;=2)*$F$80:$F$91)))/F101)))</f>
        <v>0.01</v>
      </c>
      <c r="G102" s="25" t="n">
        <f aca="false">MAX(0.01,(V_EV-G$97*V_OFF-V_ODEBT-CHOOSE(DilMethod,0,SUMPRODUCT((G101&lt;=$H$80:$H$91)*((CVDebtBasis=1)*$E$80:$E$91+(CVDebtBasis&gt;=2)*$F$80:$F$91)),SUMPRODUCT(((CVDebtBasis=1)*$E$80:$E$91+(CVDebtBasis&gt;=2)*$F$80:$F$91)))+V_CASH+V_SOTP)/(V_BASIC+V_RSU+Options*MAX(0,1-OptK/G101)+CHOOSE(DilMethod,SUMPRODUCT($E$80:$E$91,$G$80:$G$91)/1000,SUMPRODUCT((G101&gt;$H$80:$H$91)*$E$80:$E$91*$G$80:$G$91)/1000,SUMPRODUCT((($E$80:$E$91*$G$80:$G$91/1000*G101-((CVDebtBasis=1)*$E$80:$E$91+(CVDebtBasis&gt;=2)*$F$80:$F$91))&gt;0)*($E$80:$E$91*$G$80:$G$91/1000*G101-((CVDebtBasis=1)*$E$80:$E$91+(CVDebtBasis&gt;=2)*$F$80:$F$91)))/G101)))</f>
        <v>0.01</v>
      </c>
    </row>
    <row r="103" customFormat="false" ht="15" hidden="false" customHeight="false" outlineLevel="0" collapsed="false">
      <c r="A103" s="0" t="s">
        <v>2870</v>
      </c>
      <c r="E103" s="25" t="n">
        <f aca="false">MAX(0.01,(V_EV-E$97*V_OFF-V_ODEBT-CHOOSE(DilMethod,0,SUMPRODUCT((E102&lt;=$H$80:$H$91)*((CVDebtBasis=1)*$E$80:$E$91+(CVDebtBasis&gt;=2)*$F$80:$F$91)),SUMPRODUCT(((CVDebtBasis=1)*$E$80:$E$91+(CVDebtBasis&gt;=2)*$F$80:$F$91)))+V_CASH+V_SOTP)/(V_BASIC+V_RSU+Options*MAX(0,1-OptK/E102)+CHOOSE(DilMethod,SUMPRODUCT($E$80:$E$91,$G$80:$G$91)/1000,SUMPRODUCT((E102&gt;$H$80:$H$91)*$E$80:$E$91*$G$80:$G$91)/1000,SUMPRODUCT((($E$80:$E$91*$G$80:$G$91/1000*E102-((CVDebtBasis=1)*$E$80:$E$91+(CVDebtBasis&gt;=2)*$F$80:$F$91))&gt;0)*($E$80:$E$91*$G$80:$G$91/1000*E102-((CVDebtBasis=1)*$E$80:$E$91+(CVDebtBasis&gt;=2)*$F$80:$F$91)))/E102)))</f>
        <v>0.01</v>
      </c>
      <c r="F103" s="25" t="n">
        <f aca="false">MAX(0.01,(V_EV-F$97*V_OFF-V_ODEBT-CHOOSE(DilMethod,0,SUMPRODUCT((F102&lt;=$H$80:$H$91)*((CVDebtBasis=1)*$E$80:$E$91+(CVDebtBasis&gt;=2)*$F$80:$F$91)),SUMPRODUCT(((CVDebtBasis=1)*$E$80:$E$91+(CVDebtBasis&gt;=2)*$F$80:$F$91)))+V_CASH+V_SOTP)/(V_BASIC+V_RSU+Options*MAX(0,1-OptK/F102)+CHOOSE(DilMethod,SUMPRODUCT($E$80:$E$91,$G$80:$G$91)/1000,SUMPRODUCT((F102&gt;$H$80:$H$91)*$E$80:$E$91*$G$80:$G$91)/1000,SUMPRODUCT((($E$80:$E$91*$G$80:$G$91/1000*F102-((CVDebtBasis=1)*$E$80:$E$91+(CVDebtBasis&gt;=2)*$F$80:$F$91))&gt;0)*($E$80:$E$91*$G$80:$G$91/1000*F102-((CVDebtBasis=1)*$E$80:$E$91+(CVDebtBasis&gt;=2)*$F$80:$F$91)))/F102)))</f>
        <v>0.01</v>
      </c>
      <c r="G103" s="25" t="n">
        <f aca="false">MAX(0.01,(V_EV-G$97*V_OFF-V_ODEBT-CHOOSE(DilMethod,0,SUMPRODUCT((G102&lt;=$H$80:$H$91)*((CVDebtBasis=1)*$E$80:$E$91+(CVDebtBasis&gt;=2)*$F$80:$F$91)),SUMPRODUCT(((CVDebtBasis=1)*$E$80:$E$91+(CVDebtBasis&gt;=2)*$F$80:$F$91)))+V_CASH+V_SOTP)/(V_BASIC+V_RSU+Options*MAX(0,1-OptK/G102)+CHOOSE(DilMethod,SUMPRODUCT($E$80:$E$91,$G$80:$G$91)/1000,SUMPRODUCT((G102&gt;$H$80:$H$91)*$E$80:$E$91*$G$80:$G$91)/1000,SUMPRODUCT((($E$80:$E$91*$G$80:$G$91/1000*G102-((CVDebtBasis=1)*$E$80:$E$91+(CVDebtBasis&gt;=2)*$F$80:$F$91))&gt;0)*($E$80:$E$91*$G$80:$G$91/1000*G102-((CVDebtBasis=1)*$E$80:$E$91+(CVDebtBasis&gt;=2)*$F$80:$F$91)))/G102)))</f>
        <v>0.01</v>
      </c>
    </row>
    <row r="104" customFormat="false" ht="15" hidden="false" customHeight="false" outlineLevel="0" collapsed="false">
      <c r="A104" s="0" t="s">
        <v>2871</v>
      </c>
      <c r="E104" s="25" t="n">
        <f aca="false">MAX(0.01,(V_EV-E$97*V_OFF-V_ODEBT-CHOOSE(DilMethod,0,SUMPRODUCT((E103&lt;=$H$80:$H$91)*((CVDebtBasis=1)*$E$80:$E$91+(CVDebtBasis&gt;=2)*$F$80:$F$91)),SUMPRODUCT(((CVDebtBasis=1)*$E$80:$E$91+(CVDebtBasis&gt;=2)*$F$80:$F$91)))+V_CASH+V_SOTP)/(V_BASIC+V_RSU+Options*MAX(0,1-OptK/E103)+CHOOSE(DilMethod,SUMPRODUCT($E$80:$E$91,$G$80:$G$91)/1000,SUMPRODUCT((E103&gt;$H$80:$H$91)*$E$80:$E$91*$G$80:$G$91)/1000,SUMPRODUCT((($E$80:$E$91*$G$80:$G$91/1000*E103-((CVDebtBasis=1)*$E$80:$E$91+(CVDebtBasis&gt;=2)*$F$80:$F$91))&gt;0)*($E$80:$E$91*$G$80:$G$91/1000*E103-((CVDebtBasis=1)*$E$80:$E$91+(CVDebtBasis&gt;=2)*$F$80:$F$91)))/E103)))</f>
        <v>0.01</v>
      </c>
      <c r="F104" s="25" t="n">
        <f aca="false">MAX(0.01,(V_EV-F$97*V_OFF-V_ODEBT-CHOOSE(DilMethod,0,SUMPRODUCT((F103&lt;=$H$80:$H$91)*((CVDebtBasis=1)*$E$80:$E$91+(CVDebtBasis&gt;=2)*$F$80:$F$91)),SUMPRODUCT(((CVDebtBasis=1)*$E$80:$E$91+(CVDebtBasis&gt;=2)*$F$80:$F$91)))+V_CASH+V_SOTP)/(V_BASIC+V_RSU+Options*MAX(0,1-OptK/F103)+CHOOSE(DilMethod,SUMPRODUCT($E$80:$E$91,$G$80:$G$91)/1000,SUMPRODUCT((F103&gt;$H$80:$H$91)*$E$80:$E$91*$G$80:$G$91)/1000,SUMPRODUCT((($E$80:$E$91*$G$80:$G$91/1000*F103-((CVDebtBasis=1)*$E$80:$E$91+(CVDebtBasis&gt;=2)*$F$80:$F$91))&gt;0)*($E$80:$E$91*$G$80:$G$91/1000*F103-((CVDebtBasis=1)*$E$80:$E$91+(CVDebtBasis&gt;=2)*$F$80:$F$91)))/F103)))</f>
        <v>0.01</v>
      </c>
      <c r="G104" s="25" t="n">
        <f aca="false">MAX(0.01,(V_EV-G$97*V_OFF-V_ODEBT-CHOOSE(DilMethod,0,SUMPRODUCT((G103&lt;=$H$80:$H$91)*((CVDebtBasis=1)*$E$80:$E$91+(CVDebtBasis&gt;=2)*$F$80:$F$91)),SUMPRODUCT(((CVDebtBasis=1)*$E$80:$E$91+(CVDebtBasis&gt;=2)*$F$80:$F$91)))+V_CASH+V_SOTP)/(V_BASIC+V_RSU+Options*MAX(0,1-OptK/G103)+CHOOSE(DilMethod,SUMPRODUCT($E$80:$E$91,$G$80:$G$91)/1000,SUMPRODUCT((G103&gt;$H$80:$H$91)*$E$80:$E$91*$G$80:$G$91)/1000,SUMPRODUCT((($E$80:$E$91*$G$80:$G$91/1000*G103-((CVDebtBasis=1)*$E$80:$E$91+(CVDebtBasis&gt;=2)*$F$80:$F$91))&gt;0)*($E$80:$E$91*$G$80:$G$91/1000*G103-((CVDebtBasis=1)*$E$80:$E$91+(CVDebtBasis&gt;=2)*$F$80:$F$91)))/G103)))</f>
        <v>0.01</v>
      </c>
    </row>
    <row r="105" customFormat="false" ht="15" hidden="false" customHeight="false" outlineLevel="0" collapsed="false">
      <c r="A105" s="0" t="s">
        <v>2872</v>
      </c>
      <c r="E105" s="25" t="n">
        <f aca="false">MAX(0.01,(V_EV-E$97*V_OFF-V_ODEBT-CHOOSE(DilMethod,0,SUMPRODUCT((E104&lt;=$H$80:$H$91)*((CVDebtBasis=1)*$E$80:$E$91+(CVDebtBasis&gt;=2)*$F$80:$F$91)),SUMPRODUCT(((CVDebtBasis=1)*$E$80:$E$91+(CVDebtBasis&gt;=2)*$F$80:$F$91)))+V_CASH+V_SOTP)/(V_BASIC+V_RSU+Options*MAX(0,1-OptK/E104)+CHOOSE(DilMethod,SUMPRODUCT($E$80:$E$91,$G$80:$G$91)/1000,SUMPRODUCT((E104&gt;$H$80:$H$91)*$E$80:$E$91*$G$80:$G$91)/1000,SUMPRODUCT((($E$80:$E$91*$G$80:$G$91/1000*E104-((CVDebtBasis=1)*$E$80:$E$91+(CVDebtBasis&gt;=2)*$F$80:$F$91))&gt;0)*($E$80:$E$91*$G$80:$G$91/1000*E104-((CVDebtBasis=1)*$E$80:$E$91+(CVDebtBasis&gt;=2)*$F$80:$F$91)))/E104)))</f>
        <v>0.01</v>
      </c>
      <c r="F105" s="25" t="n">
        <f aca="false">MAX(0.01,(V_EV-F$97*V_OFF-V_ODEBT-CHOOSE(DilMethod,0,SUMPRODUCT((F104&lt;=$H$80:$H$91)*((CVDebtBasis=1)*$E$80:$E$91+(CVDebtBasis&gt;=2)*$F$80:$F$91)),SUMPRODUCT(((CVDebtBasis=1)*$E$80:$E$91+(CVDebtBasis&gt;=2)*$F$80:$F$91)))+V_CASH+V_SOTP)/(V_BASIC+V_RSU+Options*MAX(0,1-OptK/F104)+CHOOSE(DilMethod,SUMPRODUCT($E$80:$E$91,$G$80:$G$91)/1000,SUMPRODUCT((F104&gt;$H$80:$H$91)*$E$80:$E$91*$G$80:$G$91)/1000,SUMPRODUCT((($E$80:$E$91*$G$80:$G$91/1000*F104-((CVDebtBasis=1)*$E$80:$E$91+(CVDebtBasis&gt;=2)*$F$80:$F$91))&gt;0)*($E$80:$E$91*$G$80:$G$91/1000*F104-((CVDebtBasis=1)*$E$80:$E$91+(CVDebtBasis&gt;=2)*$F$80:$F$91)))/F104)))</f>
        <v>0.01</v>
      </c>
      <c r="G105" s="25" t="n">
        <f aca="false">MAX(0.01,(V_EV-G$97*V_OFF-V_ODEBT-CHOOSE(DilMethod,0,SUMPRODUCT((G104&lt;=$H$80:$H$91)*((CVDebtBasis=1)*$E$80:$E$91+(CVDebtBasis&gt;=2)*$F$80:$F$91)),SUMPRODUCT(((CVDebtBasis=1)*$E$80:$E$91+(CVDebtBasis&gt;=2)*$F$80:$F$91)))+V_CASH+V_SOTP)/(V_BASIC+V_RSU+Options*MAX(0,1-OptK/G104)+CHOOSE(DilMethod,SUMPRODUCT($E$80:$E$91,$G$80:$G$91)/1000,SUMPRODUCT((G104&gt;$H$80:$H$91)*$E$80:$E$91*$G$80:$G$91)/1000,SUMPRODUCT((($E$80:$E$91*$G$80:$G$91/1000*G104-((CVDebtBasis=1)*$E$80:$E$91+(CVDebtBasis&gt;=2)*$F$80:$F$91))&gt;0)*($E$80:$E$91*$G$80:$G$91/1000*G104-((CVDebtBasis=1)*$E$80:$E$91+(CVDebtBasis&gt;=2)*$F$80:$F$91)))/G104)))</f>
        <v>0.01</v>
      </c>
    </row>
    <row r="106" customFormat="false" ht="15" hidden="false" customHeight="false" outlineLevel="0" collapsed="false">
      <c r="A106" s="0" t="s">
        <v>2873</v>
      </c>
      <c r="E106" s="25" t="n">
        <f aca="false">MAX(0.01,(V_EV-E$97*V_OFF-V_ODEBT-CHOOSE(DilMethod,0,SUMPRODUCT((E105&lt;=$H$80:$H$91)*((CVDebtBasis=1)*$E$80:$E$91+(CVDebtBasis&gt;=2)*$F$80:$F$91)),SUMPRODUCT(((CVDebtBasis=1)*$E$80:$E$91+(CVDebtBasis&gt;=2)*$F$80:$F$91)))+V_CASH+V_SOTP)/(V_BASIC+V_RSU+Options*MAX(0,1-OptK/E105)+CHOOSE(DilMethod,SUMPRODUCT($E$80:$E$91,$G$80:$G$91)/1000,SUMPRODUCT((E105&gt;$H$80:$H$91)*$E$80:$E$91*$G$80:$G$91)/1000,SUMPRODUCT((($E$80:$E$91*$G$80:$G$91/1000*E105-((CVDebtBasis=1)*$E$80:$E$91+(CVDebtBasis&gt;=2)*$F$80:$F$91))&gt;0)*($E$80:$E$91*$G$80:$G$91/1000*E105-((CVDebtBasis=1)*$E$80:$E$91+(CVDebtBasis&gt;=2)*$F$80:$F$91)))/E105)))</f>
        <v>0.01</v>
      </c>
      <c r="F106" s="25" t="n">
        <f aca="false">MAX(0.01,(V_EV-F$97*V_OFF-V_ODEBT-CHOOSE(DilMethod,0,SUMPRODUCT((F105&lt;=$H$80:$H$91)*((CVDebtBasis=1)*$E$80:$E$91+(CVDebtBasis&gt;=2)*$F$80:$F$91)),SUMPRODUCT(((CVDebtBasis=1)*$E$80:$E$91+(CVDebtBasis&gt;=2)*$F$80:$F$91)))+V_CASH+V_SOTP)/(V_BASIC+V_RSU+Options*MAX(0,1-OptK/F105)+CHOOSE(DilMethod,SUMPRODUCT($E$80:$E$91,$G$80:$G$91)/1000,SUMPRODUCT((F105&gt;$H$80:$H$91)*$E$80:$E$91*$G$80:$G$91)/1000,SUMPRODUCT((($E$80:$E$91*$G$80:$G$91/1000*F105-((CVDebtBasis=1)*$E$80:$E$91+(CVDebtBasis&gt;=2)*$F$80:$F$91))&gt;0)*($E$80:$E$91*$G$80:$G$91/1000*F105-((CVDebtBasis=1)*$E$80:$E$91+(CVDebtBasis&gt;=2)*$F$80:$F$91)))/F105)))</f>
        <v>0.01</v>
      </c>
      <c r="G106" s="25" t="n">
        <f aca="false">MAX(0.01,(V_EV-G$97*V_OFF-V_ODEBT-CHOOSE(DilMethod,0,SUMPRODUCT((G105&lt;=$H$80:$H$91)*((CVDebtBasis=1)*$E$80:$E$91+(CVDebtBasis&gt;=2)*$F$80:$F$91)),SUMPRODUCT(((CVDebtBasis=1)*$E$80:$E$91+(CVDebtBasis&gt;=2)*$F$80:$F$91)))+V_CASH+V_SOTP)/(V_BASIC+V_RSU+Options*MAX(0,1-OptK/G105)+CHOOSE(DilMethod,SUMPRODUCT($E$80:$E$91,$G$80:$G$91)/1000,SUMPRODUCT((G105&gt;$H$80:$H$91)*$E$80:$E$91*$G$80:$G$91)/1000,SUMPRODUCT((($E$80:$E$91*$G$80:$G$91/1000*G105-((CVDebtBasis=1)*$E$80:$E$91+(CVDebtBasis&gt;=2)*$F$80:$F$91))&gt;0)*($E$80:$E$91*$G$80:$G$91/1000*G105-((CVDebtBasis=1)*$E$80:$E$91+(CVDebtBasis&gt;=2)*$F$80:$F$91)))/G105)))</f>
        <v>0.01</v>
      </c>
    </row>
    <row r="107" customFormat="false" ht="15" hidden="false" customHeight="false" outlineLevel="0" collapsed="false">
      <c r="A107" s="0" t="s">
        <v>2874</v>
      </c>
      <c r="E107" s="25" t="n">
        <f aca="false">MAX(0.01,(V_EV-E$97*V_OFF-V_ODEBT-CHOOSE(DilMethod,0,SUMPRODUCT((E106&lt;=$H$80:$H$91)*((CVDebtBasis=1)*$E$80:$E$91+(CVDebtBasis&gt;=2)*$F$80:$F$91)),SUMPRODUCT(((CVDebtBasis=1)*$E$80:$E$91+(CVDebtBasis&gt;=2)*$F$80:$F$91)))+V_CASH+V_SOTP)/(V_BASIC+V_RSU+Options*MAX(0,1-OptK/E106)+CHOOSE(DilMethod,SUMPRODUCT($E$80:$E$91,$G$80:$G$91)/1000,SUMPRODUCT((E106&gt;$H$80:$H$91)*$E$80:$E$91*$G$80:$G$91)/1000,SUMPRODUCT((($E$80:$E$91*$G$80:$G$91/1000*E106-((CVDebtBasis=1)*$E$80:$E$91+(CVDebtBasis&gt;=2)*$F$80:$F$91))&gt;0)*($E$80:$E$91*$G$80:$G$91/1000*E106-((CVDebtBasis=1)*$E$80:$E$91+(CVDebtBasis&gt;=2)*$F$80:$F$91)))/E106)))</f>
        <v>0.01</v>
      </c>
      <c r="F107" s="25" t="n">
        <f aca="false">MAX(0.01,(V_EV-F$97*V_OFF-V_ODEBT-CHOOSE(DilMethod,0,SUMPRODUCT((F106&lt;=$H$80:$H$91)*((CVDebtBasis=1)*$E$80:$E$91+(CVDebtBasis&gt;=2)*$F$80:$F$91)),SUMPRODUCT(((CVDebtBasis=1)*$E$80:$E$91+(CVDebtBasis&gt;=2)*$F$80:$F$91)))+V_CASH+V_SOTP)/(V_BASIC+V_RSU+Options*MAX(0,1-OptK/F106)+CHOOSE(DilMethod,SUMPRODUCT($E$80:$E$91,$G$80:$G$91)/1000,SUMPRODUCT((F106&gt;$H$80:$H$91)*$E$80:$E$91*$G$80:$G$91)/1000,SUMPRODUCT((($E$80:$E$91*$G$80:$G$91/1000*F106-((CVDebtBasis=1)*$E$80:$E$91+(CVDebtBasis&gt;=2)*$F$80:$F$91))&gt;0)*($E$80:$E$91*$G$80:$G$91/1000*F106-((CVDebtBasis=1)*$E$80:$E$91+(CVDebtBasis&gt;=2)*$F$80:$F$91)))/F106)))</f>
        <v>0.01</v>
      </c>
      <c r="G107" s="25" t="n">
        <f aca="false">MAX(0.01,(V_EV-G$97*V_OFF-V_ODEBT-CHOOSE(DilMethod,0,SUMPRODUCT((G106&lt;=$H$80:$H$91)*((CVDebtBasis=1)*$E$80:$E$91+(CVDebtBasis&gt;=2)*$F$80:$F$91)),SUMPRODUCT(((CVDebtBasis=1)*$E$80:$E$91+(CVDebtBasis&gt;=2)*$F$80:$F$91)))+V_CASH+V_SOTP)/(V_BASIC+V_RSU+Options*MAX(0,1-OptK/G106)+CHOOSE(DilMethod,SUMPRODUCT($E$80:$E$91,$G$80:$G$91)/1000,SUMPRODUCT((G106&gt;$H$80:$H$91)*$E$80:$E$91*$G$80:$G$91)/1000,SUMPRODUCT((($E$80:$E$91*$G$80:$G$91/1000*G106-((CVDebtBasis=1)*$E$80:$E$91+(CVDebtBasis&gt;=2)*$F$80:$F$91))&gt;0)*($E$80:$E$91*$G$80:$G$91/1000*G106-((CVDebtBasis=1)*$E$80:$E$91+(CVDebtBasis&gt;=2)*$F$80:$F$91)))/G106)))</f>
        <v>0.01</v>
      </c>
    </row>
    <row r="108" customFormat="false" ht="15" hidden="false" customHeight="false" outlineLevel="0" collapsed="false">
      <c r="A108" s="0" t="s">
        <v>2875</v>
      </c>
      <c r="E108" s="25" t="n">
        <f aca="false">MAX(0.01,(V_EV-E$97*V_OFF-V_ODEBT-CHOOSE(DilMethod,0,SUMPRODUCT((E107&lt;=$H$80:$H$91)*((CVDebtBasis=1)*$E$80:$E$91+(CVDebtBasis&gt;=2)*$F$80:$F$91)),SUMPRODUCT(((CVDebtBasis=1)*$E$80:$E$91+(CVDebtBasis&gt;=2)*$F$80:$F$91)))+V_CASH+V_SOTP)/(V_BASIC+V_RSU+Options*MAX(0,1-OptK/E107)+CHOOSE(DilMethod,SUMPRODUCT($E$80:$E$91,$G$80:$G$91)/1000,SUMPRODUCT((E107&gt;$H$80:$H$91)*$E$80:$E$91*$G$80:$G$91)/1000,SUMPRODUCT((($E$80:$E$91*$G$80:$G$91/1000*E107-((CVDebtBasis=1)*$E$80:$E$91+(CVDebtBasis&gt;=2)*$F$80:$F$91))&gt;0)*($E$80:$E$91*$G$80:$G$91/1000*E107-((CVDebtBasis=1)*$E$80:$E$91+(CVDebtBasis&gt;=2)*$F$80:$F$91)))/E107)))</f>
        <v>0.01</v>
      </c>
      <c r="F108" s="25" t="n">
        <f aca="false">MAX(0.01,(V_EV-F$97*V_OFF-V_ODEBT-CHOOSE(DilMethod,0,SUMPRODUCT((F107&lt;=$H$80:$H$91)*((CVDebtBasis=1)*$E$80:$E$91+(CVDebtBasis&gt;=2)*$F$80:$F$91)),SUMPRODUCT(((CVDebtBasis=1)*$E$80:$E$91+(CVDebtBasis&gt;=2)*$F$80:$F$91)))+V_CASH+V_SOTP)/(V_BASIC+V_RSU+Options*MAX(0,1-OptK/F107)+CHOOSE(DilMethod,SUMPRODUCT($E$80:$E$91,$G$80:$G$91)/1000,SUMPRODUCT((F107&gt;$H$80:$H$91)*$E$80:$E$91*$G$80:$G$91)/1000,SUMPRODUCT((($E$80:$E$91*$G$80:$G$91/1000*F107-((CVDebtBasis=1)*$E$80:$E$91+(CVDebtBasis&gt;=2)*$F$80:$F$91))&gt;0)*($E$80:$E$91*$G$80:$G$91/1000*F107-((CVDebtBasis=1)*$E$80:$E$91+(CVDebtBasis&gt;=2)*$F$80:$F$91)))/F107)))</f>
        <v>0.01</v>
      </c>
      <c r="G108" s="25" t="n">
        <f aca="false">MAX(0.01,(V_EV-G$97*V_OFF-V_ODEBT-CHOOSE(DilMethod,0,SUMPRODUCT((G107&lt;=$H$80:$H$91)*((CVDebtBasis=1)*$E$80:$E$91+(CVDebtBasis&gt;=2)*$F$80:$F$91)),SUMPRODUCT(((CVDebtBasis=1)*$E$80:$E$91+(CVDebtBasis&gt;=2)*$F$80:$F$91)))+V_CASH+V_SOTP)/(V_BASIC+V_RSU+Options*MAX(0,1-OptK/G107)+CHOOSE(DilMethod,SUMPRODUCT($E$80:$E$91,$G$80:$G$91)/1000,SUMPRODUCT((G107&gt;$H$80:$H$91)*$E$80:$E$91*$G$80:$G$91)/1000,SUMPRODUCT((($E$80:$E$91*$G$80:$G$91/1000*G107-((CVDebtBasis=1)*$E$80:$E$91+(CVDebtBasis&gt;=2)*$F$80:$F$91))&gt;0)*($E$80:$E$91*$G$80:$G$91/1000*G107-((CVDebtBasis=1)*$E$80:$E$91+(CVDebtBasis&gt;=2)*$F$80:$F$91)))/G107)))</f>
        <v>0.01</v>
      </c>
    </row>
    <row r="109" customFormat="false" ht="15" hidden="false" customHeight="false" outlineLevel="0" collapsed="false">
      <c r="A109" s="0" t="s">
        <v>2876</v>
      </c>
      <c r="E109" s="25" t="n">
        <f aca="false">MAX(0.01,(V_EV-E$97*V_OFF-V_ODEBT-CHOOSE(DilMethod,0,SUMPRODUCT((E108&lt;=$H$80:$H$91)*((CVDebtBasis=1)*$E$80:$E$91+(CVDebtBasis&gt;=2)*$F$80:$F$91)),SUMPRODUCT(((CVDebtBasis=1)*$E$80:$E$91+(CVDebtBasis&gt;=2)*$F$80:$F$91)))+V_CASH+V_SOTP)/(V_BASIC+V_RSU+Options*MAX(0,1-OptK/E108)+CHOOSE(DilMethod,SUMPRODUCT($E$80:$E$91,$G$80:$G$91)/1000,SUMPRODUCT((E108&gt;$H$80:$H$91)*$E$80:$E$91*$G$80:$G$91)/1000,SUMPRODUCT((($E$80:$E$91*$G$80:$G$91/1000*E108-((CVDebtBasis=1)*$E$80:$E$91+(CVDebtBasis&gt;=2)*$F$80:$F$91))&gt;0)*($E$80:$E$91*$G$80:$G$91/1000*E108-((CVDebtBasis=1)*$E$80:$E$91+(CVDebtBasis&gt;=2)*$F$80:$F$91)))/E108)))</f>
        <v>0.01</v>
      </c>
      <c r="F109" s="25" t="n">
        <f aca="false">MAX(0.01,(V_EV-F$97*V_OFF-V_ODEBT-CHOOSE(DilMethod,0,SUMPRODUCT((F108&lt;=$H$80:$H$91)*((CVDebtBasis=1)*$E$80:$E$91+(CVDebtBasis&gt;=2)*$F$80:$F$91)),SUMPRODUCT(((CVDebtBasis=1)*$E$80:$E$91+(CVDebtBasis&gt;=2)*$F$80:$F$91)))+V_CASH+V_SOTP)/(V_BASIC+V_RSU+Options*MAX(0,1-OptK/F108)+CHOOSE(DilMethod,SUMPRODUCT($E$80:$E$91,$G$80:$G$91)/1000,SUMPRODUCT((F108&gt;$H$80:$H$91)*$E$80:$E$91*$G$80:$G$91)/1000,SUMPRODUCT((($E$80:$E$91*$G$80:$G$91/1000*F108-((CVDebtBasis=1)*$E$80:$E$91+(CVDebtBasis&gt;=2)*$F$80:$F$91))&gt;0)*($E$80:$E$91*$G$80:$G$91/1000*F108-((CVDebtBasis=1)*$E$80:$E$91+(CVDebtBasis&gt;=2)*$F$80:$F$91)))/F108)))</f>
        <v>0.01</v>
      </c>
      <c r="G109" s="25" t="n">
        <f aca="false">MAX(0.01,(V_EV-G$97*V_OFF-V_ODEBT-CHOOSE(DilMethod,0,SUMPRODUCT((G108&lt;=$H$80:$H$91)*((CVDebtBasis=1)*$E$80:$E$91+(CVDebtBasis&gt;=2)*$F$80:$F$91)),SUMPRODUCT(((CVDebtBasis=1)*$E$80:$E$91+(CVDebtBasis&gt;=2)*$F$80:$F$91)))+V_CASH+V_SOTP)/(V_BASIC+V_RSU+Options*MAX(0,1-OptK/G108)+CHOOSE(DilMethod,SUMPRODUCT($E$80:$E$91,$G$80:$G$91)/1000,SUMPRODUCT((G108&gt;$H$80:$H$91)*$E$80:$E$91*$G$80:$G$91)/1000,SUMPRODUCT((($E$80:$E$91*$G$80:$G$91/1000*G108-((CVDebtBasis=1)*$E$80:$E$91+(CVDebtBasis&gt;=2)*$F$80:$F$91))&gt;0)*($E$80:$E$91*$G$80:$G$91/1000*G108-((CVDebtBasis=1)*$E$80:$E$91+(CVDebtBasis&gt;=2)*$F$80:$F$91)))/G108)))</f>
        <v>0.01</v>
      </c>
    </row>
    <row r="110" customFormat="false" ht="15" hidden="false" customHeight="false" outlineLevel="0" collapsed="false">
      <c r="A110" s="0" t="s">
        <v>2877</v>
      </c>
      <c r="E110" s="25" t="n">
        <f aca="false">MAX(0.01,(V_EV-E$97*V_OFF-V_ODEBT-CHOOSE(DilMethod,0,SUMPRODUCT((E109&lt;=$H$80:$H$91)*((CVDebtBasis=1)*$E$80:$E$91+(CVDebtBasis&gt;=2)*$F$80:$F$91)),SUMPRODUCT(((CVDebtBasis=1)*$E$80:$E$91+(CVDebtBasis&gt;=2)*$F$80:$F$91)))+V_CASH+V_SOTP)/(V_BASIC+V_RSU+Options*MAX(0,1-OptK/E109)+CHOOSE(DilMethod,SUMPRODUCT($E$80:$E$91,$G$80:$G$91)/1000,SUMPRODUCT((E109&gt;$H$80:$H$91)*$E$80:$E$91*$G$80:$G$91)/1000,SUMPRODUCT((($E$80:$E$91*$G$80:$G$91/1000*E109-((CVDebtBasis=1)*$E$80:$E$91+(CVDebtBasis&gt;=2)*$F$80:$F$91))&gt;0)*($E$80:$E$91*$G$80:$G$91/1000*E109-((CVDebtBasis=1)*$E$80:$E$91+(CVDebtBasis&gt;=2)*$F$80:$F$91)))/E109)))</f>
        <v>0.01</v>
      </c>
      <c r="F110" s="25" t="n">
        <f aca="false">MAX(0.01,(V_EV-F$97*V_OFF-V_ODEBT-CHOOSE(DilMethod,0,SUMPRODUCT((F109&lt;=$H$80:$H$91)*((CVDebtBasis=1)*$E$80:$E$91+(CVDebtBasis&gt;=2)*$F$80:$F$91)),SUMPRODUCT(((CVDebtBasis=1)*$E$80:$E$91+(CVDebtBasis&gt;=2)*$F$80:$F$91)))+V_CASH+V_SOTP)/(V_BASIC+V_RSU+Options*MAX(0,1-OptK/F109)+CHOOSE(DilMethod,SUMPRODUCT($E$80:$E$91,$G$80:$G$91)/1000,SUMPRODUCT((F109&gt;$H$80:$H$91)*$E$80:$E$91*$G$80:$G$91)/1000,SUMPRODUCT((($E$80:$E$91*$G$80:$G$91/1000*F109-((CVDebtBasis=1)*$E$80:$E$91+(CVDebtBasis&gt;=2)*$F$80:$F$91))&gt;0)*($E$80:$E$91*$G$80:$G$91/1000*F109-((CVDebtBasis=1)*$E$80:$E$91+(CVDebtBasis&gt;=2)*$F$80:$F$91)))/F109)))</f>
        <v>0.01</v>
      </c>
      <c r="G110" s="25" t="n">
        <f aca="false">MAX(0.01,(V_EV-G$97*V_OFF-V_ODEBT-CHOOSE(DilMethod,0,SUMPRODUCT((G109&lt;=$H$80:$H$91)*((CVDebtBasis=1)*$E$80:$E$91+(CVDebtBasis&gt;=2)*$F$80:$F$91)),SUMPRODUCT(((CVDebtBasis=1)*$E$80:$E$91+(CVDebtBasis&gt;=2)*$F$80:$F$91)))+V_CASH+V_SOTP)/(V_BASIC+V_RSU+Options*MAX(0,1-OptK/G109)+CHOOSE(DilMethod,SUMPRODUCT($E$80:$E$91,$G$80:$G$91)/1000,SUMPRODUCT((G109&gt;$H$80:$H$91)*$E$80:$E$91*$G$80:$G$91)/1000,SUMPRODUCT((($E$80:$E$91*$G$80:$G$91/1000*G109-((CVDebtBasis=1)*$E$80:$E$91+(CVDebtBasis&gt;=2)*$F$80:$F$91))&gt;0)*($E$80:$E$91*$G$80:$G$91/1000*G109-((CVDebtBasis=1)*$E$80:$E$91+(CVDebtBasis&gt;=2)*$F$80:$F$91)))/G109)))</f>
        <v>0.01</v>
      </c>
    </row>
    <row r="111" customFormat="false" ht="15" hidden="false" customHeight="false" outlineLevel="0" collapsed="false">
      <c r="A111" s="0" t="s">
        <v>2878</v>
      </c>
      <c r="E111" s="25" t="n">
        <f aca="false">MAX(0.01,(V_EV-E$97*V_OFF-V_ODEBT-CHOOSE(DilMethod,0,SUMPRODUCT((E110&lt;=$H$80:$H$91)*((CVDebtBasis=1)*$E$80:$E$91+(CVDebtBasis&gt;=2)*$F$80:$F$91)),SUMPRODUCT(((CVDebtBasis=1)*$E$80:$E$91+(CVDebtBasis&gt;=2)*$F$80:$F$91)))+V_CASH+V_SOTP)/(V_BASIC+V_RSU+Options*MAX(0,1-OptK/E110)+CHOOSE(DilMethod,SUMPRODUCT($E$80:$E$91,$G$80:$G$91)/1000,SUMPRODUCT((E110&gt;$H$80:$H$91)*$E$80:$E$91*$G$80:$G$91)/1000,SUMPRODUCT((($E$80:$E$91*$G$80:$G$91/1000*E110-((CVDebtBasis=1)*$E$80:$E$91+(CVDebtBasis&gt;=2)*$F$80:$F$91))&gt;0)*($E$80:$E$91*$G$80:$G$91/1000*E110-((CVDebtBasis=1)*$E$80:$E$91+(CVDebtBasis&gt;=2)*$F$80:$F$91)))/E110)))</f>
        <v>0.01</v>
      </c>
      <c r="F111" s="25" t="n">
        <f aca="false">MAX(0.01,(V_EV-F$97*V_OFF-V_ODEBT-CHOOSE(DilMethod,0,SUMPRODUCT((F110&lt;=$H$80:$H$91)*((CVDebtBasis=1)*$E$80:$E$91+(CVDebtBasis&gt;=2)*$F$80:$F$91)),SUMPRODUCT(((CVDebtBasis=1)*$E$80:$E$91+(CVDebtBasis&gt;=2)*$F$80:$F$91)))+V_CASH+V_SOTP)/(V_BASIC+V_RSU+Options*MAX(0,1-OptK/F110)+CHOOSE(DilMethod,SUMPRODUCT($E$80:$E$91,$G$80:$G$91)/1000,SUMPRODUCT((F110&gt;$H$80:$H$91)*$E$80:$E$91*$G$80:$G$91)/1000,SUMPRODUCT((($E$80:$E$91*$G$80:$G$91/1000*F110-((CVDebtBasis=1)*$E$80:$E$91+(CVDebtBasis&gt;=2)*$F$80:$F$91))&gt;0)*($E$80:$E$91*$G$80:$G$91/1000*F110-((CVDebtBasis=1)*$E$80:$E$91+(CVDebtBasis&gt;=2)*$F$80:$F$91)))/F110)))</f>
        <v>0.01</v>
      </c>
      <c r="G111" s="25" t="n">
        <f aca="false">MAX(0.01,(V_EV-G$97*V_OFF-V_ODEBT-CHOOSE(DilMethod,0,SUMPRODUCT((G110&lt;=$H$80:$H$91)*((CVDebtBasis=1)*$E$80:$E$91+(CVDebtBasis&gt;=2)*$F$80:$F$91)),SUMPRODUCT(((CVDebtBasis=1)*$E$80:$E$91+(CVDebtBasis&gt;=2)*$F$80:$F$91)))+V_CASH+V_SOTP)/(V_BASIC+V_RSU+Options*MAX(0,1-OptK/G110)+CHOOSE(DilMethod,SUMPRODUCT($E$80:$E$91,$G$80:$G$91)/1000,SUMPRODUCT((G110&gt;$H$80:$H$91)*$E$80:$E$91*$G$80:$G$91)/1000,SUMPRODUCT((($E$80:$E$91*$G$80:$G$91/1000*G110-((CVDebtBasis=1)*$E$80:$E$91+(CVDebtBasis&gt;=2)*$F$80:$F$91))&gt;0)*($E$80:$E$91*$G$80:$G$91/1000*G110-((CVDebtBasis=1)*$E$80:$E$91+(CVDebtBasis&gt;=2)*$F$80:$F$91)))/G110)))</f>
        <v>0.01</v>
      </c>
    </row>
    <row r="112" customFormat="false" ht="15" hidden="false" customHeight="false" outlineLevel="0" collapsed="false">
      <c r="A112" s="0" t="s">
        <v>2879</v>
      </c>
      <c r="E112" s="25" t="n">
        <f aca="false">MAX(0.01,(V_EV-E$97*V_OFF-V_ODEBT-CHOOSE(DilMethod,0,SUMPRODUCT((E111&lt;=$H$80:$H$91)*((CVDebtBasis=1)*$E$80:$E$91+(CVDebtBasis&gt;=2)*$F$80:$F$91)),SUMPRODUCT(((CVDebtBasis=1)*$E$80:$E$91+(CVDebtBasis&gt;=2)*$F$80:$F$91)))+V_CASH+V_SOTP)/(V_BASIC+V_RSU+Options*MAX(0,1-OptK/E111)+CHOOSE(DilMethod,SUMPRODUCT($E$80:$E$91,$G$80:$G$91)/1000,SUMPRODUCT((E111&gt;$H$80:$H$91)*$E$80:$E$91*$G$80:$G$91)/1000,SUMPRODUCT((($E$80:$E$91*$G$80:$G$91/1000*E111-((CVDebtBasis=1)*$E$80:$E$91+(CVDebtBasis&gt;=2)*$F$80:$F$91))&gt;0)*($E$80:$E$91*$G$80:$G$91/1000*E111-((CVDebtBasis=1)*$E$80:$E$91+(CVDebtBasis&gt;=2)*$F$80:$F$91)))/E111)))</f>
        <v>0.01</v>
      </c>
      <c r="F112" s="25" t="n">
        <f aca="false">MAX(0.01,(V_EV-F$97*V_OFF-V_ODEBT-CHOOSE(DilMethod,0,SUMPRODUCT((F111&lt;=$H$80:$H$91)*((CVDebtBasis=1)*$E$80:$E$91+(CVDebtBasis&gt;=2)*$F$80:$F$91)),SUMPRODUCT(((CVDebtBasis=1)*$E$80:$E$91+(CVDebtBasis&gt;=2)*$F$80:$F$91)))+V_CASH+V_SOTP)/(V_BASIC+V_RSU+Options*MAX(0,1-OptK/F111)+CHOOSE(DilMethod,SUMPRODUCT($E$80:$E$91,$G$80:$G$91)/1000,SUMPRODUCT((F111&gt;$H$80:$H$91)*$E$80:$E$91*$G$80:$G$91)/1000,SUMPRODUCT((($E$80:$E$91*$G$80:$G$91/1000*F111-((CVDebtBasis=1)*$E$80:$E$91+(CVDebtBasis&gt;=2)*$F$80:$F$91))&gt;0)*($E$80:$E$91*$G$80:$G$91/1000*F111-((CVDebtBasis=1)*$E$80:$E$91+(CVDebtBasis&gt;=2)*$F$80:$F$91)))/F111)))</f>
        <v>0.01</v>
      </c>
      <c r="G112" s="25" t="n">
        <f aca="false">MAX(0.01,(V_EV-G$97*V_OFF-V_ODEBT-CHOOSE(DilMethod,0,SUMPRODUCT((G111&lt;=$H$80:$H$91)*((CVDebtBasis=1)*$E$80:$E$91+(CVDebtBasis&gt;=2)*$F$80:$F$91)),SUMPRODUCT(((CVDebtBasis=1)*$E$80:$E$91+(CVDebtBasis&gt;=2)*$F$80:$F$91)))+V_CASH+V_SOTP)/(V_BASIC+V_RSU+Options*MAX(0,1-OptK/G111)+CHOOSE(DilMethod,SUMPRODUCT($E$80:$E$91,$G$80:$G$91)/1000,SUMPRODUCT((G111&gt;$H$80:$H$91)*$E$80:$E$91*$G$80:$G$91)/1000,SUMPRODUCT((($E$80:$E$91*$G$80:$G$91/1000*G111-((CVDebtBasis=1)*$E$80:$E$91+(CVDebtBasis&gt;=2)*$F$80:$F$91))&gt;0)*($E$80:$E$91*$G$80:$G$91/1000*G111-((CVDebtBasis=1)*$E$80:$E$91+(CVDebtBasis&gt;=2)*$F$80:$F$91)))/G111)))</f>
        <v>0.01</v>
      </c>
    </row>
    <row r="113" customFormat="false" ht="15" hidden="false" customHeight="false" outlineLevel="0" collapsed="false">
      <c r="A113" s="0" t="s">
        <v>2880</v>
      </c>
      <c r="E113" s="25" t="n">
        <f aca="false">MAX(0.01,(V_EV-E$97*V_OFF-V_ODEBT-CHOOSE(DilMethod,0,SUMPRODUCT((E112&lt;=$H$80:$H$91)*((CVDebtBasis=1)*$E$80:$E$91+(CVDebtBasis&gt;=2)*$F$80:$F$91)),SUMPRODUCT(((CVDebtBasis=1)*$E$80:$E$91+(CVDebtBasis&gt;=2)*$F$80:$F$91)))+V_CASH+V_SOTP)/(V_BASIC+V_RSU+Options*MAX(0,1-OptK/E112)+CHOOSE(DilMethod,SUMPRODUCT($E$80:$E$91,$G$80:$G$91)/1000,SUMPRODUCT((E112&gt;$H$80:$H$91)*$E$80:$E$91*$G$80:$G$91)/1000,SUMPRODUCT((($E$80:$E$91*$G$80:$G$91/1000*E112-((CVDebtBasis=1)*$E$80:$E$91+(CVDebtBasis&gt;=2)*$F$80:$F$91))&gt;0)*($E$80:$E$91*$G$80:$G$91/1000*E112-((CVDebtBasis=1)*$E$80:$E$91+(CVDebtBasis&gt;=2)*$F$80:$F$91)))/E112)))</f>
        <v>0.01</v>
      </c>
      <c r="F113" s="25" t="n">
        <f aca="false">MAX(0.01,(V_EV-F$97*V_OFF-V_ODEBT-CHOOSE(DilMethod,0,SUMPRODUCT((F112&lt;=$H$80:$H$91)*((CVDebtBasis=1)*$E$80:$E$91+(CVDebtBasis&gt;=2)*$F$80:$F$91)),SUMPRODUCT(((CVDebtBasis=1)*$E$80:$E$91+(CVDebtBasis&gt;=2)*$F$80:$F$91)))+V_CASH+V_SOTP)/(V_BASIC+V_RSU+Options*MAX(0,1-OptK/F112)+CHOOSE(DilMethod,SUMPRODUCT($E$80:$E$91,$G$80:$G$91)/1000,SUMPRODUCT((F112&gt;$H$80:$H$91)*$E$80:$E$91*$G$80:$G$91)/1000,SUMPRODUCT((($E$80:$E$91*$G$80:$G$91/1000*F112-((CVDebtBasis=1)*$E$80:$E$91+(CVDebtBasis&gt;=2)*$F$80:$F$91))&gt;0)*($E$80:$E$91*$G$80:$G$91/1000*F112-((CVDebtBasis=1)*$E$80:$E$91+(CVDebtBasis&gt;=2)*$F$80:$F$91)))/F112)))</f>
        <v>0.01</v>
      </c>
      <c r="G113" s="25" t="n">
        <f aca="false">MAX(0.01,(V_EV-G$97*V_OFF-V_ODEBT-CHOOSE(DilMethod,0,SUMPRODUCT((G112&lt;=$H$80:$H$91)*((CVDebtBasis=1)*$E$80:$E$91+(CVDebtBasis&gt;=2)*$F$80:$F$91)),SUMPRODUCT(((CVDebtBasis=1)*$E$80:$E$91+(CVDebtBasis&gt;=2)*$F$80:$F$91)))+V_CASH+V_SOTP)/(V_BASIC+V_RSU+Options*MAX(0,1-OptK/G112)+CHOOSE(DilMethod,SUMPRODUCT($E$80:$E$91,$G$80:$G$91)/1000,SUMPRODUCT((G112&gt;$H$80:$H$91)*$E$80:$E$91*$G$80:$G$91)/1000,SUMPRODUCT((($E$80:$E$91*$G$80:$G$91/1000*G112-((CVDebtBasis=1)*$E$80:$E$91+(CVDebtBasis&gt;=2)*$F$80:$F$91))&gt;0)*($E$80:$E$91*$G$80:$G$91/1000*G112-((CVDebtBasis=1)*$E$80:$E$91+(CVDebtBasis&gt;=2)*$F$80:$F$91)))/G112)))</f>
        <v>0.01</v>
      </c>
    </row>
    <row r="114" customFormat="false" ht="15" hidden="false" customHeight="false" outlineLevel="0" collapsed="false">
      <c r="A114" s="112" t="s">
        <v>2881</v>
      </c>
      <c r="D114" s="24"/>
      <c r="E114" s="56" t="n">
        <f aca="false">MAX(ABS(E113-E112),ABS(F113-F112),ABS(G113-G112))</f>
        <v>0</v>
      </c>
    </row>
    <row r="115" customFormat="false" ht="15" hidden="false" customHeight="false" outlineLevel="0" collapsed="false">
      <c r="A115" s="3" t="s">
        <v>2882</v>
      </c>
      <c r="E115" s="6" t="n">
        <f aca="false">E113</f>
        <v>0.01</v>
      </c>
      <c r="F115" s="6" t="n">
        <f aca="false">F113</f>
        <v>0.01</v>
      </c>
      <c r="G115" s="6" t="n">
        <f aca="false">G113</f>
        <v>0.01</v>
      </c>
    </row>
    <row r="116" customFormat="false" ht="15" hidden="false" customHeight="false" outlineLevel="0" collapsed="false">
      <c r="A116" s="112" t="s">
        <v>2883</v>
      </c>
      <c r="E116" s="54" t="n">
        <f aca="false">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0</v>
      </c>
      <c r="F116" s="54" t="n">
        <f aca="false">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0</v>
      </c>
      <c r="G116" s="54" t="n">
        <f aca="false">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0</v>
      </c>
    </row>
    <row r="117" customFormat="false" ht="15" hidden="false" customHeight="false" outlineLevel="0" collapsed="false">
      <c r="A117" s="112" t="s">
        <v>2884</v>
      </c>
      <c r="E117" s="114" t="n">
        <f aca="false">CHOOSE(DilMethod,0,SUMPRODUCT((E113&lt;=$H$80:$H$91)*((CVDebtBasis=1)*$E$80:$E$91+(CVDebtBasis&gt;=2)*$F$80:$F$91)),SUMPRODUCT(((CVDebtBasis=1)*$E$80:$E$91+(CVDebtBasis&gt;=2)*$F$80:$F$91)))</f>
        <v>13510.8578038903</v>
      </c>
      <c r="F117" s="114" t="n">
        <f aca="false">CHOOSE(DilMethod,0,SUMPRODUCT((F113&lt;=$H$80:$H$91)*((CVDebtBasis=1)*$E$80:$E$91+(CVDebtBasis&gt;=2)*$F$80:$F$91)),SUMPRODUCT(((CVDebtBasis=1)*$E$80:$E$91+(CVDebtBasis&gt;=2)*$F$80:$F$91)))</f>
        <v>13510.8578038903</v>
      </c>
      <c r="G117" s="114" t="n">
        <f aca="false">CHOOSE(DilMethod,0,SUMPRODUCT((G113&lt;=$H$80:$H$91)*((CVDebtBasis=1)*$E$80:$E$91+(CVDebtBasis&gt;=2)*$F$80:$F$91)),SUMPRODUCT(((CVDebtBasis=1)*$E$80:$E$91+(CVDebtBasis&gt;=2)*$F$80:$F$91)))</f>
        <v>13510.8578038903</v>
      </c>
    </row>
    <row r="118" customFormat="false" ht="15" hidden="false" customHeight="false" outlineLevel="0" collapsed="false">
      <c r="A118" s="112" t="s">
        <v>2885</v>
      </c>
      <c r="E118" s="54" t="n">
        <f aca="false">Options*MAX(0,1-OptK/E113)</f>
        <v>0</v>
      </c>
      <c r="F118" s="54" t="n">
        <f aca="false">Options*MAX(0,1-OptK/F113)</f>
        <v>0</v>
      </c>
      <c r="G118" s="54" t="n">
        <f aca="false">Options*MAX(0,1-OptK/G113)</f>
        <v>0</v>
      </c>
    </row>
    <row r="119" customFormat="false" ht="15" hidden="false" customHeight="false" outlineLevel="0" collapsed="false">
      <c r="A119" s="112" t="s">
        <v>2886</v>
      </c>
      <c r="E119" s="54" t="n">
        <f aca="false">V_BASIC+V_RSU+Options*MAX(0,1-OptK/E113)+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314.925245</v>
      </c>
      <c r="F119" s="54" t="n">
        <f aca="false">V_BASIC+V_RSU+Options*MAX(0,1-OptK/F113)+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314.925245</v>
      </c>
      <c r="G119" s="54" t="n">
        <f aca="false">V_BASIC+V_RSU+Options*MAX(0,1-OptK/G113)+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314.925245</v>
      </c>
    </row>
    <row r="120" customFormat="false" ht="15" hidden="false" customHeight="false" outlineLevel="0" collapsed="false">
      <c r="A120" s="3" t="s">
        <v>2887</v>
      </c>
      <c r="E120" s="120" t="n">
        <f aca="false">V_EV-E$97*V_OFF-V_ODEBT-CHOOSE(DilMethod,0,SUMPRODUCT((E113&lt;=$H$80:$H$91)*((CVDebtBasis=1)*$E$80:$E$91+(CVDebtBasis&gt;=2)*$F$80:$F$91)),SUMPRODUCT(((CVDebtBasis=1)*$E$80:$E$91+(CVDebtBasis&gt;=2)*$F$80:$F$91)))+V_CASH+V_SOTP</f>
        <v>-621.096213862173</v>
      </c>
      <c r="F120" s="120" t="n">
        <f aca="false">V_EV-F$97*V_OFF-V_ODEBT-CHOOSE(DilMethod,0,SUMPRODUCT((F113&lt;=$H$80:$H$91)*((CVDebtBasis=1)*$E$80:$E$91+(CVDebtBasis&gt;=2)*$F$80:$F$91)),SUMPRODUCT(((CVDebtBasis=1)*$E$80:$E$91+(CVDebtBasis&gt;=2)*$F$80:$F$91)))+V_CASH+V_SOTP</f>
        <v>-621.096213862173</v>
      </c>
      <c r="G120" s="120" t="n">
        <f aca="false">V_EV-G$97*V_OFF-V_ODEBT-CHOOSE(DilMethod,0,SUMPRODUCT((G113&lt;=$H$80:$H$91)*((CVDebtBasis=1)*$E$80:$E$91+(CVDebtBasis&gt;=2)*$F$80:$F$91)),SUMPRODUCT(((CVDebtBasis=1)*$E$80:$E$91+(CVDebtBasis&gt;=2)*$F$80:$F$91)))+V_CASH+V_SOTP</f>
        <v>-19616.0962138622</v>
      </c>
    </row>
    <row r="121" customFormat="false" ht="15" hidden="false" customHeight="false" outlineLevel="0" collapsed="false">
      <c r="A121" s="112" t="s">
        <v>2888</v>
      </c>
      <c r="E121" s="25" t="n">
        <f aca="false">(V_EV-E$97*V_OFF-V_ODEBT-SUMPRODUCT(((CVDebtBasis=1)*$E$80:$E$91+(CVDebtBasis&gt;=2)*$F$80:$F$91))+V_CASH+V_SOTP)/V_BASIC</f>
        <v>-2.01203113796443</v>
      </c>
      <c r="F121" s="25" t="n">
        <f aca="false">(V_EV-F$97*V_OFF-V_ODEBT-SUMPRODUCT(((CVDebtBasis=1)*$E$80:$E$91+(CVDebtBasis&gt;=2)*$F$80:$F$91))+V_CASH+V_SOTP)/V_BASIC</f>
        <v>-2.01203113796443</v>
      </c>
      <c r="G121" s="25" t="n">
        <f aca="false">(V_EV-G$97*V_OFF-V_ODEBT-SUMPRODUCT(((CVDebtBasis=1)*$E$80:$E$91+(CVDebtBasis&gt;=2)*$F$80:$F$91))+V_CASH+V_SOTP)/V_BASIC</f>
        <v>-63.5460263751587</v>
      </c>
    </row>
    <row r="122" customFormat="false" ht="15" hidden="false" customHeight="false" outlineLevel="0" collapsed="false">
      <c r="A122" s="112" t="s">
        <v>2889</v>
      </c>
      <c r="E122" s="54" t="n">
        <f aca="false">SUMPRODUCT((E113&gt;$H$80:$H$91)*$E$80:$E$91*$G$80:$G$91)/1000</f>
        <v>0</v>
      </c>
      <c r="F122" s="54" t="n">
        <f aca="false">SUMPRODUCT((F113&gt;$H$80:$H$91)*$E$80:$E$91*$G$80:$G$91)/1000</f>
        <v>0</v>
      </c>
      <c r="G122" s="54" t="n">
        <f aca="false">SUMPRODUCT((G113&gt;$H$80:$H$91)*$E$80:$E$91*$G$80:$G$91)/1000</f>
        <v>0</v>
      </c>
    </row>
    <row r="123" customFormat="false" ht="15" hidden="false" customHeight="false" outlineLevel="0" collapsed="false">
      <c r="A123" s="112" t="s">
        <v>2890</v>
      </c>
      <c r="E123" s="54" t="n">
        <f aca="false">SUMPRODUCT((($E$80:$E$91*$G$80:$G$91/1000*E113-((CVDebtBasis=1)*$E$80:$E$91+(CVDebtBasis&gt;=2)*$F$80:$F$91))&gt;0)*($E$80:$E$91*$G$80:$G$91/1000*E113-((CVDebtBasis=1)*$E$80:$E$91+(CVDebtBasis&gt;=2)*$F$80:$F$91)))/E113</f>
        <v>0</v>
      </c>
      <c r="F123" s="54" t="n">
        <f aca="false">SUMPRODUCT((($E$80:$E$91*$G$80:$G$91/1000*F113-((CVDebtBasis=1)*$E$80:$E$91+(CVDebtBasis&gt;=2)*$F$80:$F$91))&gt;0)*($E$80:$E$91*$G$80:$G$91/1000*F113-((CVDebtBasis=1)*$E$80:$E$91+(CVDebtBasis&gt;=2)*$F$80:$F$91)))/F113</f>
        <v>0</v>
      </c>
      <c r="G123" s="54" t="n">
        <f aca="false">SUMPRODUCT((($E$80:$E$91*$G$80:$G$91/1000*G113-((CVDebtBasis=1)*$E$80:$E$91+(CVDebtBasis&gt;=2)*$F$80:$F$91))&gt;0)*($E$80:$E$91*$G$80:$G$91/1000*G113-((CVDebtBasis=1)*$E$80:$E$91+(CVDebtBasis&gt;=2)*$F$80:$F$91)))/G113</f>
        <v>0</v>
      </c>
    </row>
    <row r="124" customFormat="false" ht="15" hidden="false" customHeight="false" outlineLevel="0" collapsed="false">
      <c r="A124" s="112" t="s">
        <v>2891</v>
      </c>
      <c r="E124" s="54" t="n">
        <f aca="false">V_BASIC+V_RSU+Options*MAX(0,1-OptK/E113)+SUMPRODUCT((E113&gt;$H$80:$H$91)*$E$80:$E$91*$G$80:$G$91)/1000</f>
        <v>314.925245</v>
      </c>
      <c r="F124" s="54" t="n">
        <f aca="false">V_BASIC+V_RSU+Options*MAX(0,1-OptK/F113)+SUMPRODUCT((F113&gt;$H$80:$H$91)*$E$80:$E$91*$G$80:$G$91)/1000</f>
        <v>314.925245</v>
      </c>
      <c r="G124" s="54" t="n">
        <f aca="false">V_BASIC+V_RSU+Options*MAX(0,1-OptK/G113)+SUMPRODUCT((G113&gt;$H$80:$H$91)*$E$80:$E$91*$G$80:$G$91)/1000</f>
        <v>314.925245</v>
      </c>
    </row>
    <row r="125" customFormat="false" ht="15" hidden="false" customHeight="false" outlineLevel="0" collapsed="false">
      <c r="A125" s="112" t="s">
        <v>2892</v>
      </c>
      <c r="E125" s="54" t="n">
        <f aca="false">V_BASIC+V_RSU+Options*MAX(0,1-OptK/E113)+SUMPRODUCT((($E$80:$E$91*$G$80:$G$91/1000*E113-((CVDebtBasis=1)*$E$80:$E$91+(CVDebtBasis&gt;=2)*$F$80:$F$91))&gt;0)*($E$80:$E$91*$G$80:$G$91/1000*E113-((CVDebtBasis=1)*$E$80:$E$91+(CVDebtBasis&gt;=2)*$F$80:$F$91)))/E113</f>
        <v>314.925245</v>
      </c>
      <c r="F125" s="54" t="n">
        <f aca="false">V_BASIC+V_RSU+Options*MAX(0,1-OptK/F113)+SUMPRODUCT((($E$80:$E$91*$G$80:$G$91/1000*F113-((CVDebtBasis=1)*$E$80:$E$91+(CVDebtBasis&gt;=2)*$F$80:$F$91))&gt;0)*($E$80:$E$91*$G$80:$G$91/1000*F113-((CVDebtBasis=1)*$E$80:$E$91+(CVDebtBasis&gt;=2)*$F$80:$F$91)))/F113</f>
        <v>314.925245</v>
      </c>
      <c r="G125" s="54" t="n">
        <f aca="false">V_BASIC+V_RSU+Options*MAX(0,1-OptK/G113)+SUMPRODUCT((($E$80:$E$91*$G$80:$G$91/1000*G113-((CVDebtBasis=1)*$E$80:$E$91+(CVDebtBasis&gt;=2)*$F$80:$F$91))&gt;0)*($E$80:$E$91*$G$80:$G$91/1000*G113-((CVDebtBasis=1)*$E$80:$E$91+(CVDebtBasis&gt;=2)*$F$80:$F$91)))/G113</f>
        <v>314.925245</v>
      </c>
    </row>
    <row r="127" customFormat="false" ht="15" hidden="false" customHeight="false" outlineLevel="0" collapsed="false">
      <c r="A127" s="64" t="s">
        <v>2893</v>
      </c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</row>
    <row r="128" customFormat="false" ht="15" hidden="false" customHeight="false" outlineLevel="0" collapsed="false">
      <c r="A128" s="3" t="s">
        <v>2894</v>
      </c>
      <c r="E128" s="3" t="s">
        <v>2895</v>
      </c>
      <c r="F128" s="3" t="s">
        <v>2896</v>
      </c>
      <c r="G128" s="3" t="s">
        <v>2897</v>
      </c>
      <c r="H128" s="3" t="s">
        <v>2898</v>
      </c>
      <c r="I128" s="3" t="s">
        <v>2899</v>
      </c>
      <c r="J128" s="3" t="s">
        <v>2900</v>
      </c>
      <c r="K128" s="3" t="s">
        <v>2901</v>
      </c>
    </row>
    <row r="129" customFormat="false" ht="15" hidden="false" customHeight="false" outlineLevel="0" collapsed="false">
      <c r="A129" s="0" t="s">
        <v>2902</v>
      </c>
      <c r="E129" s="25" t="n">
        <f aca="false">46</f>
        <v>46</v>
      </c>
      <c r="F129" s="35" t="n">
        <f aca="false">SUMPRODUCT(($E129&gt;$H$80:$H$91)*$E$80:$E$91)</f>
        <v>0</v>
      </c>
      <c r="G129" s="54" t="n">
        <f aca="false">SUMPRODUCT(($E129&gt;$H$80:$H$91)*$E$80:$E$91*$G$80:$G$91)/1000</f>
        <v>0</v>
      </c>
      <c r="H129" s="35" t="n">
        <f aca="false">SUMPRODUCT(($E129&lt;=$H$80:$H$91)*((CVDebtBasis=1)*$E$80:$E$91+(CVDebtBasis&gt;=2)*$F$80:$F$91))</f>
        <v>13510.8578038903</v>
      </c>
      <c r="I129" s="54" t="n">
        <f aca="false">SUMPRODUCT((($E$80:$E$91*$G$80:$G$91/1000*$E129-((CVDebtBasis=1)*$E$80:$E$91+(CVDebtBasis&gt;=2)*$F$80:$F$91))&gt;0)*($E$80:$E$91*$G$80:$G$91/1000*$E129-((CVDebtBasis=1)*$E$80:$E$91+(CVDebtBasis&gt;=2)*$F$80:$F$91)))/$E129</f>
        <v>0</v>
      </c>
      <c r="J129" s="54" t="n">
        <f aca="false">V_BASIC+V_RSU+Options*MAX(0,1-OptK/$E129)+G129</f>
        <v>314.925245</v>
      </c>
      <c r="K129" s="54" t="n">
        <f aca="false">V_BASIC+V_RSU+Options*MAX(0,1-OptK/$E129)+I129</f>
        <v>314.925245</v>
      </c>
    </row>
    <row r="130" customFormat="false" ht="15" hidden="false" customHeight="false" outlineLevel="0" collapsed="false">
      <c r="A130" s="0" t="s">
        <v>2903</v>
      </c>
      <c r="E130" s="25" t="n">
        <f aca="false">147</f>
        <v>147</v>
      </c>
      <c r="F130" s="35" t="n">
        <f aca="false">SUMPRODUCT(($E130&gt;$H$80:$H$91)*$E$80:$E$91)</f>
        <v>3337.5</v>
      </c>
      <c r="G130" s="54" t="n">
        <f aca="false">SUMPRODUCT(($E130&gt;$H$80:$H$91)*$E$80:$E$91*$G$80:$G$91)/1000</f>
        <v>26.1941225</v>
      </c>
      <c r="H130" s="35" t="n">
        <f aca="false">SUMPRODUCT(($E130&lt;=$H$80:$H$91)*((CVDebtBasis=1)*$E$80:$E$91+(CVDebtBasis&gt;=2)*$F$80:$F$91))</f>
        <v>10142.1089318797</v>
      </c>
      <c r="I130" s="54" t="n">
        <f aca="false">SUMPRODUCT((($E$80:$E$91*$G$80:$G$91/1000*$E130-((CVDebtBasis=1)*$E$80:$E$91+(CVDebtBasis&gt;=2)*$F$80:$F$91))&gt;0)*($E$80:$E$91*$G$80:$G$91/1000*$E130-((CVDebtBasis=1)*$E$80:$E$91+(CVDebtBasis&gt;=2)*$F$80:$F$91)))/$E130</f>
        <v>3.27746350673058</v>
      </c>
      <c r="J130" s="54" t="n">
        <f aca="false">V_BASIC+V_RSU+Options*MAX(0,1-OptK/$E130)+G130</f>
        <v>343.794973010204</v>
      </c>
      <c r="K130" s="54" t="n">
        <f aca="false">V_BASIC+V_RSU+Options*MAX(0,1-OptK/$E130)+I130</f>
        <v>320.878314016935</v>
      </c>
    </row>
    <row r="131" customFormat="false" ht="15" hidden="false" customHeight="false" outlineLevel="0" collapsed="false">
      <c r="A131" s="0" t="s">
        <v>2904</v>
      </c>
      <c r="E131" s="25" t="n">
        <f aca="false">242.81</f>
        <v>242.81</v>
      </c>
      <c r="F131" s="35" t="n">
        <f aca="false">SUMPRODUCT(($E131&gt;$H$80:$H$91)*$E$80:$E$91)</f>
        <v>7675</v>
      </c>
      <c r="G131" s="54" t="n">
        <f aca="false">SUMPRODUCT(($E131&gt;$H$80:$H$91)*$E$80:$E$91*$G$80:$G$91)/1000</f>
        <v>50.02193875</v>
      </c>
      <c r="H131" s="35" t="n">
        <f aca="false">SUMPRODUCT(($E131&lt;=$H$80:$H$91)*((CVDebtBasis=1)*$E$80:$E$91+(CVDebtBasis&gt;=2)*$F$80:$F$91))</f>
        <v>5767.83060829888</v>
      </c>
      <c r="I131" s="54" t="n">
        <f aca="false">SUMPRODUCT((($E$80:$E$91*$G$80:$G$91/1000*$E131-((CVDebtBasis=1)*$E$80:$E$91+(CVDebtBasis&gt;=2)*$F$80:$F$91))&gt;0)*($E$80:$E$91*$G$80:$G$91/1000*$E131-((CVDebtBasis=1)*$E$80:$E$91+(CVDebtBasis&gt;=2)*$F$80:$F$91)))/$E131</f>
        <v>18.1326953267827</v>
      </c>
      <c r="J131" s="54" t="n">
        <f aca="false">V_BASIC+V_RSU+Options*MAX(0,1-OptK/$E131)+G131</f>
        <v>369.226788774505</v>
      </c>
      <c r="K131" s="54" t="n">
        <f aca="false">V_BASIC+V_RSU+Options*MAX(0,1-OptK/$E131)+I131</f>
        <v>337.337545351288</v>
      </c>
    </row>
    <row r="132" customFormat="false" ht="15" hidden="false" customHeight="false" outlineLevel="0" collapsed="false">
      <c r="A132" s="0" t="s">
        <v>2905</v>
      </c>
      <c r="E132" s="25" t="n">
        <f aca="false">V_PSolve</f>
        <v>0.01</v>
      </c>
      <c r="F132" s="35" t="n">
        <f aca="false">SUMPRODUCT(($E132&gt;$H$80:$H$91)*$E$80:$E$91)</f>
        <v>0</v>
      </c>
      <c r="G132" s="54" t="n">
        <f aca="false">SUMPRODUCT(($E132&gt;$H$80:$H$91)*$E$80:$E$91*$G$80:$G$91)/1000</f>
        <v>0</v>
      </c>
      <c r="H132" s="35" t="n">
        <f aca="false">SUMPRODUCT(($E132&lt;=$H$80:$H$91)*((CVDebtBasis=1)*$E$80:$E$91+(CVDebtBasis&gt;=2)*$F$80:$F$91))</f>
        <v>13510.8578038903</v>
      </c>
      <c r="I132" s="54" t="n">
        <f aca="false">SUMPRODUCT((($E$80:$E$91*$G$80:$G$91/1000*$E132-((CVDebtBasis=1)*$E$80:$E$91+(CVDebtBasis&gt;=2)*$F$80:$F$91))&gt;0)*($E$80:$E$91*$G$80:$G$91/1000*$E132-((CVDebtBasis=1)*$E$80:$E$91+(CVDebtBasis&gt;=2)*$F$80:$F$91)))/$E132</f>
        <v>0</v>
      </c>
      <c r="J132" s="54" t="n">
        <f aca="false">V_BASIC+V_RSU+Options*MAX(0,1-OptK/$E132)+G132</f>
        <v>314.925245</v>
      </c>
      <c r="K132" s="54" t="n">
        <f aca="false">V_BASIC+V_RSU+Options*MAX(0,1-OptK/$E132)+I132</f>
        <v>314.925245</v>
      </c>
    </row>
    <row r="134" customFormat="false" ht="15" hidden="false" customHeight="false" outlineLevel="0" collapsed="false">
      <c r="A134" s="64" t="s">
        <v>2906</v>
      </c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customFormat="false" ht="15" hidden="false" customHeight="false" outlineLevel="0" collapsed="false">
      <c r="A135" s="0" t="s">
        <v>2907</v>
      </c>
      <c r="E135" s="35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FP_On*(FP_ATMProc*(FP_ATMIdx&lt;=FP_PostQ)+SUMPRODUCT((Q_Idx&lt;=FP_PostQ)*CF_FPConv)+FP_Resize*(SUMPRODUCT((Q_Idx&lt;=FP_PostQ)*FP_EqTop)-SUMPRODUCT((Q_Idx&gt;V_Q)*(Q_Idx&lt;=FP_PostQ)*CV_rep))-SUMPRODUCT((Q_Idx&gt;V_Q)*(Q_Idx&lt;=FP_PostQ)*ABS_Int*(1-TaxRate*(PL_Tax&gt;0))))</f>
        <v>46344.1878825648</v>
      </c>
    </row>
    <row r="136" customFormat="false" ht="15" hidden="false" customHeight="false" outlineLevel="0" collapsed="false">
      <c r="A136" s="0" t="s">
        <v>2908</v>
      </c>
      <c r="E136" s="54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7" customFormat="false" ht="15" hidden="false" customHeight="false" outlineLevel="0" collapsed="false">
      <c r="A137" s="0" t="s">
        <v>2909</v>
      </c>
      <c r="E137" s="25" t="n">
        <f aca="false">MAX(0.01,E113)</f>
        <v>0.01</v>
      </c>
      <c r="F137" s="25" t="n">
        <f aca="false">MAX(0.01,F113)</f>
        <v>0.01</v>
      </c>
      <c r="G137" s="25" t="n">
        <f aca="false">MAX(0.01,G113)</f>
        <v>0.01</v>
      </c>
    </row>
    <row r="138" customFormat="false" ht="15" hidden="false" customHeight="false" outlineLevel="0" collapsed="false">
      <c r="A138" s="0" t="s">
        <v>2910</v>
      </c>
      <c r="E138" s="25" t="n">
        <f aca="false">MAX(0.01,(V_EV-E$97*V_OFF-V_ODEBT-CHOOSE(DilMethod,0,SUMPRODUCT((E137&lt;=$H$80:$H$91)*((CVDebtBasis=1)*$I$80:$I$91+(CVDebtBasis&gt;=2)*$J$80:$J$91)),SUMPRODUCT(((CVDebtBasis=1)*$I$80:$I$91+(CVDebtBasis&gt;=2)*$J$80:$J$91)))+V_CASH+V_SOTP+V_FPCash)/(V_BASIC+V_FPSh+V_RSU+Options*MAX(0,1-OptK/E137)+CHOOSE(DilMethod,SUMPRODUCT($I$80:$I$91,$G$80:$G$91)/1000,SUMPRODUCT((E137&gt;$H$80:$H$91)*$I$80:$I$91*$G$80:$G$91)/1000,SUMPRODUCT((($I$80:$I$91*$G$80:$G$91/1000*E137-((CVDebtBasis=1)*$I$80:$I$91+(CVDebtBasis&gt;=2)*$J$80:$J$91))&gt;0)*($I$80:$I$91*$G$80:$G$91/1000*E137-((CVDebtBasis=1)*$I$80:$I$91+(CVDebtBasis&gt;=2)*$J$80:$J$91)))/E137)))</f>
        <v>78.7010214344575</v>
      </c>
      <c r="F138" s="25" t="n">
        <f aca="false">MAX(0.01,(V_EV-F$97*V_OFF-V_ODEBT-CHOOSE(DilMethod,0,SUMPRODUCT((F137&lt;=$H$80:$H$91)*((CVDebtBasis=1)*$I$80:$I$91+(CVDebtBasis&gt;=2)*$J$80:$J$91)),SUMPRODUCT(((CVDebtBasis=1)*$I$80:$I$91+(CVDebtBasis&gt;=2)*$J$80:$J$91)))+V_CASH+V_SOTP+V_FPCash)/(V_BASIC+V_FPSh+V_RSU+Options*MAX(0,1-OptK/F137)+CHOOSE(DilMethod,SUMPRODUCT($I$80:$I$91,$G$80:$G$91)/1000,SUMPRODUCT((F137&gt;$H$80:$H$91)*$I$80:$I$91*$G$80:$G$91)/1000,SUMPRODUCT((($I$80:$I$91*$G$80:$G$91/1000*F137-((CVDebtBasis=1)*$I$80:$I$91+(CVDebtBasis&gt;=2)*$J$80:$J$91))&gt;0)*($I$80:$I$91*$G$80:$G$91/1000*F137-((CVDebtBasis=1)*$I$80:$I$91+(CVDebtBasis&gt;=2)*$J$80:$J$91)))/F137)))</f>
        <v>78.7010214344575</v>
      </c>
      <c r="G138" s="25" t="n">
        <f aca="false">MAX(0.01,(V_EV-G$97*V_OFF-V_ODEBT-CHOOSE(DilMethod,0,SUMPRODUCT((G137&lt;=$H$80:$H$91)*((CVDebtBasis=1)*$I$80:$I$91+(CVDebtBasis&gt;=2)*$J$80:$J$91)),SUMPRODUCT(((CVDebtBasis=1)*$I$80:$I$91+(CVDebtBasis&gt;=2)*$J$80:$J$91)))+V_CASH+V_SOTP+V_FPCash)/(V_BASIC+V_FPSh+V_RSU+Options*MAX(0,1-OptK/G137)+CHOOSE(DilMethod,SUMPRODUCT($I$80:$I$91,$G$80:$G$91)/1000,SUMPRODUCT((G137&gt;$H$80:$H$91)*$I$80:$I$91*$G$80:$G$91)/1000,SUMPRODUCT((($I$80:$I$91*$G$80:$G$91/1000*G137-((CVDebtBasis=1)*$I$80:$I$91+(CVDebtBasis&gt;=2)*$J$80:$J$91))&gt;0)*($I$80:$I$91*$G$80:$G$91/1000*G137-((CVDebtBasis=1)*$I$80:$I$91+(CVDebtBasis&gt;=2)*$J$80:$J$91)))/G137)))</f>
        <v>41.0703401159524</v>
      </c>
    </row>
    <row r="139" customFormat="false" ht="15" hidden="false" customHeight="false" outlineLevel="0" collapsed="false">
      <c r="A139" s="0" t="s">
        <v>2911</v>
      </c>
      <c r="E139" s="25" t="n">
        <f aca="false">MAX(0.01,(V_EV-E$97*V_OFF-V_ODEBT-CHOOSE(DilMethod,0,SUMPRODUCT((E138&lt;=$H$80:$H$91)*((CVDebtBasis=1)*$I$80:$I$91+(CVDebtBasis&gt;=2)*$J$80:$J$91)),SUMPRODUCT(((CVDebtBasis=1)*$I$80:$I$91+(CVDebtBasis&gt;=2)*$J$80:$J$91)))+V_CASH+V_SOTP+V_FPCash)/(V_BASIC+V_FPSh+V_RSU+Options*MAX(0,1-OptK/E138)+CHOOSE(DilMethod,SUMPRODUCT($I$80:$I$91,$G$80:$G$91)/1000,SUMPRODUCT((E138&gt;$H$80:$H$91)*$I$80:$I$91*$G$80:$G$91)/1000,SUMPRODUCT((($I$80:$I$91*$G$80:$G$91/1000*E138-((CVDebtBasis=1)*$I$80:$I$91+(CVDebtBasis&gt;=2)*$J$80:$J$91))&gt;0)*($I$80:$I$91*$G$80:$G$91/1000*E138-((CVDebtBasis=1)*$I$80:$I$91+(CVDebtBasis&gt;=2)*$J$80:$J$91)))/E138)))</f>
        <v>78.645426879892</v>
      </c>
      <c r="F139" s="25" t="n">
        <f aca="false">MAX(0.01,(V_EV-F$97*V_OFF-V_ODEBT-CHOOSE(DilMethod,0,SUMPRODUCT((F138&lt;=$H$80:$H$91)*((CVDebtBasis=1)*$I$80:$I$91+(CVDebtBasis&gt;=2)*$J$80:$J$91)),SUMPRODUCT(((CVDebtBasis=1)*$I$80:$I$91+(CVDebtBasis&gt;=2)*$J$80:$J$91)))+V_CASH+V_SOTP+V_FPCash)/(V_BASIC+V_FPSh+V_RSU+Options*MAX(0,1-OptK/F138)+CHOOSE(DilMethod,SUMPRODUCT($I$80:$I$91,$G$80:$G$91)/1000,SUMPRODUCT((F138&gt;$H$80:$H$91)*$I$80:$I$91*$G$80:$G$91)/1000,SUMPRODUCT((($I$80:$I$91*$G$80:$G$91/1000*F138-((CVDebtBasis=1)*$I$80:$I$91+(CVDebtBasis&gt;=2)*$J$80:$J$91))&gt;0)*($I$80:$I$91*$G$80:$G$91/1000*F138-((CVDebtBasis=1)*$I$80:$I$91+(CVDebtBasis&gt;=2)*$J$80:$J$91)))/F138)))</f>
        <v>78.645426879892</v>
      </c>
      <c r="G139" s="25" t="n">
        <f aca="false">MAX(0.01,(V_EV-G$97*V_OFF-V_ODEBT-CHOOSE(DilMethod,0,SUMPRODUCT((G138&lt;=$H$80:$H$91)*((CVDebtBasis=1)*$I$80:$I$91+(CVDebtBasis&gt;=2)*$J$80:$J$91)),SUMPRODUCT(((CVDebtBasis=1)*$I$80:$I$91+(CVDebtBasis&gt;=2)*$J$80:$J$91)))+V_CASH+V_SOTP+V_FPCash)/(V_BASIC+V_FPSh+V_RSU+Options*MAX(0,1-OptK/G138)+CHOOSE(DilMethod,SUMPRODUCT($I$80:$I$91,$G$80:$G$91)/1000,SUMPRODUCT((G138&gt;$H$80:$H$91)*$I$80:$I$91*$G$80:$G$91)/1000,SUMPRODUCT((($I$80:$I$91*$G$80:$G$91/1000*G138-((CVDebtBasis=1)*$I$80:$I$91+(CVDebtBasis&gt;=2)*$J$80:$J$91))&gt;0)*($I$80:$I$91*$G$80:$G$91/1000*G138-((CVDebtBasis=1)*$I$80:$I$91+(CVDebtBasis&gt;=2)*$J$80:$J$91)))/G138)))</f>
        <v>41.0703401159524</v>
      </c>
    </row>
    <row r="140" customFormat="false" ht="15" hidden="false" customHeight="false" outlineLevel="0" collapsed="false">
      <c r="A140" s="0" t="s">
        <v>2912</v>
      </c>
      <c r="E140" s="25" t="n">
        <f aca="false">MAX(0.01,(V_EV-E$97*V_OFF-V_ODEBT-CHOOSE(DilMethod,0,SUMPRODUCT((E139&lt;=$H$80:$H$91)*((CVDebtBasis=1)*$I$80:$I$91+(CVDebtBasis&gt;=2)*$J$80:$J$91)),SUMPRODUCT(((CVDebtBasis=1)*$I$80:$I$91+(CVDebtBasis&gt;=2)*$J$80:$J$91)))+V_CASH+V_SOTP+V_FPCash)/(V_BASIC+V_FPSh+V_RSU+Options*MAX(0,1-OptK/E139)+CHOOSE(DilMethod,SUMPRODUCT($I$80:$I$91,$G$80:$G$91)/1000,SUMPRODUCT((E139&gt;$H$80:$H$91)*$I$80:$I$91*$G$80:$G$91)/1000,SUMPRODUCT((($I$80:$I$91*$G$80:$G$91/1000*E139-((CVDebtBasis=1)*$I$80:$I$91+(CVDebtBasis&gt;=2)*$J$80:$J$91))&gt;0)*($I$80:$I$91*$G$80:$G$91/1000*E139-((CVDebtBasis=1)*$I$80:$I$91+(CVDebtBasis&gt;=2)*$J$80:$J$91)))/E139)))</f>
        <v>78.645426879892</v>
      </c>
      <c r="F140" s="25" t="n">
        <f aca="false">MAX(0.01,(V_EV-F$97*V_OFF-V_ODEBT-CHOOSE(DilMethod,0,SUMPRODUCT((F139&lt;=$H$80:$H$91)*((CVDebtBasis=1)*$I$80:$I$91+(CVDebtBasis&gt;=2)*$J$80:$J$91)),SUMPRODUCT(((CVDebtBasis=1)*$I$80:$I$91+(CVDebtBasis&gt;=2)*$J$80:$J$91)))+V_CASH+V_SOTP+V_FPCash)/(V_BASIC+V_FPSh+V_RSU+Options*MAX(0,1-OptK/F139)+CHOOSE(DilMethod,SUMPRODUCT($I$80:$I$91,$G$80:$G$91)/1000,SUMPRODUCT((F139&gt;$H$80:$H$91)*$I$80:$I$91*$G$80:$G$91)/1000,SUMPRODUCT((($I$80:$I$91*$G$80:$G$91/1000*F139-((CVDebtBasis=1)*$I$80:$I$91+(CVDebtBasis&gt;=2)*$J$80:$J$91))&gt;0)*($I$80:$I$91*$G$80:$G$91/1000*F139-((CVDebtBasis=1)*$I$80:$I$91+(CVDebtBasis&gt;=2)*$J$80:$J$91)))/F139)))</f>
        <v>78.645426879892</v>
      </c>
      <c r="G140" s="25" t="n">
        <f aca="false">MAX(0.01,(V_EV-G$97*V_OFF-V_ODEBT-CHOOSE(DilMethod,0,SUMPRODUCT((G139&lt;=$H$80:$H$91)*((CVDebtBasis=1)*$I$80:$I$91+(CVDebtBasis&gt;=2)*$J$80:$J$91)),SUMPRODUCT(((CVDebtBasis=1)*$I$80:$I$91+(CVDebtBasis&gt;=2)*$J$80:$J$91)))+V_CASH+V_SOTP+V_FPCash)/(V_BASIC+V_FPSh+V_RSU+Options*MAX(0,1-OptK/G139)+CHOOSE(DilMethod,SUMPRODUCT($I$80:$I$91,$G$80:$G$91)/1000,SUMPRODUCT((G139&gt;$H$80:$H$91)*$I$80:$I$91*$G$80:$G$91)/1000,SUMPRODUCT((($I$80:$I$91*$G$80:$G$91/1000*G139-((CVDebtBasis=1)*$I$80:$I$91+(CVDebtBasis&gt;=2)*$J$80:$J$91))&gt;0)*($I$80:$I$91*$G$80:$G$91/1000*G139-((CVDebtBasis=1)*$I$80:$I$91+(CVDebtBasis&gt;=2)*$J$80:$J$91)))/G139)))</f>
        <v>41.0703401159524</v>
      </c>
    </row>
    <row r="141" customFormat="false" ht="15" hidden="false" customHeight="false" outlineLevel="0" collapsed="false">
      <c r="A141" s="0" t="s">
        <v>2913</v>
      </c>
      <c r="E141" s="25" t="n">
        <f aca="false">MAX(0.01,(V_EV-E$97*V_OFF-V_ODEBT-CHOOSE(DilMethod,0,SUMPRODUCT((E140&lt;=$H$80:$H$91)*((CVDebtBasis=1)*$I$80:$I$91+(CVDebtBasis&gt;=2)*$J$80:$J$91)),SUMPRODUCT(((CVDebtBasis=1)*$I$80:$I$91+(CVDebtBasis&gt;=2)*$J$80:$J$91)))+V_CASH+V_SOTP+V_FPCash)/(V_BASIC+V_FPSh+V_RSU+Options*MAX(0,1-OptK/E140)+CHOOSE(DilMethod,SUMPRODUCT($I$80:$I$91,$G$80:$G$91)/1000,SUMPRODUCT((E140&gt;$H$80:$H$91)*$I$80:$I$91*$G$80:$G$91)/1000,SUMPRODUCT((($I$80:$I$91*$G$80:$G$91/1000*E140-((CVDebtBasis=1)*$I$80:$I$91+(CVDebtBasis&gt;=2)*$J$80:$J$91))&gt;0)*($I$80:$I$91*$G$80:$G$91/1000*E140-((CVDebtBasis=1)*$I$80:$I$91+(CVDebtBasis&gt;=2)*$J$80:$J$91)))/E140)))</f>
        <v>78.645426879892</v>
      </c>
      <c r="F141" s="25" t="n">
        <f aca="false">MAX(0.01,(V_EV-F$97*V_OFF-V_ODEBT-CHOOSE(DilMethod,0,SUMPRODUCT((F140&lt;=$H$80:$H$91)*((CVDebtBasis=1)*$I$80:$I$91+(CVDebtBasis&gt;=2)*$J$80:$J$91)),SUMPRODUCT(((CVDebtBasis=1)*$I$80:$I$91+(CVDebtBasis&gt;=2)*$J$80:$J$91)))+V_CASH+V_SOTP+V_FPCash)/(V_BASIC+V_FPSh+V_RSU+Options*MAX(0,1-OptK/F140)+CHOOSE(DilMethod,SUMPRODUCT($I$80:$I$91,$G$80:$G$91)/1000,SUMPRODUCT((F140&gt;$H$80:$H$91)*$I$80:$I$91*$G$80:$G$91)/1000,SUMPRODUCT((($I$80:$I$91*$G$80:$G$91/1000*F140-((CVDebtBasis=1)*$I$80:$I$91+(CVDebtBasis&gt;=2)*$J$80:$J$91))&gt;0)*($I$80:$I$91*$G$80:$G$91/1000*F140-((CVDebtBasis=1)*$I$80:$I$91+(CVDebtBasis&gt;=2)*$J$80:$J$91)))/F140)))</f>
        <v>78.645426879892</v>
      </c>
      <c r="G141" s="25" t="n">
        <f aca="false">MAX(0.01,(V_EV-G$97*V_OFF-V_ODEBT-CHOOSE(DilMethod,0,SUMPRODUCT((G140&lt;=$H$80:$H$91)*((CVDebtBasis=1)*$I$80:$I$91+(CVDebtBasis&gt;=2)*$J$80:$J$91)),SUMPRODUCT(((CVDebtBasis=1)*$I$80:$I$91+(CVDebtBasis&gt;=2)*$J$80:$J$91)))+V_CASH+V_SOTP+V_FPCash)/(V_BASIC+V_FPSh+V_RSU+Options*MAX(0,1-OptK/G140)+CHOOSE(DilMethod,SUMPRODUCT($I$80:$I$91,$G$80:$G$91)/1000,SUMPRODUCT((G140&gt;$H$80:$H$91)*$I$80:$I$91*$G$80:$G$91)/1000,SUMPRODUCT((($I$80:$I$91*$G$80:$G$91/1000*G140-((CVDebtBasis=1)*$I$80:$I$91+(CVDebtBasis&gt;=2)*$J$80:$J$91))&gt;0)*($I$80:$I$91*$G$80:$G$91/1000*G140-((CVDebtBasis=1)*$I$80:$I$91+(CVDebtBasis&gt;=2)*$J$80:$J$91)))/G140)))</f>
        <v>41.0703401159524</v>
      </c>
    </row>
    <row r="142" customFormat="false" ht="15" hidden="false" customHeight="false" outlineLevel="0" collapsed="false">
      <c r="A142" s="0" t="s">
        <v>2914</v>
      </c>
      <c r="E142" s="25" t="n">
        <f aca="false">MAX(0.01,(V_EV-E$97*V_OFF-V_ODEBT-CHOOSE(DilMethod,0,SUMPRODUCT((E141&lt;=$H$80:$H$91)*((CVDebtBasis=1)*$I$80:$I$91+(CVDebtBasis&gt;=2)*$J$80:$J$91)),SUMPRODUCT(((CVDebtBasis=1)*$I$80:$I$91+(CVDebtBasis&gt;=2)*$J$80:$J$91)))+V_CASH+V_SOTP+V_FPCash)/(V_BASIC+V_FPSh+V_RSU+Options*MAX(0,1-OptK/E141)+CHOOSE(DilMethod,SUMPRODUCT($I$80:$I$91,$G$80:$G$91)/1000,SUMPRODUCT((E141&gt;$H$80:$H$91)*$I$80:$I$91*$G$80:$G$91)/1000,SUMPRODUCT((($I$80:$I$91*$G$80:$G$91/1000*E141-((CVDebtBasis=1)*$I$80:$I$91+(CVDebtBasis&gt;=2)*$J$80:$J$91))&gt;0)*($I$80:$I$91*$G$80:$G$91/1000*E141-((CVDebtBasis=1)*$I$80:$I$91+(CVDebtBasis&gt;=2)*$J$80:$J$91)))/E141)))</f>
        <v>78.645426879892</v>
      </c>
      <c r="F142" s="25" t="n">
        <f aca="false">MAX(0.01,(V_EV-F$97*V_OFF-V_ODEBT-CHOOSE(DilMethod,0,SUMPRODUCT((F141&lt;=$H$80:$H$91)*((CVDebtBasis=1)*$I$80:$I$91+(CVDebtBasis&gt;=2)*$J$80:$J$91)),SUMPRODUCT(((CVDebtBasis=1)*$I$80:$I$91+(CVDebtBasis&gt;=2)*$J$80:$J$91)))+V_CASH+V_SOTP+V_FPCash)/(V_BASIC+V_FPSh+V_RSU+Options*MAX(0,1-OptK/F141)+CHOOSE(DilMethod,SUMPRODUCT($I$80:$I$91,$G$80:$G$91)/1000,SUMPRODUCT((F141&gt;$H$80:$H$91)*$I$80:$I$91*$G$80:$G$91)/1000,SUMPRODUCT((($I$80:$I$91*$G$80:$G$91/1000*F141-((CVDebtBasis=1)*$I$80:$I$91+(CVDebtBasis&gt;=2)*$J$80:$J$91))&gt;0)*($I$80:$I$91*$G$80:$G$91/1000*F141-((CVDebtBasis=1)*$I$80:$I$91+(CVDebtBasis&gt;=2)*$J$80:$J$91)))/F141)))</f>
        <v>78.645426879892</v>
      </c>
      <c r="G142" s="25" t="n">
        <f aca="false">MAX(0.01,(V_EV-G$97*V_OFF-V_ODEBT-CHOOSE(DilMethod,0,SUMPRODUCT((G141&lt;=$H$80:$H$91)*((CVDebtBasis=1)*$I$80:$I$91+(CVDebtBasis&gt;=2)*$J$80:$J$91)),SUMPRODUCT(((CVDebtBasis=1)*$I$80:$I$91+(CVDebtBasis&gt;=2)*$J$80:$J$91)))+V_CASH+V_SOTP+V_FPCash)/(V_BASIC+V_FPSh+V_RSU+Options*MAX(0,1-OptK/G141)+CHOOSE(DilMethod,SUMPRODUCT($I$80:$I$91,$G$80:$G$91)/1000,SUMPRODUCT((G141&gt;$H$80:$H$91)*$I$80:$I$91*$G$80:$G$91)/1000,SUMPRODUCT((($I$80:$I$91*$G$80:$G$91/1000*G141-((CVDebtBasis=1)*$I$80:$I$91+(CVDebtBasis&gt;=2)*$J$80:$J$91))&gt;0)*($I$80:$I$91*$G$80:$G$91/1000*G141-((CVDebtBasis=1)*$I$80:$I$91+(CVDebtBasis&gt;=2)*$J$80:$J$91)))/G141)))</f>
        <v>41.0703401159524</v>
      </c>
    </row>
    <row r="143" customFormat="false" ht="15" hidden="false" customHeight="false" outlineLevel="0" collapsed="false">
      <c r="A143" s="0" t="s">
        <v>2915</v>
      </c>
      <c r="E143" s="25" t="n">
        <f aca="false">MAX(0.01,(V_EV-E$97*V_OFF-V_ODEBT-CHOOSE(DilMethod,0,SUMPRODUCT((E142&lt;=$H$80:$H$91)*((CVDebtBasis=1)*$I$80:$I$91+(CVDebtBasis&gt;=2)*$J$80:$J$91)),SUMPRODUCT(((CVDebtBasis=1)*$I$80:$I$91+(CVDebtBasis&gt;=2)*$J$80:$J$91)))+V_CASH+V_SOTP+V_FPCash)/(V_BASIC+V_FPSh+V_RSU+Options*MAX(0,1-OptK/E142)+CHOOSE(DilMethod,SUMPRODUCT($I$80:$I$91,$G$80:$G$91)/1000,SUMPRODUCT((E142&gt;$H$80:$H$91)*$I$80:$I$91*$G$80:$G$91)/1000,SUMPRODUCT((($I$80:$I$91*$G$80:$G$91/1000*E142-((CVDebtBasis=1)*$I$80:$I$91+(CVDebtBasis&gt;=2)*$J$80:$J$91))&gt;0)*($I$80:$I$91*$G$80:$G$91/1000*E142-((CVDebtBasis=1)*$I$80:$I$91+(CVDebtBasis&gt;=2)*$J$80:$J$91)))/E142)))</f>
        <v>78.645426879892</v>
      </c>
      <c r="F143" s="25" t="n">
        <f aca="false">MAX(0.01,(V_EV-F$97*V_OFF-V_ODEBT-CHOOSE(DilMethod,0,SUMPRODUCT((F142&lt;=$H$80:$H$91)*((CVDebtBasis=1)*$I$80:$I$91+(CVDebtBasis&gt;=2)*$J$80:$J$91)),SUMPRODUCT(((CVDebtBasis=1)*$I$80:$I$91+(CVDebtBasis&gt;=2)*$J$80:$J$91)))+V_CASH+V_SOTP+V_FPCash)/(V_BASIC+V_FPSh+V_RSU+Options*MAX(0,1-OptK/F142)+CHOOSE(DilMethod,SUMPRODUCT($I$80:$I$91,$G$80:$G$91)/1000,SUMPRODUCT((F142&gt;$H$80:$H$91)*$I$80:$I$91*$G$80:$G$91)/1000,SUMPRODUCT((($I$80:$I$91*$G$80:$G$91/1000*F142-((CVDebtBasis=1)*$I$80:$I$91+(CVDebtBasis&gt;=2)*$J$80:$J$91))&gt;0)*($I$80:$I$91*$G$80:$G$91/1000*F142-((CVDebtBasis=1)*$I$80:$I$91+(CVDebtBasis&gt;=2)*$J$80:$J$91)))/F142)))</f>
        <v>78.645426879892</v>
      </c>
      <c r="G143" s="25" t="n">
        <f aca="false">MAX(0.01,(V_EV-G$97*V_OFF-V_ODEBT-CHOOSE(DilMethod,0,SUMPRODUCT((G142&lt;=$H$80:$H$91)*((CVDebtBasis=1)*$I$80:$I$91+(CVDebtBasis&gt;=2)*$J$80:$J$91)),SUMPRODUCT(((CVDebtBasis=1)*$I$80:$I$91+(CVDebtBasis&gt;=2)*$J$80:$J$91)))+V_CASH+V_SOTP+V_FPCash)/(V_BASIC+V_FPSh+V_RSU+Options*MAX(0,1-OptK/G142)+CHOOSE(DilMethod,SUMPRODUCT($I$80:$I$91,$G$80:$G$91)/1000,SUMPRODUCT((G142&gt;$H$80:$H$91)*$I$80:$I$91*$G$80:$G$91)/1000,SUMPRODUCT((($I$80:$I$91*$G$80:$G$91/1000*G142-((CVDebtBasis=1)*$I$80:$I$91+(CVDebtBasis&gt;=2)*$J$80:$J$91))&gt;0)*($I$80:$I$91*$G$80:$G$91/1000*G142-((CVDebtBasis=1)*$I$80:$I$91+(CVDebtBasis&gt;=2)*$J$80:$J$91)))/G142)))</f>
        <v>41.0703401159524</v>
      </c>
    </row>
    <row r="144" customFormat="false" ht="15" hidden="false" customHeight="false" outlineLevel="0" collapsed="false">
      <c r="A144" s="0" t="s">
        <v>2916</v>
      </c>
      <c r="E144" s="25" t="n">
        <f aca="false">MAX(0.01,(V_EV-E$97*V_OFF-V_ODEBT-CHOOSE(DilMethod,0,SUMPRODUCT((E143&lt;=$H$80:$H$91)*((CVDebtBasis=1)*$I$80:$I$91+(CVDebtBasis&gt;=2)*$J$80:$J$91)),SUMPRODUCT(((CVDebtBasis=1)*$I$80:$I$91+(CVDebtBasis&gt;=2)*$J$80:$J$91)))+V_CASH+V_SOTP+V_FPCash)/(V_BASIC+V_FPSh+V_RSU+Options*MAX(0,1-OptK/E143)+CHOOSE(DilMethod,SUMPRODUCT($I$80:$I$91,$G$80:$G$91)/1000,SUMPRODUCT((E143&gt;$H$80:$H$91)*$I$80:$I$91*$G$80:$G$91)/1000,SUMPRODUCT((($I$80:$I$91*$G$80:$G$91/1000*E143-((CVDebtBasis=1)*$I$80:$I$91+(CVDebtBasis&gt;=2)*$J$80:$J$91))&gt;0)*($I$80:$I$91*$G$80:$G$91/1000*E143-((CVDebtBasis=1)*$I$80:$I$91+(CVDebtBasis&gt;=2)*$J$80:$J$91)))/E143)))</f>
        <v>78.645426879892</v>
      </c>
      <c r="F144" s="25" t="n">
        <f aca="false">MAX(0.01,(V_EV-F$97*V_OFF-V_ODEBT-CHOOSE(DilMethod,0,SUMPRODUCT((F143&lt;=$H$80:$H$91)*((CVDebtBasis=1)*$I$80:$I$91+(CVDebtBasis&gt;=2)*$J$80:$J$91)),SUMPRODUCT(((CVDebtBasis=1)*$I$80:$I$91+(CVDebtBasis&gt;=2)*$J$80:$J$91)))+V_CASH+V_SOTP+V_FPCash)/(V_BASIC+V_FPSh+V_RSU+Options*MAX(0,1-OptK/F143)+CHOOSE(DilMethod,SUMPRODUCT($I$80:$I$91,$G$80:$G$91)/1000,SUMPRODUCT((F143&gt;$H$80:$H$91)*$I$80:$I$91*$G$80:$G$91)/1000,SUMPRODUCT((($I$80:$I$91*$G$80:$G$91/1000*F143-((CVDebtBasis=1)*$I$80:$I$91+(CVDebtBasis&gt;=2)*$J$80:$J$91))&gt;0)*($I$80:$I$91*$G$80:$G$91/1000*F143-((CVDebtBasis=1)*$I$80:$I$91+(CVDebtBasis&gt;=2)*$J$80:$J$91)))/F143)))</f>
        <v>78.645426879892</v>
      </c>
      <c r="G144" s="25" t="n">
        <f aca="false">MAX(0.01,(V_EV-G$97*V_OFF-V_ODEBT-CHOOSE(DilMethod,0,SUMPRODUCT((G143&lt;=$H$80:$H$91)*((CVDebtBasis=1)*$I$80:$I$91+(CVDebtBasis&gt;=2)*$J$80:$J$91)),SUMPRODUCT(((CVDebtBasis=1)*$I$80:$I$91+(CVDebtBasis&gt;=2)*$J$80:$J$91)))+V_CASH+V_SOTP+V_FPCash)/(V_BASIC+V_FPSh+V_RSU+Options*MAX(0,1-OptK/G143)+CHOOSE(DilMethod,SUMPRODUCT($I$80:$I$91,$G$80:$G$91)/1000,SUMPRODUCT((G143&gt;$H$80:$H$91)*$I$80:$I$91*$G$80:$G$91)/1000,SUMPRODUCT((($I$80:$I$91*$G$80:$G$91/1000*G143-((CVDebtBasis=1)*$I$80:$I$91+(CVDebtBasis&gt;=2)*$J$80:$J$91))&gt;0)*($I$80:$I$91*$G$80:$G$91/1000*G143-((CVDebtBasis=1)*$I$80:$I$91+(CVDebtBasis&gt;=2)*$J$80:$J$91)))/G143)))</f>
        <v>41.0703401159524</v>
      </c>
    </row>
    <row r="145" customFormat="false" ht="15" hidden="false" customHeight="false" outlineLevel="0" collapsed="false">
      <c r="A145" s="0" t="s">
        <v>2917</v>
      </c>
      <c r="E145" s="25" t="n">
        <f aca="false">MAX(0.01,(V_EV-E$97*V_OFF-V_ODEBT-CHOOSE(DilMethod,0,SUMPRODUCT((E144&lt;=$H$80:$H$91)*((CVDebtBasis=1)*$I$80:$I$91+(CVDebtBasis&gt;=2)*$J$80:$J$91)),SUMPRODUCT(((CVDebtBasis=1)*$I$80:$I$91+(CVDebtBasis&gt;=2)*$J$80:$J$91)))+V_CASH+V_SOTP+V_FPCash)/(V_BASIC+V_FPSh+V_RSU+Options*MAX(0,1-OptK/E144)+CHOOSE(DilMethod,SUMPRODUCT($I$80:$I$91,$G$80:$G$91)/1000,SUMPRODUCT((E144&gt;$H$80:$H$91)*$I$80:$I$91*$G$80:$G$91)/1000,SUMPRODUCT((($I$80:$I$91*$G$80:$G$91/1000*E144-((CVDebtBasis=1)*$I$80:$I$91+(CVDebtBasis&gt;=2)*$J$80:$J$91))&gt;0)*($I$80:$I$91*$G$80:$G$91/1000*E144-((CVDebtBasis=1)*$I$80:$I$91+(CVDebtBasis&gt;=2)*$J$80:$J$91)))/E144)))</f>
        <v>78.645426879892</v>
      </c>
      <c r="F145" s="25" t="n">
        <f aca="false">MAX(0.01,(V_EV-F$97*V_OFF-V_ODEBT-CHOOSE(DilMethod,0,SUMPRODUCT((F144&lt;=$H$80:$H$91)*((CVDebtBasis=1)*$I$80:$I$91+(CVDebtBasis&gt;=2)*$J$80:$J$91)),SUMPRODUCT(((CVDebtBasis=1)*$I$80:$I$91+(CVDebtBasis&gt;=2)*$J$80:$J$91)))+V_CASH+V_SOTP+V_FPCash)/(V_BASIC+V_FPSh+V_RSU+Options*MAX(0,1-OptK/F144)+CHOOSE(DilMethod,SUMPRODUCT($I$80:$I$91,$G$80:$G$91)/1000,SUMPRODUCT((F144&gt;$H$80:$H$91)*$I$80:$I$91*$G$80:$G$91)/1000,SUMPRODUCT((($I$80:$I$91*$G$80:$G$91/1000*F144-((CVDebtBasis=1)*$I$80:$I$91+(CVDebtBasis&gt;=2)*$J$80:$J$91))&gt;0)*($I$80:$I$91*$G$80:$G$91/1000*F144-((CVDebtBasis=1)*$I$80:$I$91+(CVDebtBasis&gt;=2)*$J$80:$J$91)))/F144)))</f>
        <v>78.645426879892</v>
      </c>
      <c r="G145" s="25" t="n">
        <f aca="false">MAX(0.01,(V_EV-G$97*V_OFF-V_ODEBT-CHOOSE(DilMethod,0,SUMPRODUCT((G144&lt;=$H$80:$H$91)*((CVDebtBasis=1)*$I$80:$I$91+(CVDebtBasis&gt;=2)*$J$80:$J$91)),SUMPRODUCT(((CVDebtBasis=1)*$I$80:$I$91+(CVDebtBasis&gt;=2)*$J$80:$J$91)))+V_CASH+V_SOTP+V_FPCash)/(V_BASIC+V_FPSh+V_RSU+Options*MAX(0,1-OptK/G144)+CHOOSE(DilMethod,SUMPRODUCT($I$80:$I$91,$G$80:$G$91)/1000,SUMPRODUCT((G144&gt;$H$80:$H$91)*$I$80:$I$91*$G$80:$G$91)/1000,SUMPRODUCT((($I$80:$I$91*$G$80:$G$91/1000*G144-((CVDebtBasis=1)*$I$80:$I$91+(CVDebtBasis&gt;=2)*$J$80:$J$91))&gt;0)*($I$80:$I$91*$G$80:$G$91/1000*G144-((CVDebtBasis=1)*$I$80:$I$91+(CVDebtBasis&gt;=2)*$J$80:$J$91)))/G144)))</f>
        <v>41.0703401159524</v>
      </c>
    </row>
    <row r="146" customFormat="false" ht="15" hidden="false" customHeight="false" outlineLevel="0" collapsed="false">
      <c r="A146" s="0" t="s">
        <v>2918</v>
      </c>
      <c r="E146" s="25" t="n">
        <f aca="false">MAX(0.01,(V_EV-E$97*V_OFF-V_ODEBT-CHOOSE(DilMethod,0,SUMPRODUCT((E145&lt;=$H$80:$H$91)*((CVDebtBasis=1)*$I$80:$I$91+(CVDebtBasis&gt;=2)*$J$80:$J$91)),SUMPRODUCT(((CVDebtBasis=1)*$I$80:$I$91+(CVDebtBasis&gt;=2)*$J$80:$J$91)))+V_CASH+V_SOTP+V_FPCash)/(V_BASIC+V_FPSh+V_RSU+Options*MAX(0,1-OptK/E145)+CHOOSE(DilMethod,SUMPRODUCT($I$80:$I$91,$G$80:$G$91)/1000,SUMPRODUCT((E145&gt;$H$80:$H$91)*$I$80:$I$91*$G$80:$G$91)/1000,SUMPRODUCT((($I$80:$I$91*$G$80:$G$91/1000*E145-((CVDebtBasis=1)*$I$80:$I$91+(CVDebtBasis&gt;=2)*$J$80:$J$91))&gt;0)*($I$80:$I$91*$G$80:$G$91/1000*E145-((CVDebtBasis=1)*$I$80:$I$91+(CVDebtBasis&gt;=2)*$J$80:$J$91)))/E145)))</f>
        <v>78.645426879892</v>
      </c>
      <c r="F146" s="25" t="n">
        <f aca="false">MAX(0.01,(V_EV-F$97*V_OFF-V_ODEBT-CHOOSE(DilMethod,0,SUMPRODUCT((F145&lt;=$H$80:$H$91)*((CVDebtBasis=1)*$I$80:$I$91+(CVDebtBasis&gt;=2)*$J$80:$J$91)),SUMPRODUCT(((CVDebtBasis=1)*$I$80:$I$91+(CVDebtBasis&gt;=2)*$J$80:$J$91)))+V_CASH+V_SOTP+V_FPCash)/(V_BASIC+V_FPSh+V_RSU+Options*MAX(0,1-OptK/F145)+CHOOSE(DilMethod,SUMPRODUCT($I$80:$I$91,$G$80:$G$91)/1000,SUMPRODUCT((F145&gt;$H$80:$H$91)*$I$80:$I$91*$G$80:$G$91)/1000,SUMPRODUCT((($I$80:$I$91*$G$80:$G$91/1000*F145-((CVDebtBasis=1)*$I$80:$I$91+(CVDebtBasis&gt;=2)*$J$80:$J$91))&gt;0)*($I$80:$I$91*$G$80:$G$91/1000*F145-((CVDebtBasis=1)*$I$80:$I$91+(CVDebtBasis&gt;=2)*$J$80:$J$91)))/F145)))</f>
        <v>78.645426879892</v>
      </c>
      <c r="G146" s="25" t="n">
        <f aca="false">MAX(0.01,(V_EV-G$97*V_OFF-V_ODEBT-CHOOSE(DilMethod,0,SUMPRODUCT((G145&lt;=$H$80:$H$91)*((CVDebtBasis=1)*$I$80:$I$91+(CVDebtBasis&gt;=2)*$J$80:$J$91)),SUMPRODUCT(((CVDebtBasis=1)*$I$80:$I$91+(CVDebtBasis&gt;=2)*$J$80:$J$91)))+V_CASH+V_SOTP+V_FPCash)/(V_BASIC+V_FPSh+V_RSU+Options*MAX(0,1-OptK/G145)+CHOOSE(DilMethod,SUMPRODUCT($I$80:$I$91,$G$80:$G$91)/1000,SUMPRODUCT((G145&gt;$H$80:$H$91)*$I$80:$I$91*$G$80:$G$91)/1000,SUMPRODUCT((($I$80:$I$91*$G$80:$G$91/1000*G145-((CVDebtBasis=1)*$I$80:$I$91+(CVDebtBasis&gt;=2)*$J$80:$J$91))&gt;0)*($I$80:$I$91*$G$80:$G$91/1000*G145-((CVDebtBasis=1)*$I$80:$I$91+(CVDebtBasis&gt;=2)*$J$80:$J$91)))/G145)))</f>
        <v>41.0703401159524</v>
      </c>
    </row>
    <row r="147" customFormat="false" ht="15" hidden="false" customHeight="false" outlineLevel="0" collapsed="false">
      <c r="A147" s="0" t="s">
        <v>2919</v>
      </c>
      <c r="E147" s="25" t="n">
        <f aca="false">MAX(0.01,(V_EV-E$97*V_OFF-V_ODEBT-CHOOSE(DilMethod,0,SUMPRODUCT((E146&lt;=$H$80:$H$91)*((CVDebtBasis=1)*$I$80:$I$91+(CVDebtBasis&gt;=2)*$J$80:$J$91)),SUMPRODUCT(((CVDebtBasis=1)*$I$80:$I$91+(CVDebtBasis&gt;=2)*$J$80:$J$91)))+V_CASH+V_SOTP+V_FPCash)/(V_BASIC+V_FPSh+V_RSU+Options*MAX(0,1-OptK/E146)+CHOOSE(DilMethod,SUMPRODUCT($I$80:$I$91,$G$80:$G$91)/1000,SUMPRODUCT((E146&gt;$H$80:$H$91)*$I$80:$I$91*$G$80:$G$91)/1000,SUMPRODUCT((($I$80:$I$91*$G$80:$G$91/1000*E146-((CVDebtBasis=1)*$I$80:$I$91+(CVDebtBasis&gt;=2)*$J$80:$J$91))&gt;0)*($I$80:$I$91*$G$80:$G$91/1000*E146-((CVDebtBasis=1)*$I$80:$I$91+(CVDebtBasis&gt;=2)*$J$80:$J$91)))/E146)))</f>
        <v>78.645426879892</v>
      </c>
      <c r="F147" s="25" t="n">
        <f aca="false">MAX(0.01,(V_EV-F$97*V_OFF-V_ODEBT-CHOOSE(DilMethod,0,SUMPRODUCT((F146&lt;=$H$80:$H$91)*((CVDebtBasis=1)*$I$80:$I$91+(CVDebtBasis&gt;=2)*$J$80:$J$91)),SUMPRODUCT(((CVDebtBasis=1)*$I$80:$I$91+(CVDebtBasis&gt;=2)*$J$80:$J$91)))+V_CASH+V_SOTP+V_FPCash)/(V_BASIC+V_FPSh+V_RSU+Options*MAX(0,1-OptK/F146)+CHOOSE(DilMethod,SUMPRODUCT($I$80:$I$91,$G$80:$G$91)/1000,SUMPRODUCT((F146&gt;$H$80:$H$91)*$I$80:$I$91*$G$80:$G$91)/1000,SUMPRODUCT((($I$80:$I$91*$G$80:$G$91/1000*F146-((CVDebtBasis=1)*$I$80:$I$91+(CVDebtBasis&gt;=2)*$J$80:$J$91))&gt;0)*($I$80:$I$91*$G$80:$G$91/1000*F146-((CVDebtBasis=1)*$I$80:$I$91+(CVDebtBasis&gt;=2)*$J$80:$J$91)))/F146)))</f>
        <v>78.645426879892</v>
      </c>
      <c r="G147" s="25" t="n">
        <f aca="false">MAX(0.01,(V_EV-G$97*V_OFF-V_ODEBT-CHOOSE(DilMethod,0,SUMPRODUCT((G146&lt;=$H$80:$H$91)*((CVDebtBasis=1)*$I$80:$I$91+(CVDebtBasis&gt;=2)*$J$80:$J$91)),SUMPRODUCT(((CVDebtBasis=1)*$I$80:$I$91+(CVDebtBasis&gt;=2)*$J$80:$J$91)))+V_CASH+V_SOTP+V_FPCash)/(V_BASIC+V_FPSh+V_RSU+Options*MAX(0,1-OptK/G146)+CHOOSE(DilMethod,SUMPRODUCT($I$80:$I$91,$G$80:$G$91)/1000,SUMPRODUCT((G146&gt;$H$80:$H$91)*$I$80:$I$91*$G$80:$G$91)/1000,SUMPRODUCT((($I$80:$I$91*$G$80:$G$91/1000*G146-((CVDebtBasis=1)*$I$80:$I$91+(CVDebtBasis&gt;=2)*$J$80:$J$91))&gt;0)*($I$80:$I$91*$G$80:$G$91/1000*G146-((CVDebtBasis=1)*$I$80:$I$91+(CVDebtBasis&gt;=2)*$J$80:$J$91)))/G146)))</f>
        <v>41.0703401159524</v>
      </c>
    </row>
    <row r="148" customFormat="false" ht="15" hidden="false" customHeight="false" outlineLevel="0" collapsed="false">
      <c r="A148" s="0" t="s">
        <v>2920</v>
      </c>
      <c r="E148" s="25" t="n">
        <f aca="false">MAX(0.01,(V_EV-E$97*V_OFF-V_ODEBT-CHOOSE(DilMethod,0,SUMPRODUCT((E147&lt;=$H$80:$H$91)*((CVDebtBasis=1)*$I$80:$I$91+(CVDebtBasis&gt;=2)*$J$80:$J$91)),SUMPRODUCT(((CVDebtBasis=1)*$I$80:$I$91+(CVDebtBasis&gt;=2)*$J$80:$J$91)))+V_CASH+V_SOTP+V_FPCash)/(V_BASIC+V_FPSh+V_RSU+Options*MAX(0,1-OptK/E147)+CHOOSE(DilMethod,SUMPRODUCT($I$80:$I$91,$G$80:$G$91)/1000,SUMPRODUCT((E147&gt;$H$80:$H$91)*$I$80:$I$91*$G$80:$G$91)/1000,SUMPRODUCT((($I$80:$I$91*$G$80:$G$91/1000*E147-((CVDebtBasis=1)*$I$80:$I$91+(CVDebtBasis&gt;=2)*$J$80:$J$91))&gt;0)*($I$80:$I$91*$G$80:$G$91/1000*E147-((CVDebtBasis=1)*$I$80:$I$91+(CVDebtBasis&gt;=2)*$J$80:$J$91)))/E147)))</f>
        <v>78.645426879892</v>
      </c>
      <c r="F148" s="25" t="n">
        <f aca="false">MAX(0.01,(V_EV-F$97*V_OFF-V_ODEBT-CHOOSE(DilMethod,0,SUMPRODUCT((F147&lt;=$H$80:$H$91)*((CVDebtBasis=1)*$I$80:$I$91+(CVDebtBasis&gt;=2)*$J$80:$J$91)),SUMPRODUCT(((CVDebtBasis=1)*$I$80:$I$91+(CVDebtBasis&gt;=2)*$J$80:$J$91)))+V_CASH+V_SOTP+V_FPCash)/(V_BASIC+V_FPSh+V_RSU+Options*MAX(0,1-OptK/F147)+CHOOSE(DilMethod,SUMPRODUCT($I$80:$I$91,$G$80:$G$91)/1000,SUMPRODUCT((F147&gt;$H$80:$H$91)*$I$80:$I$91*$G$80:$G$91)/1000,SUMPRODUCT((($I$80:$I$91*$G$80:$G$91/1000*F147-((CVDebtBasis=1)*$I$80:$I$91+(CVDebtBasis&gt;=2)*$J$80:$J$91))&gt;0)*($I$80:$I$91*$G$80:$G$91/1000*F147-((CVDebtBasis=1)*$I$80:$I$91+(CVDebtBasis&gt;=2)*$J$80:$J$91)))/F147)))</f>
        <v>78.645426879892</v>
      </c>
      <c r="G148" s="25" t="n">
        <f aca="false">MAX(0.01,(V_EV-G$97*V_OFF-V_ODEBT-CHOOSE(DilMethod,0,SUMPRODUCT((G147&lt;=$H$80:$H$91)*((CVDebtBasis=1)*$I$80:$I$91+(CVDebtBasis&gt;=2)*$J$80:$J$91)),SUMPRODUCT(((CVDebtBasis=1)*$I$80:$I$91+(CVDebtBasis&gt;=2)*$J$80:$J$91)))+V_CASH+V_SOTP+V_FPCash)/(V_BASIC+V_FPSh+V_RSU+Options*MAX(0,1-OptK/G147)+CHOOSE(DilMethod,SUMPRODUCT($I$80:$I$91,$G$80:$G$91)/1000,SUMPRODUCT((G147&gt;$H$80:$H$91)*$I$80:$I$91*$G$80:$G$91)/1000,SUMPRODUCT((($I$80:$I$91*$G$80:$G$91/1000*G147-((CVDebtBasis=1)*$I$80:$I$91+(CVDebtBasis&gt;=2)*$J$80:$J$91))&gt;0)*($I$80:$I$91*$G$80:$G$91/1000*G147-((CVDebtBasis=1)*$I$80:$I$91+(CVDebtBasis&gt;=2)*$J$80:$J$91)))/G147)))</f>
        <v>41.0703401159524</v>
      </c>
    </row>
    <row r="149" customFormat="false" ht="15" hidden="false" customHeight="false" outlineLevel="0" collapsed="false">
      <c r="A149" s="0" t="s">
        <v>2921</v>
      </c>
      <c r="E149" s="25" t="n">
        <f aca="false">MAX(0.01,(V_EV-E$97*V_OFF-V_ODEBT-CHOOSE(DilMethod,0,SUMPRODUCT((E148&lt;=$H$80:$H$91)*((CVDebtBasis=1)*$I$80:$I$91+(CVDebtBasis&gt;=2)*$J$80:$J$91)),SUMPRODUCT(((CVDebtBasis=1)*$I$80:$I$91+(CVDebtBasis&gt;=2)*$J$80:$J$91)))+V_CASH+V_SOTP+V_FPCash)/(V_BASIC+V_FPSh+V_RSU+Options*MAX(0,1-OptK/E148)+CHOOSE(DilMethod,SUMPRODUCT($I$80:$I$91,$G$80:$G$91)/1000,SUMPRODUCT((E148&gt;$H$80:$H$91)*$I$80:$I$91*$G$80:$G$91)/1000,SUMPRODUCT((($I$80:$I$91*$G$80:$G$91/1000*E148-((CVDebtBasis=1)*$I$80:$I$91+(CVDebtBasis&gt;=2)*$J$80:$J$91))&gt;0)*($I$80:$I$91*$G$80:$G$91/1000*E148-((CVDebtBasis=1)*$I$80:$I$91+(CVDebtBasis&gt;=2)*$J$80:$J$91)))/E148)))</f>
        <v>78.645426879892</v>
      </c>
      <c r="F149" s="25" t="n">
        <f aca="false">MAX(0.01,(V_EV-F$97*V_OFF-V_ODEBT-CHOOSE(DilMethod,0,SUMPRODUCT((F148&lt;=$H$80:$H$91)*((CVDebtBasis=1)*$I$80:$I$91+(CVDebtBasis&gt;=2)*$J$80:$J$91)),SUMPRODUCT(((CVDebtBasis=1)*$I$80:$I$91+(CVDebtBasis&gt;=2)*$J$80:$J$91)))+V_CASH+V_SOTP+V_FPCash)/(V_BASIC+V_FPSh+V_RSU+Options*MAX(0,1-OptK/F148)+CHOOSE(DilMethod,SUMPRODUCT($I$80:$I$91,$G$80:$G$91)/1000,SUMPRODUCT((F148&gt;$H$80:$H$91)*$I$80:$I$91*$G$80:$G$91)/1000,SUMPRODUCT((($I$80:$I$91*$G$80:$G$91/1000*F148-((CVDebtBasis=1)*$I$80:$I$91+(CVDebtBasis&gt;=2)*$J$80:$J$91))&gt;0)*($I$80:$I$91*$G$80:$G$91/1000*F148-((CVDebtBasis=1)*$I$80:$I$91+(CVDebtBasis&gt;=2)*$J$80:$J$91)))/F148)))</f>
        <v>78.645426879892</v>
      </c>
      <c r="G149" s="25" t="n">
        <f aca="false">MAX(0.01,(V_EV-G$97*V_OFF-V_ODEBT-CHOOSE(DilMethod,0,SUMPRODUCT((G148&lt;=$H$80:$H$91)*((CVDebtBasis=1)*$I$80:$I$91+(CVDebtBasis&gt;=2)*$J$80:$J$91)),SUMPRODUCT(((CVDebtBasis=1)*$I$80:$I$91+(CVDebtBasis&gt;=2)*$J$80:$J$91)))+V_CASH+V_SOTP+V_FPCash)/(V_BASIC+V_FPSh+V_RSU+Options*MAX(0,1-OptK/G148)+CHOOSE(DilMethod,SUMPRODUCT($I$80:$I$91,$G$80:$G$91)/1000,SUMPRODUCT((G148&gt;$H$80:$H$91)*$I$80:$I$91*$G$80:$G$91)/1000,SUMPRODUCT((($I$80:$I$91*$G$80:$G$91/1000*G148-((CVDebtBasis=1)*$I$80:$I$91+(CVDebtBasis&gt;=2)*$J$80:$J$91))&gt;0)*($I$80:$I$91*$G$80:$G$91/1000*G148-((CVDebtBasis=1)*$I$80:$I$91+(CVDebtBasis&gt;=2)*$J$80:$J$91)))/G148)))</f>
        <v>41.0703401159524</v>
      </c>
    </row>
    <row r="150" customFormat="false" ht="15" hidden="false" customHeight="false" outlineLevel="0" collapsed="false">
      <c r="A150" s="0" t="s">
        <v>2922</v>
      </c>
      <c r="E150" s="25" t="n">
        <f aca="false">MAX(0.01,(V_EV-E$97*V_OFF-V_ODEBT-CHOOSE(DilMethod,0,SUMPRODUCT((E149&lt;=$H$80:$H$91)*((CVDebtBasis=1)*$I$80:$I$91+(CVDebtBasis&gt;=2)*$J$80:$J$91)),SUMPRODUCT(((CVDebtBasis=1)*$I$80:$I$91+(CVDebtBasis&gt;=2)*$J$80:$J$91)))+V_CASH+V_SOTP+V_FPCash)/(V_BASIC+V_FPSh+V_RSU+Options*MAX(0,1-OptK/E149)+CHOOSE(DilMethod,SUMPRODUCT($I$80:$I$91,$G$80:$G$91)/1000,SUMPRODUCT((E149&gt;$H$80:$H$91)*$I$80:$I$91*$G$80:$G$91)/1000,SUMPRODUCT((($I$80:$I$91*$G$80:$G$91/1000*E149-((CVDebtBasis=1)*$I$80:$I$91+(CVDebtBasis&gt;=2)*$J$80:$J$91))&gt;0)*($I$80:$I$91*$G$80:$G$91/1000*E149-((CVDebtBasis=1)*$I$80:$I$91+(CVDebtBasis&gt;=2)*$J$80:$J$91)))/E149)))</f>
        <v>78.645426879892</v>
      </c>
      <c r="F150" s="25" t="n">
        <f aca="false">MAX(0.01,(V_EV-F$97*V_OFF-V_ODEBT-CHOOSE(DilMethod,0,SUMPRODUCT((F149&lt;=$H$80:$H$91)*((CVDebtBasis=1)*$I$80:$I$91+(CVDebtBasis&gt;=2)*$J$80:$J$91)),SUMPRODUCT(((CVDebtBasis=1)*$I$80:$I$91+(CVDebtBasis&gt;=2)*$J$80:$J$91)))+V_CASH+V_SOTP+V_FPCash)/(V_BASIC+V_FPSh+V_RSU+Options*MAX(0,1-OptK/F149)+CHOOSE(DilMethod,SUMPRODUCT($I$80:$I$91,$G$80:$G$91)/1000,SUMPRODUCT((F149&gt;$H$80:$H$91)*$I$80:$I$91*$G$80:$G$91)/1000,SUMPRODUCT((($I$80:$I$91*$G$80:$G$91/1000*F149-((CVDebtBasis=1)*$I$80:$I$91+(CVDebtBasis&gt;=2)*$J$80:$J$91))&gt;0)*($I$80:$I$91*$G$80:$G$91/1000*F149-((CVDebtBasis=1)*$I$80:$I$91+(CVDebtBasis&gt;=2)*$J$80:$J$91)))/F149)))</f>
        <v>78.645426879892</v>
      </c>
      <c r="G150" s="25" t="n">
        <f aca="false">MAX(0.01,(V_EV-G$97*V_OFF-V_ODEBT-CHOOSE(DilMethod,0,SUMPRODUCT((G149&lt;=$H$80:$H$91)*((CVDebtBasis=1)*$I$80:$I$91+(CVDebtBasis&gt;=2)*$J$80:$J$91)),SUMPRODUCT(((CVDebtBasis=1)*$I$80:$I$91+(CVDebtBasis&gt;=2)*$J$80:$J$91)))+V_CASH+V_SOTP+V_FPCash)/(V_BASIC+V_FPSh+V_RSU+Options*MAX(0,1-OptK/G149)+CHOOSE(DilMethod,SUMPRODUCT($I$80:$I$91,$G$80:$G$91)/1000,SUMPRODUCT((G149&gt;$H$80:$H$91)*$I$80:$I$91*$G$80:$G$91)/1000,SUMPRODUCT((($I$80:$I$91*$G$80:$G$91/1000*G149-((CVDebtBasis=1)*$I$80:$I$91+(CVDebtBasis&gt;=2)*$J$80:$J$91))&gt;0)*($I$80:$I$91*$G$80:$G$91/1000*G149-((CVDebtBasis=1)*$I$80:$I$91+(CVDebtBasis&gt;=2)*$J$80:$J$91)))/G149)))</f>
        <v>41.0703401159524</v>
      </c>
    </row>
    <row r="151" customFormat="false" ht="15" hidden="false" customHeight="false" outlineLevel="0" collapsed="false">
      <c r="A151" s="0" t="s">
        <v>2923</v>
      </c>
      <c r="E151" s="25" t="n">
        <f aca="false">MAX(0.01,(V_EV-E$97*V_OFF-V_ODEBT-CHOOSE(DilMethod,0,SUMPRODUCT((E150&lt;=$H$80:$H$91)*((CVDebtBasis=1)*$I$80:$I$91+(CVDebtBasis&gt;=2)*$J$80:$J$91)),SUMPRODUCT(((CVDebtBasis=1)*$I$80:$I$91+(CVDebtBasis&gt;=2)*$J$80:$J$91)))+V_CASH+V_SOTP+V_FPCash)/(V_BASIC+V_FPSh+V_RSU+Options*MAX(0,1-OptK/E150)+CHOOSE(DilMethod,SUMPRODUCT($I$80:$I$91,$G$80:$G$91)/1000,SUMPRODUCT((E150&gt;$H$80:$H$91)*$I$80:$I$91*$G$80:$G$91)/1000,SUMPRODUCT((($I$80:$I$91*$G$80:$G$91/1000*E150-((CVDebtBasis=1)*$I$80:$I$91+(CVDebtBasis&gt;=2)*$J$80:$J$91))&gt;0)*($I$80:$I$91*$G$80:$G$91/1000*E150-((CVDebtBasis=1)*$I$80:$I$91+(CVDebtBasis&gt;=2)*$J$80:$J$91)))/E150)))</f>
        <v>78.645426879892</v>
      </c>
      <c r="F151" s="25" t="n">
        <f aca="false">MAX(0.01,(V_EV-F$97*V_OFF-V_ODEBT-CHOOSE(DilMethod,0,SUMPRODUCT((F150&lt;=$H$80:$H$91)*((CVDebtBasis=1)*$I$80:$I$91+(CVDebtBasis&gt;=2)*$J$80:$J$91)),SUMPRODUCT(((CVDebtBasis=1)*$I$80:$I$91+(CVDebtBasis&gt;=2)*$J$80:$J$91)))+V_CASH+V_SOTP+V_FPCash)/(V_BASIC+V_FPSh+V_RSU+Options*MAX(0,1-OptK/F150)+CHOOSE(DilMethod,SUMPRODUCT($I$80:$I$91,$G$80:$G$91)/1000,SUMPRODUCT((F150&gt;$H$80:$H$91)*$I$80:$I$91*$G$80:$G$91)/1000,SUMPRODUCT((($I$80:$I$91*$G$80:$G$91/1000*F150-((CVDebtBasis=1)*$I$80:$I$91+(CVDebtBasis&gt;=2)*$J$80:$J$91))&gt;0)*($I$80:$I$91*$G$80:$G$91/1000*F150-((CVDebtBasis=1)*$I$80:$I$91+(CVDebtBasis&gt;=2)*$J$80:$J$91)))/F150)))</f>
        <v>78.645426879892</v>
      </c>
      <c r="G151" s="25" t="n">
        <f aca="false">MAX(0.01,(V_EV-G$97*V_OFF-V_ODEBT-CHOOSE(DilMethod,0,SUMPRODUCT((G150&lt;=$H$80:$H$91)*((CVDebtBasis=1)*$I$80:$I$91+(CVDebtBasis&gt;=2)*$J$80:$J$91)),SUMPRODUCT(((CVDebtBasis=1)*$I$80:$I$91+(CVDebtBasis&gt;=2)*$J$80:$J$91)))+V_CASH+V_SOTP+V_FPCash)/(V_BASIC+V_FPSh+V_RSU+Options*MAX(0,1-OptK/G150)+CHOOSE(DilMethod,SUMPRODUCT($I$80:$I$91,$G$80:$G$91)/1000,SUMPRODUCT((G150&gt;$H$80:$H$91)*$I$80:$I$91*$G$80:$G$91)/1000,SUMPRODUCT((($I$80:$I$91*$G$80:$G$91/1000*G150-((CVDebtBasis=1)*$I$80:$I$91+(CVDebtBasis&gt;=2)*$J$80:$J$91))&gt;0)*($I$80:$I$91*$G$80:$G$91/1000*G150-((CVDebtBasis=1)*$I$80:$I$91+(CVDebtBasis&gt;=2)*$J$80:$J$91)))/G150)))</f>
        <v>41.0703401159524</v>
      </c>
    </row>
    <row r="152" customFormat="false" ht="15" hidden="false" customHeight="false" outlineLevel="0" collapsed="false">
      <c r="A152" s="0" t="s">
        <v>2924</v>
      </c>
      <c r="E152" s="25" t="n">
        <f aca="false">MAX(0.01,(V_EV-E$97*V_OFF-V_ODEBT-CHOOSE(DilMethod,0,SUMPRODUCT((E151&lt;=$H$80:$H$91)*((CVDebtBasis=1)*$I$80:$I$91+(CVDebtBasis&gt;=2)*$J$80:$J$91)),SUMPRODUCT(((CVDebtBasis=1)*$I$80:$I$91+(CVDebtBasis&gt;=2)*$J$80:$J$91)))+V_CASH+V_SOTP+V_FPCash)/(V_BASIC+V_FPSh+V_RSU+Options*MAX(0,1-OptK/E151)+CHOOSE(DilMethod,SUMPRODUCT($I$80:$I$91,$G$80:$G$91)/1000,SUMPRODUCT((E151&gt;$H$80:$H$91)*$I$80:$I$91*$G$80:$G$91)/1000,SUMPRODUCT((($I$80:$I$91*$G$80:$G$91/1000*E151-((CVDebtBasis=1)*$I$80:$I$91+(CVDebtBasis&gt;=2)*$J$80:$J$91))&gt;0)*($I$80:$I$91*$G$80:$G$91/1000*E151-((CVDebtBasis=1)*$I$80:$I$91+(CVDebtBasis&gt;=2)*$J$80:$J$91)))/E151)))</f>
        <v>78.645426879892</v>
      </c>
      <c r="F152" s="25" t="n">
        <f aca="false">MAX(0.01,(V_EV-F$97*V_OFF-V_ODEBT-CHOOSE(DilMethod,0,SUMPRODUCT((F151&lt;=$H$80:$H$91)*((CVDebtBasis=1)*$I$80:$I$91+(CVDebtBasis&gt;=2)*$J$80:$J$91)),SUMPRODUCT(((CVDebtBasis=1)*$I$80:$I$91+(CVDebtBasis&gt;=2)*$J$80:$J$91)))+V_CASH+V_SOTP+V_FPCash)/(V_BASIC+V_FPSh+V_RSU+Options*MAX(0,1-OptK/F151)+CHOOSE(DilMethod,SUMPRODUCT($I$80:$I$91,$G$80:$G$91)/1000,SUMPRODUCT((F151&gt;$H$80:$H$91)*$I$80:$I$91*$G$80:$G$91)/1000,SUMPRODUCT((($I$80:$I$91*$G$80:$G$91/1000*F151-((CVDebtBasis=1)*$I$80:$I$91+(CVDebtBasis&gt;=2)*$J$80:$J$91))&gt;0)*($I$80:$I$91*$G$80:$G$91/1000*F151-((CVDebtBasis=1)*$I$80:$I$91+(CVDebtBasis&gt;=2)*$J$80:$J$91)))/F151)))</f>
        <v>78.645426879892</v>
      </c>
      <c r="G152" s="25" t="n">
        <f aca="false">MAX(0.01,(V_EV-G$97*V_OFF-V_ODEBT-CHOOSE(DilMethod,0,SUMPRODUCT((G151&lt;=$H$80:$H$91)*((CVDebtBasis=1)*$I$80:$I$91+(CVDebtBasis&gt;=2)*$J$80:$J$91)),SUMPRODUCT(((CVDebtBasis=1)*$I$80:$I$91+(CVDebtBasis&gt;=2)*$J$80:$J$91)))+V_CASH+V_SOTP+V_FPCash)/(V_BASIC+V_FPSh+V_RSU+Options*MAX(0,1-OptK/G151)+CHOOSE(DilMethod,SUMPRODUCT($I$80:$I$91,$G$80:$G$91)/1000,SUMPRODUCT((G151&gt;$H$80:$H$91)*$I$80:$I$91*$G$80:$G$91)/1000,SUMPRODUCT((($I$80:$I$91*$G$80:$G$91/1000*G151-((CVDebtBasis=1)*$I$80:$I$91+(CVDebtBasis&gt;=2)*$J$80:$J$91))&gt;0)*($I$80:$I$91*$G$80:$G$91/1000*G151-((CVDebtBasis=1)*$I$80:$I$91+(CVDebtBasis&gt;=2)*$J$80:$J$91)))/G151)))</f>
        <v>41.0703401159524</v>
      </c>
    </row>
    <row r="153" customFormat="false" ht="15" hidden="false" customHeight="false" outlineLevel="0" collapsed="false">
      <c r="A153" s="3" t="s">
        <v>2925</v>
      </c>
      <c r="E153" s="6" t="n">
        <f aca="false">IF(E152&lt;=0.011,0,E152)</f>
        <v>78.645426879892</v>
      </c>
      <c r="F153" s="6" t="n">
        <f aca="false">IF(F152&lt;=0.011,0,F152)</f>
        <v>78.645426879892</v>
      </c>
      <c r="G153" s="6" t="n">
        <f aca="false">IF(G152&lt;=0.011,0,G152)</f>
        <v>41.0703401159524</v>
      </c>
    </row>
    <row r="154" customFormat="false" ht="15" hidden="false" customHeight="false" outlineLevel="0" collapsed="false">
      <c r="A154" s="112" t="s">
        <v>2926</v>
      </c>
      <c r="E154" s="54" t="n">
        <f aca="false">V_BASIC+V_FPSh+V_RSU+Options*MAX(0,1-OptK/E152)+CHOOSE(DilMethod,SUMPRODUCT($I$80:$I$91,$G$80:$G$91)/1000,SUMPRODUCT((E152&gt;$H$80:$H$91)*$I$80:$I$91*$G$80:$G$91)/1000,SUMPRODUCT((($I$80:$I$91*$G$80:$G$91/1000*E152-((CVDebtBasis=1)*$I$80:$I$91+(CVDebtBasis&gt;=2)*$J$80:$J$91))&gt;0)*($I$80:$I$91*$G$80:$G$91/1000*E152-((CVDebtBasis=1)*$I$80:$I$91+(CVDebtBasis&gt;=2)*$J$80:$J$91)))/E152)</f>
        <v>506.474954430797</v>
      </c>
      <c r="F154" s="54" t="n">
        <f aca="false">V_BASIC+V_FPSh+V_RSU+Options*MAX(0,1-OptK/F152)+CHOOSE(DilMethod,SUMPRODUCT($I$80:$I$91,$G$80:$G$91)/1000,SUMPRODUCT((F152&gt;$H$80:$H$91)*$I$80:$I$91*$G$80:$G$91)/1000,SUMPRODUCT((($I$80:$I$91*$G$80:$G$91/1000*F152-((CVDebtBasis=1)*$I$80:$I$91+(CVDebtBasis&gt;=2)*$J$80:$J$91))&gt;0)*($I$80:$I$91*$G$80:$G$91/1000*F152-((CVDebtBasis=1)*$I$80:$I$91+(CVDebtBasis&gt;=2)*$J$80:$J$91)))/F152)</f>
        <v>506.474954430797</v>
      </c>
      <c r="G154" s="54" t="n">
        <f aca="false">V_BASIC+V_FPSh+V_RSU+Options*MAX(0,1-OptK/G152)+CHOOSE(DilMethod,SUMPRODUCT($I$80:$I$91,$G$80:$G$91)/1000,SUMPRODUCT((G152&gt;$H$80:$H$91)*$I$80:$I$91*$G$80:$G$91)/1000,SUMPRODUCT((($I$80:$I$91*$G$80:$G$91/1000*G152-((CVDebtBasis=1)*$I$80:$I$91+(CVDebtBasis&gt;=2)*$J$80:$J$91))&gt;0)*($I$80:$I$91*$G$80:$G$91/1000*G152-((CVDebtBasis=1)*$I$80:$I$91+(CVDebtBasis&gt;=2)*$J$80:$J$91)))/G152)</f>
        <v>504.774278180797</v>
      </c>
    </row>
    <row r="155" customFormat="false" ht="15" hidden="false" customHeight="false" outlineLevel="0" collapsed="false">
      <c r="A155" s="112" t="s">
        <v>2927</v>
      </c>
      <c r="E155" s="54" t="n">
        <f aca="false">V_BASIC+V_FPSh+V_RSU+Options*MAX(0,1-OptK/E152)+SUMPRODUCT((E152&gt;$H$80:$H$91)*$I$80:$I$91*$G$80:$G$91)/1000</f>
        <v>506.474954430797</v>
      </c>
      <c r="F155" s="54" t="n">
        <f aca="false">V_BASIC+V_FPSh+V_RSU+Options*MAX(0,1-OptK/F152)+SUMPRODUCT((F152&gt;$H$80:$H$91)*$I$80:$I$91*$G$80:$G$91)/1000</f>
        <v>506.474954430797</v>
      </c>
      <c r="G155" s="54" t="n">
        <f aca="false">V_BASIC+V_FPSh+V_RSU+Options*MAX(0,1-OptK/G152)+SUMPRODUCT((G152&gt;$H$80:$H$91)*$I$80:$I$91*$G$80:$G$91)/1000</f>
        <v>504.774278180797</v>
      </c>
    </row>
    <row r="156" customFormat="false" ht="15" hidden="false" customHeight="false" outlineLevel="0" collapsed="false">
      <c r="A156" s="112" t="s">
        <v>2928</v>
      </c>
      <c r="E156" s="54" t="n">
        <f aca="false">V_BASIC+V_FPSh+V_RSU+Options*MAX(0,1-OptK/E152)+SUMPRODUCT((($I$80:$I$91*$G$80:$G$91/1000*E152-((CVDebtBasis=1)*$I$80:$I$91+(CVDebtBasis&gt;=2)*$J$80:$J$91))&gt;0)*($I$80:$I$91*$G$80:$G$91/1000*E152-((CVDebtBasis=1)*$I$80:$I$91+(CVDebtBasis&gt;=2)*$J$80:$J$91)))/E152</f>
        <v>505.131103774666</v>
      </c>
      <c r="F156" s="54" t="n">
        <f aca="false">V_BASIC+V_FPSh+V_RSU+Options*MAX(0,1-OptK/F152)+SUMPRODUCT((($I$80:$I$91*$G$80:$G$91/1000*F152-((CVDebtBasis=1)*$I$80:$I$91+(CVDebtBasis&gt;=2)*$J$80:$J$91))&gt;0)*($I$80:$I$91*$G$80:$G$91/1000*F152-((CVDebtBasis=1)*$I$80:$I$91+(CVDebtBasis&gt;=2)*$J$80:$J$91)))/F152</f>
        <v>505.131103774666</v>
      </c>
      <c r="G156" s="54" t="n">
        <f aca="false">V_BASIC+V_FPSh+V_RSU+Options*MAX(0,1-OptK/G152)+SUMPRODUCT((($I$80:$I$91*$G$80:$G$91/1000*G152-((CVDebtBasis=1)*$I$80:$I$91+(CVDebtBasis&gt;=2)*$J$80:$J$91))&gt;0)*($I$80:$I$91*$G$80:$G$91/1000*G152-((CVDebtBasis=1)*$I$80:$I$91+(CVDebtBasis&gt;=2)*$J$80:$J$91)))/G152</f>
        <v>504.774278180797</v>
      </c>
    </row>
    <row r="157" customFormat="false" ht="15" hidden="false" customHeight="false" outlineLevel="0" collapsed="false">
      <c r="A157" s="112" t="s">
        <v>2929</v>
      </c>
      <c r="E157" s="114" t="n">
        <f aca="false">CHOOSE(DilMethod,0,SUMPRODUCT((E152&lt;=$H$80:$H$91)*((CVDebtBasis=1)*$I$80:$I$91+(CVDebtBasis&gt;=2)*$J$80:$J$91)),SUMPRODUCT(((CVDebtBasis=1)*$I$80:$I$91+(CVDebtBasis&gt;=2)*$J$80:$J$91)))</f>
        <v>19402.010477409</v>
      </c>
      <c r="F157" s="114" t="n">
        <f aca="false">CHOOSE(DilMethod,0,SUMPRODUCT((F152&lt;=$H$80:$H$91)*((CVDebtBasis=1)*$I$80:$I$91+(CVDebtBasis&gt;=2)*$J$80:$J$91)),SUMPRODUCT(((CVDebtBasis=1)*$I$80:$I$91+(CVDebtBasis&gt;=2)*$J$80:$J$91)))</f>
        <v>19402.010477409</v>
      </c>
      <c r="G157" s="114" t="n">
        <f aca="false">CHOOSE(DilMethod,0,SUMPRODUCT((G152&lt;=$H$80:$H$91)*((CVDebtBasis=1)*$I$80:$I$91+(CVDebtBasis&gt;=2)*$J$80:$J$91)),SUMPRODUCT(((CVDebtBasis=1)*$I$80:$I$91+(CVDebtBasis&gt;=2)*$J$80:$J$91)))</f>
        <v>19507.6981859232</v>
      </c>
    </row>
    <row r="158" customFormat="false" ht="15" hidden="false" customHeight="false" outlineLevel="0" collapsed="false">
      <c r="A158" s="3" t="s">
        <v>2930</v>
      </c>
      <c r="E158" s="6" t="n">
        <f aca="false">IF(FP_On=1,E153,E113)*(1+Ke)</f>
        <v>88.869332374278</v>
      </c>
      <c r="F158" s="6" t="n">
        <f aca="false">IF(FP_On=1,F153,F113)*(1+Ke)</f>
        <v>88.869332374278</v>
      </c>
      <c r="G158" s="6" t="n">
        <f aca="false">IF(FP_On=1,G153,G113)*(1+Ke)</f>
        <v>46.4094843310262</v>
      </c>
    </row>
    <row r="159" customFormat="false" ht="15" hidden="false" customHeight="false" outlineLevel="0" collapsed="false">
      <c r="A159" s="112" t="s">
        <v>2931</v>
      </c>
      <c r="E159" s="25" t="n">
        <f aca="false">IF(FP_On=1,E153,E113)</f>
        <v>78.645426879892</v>
      </c>
      <c r="F159" s="25" t="n">
        <f aca="false">IF(FP_On=1,F153,F113)</f>
        <v>78.645426879892</v>
      </c>
      <c r="G159" s="25" t="n">
        <f aca="false">IF(FP_On=1,G153,G113)</f>
        <v>41.0703401159524</v>
      </c>
    </row>
    <row r="161" customFormat="false" ht="15" hidden="false" customHeight="false" outlineLevel="0" collapsed="false">
      <c r="A161" s="64" t="s">
        <v>2932</v>
      </c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</row>
    <row r="162" customFormat="false" ht="15" hidden="false" customHeight="false" outlineLevel="0" collapsed="false">
      <c r="A162" s="112" t="s">
        <v>2933</v>
      </c>
      <c r="D162" s="24"/>
      <c r="E162" s="114" t="n">
        <f aca="false">FP_On*(FP_ATMProc*(FP_ATMIdx&lt;=FP_PostQ)*(FP_ATMIdx&gt;V_Q)+FP_Resize*SUMPRODUCT((Q_Idx&gt;V_Q)*(Q_Idx&lt;=FP_PostQ)*FP_EqTop))</f>
        <v>41719.0139695213</v>
      </c>
    </row>
    <row r="163" customFormat="false" ht="15" hidden="false" customHeight="false" outlineLevel="0" collapsed="false">
      <c r="A163" s="112" t="s">
        <v>2934</v>
      </c>
      <c r="D163" s="24"/>
      <c r="E163" s="114" t="n">
        <f aca="false">SUMPRODUCT((Q_Idx&lt;=V_Q)*FP_EqTop)</f>
        <v>0</v>
      </c>
    </row>
    <row r="164" customFormat="false" ht="15" hidden="false" customHeight="false" outlineLevel="0" collapsed="false">
      <c r="A164" s="3" t="s">
        <v>2935</v>
      </c>
      <c r="E164" s="3" t="s">
        <v>2936</v>
      </c>
      <c r="F164" s="3" t="s">
        <v>2937</v>
      </c>
      <c r="G164" s="3" t="s">
        <v>2938</v>
      </c>
      <c r="H164" s="3" t="s">
        <v>2939</v>
      </c>
      <c r="I164" s="3" t="s">
        <v>2940</v>
      </c>
      <c r="J164" s="3" t="s">
        <v>2941</v>
      </c>
    </row>
    <row r="165" customFormat="false" ht="15" hidden="false" customHeight="false" outlineLevel="0" collapsed="false">
      <c r="A165" s="0" t="s">
        <v>2942</v>
      </c>
      <c r="E165" s="25" t="n">
        <f aca="false">SharePx</f>
        <v>242.81</v>
      </c>
      <c r="F165" s="25" t="n">
        <f aca="false">SharePx</f>
        <v>242.81</v>
      </c>
      <c r="G165" s="25" t="n">
        <f aca="false">SharePx</f>
        <v>242.81</v>
      </c>
      <c r="H165" s="25" t="n">
        <f aca="false">SharePx</f>
        <v>242.81</v>
      </c>
      <c r="I165" s="25" t="n">
        <f aca="false">SharePx</f>
        <v>242.81</v>
      </c>
      <c r="J165" s="25" t="n">
        <f aca="false">SharePx</f>
        <v>242.81</v>
      </c>
    </row>
    <row r="166" customFormat="false" ht="15" hidden="false" customHeight="false" outlineLevel="0" collapsed="false">
      <c r="A166" s="0" t="s">
        <v>2943</v>
      </c>
      <c r="E166" s="25" t="n">
        <f aca="false">MAX(0.01,((V_EV-E$97*V_OFF-V_ODEBT-CHOOSE(DilMethod,0,SUMPRODUCT((E165&lt;=V_TrPXsc)*((CVDebtBasis=1)*V_TrOP+(CVDebtBasis&gt;=2)*V_TrBP)),SUMPRODUCT(((CVDebtBasis=1)*V_TrOP+(CVDebtBasis&gt;=2)*V_TrBP)))+V_CASH+V_SOTP+V_FPCash)-MAX(0,V_EqIss0+FP_On*SUMPRODUCT(V_TrWin*V_TrPM*V_TrAcc*(V_TrSpot-((H166)&gt;=V_TrEff)*(1-V_TrPlan))))/((1+Ke)*(1-SC_Disc)))/(V_BASIC+V_RSU+Options*MAX(0,1-OptK/E165)+CHOOSE(DilMethod,SUMPRODUCT(V_TrOP,V_TrRT)/1000,SUMPRODUCT((E165&gt;V_TrPXsc)*V_TrOP*V_TrRT)/1000,SUMPRODUCT(((V_TrOP*V_TrRT/1000*E165-((CVDebtBasis=1)*V_TrOP+(CVDebtBasis&gt;=2)*V_TrBP))&gt;0)*(V_TrOP*V_TrRT/1000*E165-((CVDebtBasis=1)*V_TrOP+(CVDebtBasis&gt;=2)*V_TrBP)))/E165)+FP_On*SUMPRODUCT(V_TrWin*V_TrPM*V_TrRT/1000*((H166)&gt;=V_TrEff)*(1-V_TrPlan))))</f>
        <v>26.3522999894121</v>
      </c>
      <c r="F166" s="25" t="n">
        <f aca="false">MAX(0.01,((V_EV-F$97*V_OFF-V_ODEBT-CHOOSE(DilMethod,0,SUMPRODUCT((F165&lt;=V_TrPXsc)*((CVDebtBasis=1)*V_TrOP+(CVDebtBasis&gt;=2)*V_TrBP)),SUMPRODUCT(((CVDebtBasis=1)*V_TrOP+(CVDebtBasis&gt;=2)*V_TrBP)))+V_CASH+V_SOTP+V_FPCash)-MAX(0,V_EqIss0+FP_On*SUMPRODUCT(V_TrWin*V_TrPM*V_TrAcc*(V_TrSpot-((I166)&gt;=V_TrEff)*(1-V_TrPlan))))/((1+Ke)*(1-SC_Disc)))/(V_BASIC+V_RSU+Options*MAX(0,1-OptK/F165)+CHOOSE(DilMethod,SUMPRODUCT(V_TrOP,V_TrRT)/1000,SUMPRODUCT((F165&gt;V_TrPXsc)*V_TrOP*V_TrRT)/1000,SUMPRODUCT(((V_TrOP*V_TrRT/1000*F165-((CVDebtBasis=1)*V_TrOP+(CVDebtBasis&gt;=2)*V_TrBP))&gt;0)*(V_TrOP*V_TrRT/1000*F165-((CVDebtBasis=1)*V_TrOP+(CVDebtBasis&gt;=2)*V_TrBP)))/F165)+FP_On*SUMPRODUCT(V_TrWin*V_TrPM*V_TrRT/1000*((I166)&gt;=V_TrEff)*(1-V_TrPlan))))</f>
        <v>26.3522999894121</v>
      </c>
      <c r="G166" s="25" t="n">
        <f aca="false">MAX(0.01,((V_EV-G$97*V_OFF-V_ODEBT-CHOOSE(DilMethod,0,SUMPRODUCT((G165&lt;=V_TrPXsc)*((CVDebtBasis=1)*V_TrOP+(CVDebtBasis&gt;=2)*V_TrBP)),SUMPRODUCT(((CVDebtBasis=1)*V_TrOP+(CVDebtBasis&gt;=2)*V_TrBP)))+V_CASH+V_SOTP+V_FPCash)-MAX(0,V_EqIss0+FP_On*SUMPRODUCT(V_TrWin*V_TrPM*V_TrAcc*(V_TrSpot-((J166)&gt;=V_TrEff)*(1-V_TrPlan))))/((1+Ke)*(1-SC_Disc)))/(V_BASIC+V_RSU+Options*MAX(0,1-OptK/G165)+CHOOSE(DilMethod,SUMPRODUCT(V_TrOP,V_TrRT)/1000,SUMPRODUCT((G165&gt;V_TrPXsc)*V_TrOP*V_TrRT)/1000,SUMPRODUCT(((V_TrOP*V_TrRT/1000*G165-((CVDebtBasis=1)*V_TrOP+(CVDebtBasis&gt;=2)*V_TrBP))&gt;0)*(V_TrOP*V_TrRT/1000*G165-((CVDebtBasis=1)*V_TrOP+(CVDebtBasis&gt;=2)*V_TrBP)))/G165)+FP_On*SUMPRODUCT(V_TrWin*V_TrPM*V_TrRT/1000*((J166)&gt;=V_TrEff)*(1-V_TrPlan))))</f>
        <v>0.01</v>
      </c>
      <c r="H166" s="25" t="n">
        <f aca="false">MAX(0.01,E165*(1+Ke)*(1-SC_Disc))</f>
        <v>274.3753</v>
      </c>
      <c r="I166" s="25" t="n">
        <f aca="false">MAX(0.01,F165*(1+Ke)*(1-SC_Disc))</f>
        <v>274.3753</v>
      </c>
      <c r="J166" s="25" t="n">
        <f aca="false">MAX(0.01,G165*(1+Ke)*(1-SC_Disc))</f>
        <v>274.3753</v>
      </c>
    </row>
    <row r="167" customFormat="false" ht="15" hidden="false" customHeight="false" outlineLevel="0" collapsed="false">
      <c r="A167" s="0" t="s">
        <v>2944</v>
      </c>
      <c r="E167" s="25" t="n">
        <f aca="false">MAX(0.01,((V_EV-E$97*V_OFF-V_ODEBT-CHOOSE(DilMethod,0,SUMPRODUCT((E166&lt;=V_TrPXsc)*((CVDebtBasis=1)*V_TrOP+(CVDebtBasis&gt;=2)*V_TrBP)),SUMPRODUCT(((CVDebtBasis=1)*V_TrOP+(CVDebtBasis&gt;=2)*V_TrBP)))+V_CASH+V_SOTP+V_FPCash)-MAX(0,V_EqIss0+FP_On*SUMPRODUCT(V_TrWin*V_TrPM*V_TrAcc*(V_TrSpot-((H167)&gt;=V_TrEff)*(1-V_TrPlan))))/((1+Ke)*(1-SC_Disc)))/(V_BASIC+V_RSU+Options*MAX(0,1-OptK/E166)+CHOOSE(DilMethod,SUMPRODUCT(V_TrOP,V_TrRT)/1000,SUMPRODUCT((E166&gt;V_TrPXsc)*V_TrOP*V_TrRT)/1000,SUMPRODUCT(((V_TrOP*V_TrRT/1000*E166-((CVDebtBasis=1)*V_TrOP+(CVDebtBasis&gt;=2)*V_TrBP))&gt;0)*(V_TrOP*V_TrRT/1000*E166-((CVDebtBasis=1)*V_TrOP+(CVDebtBasis&gt;=2)*V_TrBP)))/E166)+FP_On*SUMPRODUCT(V_TrWin*V_TrPM*V_TrRT/1000*((H167)&gt;=V_TrEff)*(1-V_TrPlan))))</f>
        <v>3.51368674421347</v>
      </c>
      <c r="F167" s="25" t="n">
        <f aca="false">MAX(0.01,((V_EV-F$97*V_OFF-V_ODEBT-CHOOSE(DilMethod,0,SUMPRODUCT((F166&lt;=V_TrPXsc)*((CVDebtBasis=1)*V_TrOP+(CVDebtBasis&gt;=2)*V_TrBP)),SUMPRODUCT(((CVDebtBasis=1)*V_TrOP+(CVDebtBasis&gt;=2)*V_TrBP)))+V_CASH+V_SOTP+V_FPCash)-MAX(0,V_EqIss0+FP_On*SUMPRODUCT(V_TrWin*V_TrPM*V_TrAcc*(V_TrSpot-((I167)&gt;=V_TrEff)*(1-V_TrPlan))))/((1+Ke)*(1-SC_Disc)))/(V_BASIC+V_RSU+Options*MAX(0,1-OptK/F166)+CHOOSE(DilMethod,SUMPRODUCT(V_TrOP,V_TrRT)/1000,SUMPRODUCT((F166&gt;V_TrPXsc)*V_TrOP*V_TrRT)/1000,SUMPRODUCT(((V_TrOP*V_TrRT/1000*F166-((CVDebtBasis=1)*V_TrOP+(CVDebtBasis&gt;=2)*V_TrBP))&gt;0)*(V_TrOP*V_TrRT/1000*F166-((CVDebtBasis=1)*V_TrOP+(CVDebtBasis&gt;=2)*V_TrBP)))/F166)+FP_On*SUMPRODUCT(V_TrWin*V_TrPM*V_TrRT/1000*((I167)&gt;=V_TrEff)*(1-V_TrPlan))))</f>
        <v>3.51368674421347</v>
      </c>
      <c r="G167" s="25" t="n">
        <f aca="false">MAX(0.01,((V_EV-G$97*V_OFF-V_ODEBT-CHOOSE(DilMethod,0,SUMPRODUCT((G166&lt;=V_TrPXsc)*((CVDebtBasis=1)*V_TrOP+(CVDebtBasis&gt;=2)*V_TrBP)),SUMPRODUCT(((CVDebtBasis=1)*V_TrOP+(CVDebtBasis&gt;=2)*V_TrBP)))+V_CASH+V_SOTP+V_FPCash)-MAX(0,V_EqIss0+FP_On*SUMPRODUCT(V_TrWin*V_TrPM*V_TrAcc*(V_TrSpot-((J167)&gt;=V_TrEff)*(1-V_TrPlan))))/((1+Ke)*(1-SC_Disc)))/(V_BASIC+V_RSU+Options*MAX(0,1-OptK/G166)+CHOOSE(DilMethod,SUMPRODUCT(V_TrOP,V_TrRT)/1000,SUMPRODUCT((G166&gt;V_TrPXsc)*V_TrOP*V_TrRT)/1000,SUMPRODUCT(((V_TrOP*V_TrRT/1000*G166-((CVDebtBasis=1)*V_TrOP+(CVDebtBasis&gt;=2)*V_TrBP))&gt;0)*(V_TrOP*V_TrRT/1000*G166-((CVDebtBasis=1)*V_TrOP+(CVDebtBasis&gt;=2)*V_TrBP)))/G166)+FP_On*SUMPRODUCT(V_TrWin*V_TrPM*V_TrRT/1000*((J167)&gt;=V_TrEff)*(1-V_TrPlan))))</f>
        <v>0.01</v>
      </c>
      <c r="H167" s="25" t="n">
        <f aca="false">MAX(0.01,E166*(1+Ke)*(1-SC_Disc))</f>
        <v>29.7780989880356</v>
      </c>
      <c r="I167" s="25" t="n">
        <f aca="false">MAX(0.01,F166*(1+Ke)*(1-SC_Disc))</f>
        <v>29.7780989880356</v>
      </c>
      <c r="J167" s="25" t="n">
        <f aca="false">MAX(0.01,G166*(1+Ke)*(1-SC_Disc))</f>
        <v>0.0113</v>
      </c>
    </row>
    <row r="168" customFormat="false" ht="15" hidden="false" customHeight="false" outlineLevel="0" collapsed="false">
      <c r="A168" s="0" t="s">
        <v>2945</v>
      </c>
      <c r="E168" s="25" t="n">
        <f aca="false">MAX(0.01,((V_EV-E$97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3.51368674421347</v>
      </c>
      <c r="F168" s="25" t="n">
        <f aca="false">MAX(0.01,((V_EV-F$97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3.51368674421347</v>
      </c>
      <c r="G168" s="25" t="n">
        <f aca="false">MAX(0.01,((V_EV-G$97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25" t="n">
        <f aca="false">MAX(0.01,E167*(1+Ke)*(1-SC_Disc))</f>
        <v>3.97046602096122</v>
      </c>
      <c r="I168" s="25" t="n">
        <f aca="false">MAX(0.01,F167*(1+Ke)*(1-SC_Disc))</f>
        <v>3.97046602096122</v>
      </c>
      <c r="J168" s="25" t="n">
        <f aca="false">MAX(0.01,G167*(1+Ke)*(1-SC_Disc))</f>
        <v>0.0113</v>
      </c>
    </row>
    <row r="169" customFormat="false" ht="15" hidden="false" customHeight="false" outlineLevel="0" collapsed="false">
      <c r="A169" s="0" t="s">
        <v>2946</v>
      </c>
      <c r="E169" s="25" t="n">
        <f aca="false">MAX(0.01,((V_EV-E$97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3.51368674421347</v>
      </c>
      <c r="F169" s="25" t="n">
        <f aca="false">MAX(0.01,((V_EV-F$97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3.51368674421347</v>
      </c>
      <c r="G169" s="25" t="n">
        <f aca="false">MAX(0.01,((V_EV-G$97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25" t="n">
        <f aca="false">MAX(0.01,E168*(1+Ke)*(1-SC_Disc))</f>
        <v>3.97046602096122</v>
      </c>
      <c r="I169" s="25" t="n">
        <f aca="false">MAX(0.01,F168*(1+Ke)*(1-SC_Disc))</f>
        <v>3.97046602096122</v>
      </c>
      <c r="J169" s="25" t="n">
        <f aca="false">MAX(0.01,G168*(1+Ke)*(1-SC_Disc))</f>
        <v>0.0113</v>
      </c>
    </row>
    <row r="170" customFormat="false" ht="15" hidden="false" customHeight="false" outlineLevel="0" collapsed="false">
      <c r="A170" s="0" t="s">
        <v>2947</v>
      </c>
      <c r="E170" s="25" t="n">
        <f aca="false">MAX(0.01,((V_EV-E$97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3.51368674421347</v>
      </c>
      <c r="F170" s="25" t="n">
        <f aca="false">MAX(0.01,((V_EV-F$97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3.51368674421347</v>
      </c>
      <c r="G170" s="25" t="n">
        <f aca="false">MAX(0.01,((V_EV-G$97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25" t="n">
        <f aca="false">MAX(0.01,E169*(1+Ke)*(1-SC_Disc))</f>
        <v>3.97046602096122</v>
      </c>
      <c r="I170" s="25" t="n">
        <f aca="false">MAX(0.01,F169*(1+Ke)*(1-SC_Disc))</f>
        <v>3.97046602096122</v>
      </c>
      <c r="J170" s="25" t="n">
        <f aca="false">MAX(0.01,G169*(1+Ke)*(1-SC_Disc))</f>
        <v>0.0113</v>
      </c>
    </row>
    <row r="171" customFormat="false" ht="15" hidden="false" customHeight="false" outlineLevel="0" collapsed="false">
      <c r="A171" s="0" t="s">
        <v>2948</v>
      </c>
      <c r="E171" s="25" t="n">
        <f aca="false">MAX(0.01,((V_EV-E$97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3.51368674421347</v>
      </c>
      <c r="F171" s="25" t="n">
        <f aca="false">MAX(0.01,((V_EV-F$97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3.51368674421347</v>
      </c>
      <c r="G171" s="25" t="n">
        <f aca="false">MAX(0.01,((V_EV-G$97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25" t="n">
        <f aca="false">MAX(0.01,E170*(1+Ke)*(1-SC_Disc))</f>
        <v>3.97046602096122</v>
      </c>
      <c r="I171" s="25" t="n">
        <f aca="false">MAX(0.01,F170*(1+Ke)*(1-SC_Disc))</f>
        <v>3.97046602096122</v>
      </c>
      <c r="J171" s="25" t="n">
        <f aca="false">MAX(0.01,G170*(1+Ke)*(1-SC_Disc))</f>
        <v>0.0113</v>
      </c>
    </row>
    <row r="172" customFormat="false" ht="15" hidden="false" customHeight="false" outlineLevel="0" collapsed="false">
      <c r="A172" s="0" t="s">
        <v>2949</v>
      </c>
      <c r="E172" s="25" t="n">
        <f aca="false">MAX(0.01,((V_EV-E$97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3.51368674421347</v>
      </c>
      <c r="F172" s="25" t="n">
        <f aca="false">MAX(0.01,((V_EV-F$97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3.51368674421347</v>
      </c>
      <c r="G172" s="25" t="n">
        <f aca="false">MAX(0.01,((V_EV-G$97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25" t="n">
        <f aca="false">MAX(0.01,E171*(1+Ke)*(1-SC_Disc))</f>
        <v>3.97046602096122</v>
      </c>
      <c r="I172" s="25" t="n">
        <f aca="false">MAX(0.01,F171*(1+Ke)*(1-SC_Disc))</f>
        <v>3.97046602096122</v>
      </c>
      <c r="J172" s="25" t="n">
        <f aca="false">MAX(0.01,G171*(1+Ke)*(1-SC_Disc))</f>
        <v>0.0113</v>
      </c>
    </row>
    <row r="173" customFormat="false" ht="15" hidden="false" customHeight="false" outlineLevel="0" collapsed="false">
      <c r="A173" s="0" t="s">
        <v>2950</v>
      </c>
      <c r="E173" s="25" t="n">
        <f aca="false">MAX(0.01,((V_EV-E$97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3.51368674421347</v>
      </c>
      <c r="F173" s="25" t="n">
        <f aca="false">MAX(0.01,((V_EV-F$97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3.51368674421347</v>
      </c>
      <c r="G173" s="25" t="n">
        <f aca="false">MAX(0.01,((V_EV-G$97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25" t="n">
        <f aca="false">MAX(0.01,E172*(1+Ke)*(1-SC_Disc))</f>
        <v>3.97046602096122</v>
      </c>
      <c r="I173" s="25" t="n">
        <f aca="false">MAX(0.01,F172*(1+Ke)*(1-SC_Disc))</f>
        <v>3.97046602096122</v>
      </c>
      <c r="J173" s="25" t="n">
        <f aca="false">MAX(0.01,G172*(1+Ke)*(1-SC_Disc))</f>
        <v>0.0113</v>
      </c>
    </row>
    <row r="174" customFormat="false" ht="15" hidden="false" customHeight="false" outlineLevel="0" collapsed="false">
      <c r="A174" s="0" t="s">
        <v>2951</v>
      </c>
      <c r="E174" s="25" t="n">
        <f aca="false">MAX(0.01,((V_EV-E$97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3.51368674421347</v>
      </c>
      <c r="F174" s="25" t="n">
        <f aca="false">MAX(0.01,((V_EV-F$97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3.51368674421347</v>
      </c>
      <c r="G174" s="25" t="n">
        <f aca="false">MAX(0.01,((V_EV-G$97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25" t="n">
        <f aca="false">MAX(0.01,E173*(1+Ke)*(1-SC_Disc))</f>
        <v>3.97046602096122</v>
      </c>
      <c r="I174" s="25" t="n">
        <f aca="false">MAX(0.01,F173*(1+Ke)*(1-SC_Disc))</f>
        <v>3.97046602096122</v>
      </c>
      <c r="J174" s="25" t="n">
        <f aca="false">MAX(0.01,G173*(1+Ke)*(1-SC_Disc))</f>
        <v>0.0113</v>
      </c>
    </row>
    <row r="175" customFormat="false" ht="15" hidden="false" customHeight="false" outlineLevel="0" collapsed="false">
      <c r="A175" s="0" t="s">
        <v>2952</v>
      </c>
      <c r="E175" s="25" t="n">
        <f aca="false">MAX(0.01,((V_EV-E$97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3.51368674421347</v>
      </c>
      <c r="F175" s="25" t="n">
        <f aca="false">MAX(0.01,((V_EV-F$97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3.51368674421347</v>
      </c>
      <c r="G175" s="25" t="n">
        <f aca="false">MAX(0.01,((V_EV-G$97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25" t="n">
        <f aca="false">MAX(0.01,E174*(1+Ke)*(1-SC_Disc))</f>
        <v>3.97046602096122</v>
      </c>
      <c r="I175" s="25" t="n">
        <f aca="false">MAX(0.01,F174*(1+Ke)*(1-SC_Disc))</f>
        <v>3.97046602096122</v>
      </c>
      <c r="J175" s="25" t="n">
        <f aca="false">MAX(0.01,G174*(1+Ke)*(1-SC_Disc))</f>
        <v>0.0113</v>
      </c>
    </row>
    <row r="176" customFormat="false" ht="15" hidden="false" customHeight="false" outlineLevel="0" collapsed="false">
      <c r="A176" s="0" t="s">
        <v>2953</v>
      </c>
      <c r="E176" s="25" t="n">
        <f aca="false">MAX(0.01,((V_EV-E$97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3.51368674421347</v>
      </c>
      <c r="F176" s="25" t="n">
        <f aca="false">MAX(0.01,((V_EV-F$97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3.51368674421347</v>
      </c>
      <c r="G176" s="25" t="n">
        <f aca="false">MAX(0.01,((V_EV-G$97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25" t="n">
        <f aca="false">MAX(0.01,E175*(1+Ke)*(1-SC_Disc))</f>
        <v>3.97046602096122</v>
      </c>
      <c r="I176" s="25" t="n">
        <f aca="false">MAX(0.01,F175*(1+Ke)*(1-SC_Disc))</f>
        <v>3.97046602096122</v>
      </c>
      <c r="J176" s="25" t="n">
        <f aca="false">MAX(0.01,G175*(1+Ke)*(1-SC_Disc))</f>
        <v>0.0113</v>
      </c>
    </row>
    <row r="177" customFormat="false" ht="15" hidden="false" customHeight="false" outlineLevel="0" collapsed="false">
      <c r="A177" s="0" t="s">
        <v>2954</v>
      </c>
      <c r="E177" s="25" t="n">
        <f aca="false">MAX(0.01,((V_EV-E$97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3.51368674421347</v>
      </c>
      <c r="F177" s="25" t="n">
        <f aca="false">MAX(0.01,((V_EV-F$97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3.51368674421347</v>
      </c>
      <c r="G177" s="25" t="n">
        <f aca="false">MAX(0.01,((V_EV-G$97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25" t="n">
        <f aca="false">MAX(0.01,E176*(1+Ke)*(1-SC_Disc))</f>
        <v>3.97046602096122</v>
      </c>
      <c r="I177" s="25" t="n">
        <f aca="false">MAX(0.01,F176*(1+Ke)*(1-SC_Disc))</f>
        <v>3.97046602096122</v>
      </c>
      <c r="J177" s="25" t="n">
        <f aca="false">MAX(0.01,G176*(1+Ke)*(1-SC_Disc))</f>
        <v>0.0113</v>
      </c>
    </row>
    <row r="178" customFormat="false" ht="15" hidden="false" customHeight="false" outlineLevel="0" collapsed="false">
      <c r="A178" s="0" t="s">
        <v>2955</v>
      </c>
      <c r="E178" s="25" t="n">
        <f aca="false">MAX(0.01,((V_EV-E$97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3.51368674421347</v>
      </c>
      <c r="F178" s="25" t="n">
        <f aca="false">MAX(0.01,((V_EV-F$97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3.51368674421347</v>
      </c>
      <c r="G178" s="25" t="n">
        <f aca="false">MAX(0.01,((V_EV-G$97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25" t="n">
        <f aca="false">MAX(0.01,E177*(1+Ke)*(1-SC_Disc))</f>
        <v>3.97046602096122</v>
      </c>
      <c r="I178" s="25" t="n">
        <f aca="false">MAX(0.01,F177*(1+Ke)*(1-SC_Disc))</f>
        <v>3.97046602096122</v>
      </c>
      <c r="J178" s="25" t="n">
        <f aca="false">MAX(0.01,G177*(1+Ke)*(1-SC_Disc))</f>
        <v>0.0113</v>
      </c>
    </row>
    <row r="179" customFormat="false" ht="15" hidden="false" customHeight="false" outlineLevel="0" collapsed="false">
      <c r="A179" s="0" t="s">
        <v>2956</v>
      </c>
      <c r="E179" s="25" t="n">
        <f aca="false">MAX(0.01,((V_EV-E$97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3.51368674421347</v>
      </c>
      <c r="F179" s="25" t="n">
        <f aca="false">MAX(0.01,((V_EV-F$97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3.51368674421347</v>
      </c>
      <c r="G179" s="25" t="n">
        <f aca="false">MAX(0.01,((V_EV-G$97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25" t="n">
        <f aca="false">MAX(0.01,E178*(1+Ke)*(1-SC_Disc))</f>
        <v>3.97046602096122</v>
      </c>
      <c r="I179" s="25" t="n">
        <f aca="false">MAX(0.01,F178*(1+Ke)*(1-SC_Disc))</f>
        <v>3.97046602096122</v>
      </c>
      <c r="J179" s="25" t="n">
        <f aca="false">MAX(0.01,G178*(1+Ke)*(1-SC_Disc))</f>
        <v>0.0113</v>
      </c>
    </row>
    <row r="180" customFormat="false" ht="15" hidden="false" customHeight="false" outlineLevel="0" collapsed="false">
      <c r="A180" s="0" t="s">
        <v>2957</v>
      </c>
      <c r="E180" s="25" t="n">
        <f aca="false">MAX(0.01,((V_EV-E$97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3.51368674421347</v>
      </c>
      <c r="F180" s="25" t="n">
        <f aca="false">MAX(0.01,((V_EV-F$97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3.51368674421347</v>
      </c>
      <c r="G180" s="25" t="n">
        <f aca="false">MAX(0.01,((V_EV-G$97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25" t="n">
        <f aca="false">MAX(0.01,E179*(1+Ke)*(1-SC_Disc))</f>
        <v>3.97046602096122</v>
      </c>
      <c r="I180" s="25" t="n">
        <f aca="false">MAX(0.01,F179*(1+Ke)*(1-SC_Disc))</f>
        <v>3.97046602096122</v>
      </c>
      <c r="J180" s="25" t="n">
        <f aca="false">MAX(0.01,G179*(1+Ke)*(1-SC_Disc))</f>
        <v>0.0113</v>
      </c>
    </row>
    <row r="181" customFormat="false" ht="15" hidden="false" customHeight="false" outlineLevel="0" collapsed="false">
      <c r="A181" s="0" t="s">
        <v>2958</v>
      </c>
      <c r="E181" s="25" t="n">
        <f aca="false">MAX(0.01,((V_EV-E$97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3.51368674421347</v>
      </c>
      <c r="F181" s="25" t="n">
        <f aca="false">MAX(0.01,((V_EV-F$97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3.51368674421347</v>
      </c>
      <c r="G181" s="25" t="n">
        <f aca="false">MAX(0.01,((V_EV-G$97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25" t="n">
        <f aca="false">MAX(0.01,E180*(1+Ke)*(1-SC_Disc))</f>
        <v>3.97046602096122</v>
      </c>
      <c r="I181" s="25" t="n">
        <f aca="false">MAX(0.01,F180*(1+Ke)*(1-SC_Disc))</f>
        <v>3.97046602096122</v>
      </c>
      <c r="J181" s="25" t="n">
        <f aca="false">MAX(0.01,G180*(1+Ke)*(1-SC_Disc))</f>
        <v>0.0113</v>
      </c>
    </row>
    <row r="182" customFormat="false" ht="15" hidden="false" customHeight="false" outlineLevel="0" collapsed="false">
      <c r="A182" s="0" t="s">
        <v>2959</v>
      </c>
      <c r="E182" s="25" t="n">
        <f aca="false">MAX(0.01,((V_EV-E$97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3.51368674421347</v>
      </c>
      <c r="F182" s="25" t="n">
        <f aca="false">MAX(0.01,((V_EV-F$97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3.51368674421347</v>
      </c>
      <c r="G182" s="25" t="n">
        <f aca="false">MAX(0.01,((V_EV-G$97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25" t="n">
        <f aca="false">MAX(0.01,E181*(1+Ke)*(1-SC_Disc))</f>
        <v>3.97046602096122</v>
      </c>
      <c r="I182" s="25" t="n">
        <f aca="false">MAX(0.01,F181*(1+Ke)*(1-SC_Disc))</f>
        <v>3.97046602096122</v>
      </c>
      <c r="J182" s="25" t="n">
        <f aca="false">MAX(0.01,G181*(1+Ke)*(1-SC_Disc))</f>
        <v>0.0113</v>
      </c>
    </row>
    <row r="183" customFormat="false" ht="15" hidden="false" customHeight="false" outlineLevel="0" collapsed="false">
      <c r="A183" s="0" t="s">
        <v>2960</v>
      </c>
      <c r="E183" s="25" t="n">
        <f aca="false">MAX(0.01,((V_EV-E$97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3.51368674421347</v>
      </c>
      <c r="F183" s="25" t="n">
        <f aca="false">MAX(0.01,((V_EV-F$97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3.51368674421347</v>
      </c>
      <c r="G183" s="25" t="n">
        <f aca="false">MAX(0.01,((V_EV-G$97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25" t="n">
        <f aca="false">MAX(0.01,E182*(1+Ke)*(1-SC_Disc))</f>
        <v>3.97046602096122</v>
      </c>
      <c r="I183" s="25" t="n">
        <f aca="false">MAX(0.01,F182*(1+Ke)*(1-SC_Disc))</f>
        <v>3.97046602096122</v>
      </c>
      <c r="J183" s="25" t="n">
        <f aca="false">MAX(0.01,G182*(1+Ke)*(1-SC_Disc))</f>
        <v>0.0113</v>
      </c>
    </row>
    <row r="184" customFormat="false" ht="15" hidden="false" customHeight="false" outlineLevel="0" collapsed="false">
      <c r="A184" s="0" t="s">
        <v>2961</v>
      </c>
      <c r="E184" s="25" t="n">
        <f aca="false">MAX(0.01,((V_EV-E$97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3.51368674421347</v>
      </c>
      <c r="F184" s="25" t="n">
        <f aca="false">MAX(0.01,((V_EV-F$97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3.51368674421347</v>
      </c>
      <c r="G184" s="25" t="n">
        <f aca="false">MAX(0.01,((V_EV-G$97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25" t="n">
        <f aca="false">MAX(0.01,E183*(1+Ke)*(1-SC_Disc))</f>
        <v>3.97046602096122</v>
      </c>
      <c r="I184" s="25" t="n">
        <f aca="false">MAX(0.01,F183*(1+Ke)*(1-SC_Disc))</f>
        <v>3.97046602096122</v>
      </c>
      <c r="J184" s="25" t="n">
        <f aca="false">MAX(0.01,G183*(1+Ke)*(1-SC_Disc))</f>
        <v>0.0113</v>
      </c>
    </row>
    <row r="185" customFormat="false" ht="15" hidden="false" customHeight="false" outlineLevel="0" collapsed="false">
      <c r="A185" s="0" t="s">
        <v>2962</v>
      </c>
      <c r="E185" s="25" t="n">
        <f aca="false">MAX(0.01,((V_EV-E$97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3.51368674421347</v>
      </c>
      <c r="F185" s="25" t="n">
        <f aca="false">MAX(0.01,((V_EV-F$97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3.51368674421347</v>
      </c>
      <c r="G185" s="25" t="n">
        <f aca="false">MAX(0.01,((V_EV-G$97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25" t="n">
        <f aca="false">MAX(0.01,E184*(1+Ke)*(1-SC_Disc))</f>
        <v>3.97046602096122</v>
      </c>
      <c r="I185" s="25" t="n">
        <f aca="false">MAX(0.01,F184*(1+Ke)*(1-SC_Disc))</f>
        <v>3.97046602096122</v>
      </c>
      <c r="J185" s="25" t="n">
        <f aca="false">MAX(0.01,G184*(1+Ke)*(1-SC_Disc))</f>
        <v>0.0113</v>
      </c>
    </row>
    <row r="186" customFormat="false" ht="15" hidden="false" customHeight="false" outlineLevel="0" collapsed="false">
      <c r="A186" s="0" t="s">
        <v>2963</v>
      </c>
      <c r="E186" s="25" t="n">
        <f aca="false">MAX(0.01,((V_EV-E$97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3.51368674421347</v>
      </c>
      <c r="F186" s="25" t="n">
        <f aca="false">MAX(0.01,((V_EV-F$97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3.51368674421347</v>
      </c>
      <c r="G186" s="25" t="n">
        <f aca="false">MAX(0.01,((V_EV-G$97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25" t="n">
        <f aca="false">MAX(0.01,E185*(1+Ke)*(1-SC_Disc))</f>
        <v>3.97046602096122</v>
      </c>
      <c r="I186" s="25" t="n">
        <f aca="false">MAX(0.01,F185*(1+Ke)*(1-SC_Disc))</f>
        <v>3.97046602096122</v>
      </c>
      <c r="J186" s="25" t="n">
        <f aca="false">MAX(0.01,G185*(1+Ke)*(1-SC_Disc))</f>
        <v>0.0113</v>
      </c>
    </row>
    <row r="187" customFormat="false" ht="15" hidden="false" customHeight="false" outlineLevel="0" collapsed="false">
      <c r="A187" s="0" t="s">
        <v>2964</v>
      </c>
      <c r="E187" s="25" t="n">
        <f aca="false">MAX(0.01,((V_EV-E$97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3.51368674421347</v>
      </c>
      <c r="F187" s="25" t="n">
        <f aca="false">MAX(0.01,((V_EV-F$97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3.51368674421347</v>
      </c>
      <c r="G187" s="25" t="n">
        <f aca="false">MAX(0.01,((V_EV-G$97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25" t="n">
        <f aca="false">MAX(0.01,E186*(1+Ke)*(1-SC_Disc))</f>
        <v>3.97046602096122</v>
      </c>
      <c r="I187" s="25" t="n">
        <f aca="false">MAX(0.01,F186*(1+Ke)*(1-SC_Disc))</f>
        <v>3.97046602096122</v>
      </c>
      <c r="J187" s="25" t="n">
        <f aca="false">MAX(0.01,G186*(1+Ke)*(1-SC_Disc))</f>
        <v>0.0113</v>
      </c>
    </row>
    <row r="188" customFormat="false" ht="15" hidden="false" customHeight="false" outlineLevel="0" collapsed="false">
      <c r="A188" s="0" t="s">
        <v>2965</v>
      </c>
      <c r="E188" s="25" t="n">
        <f aca="false">MAX(0.01,((V_EV-E$97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3.51368674421347</v>
      </c>
      <c r="F188" s="25" t="n">
        <f aca="false">MAX(0.01,((V_EV-F$97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3.51368674421347</v>
      </c>
      <c r="G188" s="25" t="n">
        <f aca="false">MAX(0.01,((V_EV-G$97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25" t="n">
        <f aca="false">MAX(0.01,E187*(1+Ke)*(1-SC_Disc))</f>
        <v>3.97046602096122</v>
      </c>
      <c r="I188" s="25" t="n">
        <f aca="false">MAX(0.01,F187*(1+Ke)*(1-SC_Disc))</f>
        <v>3.97046602096122</v>
      </c>
      <c r="J188" s="25" t="n">
        <f aca="false">MAX(0.01,G187*(1+Ke)*(1-SC_Disc))</f>
        <v>0.0113</v>
      </c>
    </row>
    <row r="189" customFormat="false" ht="15" hidden="false" customHeight="false" outlineLevel="0" collapsed="false">
      <c r="A189" s="0" t="s">
        <v>2966</v>
      </c>
      <c r="E189" s="25" t="n">
        <f aca="false">MAX(0.01,((V_EV-E$97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3.51368674421347</v>
      </c>
      <c r="F189" s="25" t="n">
        <f aca="false">MAX(0.01,((V_EV-F$97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3.51368674421347</v>
      </c>
      <c r="G189" s="25" t="n">
        <f aca="false">MAX(0.01,((V_EV-G$97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25" t="n">
        <f aca="false">MAX(0.01,E188*(1+Ke)*(1-SC_Disc))</f>
        <v>3.97046602096122</v>
      </c>
      <c r="I189" s="25" t="n">
        <f aca="false">MAX(0.01,F188*(1+Ke)*(1-SC_Disc))</f>
        <v>3.97046602096122</v>
      </c>
      <c r="J189" s="25" t="n">
        <f aca="false">MAX(0.01,G188*(1+Ke)*(1-SC_Disc))</f>
        <v>0.0113</v>
      </c>
    </row>
    <row r="190" customFormat="false" ht="15" hidden="false" customHeight="false" outlineLevel="0" collapsed="false">
      <c r="A190" s="0" t="s">
        <v>2967</v>
      </c>
      <c r="E190" s="25" t="n">
        <f aca="false">MAX(0.01,((V_EV-E$97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3.51368674421347</v>
      </c>
      <c r="F190" s="25" t="n">
        <f aca="false">MAX(0.01,((V_EV-F$97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3.51368674421347</v>
      </c>
      <c r="G190" s="25" t="n">
        <f aca="false">MAX(0.01,((V_EV-G$97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25" t="n">
        <f aca="false">MAX(0.01,E189*(1+Ke)*(1-SC_Disc))</f>
        <v>3.97046602096122</v>
      </c>
      <c r="I190" s="25" t="n">
        <f aca="false">MAX(0.01,F189*(1+Ke)*(1-SC_Disc))</f>
        <v>3.97046602096122</v>
      </c>
      <c r="J190" s="25" t="n">
        <f aca="false">MAX(0.01,G189*(1+Ke)*(1-SC_Disc))</f>
        <v>0.0113</v>
      </c>
    </row>
    <row r="191" customFormat="false" ht="15" hidden="false" customHeight="false" outlineLevel="0" collapsed="false">
      <c r="A191" s="0" t="s">
        <v>2968</v>
      </c>
      <c r="E191" s="25" t="n">
        <f aca="false">MAX(0.01,((V_EV-E$97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3.51368674421347</v>
      </c>
      <c r="F191" s="25" t="n">
        <f aca="false">MAX(0.01,((V_EV-F$97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3.51368674421347</v>
      </c>
      <c r="G191" s="25" t="n">
        <f aca="false">MAX(0.01,((V_EV-G$97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25" t="n">
        <f aca="false">MAX(0.01,E190*(1+Ke)*(1-SC_Disc))</f>
        <v>3.97046602096122</v>
      </c>
      <c r="I191" s="25" t="n">
        <f aca="false">MAX(0.01,F190*(1+Ke)*(1-SC_Disc))</f>
        <v>3.97046602096122</v>
      </c>
      <c r="J191" s="25" t="n">
        <f aca="false">MAX(0.01,G190*(1+Ke)*(1-SC_Disc))</f>
        <v>0.0113</v>
      </c>
    </row>
    <row r="192" customFormat="false" ht="15" hidden="false" customHeight="false" outlineLevel="0" collapsed="false">
      <c r="A192" s="0" t="s">
        <v>2969</v>
      </c>
      <c r="E192" s="25" t="n">
        <f aca="false">MAX(0.01,((V_EV-E$97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3.51368674421347</v>
      </c>
      <c r="F192" s="25" t="n">
        <f aca="false">MAX(0.01,((V_EV-F$97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3.51368674421347</v>
      </c>
      <c r="G192" s="25" t="n">
        <f aca="false">MAX(0.01,((V_EV-G$97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25" t="n">
        <f aca="false">MAX(0.01,E191*(1+Ke)*(1-SC_Disc))</f>
        <v>3.97046602096122</v>
      </c>
      <c r="I192" s="25" t="n">
        <f aca="false">MAX(0.01,F191*(1+Ke)*(1-SC_Disc))</f>
        <v>3.97046602096122</v>
      </c>
      <c r="J192" s="25" t="n">
        <f aca="false">MAX(0.01,G191*(1+Ke)*(1-SC_Disc))</f>
        <v>0.0113</v>
      </c>
    </row>
    <row r="193" customFormat="false" ht="15" hidden="false" customHeight="false" outlineLevel="0" collapsed="false">
      <c r="A193" s="0" t="s">
        <v>2970</v>
      </c>
      <c r="E193" s="25" t="n">
        <f aca="false">MAX(0.01,((V_EV-E$97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3.51368674421347</v>
      </c>
      <c r="F193" s="25" t="n">
        <f aca="false">MAX(0.01,((V_EV-F$97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3.51368674421347</v>
      </c>
      <c r="G193" s="25" t="n">
        <f aca="false">MAX(0.01,((V_EV-G$97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25" t="n">
        <f aca="false">MAX(0.01,E192*(1+Ke)*(1-SC_Disc))</f>
        <v>3.97046602096122</v>
      </c>
      <c r="I193" s="25" t="n">
        <f aca="false">MAX(0.01,F192*(1+Ke)*(1-SC_Disc))</f>
        <v>3.97046602096122</v>
      </c>
      <c r="J193" s="25" t="n">
        <f aca="false">MAX(0.01,G192*(1+Ke)*(1-SC_Disc))</f>
        <v>0.0113</v>
      </c>
    </row>
    <row r="194" customFormat="false" ht="15" hidden="false" customHeight="false" outlineLevel="0" collapsed="false">
      <c r="A194" s="0" t="s">
        <v>2971</v>
      </c>
      <c r="E194" s="25" t="n">
        <f aca="false">MAX(0.01,((V_EV-E$97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3.51368674421347</v>
      </c>
      <c r="F194" s="25" t="n">
        <f aca="false">MAX(0.01,((V_EV-F$97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3.51368674421347</v>
      </c>
      <c r="G194" s="25" t="n">
        <f aca="false">MAX(0.01,((V_EV-G$97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25" t="n">
        <f aca="false">MAX(0.01,E193*(1+Ke)*(1-SC_Disc))</f>
        <v>3.97046602096122</v>
      </c>
      <c r="I194" s="25" t="n">
        <f aca="false">MAX(0.01,F193*(1+Ke)*(1-SC_Disc))</f>
        <v>3.97046602096122</v>
      </c>
      <c r="J194" s="25" t="n">
        <f aca="false">MAX(0.01,G193*(1+Ke)*(1-SC_Disc))</f>
        <v>0.0113</v>
      </c>
    </row>
    <row r="195" customFormat="false" ht="15" hidden="false" customHeight="false" outlineLevel="0" collapsed="false">
      <c r="A195" s="0" t="s">
        <v>2972</v>
      </c>
      <c r="E195" s="25" t="n">
        <f aca="false">MAX(0.01,((V_EV-E$97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3.51368674421347</v>
      </c>
      <c r="F195" s="25" t="n">
        <f aca="false">MAX(0.01,((V_EV-F$97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3.51368674421347</v>
      </c>
      <c r="G195" s="25" t="n">
        <f aca="false">MAX(0.01,((V_EV-G$97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25" t="n">
        <f aca="false">MAX(0.01,E194*(1+Ke)*(1-SC_Disc))</f>
        <v>3.97046602096122</v>
      </c>
      <c r="I195" s="25" t="n">
        <f aca="false">MAX(0.01,F194*(1+Ke)*(1-SC_Disc))</f>
        <v>3.97046602096122</v>
      </c>
      <c r="J195" s="25" t="n">
        <f aca="false">MAX(0.01,G194*(1+Ke)*(1-SC_Disc))</f>
        <v>0.0113</v>
      </c>
    </row>
    <row r="196" customFormat="false" ht="15" hidden="false" customHeight="false" outlineLevel="0" collapsed="false">
      <c r="A196" s="112" t="s">
        <v>2973</v>
      </c>
      <c r="D196" s="24"/>
      <c r="E196" s="56" t="n">
        <f aca="false">MAX(ABS(E195-E194),ABS(F195-F194),ABS(G195-G194))</f>
        <v>0</v>
      </c>
    </row>
    <row r="197" customFormat="false" ht="15" hidden="false" customHeight="false" outlineLevel="0" collapsed="false">
      <c r="A197" s="3" t="s">
        <v>2974</v>
      </c>
      <c r="E197" s="6" t="n">
        <f aca="false">IF(E195&lt;=0.011,0,E195)</f>
        <v>3.51368674421347</v>
      </c>
      <c r="F197" s="6" t="n">
        <f aca="false">IF(F195&lt;=0.011,0,F195)</f>
        <v>3.51368674421347</v>
      </c>
      <c r="G197" s="6" t="n">
        <f aca="false">IF(G195&lt;=0.011,0,G195)</f>
        <v>0</v>
      </c>
    </row>
    <row r="198" customFormat="false" ht="15" hidden="false" customHeight="false" outlineLevel="0" collapsed="false">
      <c r="A198" s="3" t="s">
        <v>2975</v>
      </c>
      <c r="E198" s="6" t="n">
        <f aca="false">E197*(1+Ke)</f>
        <v>3.97046602096122</v>
      </c>
      <c r="F198" s="6" t="n">
        <f aca="false">F197*(1+Ke)</f>
        <v>3.97046602096122</v>
      </c>
      <c r="G198" s="6" t="n">
        <f aca="false">G197*(1+Ke)</f>
        <v>0</v>
      </c>
    </row>
    <row r="199" customFormat="false" ht="15" hidden="false" customHeight="false" outlineLevel="0" collapsed="false">
      <c r="A199" s="112" t="s">
        <v>2976</v>
      </c>
      <c r="E199" s="25" t="n">
        <f aca="false">H195</f>
        <v>3.97046602096122</v>
      </c>
      <c r="F199" s="25" t="n">
        <f aca="false">I195</f>
        <v>3.97046602096122</v>
      </c>
      <c r="G199" s="25" t="n">
        <f aca="false">J195</f>
        <v>0.0113</v>
      </c>
    </row>
    <row r="200" customFormat="false" ht="15" hidden="false" customHeight="false" outlineLevel="0" collapsed="false">
      <c r="A200" s="112" t="s">
        <v>2977</v>
      </c>
      <c r="E200" s="39" t="n">
        <f aca="false">FP_On*(MAX(0,V_EqIss0+SUMPRODUCT(V_TrWin*V_TrPM*V_TrAcc*(V_TrSpot-((H195)&gt;=V_TrEff)*(1-V_TrPlan))))/H195+SUMPRODUCT(V_TrWin*V_TrPM*V_TrRT/1000*((H195)&gt;=V_TrEff)*(1-V_TrPlan)))</f>
        <v>10991.2196047346</v>
      </c>
      <c r="F200" s="39" t="n">
        <f aca="false">FP_On*(MAX(0,V_EqIss0+SUMPRODUCT(V_TrWin*V_TrPM*V_TrAcc*(V_TrSpot-((I195)&gt;=V_TrEff)*(1-V_TrPlan))))/I195+SUMPRODUCT(V_TrWin*V_TrPM*V_TrRT/1000*((I195)&gt;=V_TrEff)*(1-V_TrPlan)))</f>
        <v>10991.2196047346</v>
      </c>
      <c r="G200" s="39" t="n">
        <f aca="false">FP_On*(MAX(0,V_EqIss0+SUMPRODUCT(V_TrWin*V_TrPM*V_TrAcc*(V_TrSpot-((J195)&gt;=V_TrEff)*(1-V_TrPlan))))/J195+SUMPRODUCT(V_TrWin*V_TrPM*V_TrRT/1000*((J195)&gt;=V_TrEff)*(1-V_TrPlan)))</f>
        <v>3861970.2627895</v>
      </c>
    </row>
    <row r="201" customFormat="false" ht="15" hidden="false" customHeight="false" outlineLevel="0" collapsed="false">
      <c r="A201" s="112" t="s">
        <v>2978</v>
      </c>
      <c r="E201" s="114" t="n">
        <f aca="false">FP_On*SUMPRODUCT(V_TrWin*V_TrPM*V_TrAcc*(V_TrSpot-((H195)&gt;=V_TrEff)*(1-V_TrPlan)))</f>
        <v>1921.25</v>
      </c>
      <c r="F201" s="114" t="n">
        <f aca="false">FP_On*SUMPRODUCT(V_TrWin*V_TrPM*V_TrAcc*(V_TrSpot-((I195)&gt;=V_TrEff)*(1-V_TrPlan)))</f>
        <v>1921.25</v>
      </c>
      <c r="G201" s="114" t="n">
        <f aca="false">FP_On*SUMPRODUCT(V_TrWin*V_TrPM*V_TrAcc*(V_TrSpot-((J195)&gt;=V_TrEff)*(1-V_TrPlan)))</f>
        <v>1921.25</v>
      </c>
    </row>
    <row r="202" customFormat="false" ht="15" hidden="false" customHeight="false" outlineLevel="0" collapsed="false">
      <c r="A202" s="112" t="s">
        <v>2979</v>
      </c>
      <c r="E202" s="39" t="n">
        <f aca="false">V_BASIC+V_RSU+Options*MAX(0,1-OptK/E195)+CHOOSE(DilMethod,SUMPRODUCT($I$80:$I$91,$G$80:$G$91)/1000,SUMPRODUCT((E195&gt;V_TrPXsc)*$I$80:$I$91*$G$80:$G$91)/1000,SUMPRODUCT((($I$80:$I$91*$G$80:$G$91/1000*E195-((CVDebtBasis=1)*$I$80:$I$91+(CVDebtBasis&gt;=2)*$J$80:$J$91))&gt;0)*($I$80:$I$91*$G$80:$G$91/1000*E195-((CVDebtBasis=1)*$I$80:$I$91+(CVDebtBasis&gt;=2)*$J$80:$J$91)))/E195)+E200</f>
        <v>11306.1448497346</v>
      </c>
      <c r="F202" s="39" t="n">
        <f aca="false">V_BASIC+V_RSU+Options*MAX(0,1-OptK/F195)+CHOOSE(DilMethod,SUMPRODUCT($I$80:$I$91,$G$80:$G$91)/1000,SUMPRODUCT((F195&gt;V_TrPXsc)*$I$80:$I$91*$G$80:$G$91)/1000,SUMPRODUCT((($I$80:$I$91*$G$80:$G$91/1000*F195-((CVDebtBasis=1)*$I$80:$I$91+(CVDebtBasis&gt;=2)*$J$80:$J$91))&gt;0)*($I$80:$I$91*$G$80:$G$91/1000*F195-((CVDebtBasis=1)*$I$80:$I$91+(CVDebtBasis&gt;=2)*$J$80:$J$91)))/F195)+F200</f>
        <v>11306.1448497346</v>
      </c>
      <c r="G202" s="39" t="n">
        <f aca="false">V_BASIC+V_RSU+Options*MAX(0,1-OptK/G195)+CHOOSE(DilMethod,SUMPRODUCT($I$80:$I$91,$G$80:$G$91)/1000,SUMPRODUCT((G195&gt;V_TrPXsc)*$I$80:$I$91*$G$80:$G$91)/1000,SUMPRODUCT((($I$80:$I$91*$G$80:$G$91/1000*G195-((CVDebtBasis=1)*$I$80:$I$91+(CVDebtBasis&gt;=2)*$J$80:$J$91))&gt;0)*($I$80:$I$91*$G$80:$G$91/1000*G195-((CVDebtBasis=1)*$I$80:$I$91+(CVDebtBasis&gt;=2)*$J$80:$J$91)))/G195)+G200</f>
        <v>3862285.1880345</v>
      </c>
    </row>
    <row r="203" customFormat="false" ht="15" hidden="false" customHeight="false" outlineLevel="0" collapsed="false">
      <c r="A203" s="112" t="s">
        <v>2980</v>
      </c>
      <c r="E203" s="39" t="n">
        <f aca="false">SUMPRODUCT(V_TrPlanE/(1+V_TrPrem))/H195</f>
        <v>2270.95477479745</v>
      </c>
      <c r="F203" s="39" t="n">
        <f aca="false">SUMPRODUCT(V_TrPlanE/(1+V_TrPrem))/I195</f>
        <v>2270.95477479745</v>
      </c>
      <c r="G203" s="39" t="n">
        <f aca="false">SUMPRODUCT(V_TrPlanE/(1+V_TrPrem))/J195</f>
        <v>797942.368891408</v>
      </c>
    </row>
    <row r="205" customFormat="false" ht="15" hidden="false" customHeight="false" outlineLevel="0" collapsed="false">
      <c r="A205" s="64" t="s">
        <v>2981</v>
      </c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</row>
    <row r="206" customFormat="false" ht="15" hidden="false" customHeight="false" outlineLevel="0" collapsed="false">
      <c r="E206" s="3" t="s">
        <v>2982</v>
      </c>
      <c r="F206" s="3" t="s">
        <v>2983</v>
      </c>
    </row>
    <row r="207" customFormat="false" ht="15" hidden="false" customHeight="false" outlineLevel="0" collapsed="false">
      <c r="A207" s="0" t="s">
        <v>2984</v>
      </c>
      <c r="E207" s="25" t="n">
        <f aca="false">SharePx</f>
        <v>242.81</v>
      </c>
      <c r="F207" s="25" t="n">
        <f aca="false">SharePx</f>
        <v>242.81</v>
      </c>
    </row>
    <row r="208" customFormat="false" ht="15" hidden="false" customHeight="false" outlineLevel="0" collapsed="false">
      <c r="A208" s="0" t="s">
        <v>2985</v>
      </c>
      <c r="E208" s="25" t="n">
        <f aca="false">MAX(0.01,F207*(1+Ke))</f>
        <v>274.3753</v>
      </c>
      <c r="F208" s="25" t="n">
        <f aca="false">MAX(0.01,(V_EV-OffBSWt*V_OFF-V_ODEBT-CHOOSE(DilMethod,0,SUMPRODUCT((F207&lt;=$H$80:$H$91)*((CVDebtBasis=1)*$I$80:$I$91+(CVDebtBasis&gt;=2)*$J$80:$J$91)),SUMPRODUCT(((CVDebtBasis=1)*$I$80:$I$91+(CVDebtBasis&gt;=2)*$J$80:$J$91)))+V_CASH+V_SOTP+V_FPCash)/(V_BASIC+V_RSU+Options*MAX(0,1-OptK/F207)+CHOOSE(DilMethod,SUMPRODUCT($I$80:$I$91,$G$80:$G$91)/1000,SUMPRODUCT((F207&gt;$H$80:$H$91)*$I$80:$I$91*$G$80:$G$91)/1000,SUMPRODUCT((($I$80:$I$91*$G$80:$G$91/1000*F207-((CVDebtBasis=1)*$I$80:$I$91+(CVDebtBasis&gt;=2)*$J$80:$J$91))&gt;0)*($I$80:$I$91*$G$80:$G$91/1000*F207-((CVDebtBasis=1)*$I$80:$I$91+(CVDebtBasis&gt;=2)*$J$80:$J$91)))/F207)+FP_On*(FP_ATMProc*(FP_ATMIdx&lt;=FP_PostQ)*(FP_ATMIdx&gt;V_Q)/((SharePx+(E208-SharePx)*MAX(0,MIN(1,(FP_ATMIdx-V_Q)/FP_PathQ)))*(1-FP_ATMDisc))+FP_Resize*SUMPRODUCT((Q_Idx&gt;V_Q)*(Q_Idx&lt;=FP_PostQ)*FP_EqTop/((SharePx+(E208-SharePx)*((((Q_Idx-V_Q)/FP_PathQ)&gt;=1)+(((Q_Idx-V_Q)/FP_PathQ)&gt;0)*(((Q_Idx-V_Q)/FP_PathQ)&lt;1)*((Q_Idx-V_Q)/FP_PathQ)))*(1-FP_EqDisc)))+SUMPRODUCT(V_TrWin*V_TrPM*(V_TrRT/1000*((SharePx+(E208-SharePx)*((((V_TrMat-V_Q)/FP_PathQ)&gt;=1)+(((V_TrMat-V_Q)/FP_PathQ)&gt;0)*(((V_TrMat-V_Q)/FP_PathQ)&lt;1)*((V_TrMat-V_Q)/FP_PathQ)))&gt;=V_TrEff)*(1-V_TrPlan)+V_TrAcc*(V_TrSpot-((SharePx+(E208-SharePx)*((((V_TrMat-V_Q)/FP_PathQ)&gt;=1)+(((V_TrMat-V_Q)/FP_PathQ)&gt;0)*(((V_TrMat-V_Q)/FP_PathQ)&lt;1)*((V_TrMat-V_Q)/FP_PathQ)))&gt;=V_TrEff)*(1-V_TrPlan))/((SharePx+(E208-SharePx)*((((V_TrMat-V_Q)/FP_PathQ)&gt;=1)+(((V_TrMat-V_Q)/FP_PathQ)&gt;0)*(((V_TrMat-V_Q)/FP_PathQ)&lt;1)*((V_TrMat-V_Q)/FP_PathQ)))*(1-FP_EqDisc)))))))</f>
        <v>88.2940760830671</v>
      </c>
    </row>
    <row r="209" customFormat="false" ht="15" hidden="false" customHeight="false" outlineLevel="0" collapsed="false">
      <c r="A209" s="0" t="s">
        <v>2986</v>
      </c>
      <c r="E209" s="25" t="n">
        <f aca="false">MAX(0.01,F208*(1+Ke))</f>
        <v>99.7723059738658</v>
      </c>
      <c r="F209" s="25" t="n">
        <f aca="false">MAX(0.01,(V_EV-OffBSWt*V_OFF-V_ODEBT-CHOOSE(DilMethod,0,SUMPRODUCT((F208&lt;=$H$80:$H$91)*((CVDebtBasis=1)*$I$80:$I$91+(CVDebtBasis&gt;=2)*$J$80:$J$91)),SUMPRODUCT(((CVDebtBasis=1)*$I$80:$I$91+(CVDebtBasis&gt;=2)*$J$80:$J$91)))+V_CASH+V_SOTP+V_FPCash)/(V_BASIC+V_RSU+Options*MAX(0,1-OptK/F208)+CHOOSE(DilMethod,SUMPRODUCT($I$80:$I$91,$G$80:$G$91)/1000,SUMPRODUCT((F208&gt;$H$80:$H$91)*$I$80:$I$91*$G$80:$G$91)/1000,SUMPRODUCT((($I$80:$I$91*$G$80:$G$91/1000*F208-((CVDebtBasis=1)*$I$80:$I$91+(CVDebtBasis&gt;=2)*$J$80:$J$91))&gt;0)*($I$80:$I$91*$G$80:$G$91/1000*F208-((CVDebtBasis=1)*$I$80:$I$91+(CVDebtBasis&gt;=2)*$J$80:$J$91)))/F208)+FP_On*(FP_ATMProc*(FP_ATMIdx&lt;=FP_PostQ)*(FP_ATMIdx&gt;V_Q)/((SharePx+(E209-SharePx)*MAX(0,MIN(1,(FP_ATMIdx-V_Q)/FP_PathQ)))*(1-FP_ATMDisc))+FP_Resize*SUMPRODUCT((Q_Idx&gt;V_Q)*(Q_Idx&lt;=FP_PostQ)*FP_EqTop/((SharePx+(E209-SharePx)*((((Q_Idx-V_Q)/FP_PathQ)&gt;=1)+(((Q_Idx-V_Q)/FP_PathQ)&gt;0)*(((Q_Idx-V_Q)/FP_PathQ)&lt;1)*((Q_Idx-V_Q)/FP_PathQ)))*(1-FP_EqDisc)))+SUMPRODUCT(V_TrWin*V_TrPM*(V_TrRT/1000*((SharePx+(E209-SharePx)*((((V_TrMat-V_Q)/FP_PathQ)&gt;=1)+(((V_TrMat-V_Q)/FP_PathQ)&gt;0)*(((V_TrMat-V_Q)/FP_PathQ)&lt;1)*((V_TrMat-V_Q)/FP_PathQ)))&gt;=V_TrEff)*(1-V_TrPlan)+V_TrAcc*(V_TrSpot-((SharePx+(E209-SharePx)*((((V_TrMat-V_Q)/FP_PathQ)&gt;=1)+(((V_TrMat-V_Q)/FP_PathQ)&gt;0)*(((V_TrMat-V_Q)/FP_PathQ)&lt;1)*((V_TrMat-V_Q)/FP_PathQ)))&gt;=V_TrEff)*(1-V_TrPlan))/((SharePx+(E209-SharePx)*((((V_TrMat-V_Q)/FP_PathQ)&gt;=1)+(((V_TrMat-V_Q)/FP_PathQ)&gt;0)*(((V_TrMat-V_Q)/FP_PathQ)&lt;1)*((V_TrMat-V_Q)/FP_PathQ)))*(1-FP_EqDisc)))))))</f>
        <v>55.4396464670977</v>
      </c>
    </row>
    <row r="210" customFormat="false" ht="15" hidden="false" customHeight="false" outlineLevel="0" collapsed="false">
      <c r="A210" s="0" t="s">
        <v>2987</v>
      </c>
      <c r="E210" s="25" t="n">
        <f aca="false">MAX(0.01,F209*(1+Ke))</f>
        <v>62.6468005078203</v>
      </c>
      <c r="F210" s="25" t="n">
        <f aca="false">MAX(0.01,(V_EV-OffBSWt*V_OFF-V_ODEBT-CHOOSE(DilMethod,0,SUMPRODUCT((F209&lt;=$H$80:$H$91)*((CVDebtBasis=1)*$I$80:$I$91+(CVDebtBasis&gt;=2)*$J$80:$J$91)),SUMPRODUCT(((CVDebtBasis=1)*$I$80:$I$91+(CVDebtBasis&gt;=2)*$J$80:$J$91)))+V_CASH+V_SOTP+V_FPCash)/(V_BASIC+V_RSU+Options*MAX(0,1-OptK/F209)+CHOOSE(DilMethod,SUMPRODUCT($I$80:$I$91,$G$80:$G$91)/1000,SUMPRODUCT((F209&gt;$H$80:$H$91)*$I$80:$I$91*$G$80:$G$91)/1000,SUMPRODUCT((($I$80:$I$91*$G$80:$G$91/1000*F209-((CVDebtBasis=1)*$I$80:$I$91+(CVDebtBasis&gt;=2)*$J$80:$J$91))&gt;0)*($I$80:$I$91*$G$80:$G$91/1000*F209-((CVDebtBasis=1)*$I$80:$I$91+(CVDebtBasis&gt;=2)*$J$80:$J$91)))/F209)+FP_On*(FP_ATMProc*(FP_ATMIdx&lt;=FP_PostQ)*(FP_ATMIdx&gt;V_Q)/((SharePx+(E210-SharePx)*MAX(0,MIN(1,(FP_ATMIdx-V_Q)/FP_PathQ)))*(1-FP_ATMDisc))+FP_Resize*SUMPRODUCT((Q_Idx&gt;V_Q)*(Q_Idx&lt;=FP_PostQ)*FP_EqTop/((SharePx+(E210-SharePx)*((((Q_Idx-V_Q)/FP_PathQ)&gt;=1)+(((Q_Idx-V_Q)/FP_PathQ)&gt;0)*(((Q_Idx-V_Q)/FP_PathQ)&lt;1)*((Q_Idx-V_Q)/FP_PathQ)))*(1-FP_EqDisc)))+SUMPRODUCT(V_TrWin*V_TrPM*(V_TrRT/1000*((SharePx+(E210-SharePx)*((((V_TrMat-V_Q)/FP_PathQ)&gt;=1)+(((V_TrMat-V_Q)/FP_PathQ)&gt;0)*(((V_TrMat-V_Q)/FP_PathQ)&lt;1)*((V_TrMat-V_Q)/FP_PathQ)))&gt;=V_TrEff)*(1-V_TrPlan)+V_TrAcc*(V_TrSpot-((SharePx+(E210-SharePx)*((((V_TrMat-V_Q)/FP_PathQ)&gt;=1)+(((V_TrMat-V_Q)/FP_PathQ)&gt;0)*(((V_TrMat-V_Q)/FP_PathQ)&lt;1)*((V_TrMat-V_Q)/FP_PathQ)))&gt;=V_TrEff)*(1-V_TrPlan))/((SharePx+(E210-SharePx)*((((V_TrMat-V_Q)/FP_PathQ)&gt;=1)+(((V_TrMat-V_Q)/FP_PathQ)&gt;0)*(((V_TrMat-V_Q)/FP_PathQ)&lt;1)*((V_TrMat-V_Q)/FP_PathQ)))*(1-FP_EqDisc)))))))</f>
        <v>43.203353983238</v>
      </c>
    </row>
    <row r="211" customFormat="false" ht="15" hidden="false" customHeight="false" outlineLevel="0" collapsed="false">
      <c r="A211" s="0" t="s">
        <v>2988</v>
      </c>
      <c r="E211" s="25" t="n">
        <f aca="false">MAX(0.01,F210*(1+Ke))</f>
        <v>48.819790001059</v>
      </c>
      <c r="F211" s="25" t="n">
        <f aca="false">MAX(0.01,(V_EV-OffBSWt*V_OFF-V_ODEBT-CHOOSE(DilMethod,0,SUMPRODUCT((F210&lt;=$H$80:$H$91)*((CVDebtBasis=1)*$I$80:$I$91+(CVDebtBasis&gt;=2)*$J$80:$J$91)),SUMPRODUCT(((CVDebtBasis=1)*$I$80:$I$91+(CVDebtBasis&gt;=2)*$J$80:$J$91)))+V_CASH+V_SOTP+V_FPCash)/(V_BASIC+V_RSU+Options*MAX(0,1-OptK/F210)+CHOOSE(DilMethod,SUMPRODUCT($I$80:$I$91,$G$80:$G$91)/1000,SUMPRODUCT((F210&gt;$H$80:$H$91)*$I$80:$I$91*$G$80:$G$91)/1000,SUMPRODUCT((($I$80:$I$91*$G$80:$G$91/1000*F210-((CVDebtBasis=1)*$I$80:$I$91+(CVDebtBasis&gt;=2)*$J$80:$J$91))&gt;0)*($I$80:$I$91*$G$80:$G$91/1000*F210-((CVDebtBasis=1)*$I$80:$I$91+(CVDebtBasis&gt;=2)*$J$80:$J$91)))/F210)+FP_On*(FP_ATMProc*(FP_ATMIdx&lt;=FP_PostQ)*(FP_ATMIdx&gt;V_Q)/((SharePx+(E211-SharePx)*MAX(0,MIN(1,(FP_ATMIdx-V_Q)/FP_PathQ)))*(1-FP_ATMDisc))+FP_Resize*SUMPRODUCT((Q_Idx&gt;V_Q)*(Q_Idx&lt;=FP_PostQ)*FP_EqTop/((SharePx+(E211-SharePx)*((((Q_Idx-V_Q)/FP_PathQ)&gt;=1)+(((Q_Idx-V_Q)/FP_PathQ)&gt;0)*(((Q_Idx-V_Q)/FP_PathQ)&lt;1)*((Q_Idx-V_Q)/FP_PathQ)))*(1-FP_EqDisc)))+SUMPRODUCT(V_TrWin*V_TrPM*(V_TrRT/1000*((SharePx+(E211-SharePx)*((((V_TrMat-V_Q)/FP_PathQ)&gt;=1)+(((V_TrMat-V_Q)/FP_PathQ)&gt;0)*(((V_TrMat-V_Q)/FP_PathQ)&lt;1)*((V_TrMat-V_Q)/FP_PathQ)))&gt;=V_TrEff)*(1-V_TrPlan)+V_TrAcc*(V_TrSpot-((SharePx+(E211-SharePx)*((((V_TrMat-V_Q)/FP_PathQ)&gt;=1)+(((V_TrMat-V_Q)/FP_PathQ)&gt;0)*(((V_TrMat-V_Q)/FP_PathQ)&lt;1)*((V_TrMat-V_Q)/FP_PathQ)))&gt;=V_TrEff)*(1-V_TrPlan))/((SharePx+(E211-SharePx)*((((V_TrMat-V_Q)/FP_PathQ)&gt;=1)+(((V_TrMat-V_Q)/FP_PathQ)&gt;0)*(((V_TrMat-V_Q)/FP_PathQ)&lt;1)*((V_TrMat-V_Q)/FP_PathQ)))*(1-FP_EqDisc)))))))</f>
        <v>37.0716095734541</v>
      </c>
    </row>
    <row r="212" customFormat="false" ht="15" hidden="false" customHeight="false" outlineLevel="0" collapsed="false">
      <c r="A212" s="0" t="s">
        <v>2989</v>
      </c>
      <c r="E212" s="25" t="n">
        <f aca="false">MAX(0.01,F211*(1+Ke))</f>
        <v>41.8909188180031</v>
      </c>
      <c r="F212" s="25" t="n">
        <f aca="false">MAX(0.01,(V_EV-OffBSWt*V_OFF-V_ODEBT-CHOOSE(DilMethod,0,SUMPRODUCT((F211&lt;=$H$80:$H$91)*((CVDebtBasis=1)*$I$80:$I$91+(CVDebtBasis&gt;=2)*$J$80:$J$91)),SUMPRODUCT(((CVDebtBasis=1)*$I$80:$I$91+(CVDebtBasis&gt;=2)*$J$80:$J$91)))+V_CASH+V_SOTP+V_FPCash)/(V_BASIC+V_RSU+Options*MAX(0,1-OptK/F211)+CHOOSE(DilMethod,SUMPRODUCT($I$80:$I$91,$G$80:$G$91)/1000,SUMPRODUCT((F211&gt;$H$80:$H$91)*$I$80:$I$91*$G$80:$G$91)/1000,SUMPRODUCT((($I$80:$I$91*$G$80:$G$91/1000*F211-((CVDebtBasis=1)*$I$80:$I$91+(CVDebtBasis&gt;=2)*$J$80:$J$91))&gt;0)*($I$80:$I$91*$G$80:$G$91/1000*F211-((CVDebtBasis=1)*$I$80:$I$91+(CVDebtBasis&gt;=2)*$J$80:$J$91)))/F211)+FP_On*(FP_ATMProc*(FP_ATMIdx&lt;=FP_PostQ)*(FP_ATMIdx&gt;V_Q)/((SharePx+(E212-SharePx)*MAX(0,MIN(1,(FP_ATMIdx-V_Q)/FP_PathQ)))*(1-FP_ATMDisc))+FP_Resize*SUMPRODUCT((Q_Idx&gt;V_Q)*(Q_Idx&lt;=FP_PostQ)*FP_EqTop/((SharePx+(E212-SharePx)*((((Q_Idx-V_Q)/FP_PathQ)&gt;=1)+(((Q_Idx-V_Q)/FP_PathQ)&gt;0)*(((Q_Idx-V_Q)/FP_PathQ)&lt;1)*((Q_Idx-V_Q)/FP_PathQ)))*(1-FP_EqDisc)))+SUMPRODUCT(V_TrWin*V_TrPM*(V_TrRT/1000*((SharePx+(E212-SharePx)*((((V_TrMat-V_Q)/FP_PathQ)&gt;=1)+(((V_TrMat-V_Q)/FP_PathQ)&gt;0)*(((V_TrMat-V_Q)/FP_PathQ)&lt;1)*((V_TrMat-V_Q)/FP_PathQ)))&gt;=V_TrEff)*(1-V_TrPlan)+V_TrAcc*(V_TrSpot-((SharePx+(E212-SharePx)*((((V_TrMat-V_Q)/FP_PathQ)&gt;=1)+(((V_TrMat-V_Q)/FP_PathQ)&gt;0)*(((V_TrMat-V_Q)/FP_PathQ)&lt;1)*((V_TrMat-V_Q)/FP_PathQ)))&gt;=V_TrEff)*(1-V_TrPlan))/((SharePx+(E212-SharePx)*((((V_TrMat-V_Q)/FP_PathQ)&gt;=1)+(((V_TrMat-V_Q)/FP_PathQ)&gt;0)*(((V_TrMat-V_Q)/FP_PathQ)&lt;1)*((V_TrMat-V_Q)/FP_PathQ)))*(1-FP_EqDisc)))))))</f>
        <v>33.5616180530579</v>
      </c>
    </row>
    <row r="213" customFormat="false" ht="15" hidden="false" customHeight="false" outlineLevel="0" collapsed="false">
      <c r="A213" s="0" t="s">
        <v>2990</v>
      </c>
      <c r="E213" s="25" t="n">
        <f aca="false">MAX(0.01,F212*(1+Ke))</f>
        <v>37.9246283999555</v>
      </c>
      <c r="F213" s="25" t="n">
        <f aca="false">MAX(0.01,(V_EV-OffBSWt*V_OFF-V_ODEBT-CHOOSE(DilMethod,0,SUMPRODUCT((F212&lt;=$H$80:$H$91)*((CVDebtBasis=1)*$I$80:$I$91+(CVDebtBasis&gt;=2)*$J$80:$J$91)),SUMPRODUCT(((CVDebtBasis=1)*$I$80:$I$91+(CVDebtBasis&gt;=2)*$J$80:$J$91)))+V_CASH+V_SOTP+V_FPCash)/(V_BASIC+V_RSU+Options*MAX(0,1-OptK/F212)+CHOOSE(DilMethod,SUMPRODUCT($I$80:$I$91,$G$80:$G$91)/1000,SUMPRODUCT((F212&gt;$H$80:$H$91)*$I$80:$I$91*$G$80:$G$91)/1000,SUMPRODUCT((($I$80:$I$91*$G$80:$G$91/1000*F212-((CVDebtBasis=1)*$I$80:$I$91+(CVDebtBasis&gt;=2)*$J$80:$J$91))&gt;0)*($I$80:$I$91*$G$80:$G$91/1000*F212-((CVDebtBasis=1)*$I$80:$I$91+(CVDebtBasis&gt;=2)*$J$80:$J$91)))/F212)+FP_On*(FP_ATMProc*(FP_ATMIdx&lt;=FP_PostQ)*(FP_ATMIdx&gt;V_Q)/((SharePx+(E213-SharePx)*MAX(0,MIN(1,(FP_ATMIdx-V_Q)/FP_PathQ)))*(1-FP_ATMDisc))+FP_Resize*SUMPRODUCT((Q_Idx&gt;V_Q)*(Q_Idx&lt;=FP_PostQ)*FP_EqTop/((SharePx+(E213-SharePx)*((((Q_Idx-V_Q)/FP_PathQ)&gt;=1)+(((Q_Idx-V_Q)/FP_PathQ)&gt;0)*(((Q_Idx-V_Q)/FP_PathQ)&lt;1)*((Q_Idx-V_Q)/FP_PathQ)))*(1-FP_EqDisc)))+SUMPRODUCT(V_TrWin*V_TrPM*(V_TrRT/1000*((SharePx+(E213-SharePx)*((((V_TrMat-V_Q)/FP_PathQ)&gt;=1)+(((V_TrMat-V_Q)/FP_PathQ)&gt;0)*(((V_TrMat-V_Q)/FP_PathQ)&lt;1)*((V_TrMat-V_Q)/FP_PathQ)))&gt;=V_TrEff)*(1-V_TrPlan)+V_TrAcc*(V_TrSpot-((SharePx+(E213-SharePx)*((((V_TrMat-V_Q)/FP_PathQ)&gt;=1)+(((V_TrMat-V_Q)/FP_PathQ)&gt;0)*(((V_TrMat-V_Q)/FP_PathQ)&lt;1)*((V_TrMat-V_Q)/FP_PathQ)))&gt;=V_TrEff)*(1-V_TrPlan))/((SharePx+(E213-SharePx)*((((V_TrMat-V_Q)/FP_PathQ)&gt;=1)+(((V_TrMat-V_Q)/FP_PathQ)&gt;0)*(((V_TrMat-V_Q)/FP_PathQ)&lt;1)*((V_TrMat-V_Q)/FP_PathQ)))*(1-FP_EqDisc)))))))</f>
        <v>31.3860482212363</v>
      </c>
    </row>
    <row r="214" customFormat="false" ht="15" hidden="false" customHeight="false" outlineLevel="0" collapsed="false">
      <c r="A214" s="0" t="s">
        <v>2991</v>
      </c>
      <c r="E214" s="25" t="n">
        <f aca="false">MAX(0.01,F213*(1+Ke))</f>
        <v>35.466234489997</v>
      </c>
      <c r="F214" s="25" t="n">
        <f aca="false">MAX(0.01,(V_EV-OffBSWt*V_OFF-V_ODEBT-CHOOSE(DilMethod,0,SUMPRODUCT((F213&lt;=$H$80:$H$91)*((CVDebtBasis=1)*$I$80:$I$91+(CVDebtBasis&gt;=2)*$J$80:$J$91)),SUMPRODUCT(((CVDebtBasis=1)*$I$80:$I$91+(CVDebtBasis&gt;=2)*$J$80:$J$91)))+V_CASH+V_SOTP+V_FPCash)/(V_BASIC+V_RSU+Options*MAX(0,1-OptK/F213)+CHOOSE(DilMethod,SUMPRODUCT($I$80:$I$91,$G$80:$G$91)/1000,SUMPRODUCT((F213&gt;$H$80:$H$91)*$I$80:$I$91*$G$80:$G$91)/1000,SUMPRODUCT((($I$80:$I$91*$G$80:$G$91/1000*F213-((CVDebtBasis=1)*$I$80:$I$91+(CVDebtBasis&gt;=2)*$J$80:$J$91))&gt;0)*($I$80:$I$91*$G$80:$G$91/1000*F213-((CVDebtBasis=1)*$I$80:$I$91+(CVDebtBasis&gt;=2)*$J$80:$J$91)))/F213)+FP_On*(FP_ATMProc*(FP_ATMIdx&lt;=FP_PostQ)*(FP_ATMIdx&gt;V_Q)/((SharePx+(E214-SharePx)*MAX(0,MIN(1,(FP_ATMIdx-V_Q)/FP_PathQ)))*(1-FP_ATMDisc))+FP_Resize*SUMPRODUCT((Q_Idx&gt;V_Q)*(Q_Idx&lt;=FP_PostQ)*FP_EqTop/((SharePx+(E214-SharePx)*((((Q_Idx-V_Q)/FP_PathQ)&gt;=1)+(((Q_Idx-V_Q)/FP_PathQ)&gt;0)*(((Q_Idx-V_Q)/FP_PathQ)&lt;1)*((Q_Idx-V_Q)/FP_PathQ)))*(1-FP_EqDisc)))+SUMPRODUCT(V_TrWin*V_TrPM*(V_TrRT/1000*((SharePx+(E214-SharePx)*((((V_TrMat-V_Q)/FP_PathQ)&gt;=1)+(((V_TrMat-V_Q)/FP_PathQ)&gt;0)*(((V_TrMat-V_Q)/FP_PathQ)&lt;1)*((V_TrMat-V_Q)/FP_PathQ)))&gt;=V_TrEff)*(1-V_TrPlan)+V_TrAcc*(V_TrSpot-((SharePx+(E214-SharePx)*((((V_TrMat-V_Q)/FP_PathQ)&gt;=1)+(((V_TrMat-V_Q)/FP_PathQ)&gt;0)*(((V_TrMat-V_Q)/FP_PathQ)&lt;1)*((V_TrMat-V_Q)/FP_PathQ)))&gt;=V_TrEff)*(1-V_TrPlan))/((SharePx+(E214-SharePx)*((((V_TrMat-V_Q)/FP_PathQ)&gt;=1)+(((V_TrMat-V_Q)/FP_PathQ)&gt;0)*(((V_TrMat-V_Q)/FP_PathQ)&lt;1)*((V_TrMat-V_Q)/FP_PathQ)))*(1-FP_EqDisc)))))))</f>
        <v>29.969288677374</v>
      </c>
    </row>
    <row r="215" customFormat="false" ht="15" hidden="false" customHeight="false" outlineLevel="0" collapsed="false">
      <c r="A215" s="0" t="s">
        <v>2992</v>
      </c>
      <c r="E215" s="25" t="n">
        <f aca="false">MAX(0.01,F214*(1+Ke))</f>
        <v>33.8652962054326</v>
      </c>
      <c r="F215" s="25" t="n">
        <f aca="false">MAX(0.01,(V_EV-OffBSWt*V_OFF-V_ODEBT-CHOOSE(DilMethod,0,SUMPRODUCT((F214&lt;=$H$80:$H$91)*((CVDebtBasis=1)*$I$80:$I$91+(CVDebtBasis&gt;=2)*$J$80:$J$91)),SUMPRODUCT(((CVDebtBasis=1)*$I$80:$I$91+(CVDebtBasis&gt;=2)*$J$80:$J$91)))+V_CASH+V_SOTP+V_FPCash)/(V_BASIC+V_RSU+Options*MAX(0,1-OptK/F214)+CHOOSE(DilMethod,SUMPRODUCT($I$80:$I$91,$G$80:$G$91)/1000,SUMPRODUCT((F214&gt;$H$80:$H$91)*$I$80:$I$91*$G$80:$G$91)/1000,SUMPRODUCT((($I$80:$I$91*$G$80:$G$91/1000*F214-((CVDebtBasis=1)*$I$80:$I$91+(CVDebtBasis&gt;=2)*$J$80:$J$91))&gt;0)*($I$80:$I$91*$G$80:$G$91/1000*F214-((CVDebtBasis=1)*$I$80:$I$91+(CVDebtBasis&gt;=2)*$J$80:$J$91)))/F214)+FP_On*(FP_ATMProc*(FP_ATMIdx&lt;=FP_PostQ)*(FP_ATMIdx&gt;V_Q)/((SharePx+(E215-SharePx)*MAX(0,MIN(1,(FP_ATMIdx-V_Q)/FP_PathQ)))*(1-FP_ATMDisc))+FP_Resize*SUMPRODUCT((Q_Idx&gt;V_Q)*(Q_Idx&lt;=FP_PostQ)*FP_EqTop/((SharePx+(E215-SharePx)*((((Q_Idx-V_Q)/FP_PathQ)&gt;=1)+(((Q_Idx-V_Q)/FP_PathQ)&gt;0)*(((Q_Idx-V_Q)/FP_PathQ)&lt;1)*((Q_Idx-V_Q)/FP_PathQ)))*(1-FP_EqDisc)))+SUMPRODUCT(V_TrWin*V_TrPM*(V_TrRT/1000*((SharePx+(E215-SharePx)*((((V_TrMat-V_Q)/FP_PathQ)&gt;=1)+(((V_TrMat-V_Q)/FP_PathQ)&gt;0)*(((V_TrMat-V_Q)/FP_PathQ)&lt;1)*((V_TrMat-V_Q)/FP_PathQ)))&gt;=V_TrEff)*(1-V_TrPlan)+V_TrAcc*(V_TrSpot-((SharePx+(E215-SharePx)*((((V_TrMat-V_Q)/FP_PathQ)&gt;=1)+(((V_TrMat-V_Q)/FP_PathQ)&gt;0)*(((V_TrMat-V_Q)/FP_PathQ)&lt;1)*((V_TrMat-V_Q)/FP_PathQ)))&gt;=V_TrEff)*(1-V_TrPlan))/((SharePx+(E215-SharePx)*((((V_TrMat-V_Q)/FP_PathQ)&gt;=1)+(((V_TrMat-V_Q)/FP_PathQ)&gt;0)*(((V_TrMat-V_Q)/FP_PathQ)&lt;1)*((V_TrMat-V_Q)/FP_PathQ)))*(1-FP_EqDisc)))))))</f>
        <v>29.0164309526679</v>
      </c>
    </row>
    <row r="216" customFormat="false" ht="15" hidden="false" customHeight="false" outlineLevel="0" collapsed="false">
      <c r="A216" s="0" t="s">
        <v>2993</v>
      </c>
      <c r="E216" s="25" t="n">
        <f aca="false">MAX(0.01,F215*(1+Ke))</f>
        <v>32.7885669765148</v>
      </c>
      <c r="F216" s="25" t="n">
        <f aca="false">MAX(0.01,(V_EV-OffBSWt*V_OFF-V_ODEBT-CHOOSE(DilMethod,0,SUMPRODUCT((F215&lt;=$H$80:$H$91)*((CVDebtBasis=1)*$I$80:$I$91+(CVDebtBasis&gt;=2)*$J$80:$J$91)),SUMPRODUCT(((CVDebtBasis=1)*$I$80:$I$91+(CVDebtBasis&gt;=2)*$J$80:$J$91)))+V_CASH+V_SOTP+V_FPCash)/(V_BASIC+V_RSU+Options*MAX(0,1-OptK/F215)+CHOOSE(DilMethod,SUMPRODUCT($I$80:$I$91,$G$80:$G$91)/1000,SUMPRODUCT((F215&gt;$H$80:$H$91)*$I$80:$I$91*$G$80:$G$91)/1000,SUMPRODUCT((($I$80:$I$91*$G$80:$G$91/1000*F215-((CVDebtBasis=1)*$I$80:$I$91+(CVDebtBasis&gt;=2)*$J$80:$J$91))&gt;0)*($I$80:$I$91*$G$80:$G$91/1000*F215-((CVDebtBasis=1)*$I$80:$I$91+(CVDebtBasis&gt;=2)*$J$80:$J$91)))/F215)+FP_On*(FP_ATMProc*(FP_ATMIdx&lt;=FP_PostQ)*(FP_ATMIdx&gt;V_Q)/((SharePx+(E216-SharePx)*MAX(0,MIN(1,(FP_ATMIdx-V_Q)/FP_PathQ)))*(1-FP_ATMDisc))+FP_Resize*SUMPRODUCT((Q_Idx&gt;V_Q)*(Q_Idx&lt;=FP_PostQ)*FP_EqTop/((SharePx+(E216-SharePx)*((((Q_Idx-V_Q)/FP_PathQ)&gt;=1)+(((Q_Idx-V_Q)/FP_PathQ)&gt;0)*(((Q_Idx-V_Q)/FP_PathQ)&lt;1)*((Q_Idx-V_Q)/FP_PathQ)))*(1-FP_EqDisc)))+SUMPRODUCT(V_TrWin*V_TrPM*(V_TrRT/1000*((SharePx+(E216-SharePx)*((((V_TrMat-V_Q)/FP_PathQ)&gt;=1)+(((V_TrMat-V_Q)/FP_PathQ)&gt;0)*(((V_TrMat-V_Q)/FP_PathQ)&lt;1)*((V_TrMat-V_Q)/FP_PathQ)))&gt;=V_TrEff)*(1-V_TrPlan)+V_TrAcc*(V_TrSpot-((SharePx+(E216-SharePx)*((((V_TrMat-V_Q)/FP_PathQ)&gt;=1)+(((V_TrMat-V_Q)/FP_PathQ)&gt;0)*(((V_TrMat-V_Q)/FP_PathQ)&lt;1)*((V_TrMat-V_Q)/FP_PathQ)))&gt;=V_TrEff)*(1-V_TrPlan))/((SharePx+(E216-SharePx)*((((V_TrMat-V_Q)/FP_PathQ)&gt;=1)+(((V_TrMat-V_Q)/FP_PathQ)&gt;0)*(((V_TrMat-V_Q)/FP_PathQ)&lt;1)*((V_TrMat-V_Q)/FP_PathQ)))*(1-FP_EqDisc)))))))</f>
        <v>28.3614885745271</v>
      </c>
    </row>
    <row r="217" customFormat="false" ht="15" hidden="false" customHeight="false" outlineLevel="0" collapsed="false">
      <c r="A217" s="0" t="s">
        <v>2994</v>
      </c>
      <c r="E217" s="25" t="n">
        <f aca="false">MAX(0.01,F216*(1+Ke))</f>
        <v>32.0484820892156</v>
      </c>
      <c r="F217" s="25" t="n">
        <f aca="false">MAX(0.01,(V_EV-OffBSWt*V_OFF-V_ODEBT-CHOOSE(DilMethod,0,SUMPRODUCT((F216&lt;=$H$80:$H$91)*((CVDebtBasis=1)*$I$80:$I$91+(CVDebtBasis&gt;=2)*$J$80:$J$91)),SUMPRODUCT(((CVDebtBasis=1)*$I$80:$I$91+(CVDebtBasis&gt;=2)*$J$80:$J$91)))+V_CASH+V_SOTP+V_FPCash)/(V_BASIC+V_RSU+Options*MAX(0,1-OptK/F216)+CHOOSE(DilMethod,SUMPRODUCT($I$80:$I$91,$G$80:$G$91)/1000,SUMPRODUCT((F216&gt;$H$80:$H$91)*$I$80:$I$91*$G$80:$G$91)/1000,SUMPRODUCT((($I$80:$I$91*$G$80:$G$91/1000*F216-((CVDebtBasis=1)*$I$80:$I$91+(CVDebtBasis&gt;=2)*$J$80:$J$91))&gt;0)*($I$80:$I$91*$G$80:$G$91/1000*F216-((CVDebtBasis=1)*$I$80:$I$91+(CVDebtBasis&gt;=2)*$J$80:$J$91)))/F216)+FP_On*(FP_ATMProc*(FP_ATMIdx&lt;=FP_PostQ)*(FP_ATMIdx&gt;V_Q)/((SharePx+(E217-SharePx)*MAX(0,MIN(1,(FP_ATMIdx-V_Q)/FP_PathQ)))*(1-FP_ATMDisc))+FP_Resize*SUMPRODUCT((Q_Idx&gt;V_Q)*(Q_Idx&lt;=FP_PostQ)*FP_EqTop/((SharePx+(E217-SharePx)*((((Q_Idx-V_Q)/FP_PathQ)&gt;=1)+(((Q_Idx-V_Q)/FP_PathQ)&gt;0)*(((Q_Idx-V_Q)/FP_PathQ)&lt;1)*((Q_Idx-V_Q)/FP_PathQ)))*(1-FP_EqDisc)))+SUMPRODUCT(V_TrWin*V_TrPM*(V_TrRT/1000*((SharePx+(E217-SharePx)*((((V_TrMat-V_Q)/FP_PathQ)&gt;=1)+(((V_TrMat-V_Q)/FP_PathQ)&gt;0)*(((V_TrMat-V_Q)/FP_PathQ)&lt;1)*((V_TrMat-V_Q)/FP_PathQ)))&gt;=V_TrEff)*(1-V_TrPlan)+V_TrAcc*(V_TrSpot-((SharePx+(E217-SharePx)*((((V_TrMat-V_Q)/FP_PathQ)&gt;=1)+(((V_TrMat-V_Q)/FP_PathQ)&gt;0)*(((V_TrMat-V_Q)/FP_PathQ)&lt;1)*((V_TrMat-V_Q)/FP_PathQ)))&gt;=V_TrEff)*(1-V_TrPlan))/((SharePx+(E217-SharePx)*((((V_TrMat-V_Q)/FP_PathQ)&gt;=1)+(((V_TrMat-V_Q)/FP_PathQ)&gt;0)*(((V_TrMat-V_Q)/FP_PathQ)&lt;1)*((V_TrMat-V_Q)/FP_PathQ)))*(1-FP_EqDisc)))))))</f>
        <v>27.90452620187</v>
      </c>
    </row>
    <row r="218" customFormat="false" ht="15" hidden="false" customHeight="false" outlineLevel="0" collapsed="false">
      <c r="A218" s="0" t="s">
        <v>2995</v>
      </c>
      <c r="E218" s="25" t="n">
        <f aca="false">MAX(0.01,F217*(1+Ke))</f>
        <v>31.5321146081131</v>
      </c>
      <c r="F218" s="25" t="n">
        <f aca="false">MAX(0.01,(V_EV-OffBSWt*V_OFF-V_ODEBT-CHOOSE(DilMethod,0,SUMPRODUCT((F217&lt;=$H$80:$H$91)*((CVDebtBasis=1)*$I$80:$I$91+(CVDebtBasis&gt;=2)*$J$80:$J$91)),SUMPRODUCT(((CVDebtBasis=1)*$I$80:$I$91+(CVDebtBasis&gt;=2)*$J$80:$J$91)))+V_CASH+V_SOTP+V_FPCash)/(V_BASIC+V_RSU+Options*MAX(0,1-OptK/F217)+CHOOSE(DilMethod,SUMPRODUCT($I$80:$I$91,$G$80:$G$91)/1000,SUMPRODUCT((F217&gt;$H$80:$H$91)*$I$80:$I$91*$G$80:$G$91)/1000,SUMPRODUCT((($I$80:$I$91*$G$80:$G$91/1000*F217-((CVDebtBasis=1)*$I$80:$I$91+(CVDebtBasis&gt;=2)*$J$80:$J$91))&gt;0)*($I$80:$I$91*$G$80:$G$91/1000*F217-((CVDebtBasis=1)*$I$80:$I$91+(CVDebtBasis&gt;=2)*$J$80:$J$91)))/F217)+FP_On*(FP_ATMProc*(FP_ATMIdx&lt;=FP_PostQ)*(FP_ATMIdx&gt;V_Q)/((SharePx+(E218-SharePx)*MAX(0,MIN(1,(FP_ATMIdx-V_Q)/FP_PathQ)))*(1-FP_ATMDisc))+FP_Resize*SUMPRODUCT((Q_Idx&gt;V_Q)*(Q_Idx&lt;=FP_PostQ)*FP_EqTop/((SharePx+(E218-SharePx)*((((Q_Idx-V_Q)/FP_PathQ)&gt;=1)+(((Q_Idx-V_Q)/FP_PathQ)&gt;0)*(((Q_Idx-V_Q)/FP_PathQ)&lt;1)*((Q_Idx-V_Q)/FP_PathQ)))*(1-FP_EqDisc)))+SUMPRODUCT(V_TrWin*V_TrPM*(V_TrRT/1000*((SharePx+(E218-SharePx)*((((V_TrMat-V_Q)/FP_PathQ)&gt;=1)+(((V_TrMat-V_Q)/FP_PathQ)&gt;0)*(((V_TrMat-V_Q)/FP_PathQ)&lt;1)*((V_TrMat-V_Q)/FP_PathQ)))&gt;=V_TrEff)*(1-V_TrPlan)+V_TrAcc*(V_TrSpot-((SharePx+(E218-SharePx)*((((V_TrMat-V_Q)/FP_PathQ)&gt;=1)+(((V_TrMat-V_Q)/FP_PathQ)&gt;0)*(((V_TrMat-V_Q)/FP_PathQ)&lt;1)*((V_TrMat-V_Q)/FP_PathQ)))&gt;=V_TrEff)*(1-V_TrPlan))/((SharePx+(E218-SharePx)*((((V_TrMat-V_Q)/FP_PathQ)&gt;=1)+(((V_TrMat-V_Q)/FP_PathQ)&gt;0)*(((V_TrMat-V_Q)/FP_PathQ)&lt;1)*((V_TrMat-V_Q)/FP_PathQ)))*(1-FP_EqDisc)))))))</f>
        <v>27.5823446145629</v>
      </c>
    </row>
    <row r="219" customFormat="false" ht="15" hidden="false" customHeight="false" outlineLevel="0" collapsed="false">
      <c r="A219" s="0" t="s">
        <v>2996</v>
      </c>
      <c r="E219" s="25" t="n">
        <f aca="false">MAX(0.01,F218*(1+Ke))</f>
        <v>31.1680494144561</v>
      </c>
      <c r="F219" s="25" t="n">
        <f aca="false">MAX(0.01,(V_EV-OffBSWt*V_OFF-V_ODEBT-CHOOSE(DilMethod,0,SUMPRODUCT((F218&lt;=$H$80:$H$91)*((CVDebtBasis=1)*$I$80:$I$91+(CVDebtBasis&gt;=2)*$J$80:$J$91)),SUMPRODUCT(((CVDebtBasis=1)*$I$80:$I$91+(CVDebtBasis&gt;=2)*$J$80:$J$91)))+V_CASH+V_SOTP+V_FPCash)/(V_BASIC+V_RSU+Options*MAX(0,1-OptK/F218)+CHOOSE(DilMethod,SUMPRODUCT($I$80:$I$91,$G$80:$G$91)/1000,SUMPRODUCT((F218&gt;$H$80:$H$91)*$I$80:$I$91*$G$80:$G$91)/1000,SUMPRODUCT((($I$80:$I$91*$G$80:$G$91/1000*F218-((CVDebtBasis=1)*$I$80:$I$91+(CVDebtBasis&gt;=2)*$J$80:$J$91))&gt;0)*($I$80:$I$91*$G$80:$G$91/1000*F218-((CVDebtBasis=1)*$I$80:$I$91+(CVDebtBasis&gt;=2)*$J$80:$J$91)))/F218)+FP_On*(FP_ATMProc*(FP_ATMIdx&lt;=FP_PostQ)*(FP_ATMIdx&gt;V_Q)/((SharePx+(E219-SharePx)*MAX(0,MIN(1,(FP_ATMIdx-V_Q)/FP_PathQ)))*(1-FP_ATMDisc))+FP_Resize*SUMPRODUCT((Q_Idx&gt;V_Q)*(Q_Idx&lt;=FP_PostQ)*FP_EqTop/((SharePx+(E219-SharePx)*((((Q_Idx-V_Q)/FP_PathQ)&gt;=1)+(((Q_Idx-V_Q)/FP_PathQ)&gt;0)*(((Q_Idx-V_Q)/FP_PathQ)&lt;1)*((Q_Idx-V_Q)/FP_PathQ)))*(1-FP_EqDisc)))+SUMPRODUCT(V_TrWin*V_TrPM*(V_TrRT/1000*((SharePx+(E219-SharePx)*((((V_TrMat-V_Q)/FP_PathQ)&gt;=1)+(((V_TrMat-V_Q)/FP_PathQ)&gt;0)*(((V_TrMat-V_Q)/FP_PathQ)&lt;1)*((V_TrMat-V_Q)/FP_PathQ)))&gt;=V_TrEff)*(1-V_TrPlan)+V_TrAcc*(V_TrSpot-((SharePx+(E219-SharePx)*((((V_TrMat-V_Q)/FP_PathQ)&gt;=1)+(((V_TrMat-V_Q)/FP_PathQ)&gt;0)*(((V_TrMat-V_Q)/FP_PathQ)&lt;1)*((V_TrMat-V_Q)/FP_PathQ)))&gt;=V_TrEff)*(1-V_TrPlan))/((SharePx+(E219-SharePx)*((((V_TrMat-V_Q)/FP_PathQ)&gt;=1)+(((V_TrMat-V_Q)/FP_PathQ)&gt;0)*(((V_TrMat-V_Q)/FP_PathQ)&lt;1)*((V_TrMat-V_Q)/FP_PathQ)))*(1-FP_EqDisc)))))))</f>
        <v>27.3535070950004</v>
      </c>
    </row>
    <row r="220" customFormat="false" ht="15" hidden="false" customHeight="false" outlineLevel="0" collapsed="false">
      <c r="A220" s="0" t="s">
        <v>2997</v>
      </c>
      <c r="E220" s="25" t="n">
        <f aca="false">MAX(0.01,F219*(1+Ke))</f>
        <v>30.9094630173505</v>
      </c>
      <c r="F220" s="25" t="n">
        <f aca="false">MAX(0.01,(V_EV-OffBSWt*V_OFF-V_ODEBT-CHOOSE(DilMethod,0,SUMPRODUCT((F219&lt;=$H$80:$H$91)*((CVDebtBasis=1)*$I$80:$I$91+(CVDebtBasis&gt;=2)*$J$80:$J$91)),SUMPRODUCT(((CVDebtBasis=1)*$I$80:$I$91+(CVDebtBasis&gt;=2)*$J$80:$J$91)))+V_CASH+V_SOTP+V_FPCash)/(V_BASIC+V_RSU+Options*MAX(0,1-OptK/F219)+CHOOSE(DilMethod,SUMPRODUCT($I$80:$I$91,$G$80:$G$91)/1000,SUMPRODUCT((F219&gt;$H$80:$H$91)*$I$80:$I$91*$G$80:$G$91)/1000,SUMPRODUCT((($I$80:$I$91*$G$80:$G$91/1000*F219-((CVDebtBasis=1)*$I$80:$I$91+(CVDebtBasis&gt;=2)*$J$80:$J$91))&gt;0)*($I$80:$I$91*$G$80:$G$91/1000*F219-((CVDebtBasis=1)*$I$80:$I$91+(CVDebtBasis&gt;=2)*$J$80:$J$91)))/F219)+FP_On*(FP_ATMProc*(FP_ATMIdx&lt;=FP_PostQ)*(FP_ATMIdx&gt;V_Q)/((SharePx+(E220-SharePx)*MAX(0,MIN(1,(FP_ATMIdx-V_Q)/FP_PathQ)))*(1-FP_ATMDisc))+FP_Resize*SUMPRODUCT((Q_Idx&gt;V_Q)*(Q_Idx&lt;=FP_PostQ)*FP_EqTop/((SharePx+(E220-SharePx)*((((Q_Idx-V_Q)/FP_PathQ)&gt;=1)+(((Q_Idx-V_Q)/FP_PathQ)&gt;0)*(((Q_Idx-V_Q)/FP_PathQ)&lt;1)*((Q_Idx-V_Q)/FP_PathQ)))*(1-FP_EqDisc)))+SUMPRODUCT(V_TrWin*V_TrPM*(V_TrRT/1000*((SharePx+(E220-SharePx)*((((V_TrMat-V_Q)/FP_PathQ)&gt;=1)+(((V_TrMat-V_Q)/FP_PathQ)&gt;0)*(((V_TrMat-V_Q)/FP_PathQ)&lt;1)*((V_TrMat-V_Q)/FP_PathQ)))&gt;=V_TrEff)*(1-V_TrPlan)+V_TrAcc*(V_TrSpot-((SharePx+(E220-SharePx)*((((V_TrMat-V_Q)/FP_PathQ)&gt;=1)+(((V_TrMat-V_Q)/FP_PathQ)&gt;0)*(((V_TrMat-V_Q)/FP_PathQ)&lt;1)*((V_TrMat-V_Q)/FP_PathQ)))&gt;=V_TrEff)*(1-V_TrPlan))/((SharePx+(E220-SharePx)*((((V_TrMat-V_Q)/FP_PathQ)&gt;=1)+(((V_TrMat-V_Q)/FP_PathQ)&gt;0)*(((V_TrMat-V_Q)/FP_PathQ)&lt;1)*((V_TrMat-V_Q)/FP_PathQ)))*(1-FP_EqDisc)))))))</f>
        <v>27.1901143544438</v>
      </c>
    </row>
    <row r="221" customFormat="false" ht="15" hidden="false" customHeight="false" outlineLevel="0" collapsed="false">
      <c r="A221" s="0" t="s">
        <v>2998</v>
      </c>
      <c r="E221" s="25" t="n">
        <f aca="false">MAX(0.01,F220*(1+Ke))</f>
        <v>30.7248292205215</v>
      </c>
      <c r="F221" s="25" t="n">
        <f aca="false">MAX(0.01,(V_EV-OffBSWt*V_OFF-V_ODEBT-CHOOSE(DilMethod,0,SUMPRODUCT((F220&lt;=$H$80:$H$91)*((CVDebtBasis=1)*$I$80:$I$91+(CVDebtBasis&gt;=2)*$J$80:$J$91)),SUMPRODUCT(((CVDebtBasis=1)*$I$80:$I$91+(CVDebtBasis&gt;=2)*$J$80:$J$91)))+V_CASH+V_SOTP+V_FPCash)/(V_BASIC+V_RSU+Options*MAX(0,1-OptK/F220)+CHOOSE(DilMethod,SUMPRODUCT($I$80:$I$91,$G$80:$G$91)/1000,SUMPRODUCT((F220&gt;$H$80:$H$91)*$I$80:$I$91*$G$80:$G$91)/1000,SUMPRODUCT((($I$80:$I$91*$G$80:$G$91/1000*F220-((CVDebtBasis=1)*$I$80:$I$91+(CVDebtBasis&gt;=2)*$J$80:$J$91))&gt;0)*($I$80:$I$91*$G$80:$G$91/1000*F220-((CVDebtBasis=1)*$I$80:$I$91+(CVDebtBasis&gt;=2)*$J$80:$J$91)))/F220)+FP_On*(FP_ATMProc*(FP_ATMIdx&lt;=FP_PostQ)*(FP_ATMIdx&gt;V_Q)/((SharePx+(E221-SharePx)*MAX(0,MIN(1,(FP_ATMIdx-V_Q)/FP_PathQ)))*(1-FP_ATMDisc))+FP_Resize*SUMPRODUCT((Q_Idx&gt;V_Q)*(Q_Idx&lt;=FP_PostQ)*FP_EqTop/((SharePx+(E221-SharePx)*((((Q_Idx-V_Q)/FP_PathQ)&gt;=1)+(((Q_Idx-V_Q)/FP_PathQ)&gt;0)*(((Q_Idx-V_Q)/FP_PathQ)&lt;1)*((Q_Idx-V_Q)/FP_PathQ)))*(1-FP_EqDisc)))+SUMPRODUCT(V_TrWin*V_TrPM*(V_TrRT/1000*((SharePx+(E221-SharePx)*((((V_TrMat-V_Q)/FP_PathQ)&gt;=1)+(((V_TrMat-V_Q)/FP_PathQ)&gt;0)*(((V_TrMat-V_Q)/FP_PathQ)&lt;1)*((V_TrMat-V_Q)/FP_PathQ)))&gt;=V_TrEff)*(1-V_TrPlan)+V_TrAcc*(V_TrSpot-((SharePx+(E221-SharePx)*((((V_TrMat-V_Q)/FP_PathQ)&gt;=1)+(((V_TrMat-V_Q)/FP_PathQ)&gt;0)*(((V_TrMat-V_Q)/FP_PathQ)&lt;1)*((V_TrMat-V_Q)/FP_PathQ)))&gt;=V_TrEff)*(1-V_TrPlan))/((SharePx+(E221-SharePx)*((((V_TrMat-V_Q)/FP_PathQ)&gt;=1)+(((V_TrMat-V_Q)/FP_PathQ)&gt;0)*(((V_TrMat-V_Q)/FP_PathQ)&lt;1)*((V_TrMat-V_Q)/FP_PathQ)))*(1-FP_EqDisc)))))))</f>
        <v>27.0730117881338</v>
      </c>
    </row>
    <row r="222" customFormat="false" ht="15" hidden="false" customHeight="false" outlineLevel="0" collapsed="false">
      <c r="A222" s="0" t="s">
        <v>2999</v>
      </c>
      <c r="E222" s="25" t="n">
        <f aca="false">MAX(0.01,F221*(1+Ke))</f>
        <v>30.5925033205912</v>
      </c>
      <c r="F222" s="25" t="n">
        <f aca="false">MAX(0.01,(V_EV-OffBSWt*V_OFF-V_ODEBT-CHOOSE(DilMethod,0,SUMPRODUCT((F221&lt;=$H$80:$H$91)*((CVDebtBasis=1)*$I$80:$I$91+(CVDebtBasis&gt;=2)*$J$80:$J$91)),SUMPRODUCT(((CVDebtBasis=1)*$I$80:$I$91+(CVDebtBasis&gt;=2)*$J$80:$J$91)))+V_CASH+V_SOTP+V_FPCash)/(V_BASIC+V_RSU+Options*MAX(0,1-OptK/F221)+CHOOSE(DilMethod,SUMPRODUCT($I$80:$I$91,$G$80:$G$91)/1000,SUMPRODUCT((F221&gt;$H$80:$H$91)*$I$80:$I$91*$G$80:$G$91)/1000,SUMPRODUCT((($I$80:$I$91*$G$80:$G$91/1000*F221-((CVDebtBasis=1)*$I$80:$I$91+(CVDebtBasis&gt;=2)*$J$80:$J$91))&gt;0)*($I$80:$I$91*$G$80:$G$91/1000*F221-((CVDebtBasis=1)*$I$80:$I$91+(CVDebtBasis&gt;=2)*$J$80:$J$91)))/F221)+FP_On*(FP_ATMProc*(FP_ATMIdx&lt;=FP_PostQ)*(FP_ATMIdx&gt;V_Q)/((SharePx+(E222-SharePx)*MAX(0,MIN(1,(FP_ATMIdx-V_Q)/FP_PathQ)))*(1-FP_ATMDisc))+FP_Resize*SUMPRODUCT((Q_Idx&gt;V_Q)*(Q_Idx&lt;=FP_PostQ)*FP_EqTop/((SharePx+(E222-SharePx)*((((Q_Idx-V_Q)/FP_PathQ)&gt;=1)+(((Q_Idx-V_Q)/FP_PathQ)&gt;0)*(((Q_Idx-V_Q)/FP_PathQ)&lt;1)*((Q_Idx-V_Q)/FP_PathQ)))*(1-FP_EqDisc)))+SUMPRODUCT(V_TrWin*V_TrPM*(V_TrRT/1000*((SharePx+(E222-SharePx)*((((V_TrMat-V_Q)/FP_PathQ)&gt;=1)+(((V_TrMat-V_Q)/FP_PathQ)&gt;0)*(((V_TrMat-V_Q)/FP_PathQ)&lt;1)*((V_TrMat-V_Q)/FP_PathQ)))&gt;=V_TrEff)*(1-V_TrPlan)+V_TrAcc*(V_TrSpot-((SharePx+(E222-SharePx)*((((V_TrMat-V_Q)/FP_PathQ)&gt;=1)+(((V_TrMat-V_Q)/FP_PathQ)&gt;0)*(((V_TrMat-V_Q)/FP_PathQ)&lt;1)*((V_TrMat-V_Q)/FP_PathQ)))&gt;=V_TrEff)*(1-V_TrPlan))/((SharePx+(E222-SharePx)*((((V_TrMat-V_Q)/FP_PathQ)&gt;=1)+(((V_TrMat-V_Q)/FP_PathQ)&gt;0)*(((V_TrMat-V_Q)/FP_PathQ)&lt;1)*((V_TrMat-V_Q)/FP_PathQ)))*(1-FP_EqDisc)))))))</f>
        <v>26.9888592141998</v>
      </c>
    </row>
    <row r="223" customFormat="false" ht="15" hidden="false" customHeight="false" outlineLevel="0" collapsed="false">
      <c r="A223" s="0" t="s">
        <v>3000</v>
      </c>
      <c r="E223" s="25" t="n">
        <f aca="false">MAX(0.01,F222*(1+Ke))</f>
        <v>30.4974109120458</v>
      </c>
      <c r="F223" s="25" t="n">
        <f aca="false">MAX(0.01,(V_EV-OffBSWt*V_OFF-V_ODEBT-CHOOSE(DilMethod,0,SUMPRODUCT((F222&lt;=$H$80:$H$91)*((CVDebtBasis=1)*$I$80:$I$91+(CVDebtBasis&gt;=2)*$J$80:$J$91)),SUMPRODUCT(((CVDebtBasis=1)*$I$80:$I$91+(CVDebtBasis&gt;=2)*$J$80:$J$91)))+V_CASH+V_SOTP+V_FPCash)/(V_BASIC+V_RSU+Options*MAX(0,1-OptK/F222)+CHOOSE(DilMethod,SUMPRODUCT($I$80:$I$91,$G$80:$G$91)/1000,SUMPRODUCT((F222&gt;$H$80:$H$91)*$I$80:$I$91*$G$80:$G$91)/1000,SUMPRODUCT((($I$80:$I$91*$G$80:$G$91/1000*F222-((CVDebtBasis=1)*$I$80:$I$91+(CVDebtBasis&gt;=2)*$J$80:$J$91))&gt;0)*($I$80:$I$91*$G$80:$G$91/1000*F222-((CVDebtBasis=1)*$I$80:$I$91+(CVDebtBasis&gt;=2)*$J$80:$J$91)))/F222)+FP_On*(FP_ATMProc*(FP_ATMIdx&lt;=FP_PostQ)*(FP_ATMIdx&gt;V_Q)/((SharePx+(E223-SharePx)*MAX(0,MIN(1,(FP_ATMIdx-V_Q)/FP_PathQ)))*(1-FP_ATMDisc))+FP_Resize*SUMPRODUCT((Q_Idx&gt;V_Q)*(Q_Idx&lt;=FP_PostQ)*FP_EqTop/((SharePx+(E223-SharePx)*((((Q_Idx-V_Q)/FP_PathQ)&gt;=1)+(((Q_Idx-V_Q)/FP_PathQ)&gt;0)*(((Q_Idx-V_Q)/FP_PathQ)&lt;1)*((Q_Idx-V_Q)/FP_PathQ)))*(1-FP_EqDisc)))+SUMPRODUCT(V_TrWin*V_TrPM*(V_TrRT/1000*((SharePx+(E223-SharePx)*((((V_TrMat-V_Q)/FP_PathQ)&gt;=1)+(((V_TrMat-V_Q)/FP_PathQ)&gt;0)*(((V_TrMat-V_Q)/FP_PathQ)&lt;1)*((V_TrMat-V_Q)/FP_PathQ)))&gt;=V_TrEff)*(1-V_TrPlan)+V_TrAcc*(V_TrSpot-((SharePx+(E223-SharePx)*((((V_TrMat-V_Q)/FP_PathQ)&gt;=1)+(((V_TrMat-V_Q)/FP_PathQ)&gt;0)*(((V_TrMat-V_Q)/FP_PathQ)&lt;1)*((V_TrMat-V_Q)/FP_PathQ)))&gt;=V_TrEff)*(1-V_TrPlan))/((SharePx+(E223-SharePx)*((((V_TrMat-V_Q)/FP_PathQ)&gt;=1)+(((V_TrMat-V_Q)/FP_PathQ)&gt;0)*(((V_TrMat-V_Q)/FP_PathQ)&lt;1)*((V_TrMat-V_Q)/FP_PathQ)))*(1-FP_EqDisc)))))))</f>
        <v>26.9282682989688</v>
      </c>
    </row>
    <row r="224" customFormat="false" ht="15" hidden="false" customHeight="false" outlineLevel="0" collapsed="false">
      <c r="A224" s="0" t="s">
        <v>3001</v>
      </c>
      <c r="E224" s="25" t="n">
        <f aca="false">MAX(0.01,F223*(1+Ke))</f>
        <v>30.4289431778348</v>
      </c>
      <c r="F224" s="25" t="n">
        <f aca="false">MAX(0.01,(V_EV-OffBSWt*V_OFF-V_ODEBT-CHOOSE(DilMethod,0,SUMPRODUCT((F223&lt;=$H$80:$H$91)*((CVDebtBasis=1)*$I$80:$I$91+(CVDebtBasis&gt;=2)*$J$80:$J$91)),SUMPRODUCT(((CVDebtBasis=1)*$I$80:$I$91+(CVDebtBasis&gt;=2)*$J$80:$J$91)))+V_CASH+V_SOTP+V_FPCash)/(V_BASIC+V_RSU+Options*MAX(0,1-OptK/F223)+CHOOSE(DilMethod,SUMPRODUCT($I$80:$I$91,$G$80:$G$91)/1000,SUMPRODUCT((F223&gt;$H$80:$H$91)*$I$80:$I$91*$G$80:$G$91)/1000,SUMPRODUCT((($I$80:$I$91*$G$80:$G$91/1000*F223-((CVDebtBasis=1)*$I$80:$I$91+(CVDebtBasis&gt;=2)*$J$80:$J$91))&gt;0)*($I$80:$I$91*$G$80:$G$91/1000*F223-((CVDebtBasis=1)*$I$80:$I$91+(CVDebtBasis&gt;=2)*$J$80:$J$91)))/F223)+FP_On*(FP_ATMProc*(FP_ATMIdx&lt;=FP_PostQ)*(FP_ATMIdx&gt;V_Q)/((SharePx+(E224-SharePx)*MAX(0,MIN(1,(FP_ATMIdx-V_Q)/FP_PathQ)))*(1-FP_ATMDisc))+FP_Resize*SUMPRODUCT((Q_Idx&gt;V_Q)*(Q_Idx&lt;=FP_PostQ)*FP_EqTop/((SharePx+(E224-SharePx)*((((Q_Idx-V_Q)/FP_PathQ)&gt;=1)+(((Q_Idx-V_Q)/FP_PathQ)&gt;0)*(((Q_Idx-V_Q)/FP_PathQ)&lt;1)*((Q_Idx-V_Q)/FP_PathQ)))*(1-FP_EqDisc)))+SUMPRODUCT(V_TrWin*V_TrPM*(V_TrRT/1000*((SharePx+(E224-SharePx)*((((V_TrMat-V_Q)/FP_PathQ)&gt;=1)+(((V_TrMat-V_Q)/FP_PathQ)&gt;0)*(((V_TrMat-V_Q)/FP_PathQ)&lt;1)*((V_TrMat-V_Q)/FP_PathQ)))&gt;=V_TrEff)*(1-V_TrPlan)+V_TrAcc*(V_TrSpot-((SharePx+(E224-SharePx)*((((V_TrMat-V_Q)/FP_PathQ)&gt;=1)+(((V_TrMat-V_Q)/FP_PathQ)&gt;0)*(((V_TrMat-V_Q)/FP_PathQ)&lt;1)*((V_TrMat-V_Q)/FP_PathQ)))&gt;=V_TrEff)*(1-V_TrPlan))/((SharePx+(E224-SharePx)*((((V_TrMat-V_Q)/FP_PathQ)&gt;=1)+(((V_TrMat-V_Q)/FP_PathQ)&gt;0)*(((V_TrMat-V_Q)/FP_PathQ)&lt;1)*((V_TrMat-V_Q)/FP_PathQ)))*(1-FP_EqDisc)))))))</f>
        <v>26.8845813290724</v>
      </c>
    </row>
    <row r="225" customFormat="false" ht="15" hidden="false" customHeight="false" outlineLevel="0" collapsed="false">
      <c r="A225" s="0" t="s">
        <v>3002</v>
      </c>
      <c r="E225" s="25" t="n">
        <f aca="false">MAX(0.01,F224*(1+Ke))</f>
        <v>30.3795769018518</v>
      </c>
      <c r="F225" s="25" t="n">
        <f aca="false">MAX(0.01,(V_EV-OffBSWt*V_OFF-V_ODEBT-CHOOSE(DilMethod,0,SUMPRODUCT((F224&lt;=$H$80:$H$91)*((CVDebtBasis=1)*$I$80:$I$91+(CVDebtBasis&gt;=2)*$J$80:$J$91)),SUMPRODUCT(((CVDebtBasis=1)*$I$80:$I$91+(CVDebtBasis&gt;=2)*$J$80:$J$91)))+V_CASH+V_SOTP+V_FPCash)/(V_BASIC+V_RSU+Options*MAX(0,1-OptK/F224)+CHOOSE(DilMethod,SUMPRODUCT($I$80:$I$91,$G$80:$G$91)/1000,SUMPRODUCT((F224&gt;$H$80:$H$91)*$I$80:$I$91*$G$80:$G$91)/1000,SUMPRODUCT((($I$80:$I$91*$G$80:$G$91/1000*F224-((CVDebtBasis=1)*$I$80:$I$91+(CVDebtBasis&gt;=2)*$J$80:$J$91))&gt;0)*($I$80:$I$91*$G$80:$G$91/1000*F224-((CVDebtBasis=1)*$I$80:$I$91+(CVDebtBasis&gt;=2)*$J$80:$J$91)))/F224)+FP_On*(FP_ATMProc*(FP_ATMIdx&lt;=FP_PostQ)*(FP_ATMIdx&gt;V_Q)/((SharePx+(E225-SharePx)*MAX(0,MIN(1,(FP_ATMIdx-V_Q)/FP_PathQ)))*(1-FP_ATMDisc))+FP_Resize*SUMPRODUCT((Q_Idx&gt;V_Q)*(Q_Idx&lt;=FP_PostQ)*FP_EqTop/((SharePx+(E225-SharePx)*((((Q_Idx-V_Q)/FP_PathQ)&gt;=1)+(((Q_Idx-V_Q)/FP_PathQ)&gt;0)*(((Q_Idx-V_Q)/FP_PathQ)&lt;1)*((Q_Idx-V_Q)/FP_PathQ)))*(1-FP_EqDisc)))+SUMPRODUCT(V_TrWin*V_TrPM*(V_TrRT/1000*((SharePx+(E225-SharePx)*((((V_TrMat-V_Q)/FP_PathQ)&gt;=1)+(((V_TrMat-V_Q)/FP_PathQ)&gt;0)*(((V_TrMat-V_Q)/FP_PathQ)&lt;1)*((V_TrMat-V_Q)/FP_PathQ)))&gt;=V_TrEff)*(1-V_TrPlan)+V_TrAcc*(V_TrSpot-((SharePx+(E225-SharePx)*((((V_TrMat-V_Q)/FP_PathQ)&gt;=1)+(((V_TrMat-V_Q)/FP_PathQ)&gt;0)*(((V_TrMat-V_Q)/FP_PathQ)&lt;1)*((V_TrMat-V_Q)/FP_PathQ)))&gt;=V_TrEff)*(1-V_TrPlan))/((SharePx+(E225-SharePx)*((((V_TrMat-V_Q)/FP_PathQ)&gt;=1)+(((V_TrMat-V_Q)/FP_PathQ)&gt;0)*(((V_TrMat-V_Q)/FP_PathQ)&lt;1)*((V_TrMat-V_Q)/FP_PathQ)))*(1-FP_EqDisc)))))))</f>
        <v>26.8530507380306</v>
      </c>
    </row>
    <row r="226" customFormat="false" ht="15" hidden="false" customHeight="false" outlineLevel="0" collapsed="false">
      <c r="A226" s="0" t="s">
        <v>3003</v>
      </c>
      <c r="E226" s="25" t="n">
        <f aca="false">MAX(0.01,F225*(1+Ke))</f>
        <v>30.3439473339746</v>
      </c>
      <c r="F226" s="25" t="n">
        <f aca="false">MAX(0.01,(V_EV-OffBSWt*V_OFF-V_ODEBT-CHOOSE(DilMethod,0,SUMPRODUCT((F225&lt;=$H$80:$H$91)*((CVDebtBasis=1)*$I$80:$I$91+(CVDebtBasis&gt;=2)*$J$80:$J$91)),SUMPRODUCT(((CVDebtBasis=1)*$I$80:$I$91+(CVDebtBasis&gt;=2)*$J$80:$J$91)))+V_CASH+V_SOTP+V_FPCash)/(V_BASIC+V_RSU+Options*MAX(0,1-OptK/F225)+CHOOSE(DilMethod,SUMPRODUCT($I$80:$I$91,$G$80:$G$91)/1000,SUMPRODUCT((F225&gt;$H$80:$H$91)*$I$80:$I$91*$G$80:$G$91)/1000,SUMPRODUCT((($I$80:$I$91*$G$80:$G$91/1000*F225-((CVDebtBasis=1)*$I$80:$I$91+(CVDebtBasis&gt;=2)*$J$80:$J$91))&gt;0)*($I$80:$I$91*$G$80:$G$91/1000*F225-((CVDebtBasis=1)*$I$80:$I$91+(CVDebtBasis&gt;=2)*$J$80:$J$91)))/F225)+FP_On*(FP_ATMProc*(FP_ATMIdx&lt;=FP_PostQ)*(FP_ATMIdx&gt;V_Q)/((SharePx+(E226-SharePx)*MAX(0,MIN(1,(FP_ATMIdx-V_Q)/FP_PathQ)))*(1-FP_ATMDisc))+FP_Resize*SUMPRODUCT((Q_Idx&gt;V_Q)*(Q_Idx&lt;=FP_PostQ)*FP_EqTop/((SharePx+(E226-SharePx)*((((Q_Idx-V_Q)/FP_PathQ)&gt;=1)+(((Q_Idx-V_Q)/FP_PathQ)&gt;0)*(((Q_Idx-V_Q)/FP_PathQ)&lt;1)*((Q_Idx-V_Q)/FP_PathQ)))*(1-FP_EqDisc)))+SUMPRODUCT(V_TrWin*V_TrPM*(V_TrRT/1000*((SharePx+(E226-SharePx)*((((V_TrMat-V_Q)/FP_PathQ)&gt;=1)+(((V_TrMat-V_Q)/FP_PathQ)&gt;0)*(((V_TrMat-V_Q)/FP_PathQ)&lt;1)*((V_TrMat-V_Q)/FP_PathQ)))&gt;=V_TrEff)*(1-V_TrPlan)+V_TrAcc*(V_TrSpot-((SharePx+(E226-SharePx)*((((V_TrMat-V_Q)/FP_PathQ)&gt;=1)+(((V_TrMat-V_Q)/FP_PathQ)&gt;0)*(((V_TrMat-V_Q)/FP_PathQ)&lt;1)*((V_TrMat-V_Q)/FP_PathQ)))&gt;=V_TrEff)*(1-V_TrPlan))/((SharePx+(E226-SharePx)*((((V_TrMat-V_Q)/FP_PathQ)&gt;=1)+(((V_TrMat-V_Q)/FP_PathQ)&gt;0)*(((V_TrMat-V_Q)/FP_PathQ)&lt;1)*((V_TrMat-V_Q)/FP_PathQ)))*(1-FP_EqDisc)))))))</f>
        <v>26.8302773916078</v>
      </c>
    </row>
    <row r="227" customFormat="false" ht="15" hidden="false" customHeight="false" outlineLevel="0" collapsed="false">
      <c r="A227" s="0" t="s">
        <v>3004</v>
      </c>
      <c r="E227" s="25" t="n">
        <f aca="false">MAX(0.01,F226*(1+Ke))</f>
        <v>30.3182134525168</v>
      </c>
      <c r="F227" s="25" t="n">
        <f aca="false">MAX(0.01,(V_EV-OffBSWt*V_OFF-V_ODEBT-CHOOSE(DilMethod,0,SUMPRODUCT((F226&lt;=$H$80:$H$91)*((CVDebtBasis=1)*$I$80:$I$91+(CVDebtBasis&gt;=2)*$J$80:$J$91)),SUMPRODUCT(((CVDebtBasis=1)*$I$80:$I$91+(CVDebtBasis&gt;=2)*$J$80:$J$91)))+V_CASH+V_SOTP+V_FPCash)/(V_BASIC+V_RSU+Options*MAX(0,1-OptK/F226)+CHOOSE(DilMethod,SUMPRODUCT($I$80:$I$91,$G$80:$G$91)/1000,SUMPRODUCT((F226&gt;$H$80:$H$91)*$I$80:$I$91*$G$80:$G$91)/1000,SUMPRODUCT((($I$80:$I$91*$G$80:$G$91/1000*F226-((CVDebtBasis=1)*$I$80:$I$91+(CVDebtBasis&gt;=2)*$J$80:$J$91))&gt;0)*($I$80:$I$91*$G$80:$G$91/1000*F226-((CVDebtBasis=1)*$I$80:$I$91+(CVDebtBasis&gt;=2)*$J$80:$J$91)))/F226)+FP_On*(FP_ATMProc*(FP_ATMIdx&lt;=FP_PostQ)*(FP_ATMIdx&gt;V_Q)/((SharePx+(E227-SharePx)*MAX(0,MIN(1,(FP_ATMIdx-V_Q)/FP_PathQ)))*(1-FP_ATMDisc))+FP_Resize*SUMPRODUCT((Q_Idx&gt;V_Q)*(Q_Idx&lt;=FP_PostQ)*FP_EqTop/((SharePx+(E227-SharePx)*((((Q_Idx-V_Q)/FP_PathQ)&gt;=1)+(((Q_Idx-V_Q)/FP_PathQ)&gt;0)*(((Q_Idx-V_Q)/FP_PathQ)&lt;1)*((Q_Idx-V_Q)/FP_PathQ)))*(1-FP_EqDisc)))+SUMPRODUCT(V_TrWin*V_TrPM*(V_TrRT/1000*((SharePx+(E227-SharePx)*((((V_TrMat-V_Q)/FP_PathQ)&gt;=1)+(((V_TrMat-V_Q)/FP_PathQ)&gt;0)*(((V_TrMat-V_Q)/FP_PathQ)&lt;1)*((V_TrMat-V_Q)/FP_PathQ)))&gt;=V_TrEff)*(1-V_TrPlan)+V_TrAcc*(V_TrSpot-((SharePx+(E227-SharePx)*((((V_TrMat-V_Q)/FP_PathQ)&gt;=1)+(((V_TrMat-V_Q)/FP_PathQ)&gt;0)*(((V_TrMat-V_Q)/FP_PathQ)&lt;1)*((V_TrMat-V_Q)/FP_PathQ)))&gt;=V_TrEff)*(1-V_TrPlan))/((SharePx+(E227-SharePx)*((((V_TrMat-V_Q)/FP_PathQ)&gt;=1)+(((V_TrMat-V_Q)/FP_PathQ)&gt;0)*(((V_TrMat-V_Q)/FP_PathQ)&lt;1)*((V_TrMat-V_Q)/FP_PathQ)))*(1-FP_EqDisc)))))))</f>
        <v>26.8138204623967</v>
      </c>
    </row>
    <row r="228" customFormat="false" ht="15" hidden="false" customHeight="false" outlineLevel="0" collapsed="false">
      <c r="A228" s="0" t="s">
        <v>3005</v>
      </c>
      <c r="E228" s="25" t="n">
        <f aca="false">MAX(0.01,F227*(1+Ke))</f>
        <v>30.2996171225082</v>
      </c>
      <c r="F228" s="25" t="n">
        <f aca="false">MAX(0.01,(V_EV-OffBSWt*V_OFF-V_ODEBT-CHOOSE(DilMethod,0,SUMPRODUCT((F227&lt;=$H$80:$H$91)*((CVDebtBasis=1)*$I$80:$I$91+(CVDebtBasis&gt;=2)*$J$80:$J$91)),SUMPRODUCT(((CVDebtBasis=1)*$I$80:$I$91+(CVDebtBasis&gt;=2)*$J$80:$J$91)))+V_CASH+V_SOTP+V_FPCash)/(V_BASIC+V_RSU+Options*MAX(0,1-OptK/F227)+CHOOSE(DilMethod,SUMPRODUCT($I$80:$I$91,$G$80:$G$91)/1000,SUMPRODUCT((F227&gt;$H$80:$H$91)*$I$80:$I$91*$G$80:$G$91)/1000,SUMPRODUCT((($I$80:$I$91*$G$80:$G$91/1000*F227-((CVDebtBasis=1)*$I$80:$I$91+(CVDebtBasis&gt;=2)*$J$80:$J$91))&gt;0)*($I$80:$I$91*$G$80:$G$91/1000*F227-((CVDebtBasis=1)*$I$80:$I$91+(CVDebtBasis&gt;=2)*$J$80:$J$91)))/F227)+FP_On*(FP_ATMProc*(FP_ATMIdx&lt;=FP_PostQ)*(FP_ATMIdx&gt;V_Q)/((SharePx+(E228-SharePx)*MAX(0,MIN(1,(FP_ATMIdx-V_Q)/FP_PathQ)))*(1-FP_ATMDisc))+FP_Resize*SUMPRODUCT((Q_Idx&gt;V_Q)*(Q_Idx&lt;=FP_PostQ)*FP_EqTop/((SharePx+(E228-SharePx)*((((Q_Idx-V_Q)/FP_PathQ)&gt;=1)+(((Q_Idx-V_Q)/FP_PathQ)&gt;0)*(((Q_Idx-V_Q)/FP_PathQ)&lt;1)*((Q_Idx-V_Q)/FP_PathQ)))*(1-FP_EqDisc)))+SUMPRODUCT(V_TrWin*V_TrPM*(V_TrRT/1000*((SharePx+(E228-SharePx)*((((V_TrMat-V_Q)/FP_PathQ)&gt;=1)+(((V_TrMat-V_Q)/FP_PathQ)&gt;0)*(((V_TrMat-V_Q)/FP_PathQ)&lt;1)*((V_TrMat-V_Q)/FP_PathQ)))&gt;=V_TrEff)*(1-V_TrPlan)+V_TrAcc*(V_TrSpot-((SharePx+(E228-SharePx)*((((V_TrMat-V_Q)/FP_PathQ)&gt;=1)+(((V_TrMat-V_Q)/FP_PathQ)&gt;0)*(((V_TrMat-V_Q)/FP_PathQ)&lt;1)*((V_TrMat-V_Q)/FP_PathQ)))&gt;=V_TrEff)*(1-V_TrPlan))/((SharePx+(E228-SharePx)*((((V_TrMat-V_Q)/FP_PathQ)&gt;=1)+(((V_TrMat-V_Q)/FP_PathQ)&gt;0)*(((V_TrMat-V_Q)/FP_PathQ)&lt;1)*((V_TrMat-V_Q)/FP_PathQ)))*(1-FP_EqDisc)))))))</f>
        <v>26.801923531245</v>
      </c>
    </row>
    <row r="229" customFormat="false" ht="15" hidden="false" customHeight="false" outlineLevel="0" collapsed="false">
      <c r="A229" s="0" t="s">
        <v>3006</v>
      </c>
      <c r="E229" s="25" t="n">
        <f aca="false">MAX(0.01,F228*(1+Ke))</f>
        <v>30.2861735903068</v>
      </c>
      <c r="F229" s="25" t="n">
        <f aca="false">MAX(0.01,(V_EV-OffBSWt*V_OFF-V_ODEBT-CHOOSE(DilMethod,0,SUMPRODUCT((F228&lt;=$H$80:$H$91)*((CVDebtBasis=1)*$I$80:$I$91+(CVDebtBasis&gt;=2)*$J$80:$J$91)),SUMPRODUCT(((CVDebtBasis=1)*$I$80:$I$91+(CVDebtBasis&gt;=2)*$J$80:$J$91)))+V_CASH+V_SOTP+V_FPCash)/(V_BASIC+V_RSU+Options*MAX(0,1-OptK/F228)+CHOOSE(DilMethod,SUMPRODUCT($I$80:$I$91,$G$80:$G$91)/1000,SUMPRODUCT((F228&gt;$H$80:$H$91)*$I$80:$I$91*$G$80:$G$91)/1000,SUMPRODUCT((($I$80:$I$91*$G$80:$G$91/1000*F228-((CVDebtBasis=1)*$I$80:$I$91+(CVDebtBasis&gt;=2)*$J$80:$J$91))&gt;0)*($I$80:$I$91*$G$80:$G$91/1000*F228-((CVDebtBasis=1)*$I$80:$I$91+(CVDebtBasis&gt;=2)*$J$80:$J$91)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26.7933207317282</v>
      </c>
    </row>
    <row r="230" customFormat="false" ht="15" hidden="false" customHeight="false" outlineLevel="0" collapsed="false">
      <c r="A230" s="0" t="s">
        <v>3007</v>
      </c>
      <c r="E230" s="25" t="n">
        <f aca="false">MAX(0.01,F229*(1+Ke))</f>
        <v>30.2764524268529</v>
      </c>
      <c r="F230" s="25" t="n">
        <f aca="false">MAX(0.01,(V_EV-OffBSWt*V_OFF-V_ODEBT-CHOOSE(DilMethod,0,SUMPRODUCT((F229&lt;=$H$80:$H$91)*((CVDebtBasis=1)*$I$80:$I$91+(CVDebtBasis&gt;=2)*$J$80:$J$91)),SUMPRODUCT(((CVDebtBasis=1)*$I$80:$I$91+(CVDebtBasis&gt;=2)*$J$80:$J$91)))+V_CASH+V_SOTP+V_FPCash)/(V_BASIC+V_RSU+Options*MAX(0,1-OptK/F229)+CHOOSE(DilMethod,SUMPRODUCT($I$80:$I$91,$G$80:$G$91)/1000,SUMPRODUCT((F229&gt;$H$80:$H$91)*$I$80:$I$91*$G$80:$G$91)/1000,SUMPRODUCT((($I$80:$I$91*$G$80:$G$91/1000*F229-((CVDebtBasis=1)*$I$80:$I$91+(CVDebtBasis&gt;=2)*$J$80:$J$91))&gt;0)*($I$80:$I$91*$G$80:$G$91/1000*F229-((CVDebtBasis=1)*$I$80:$I$91+(CVDebtBasis&gt;=2)*$J$80:$J$91)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26.7870987247146</v>
      </c>
    </row>
    <row r="231" customFormat="false" ht="15" hidden="false" customHeight="false" outlineLevel="0" collapsed="false">
      <c r="A231" s="0" t="s">
        <v>3008</v>
      </c>
      <c r="E231" s="25" t="n">
        <f aca="false">MAX(0.01,F230*(1+Ke))</f>
        <v>30.2694215589275</v>
      </c>
      <c r="F231" s="25" t="n">
        <f aca="false">MAX(0.01,(V_EV-OffBSWt*V_OFF-V_ODEBT-CHOOSE(DilMethod,0,SUMPRODUCT((F230&lt;=$H$80:$H$91)*((CVDebtBasis=1)*$I$80:$I$91+(CVDebtBasis&gt;=2)*$J$80:$J$91)),SUMPRODUCT(((CVDebtBasis=1)*$I$80:$I$91+(CVDebtBasis&gt;=2)*$J$80:$J$91)))+V_CASH+V_SOTP+V_FPCash)/(V_BASIC+V_RSU+Options*MAX(0,1-OptK/F230)+CHOOSE(DilMethod,SUMPRODUCT($I$80:$I$91,$G$80:$G$91)/1000,SUMPRODUCT((F230&gt;$H$80:$H$91)*$I$80:$I$91*$G$80:$G$91)/1000,SUMPRODUCT((($I$80:$I$91*$G$80:$G$91/1000*F230-((CVDebtBasis=1)*$I$80:$I$91+(CVDebtBasis&gt;=2)*$J$80:$J$91))&gt;0)*($I$80:$I$91*$G$80:$G$91/1000*F230-((CVDebtBasis=1)*$I$80:$I$91+(CVDebtBasis&gt;=2)*$J$80:$J$91)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26.7825979914378</v>
      </c>
    </row>
    <row r="232" customFormat="false" ht="15" hidden="false" customHeight="false" outlineLevel="0" collapsed="false">
      <c r="A232" s="0" t="s">
        <v>3009</v>
      </c>
      <c r="E232" s="25" t="n">
        <f aca="false">MAX(0.01,F231*(1+Ke))</f>
        <v>30.2643357303247</v>
      </c>
      <c r="F232" s="25" t="n">
        <f aca="false">MAX(0.01,(V_EV-OffBSWt*V_OFF-V_ODEBT-CHOOSE(DilMethod,0,SUMPRODUCT((F231&lt;=$H$80:$H$91)*((CVDebtBasis=1)*$I$80:$I$91+(CVDebtBasis&gt;=2)*$J$80:$J$91)),SUMPRODUCT(((CVDebtBasis=1)*$I$80:$I$91+(CVDebtBasis&gt;=2)*$J$80:$J$91)))+V_CASH+V_SOTP+V_FPCash)/(V_BASIC+V_RSU+Options*MAX(0,1-OptK/F231)+CHOOSE(DilMethod,SUMPRODUCT($I$80:$I$91,$G$80:$G$91)/1000,SUMPRODUCT((F231&gt;$H$80:$H$91)*$I$80:$I$91*$G$80:$G$91)/1000,SUMPRODUCT((($I$80:$I$91*$G$80:$G$91/1000*F231-((CVDebtBasis=1)*$I$80:$I$91+(CVDebtBasis&gt;=2)*$J$80:$J$91))&gt;0)*($I$80:$I$91*$G$80:$G$91/1000*F231-((CVDebtBasis=1)*$I$80:$I$91+(CVDebtBasis&gt;=2)*$J$80:$J$91)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26.7793420171428</v>
      </c>
    </row>
    <row r="233" customFormat="false" ht="15" hidden="false" customHeight="false" outlineLevel="0" collapsed="false">
      <c r="A233" s="0" t="s">
        <v>3010</v>
      </c>
      <c r="E233" s="25" t="n">
        <f aca="false">MAX(0.01,F232*(1+Ke))</f>
        <v>30.2606564793714</v>
      </c>
      <c r="F233" s="25" t="n">
        <f aca="false">MAX(0.01,(V_EV-OffBSWt*V_OFF-V_ODEBT-CHOOSE(DilMethod,0,SUMPRODUCT((F232&lt;=$H$80:$H$91)*((CVDebtBasis=1)*$I$80:$I$91+(CVDebtBasis&gt;=2)*$J$80:$J$91)),SUMPRODUCT(((CVDebtBasis=1)*$I$80:$I$91+(CVDebtBasis&gt;=2)*$J$80:$J$91)))+V_CASH+V_SOTP+V_FPCash)/(V_BASIC+V_RSU+Options*MAX(0,1-OptK/F232)+CHOOSE(DilMethod,SUMPRODUCT($I$80:$I$91,$G$80:$G$91)/1000,SUMPRODUCT((F232&gt;$H$80:$H$91)*$I$80:$I$91*$G$80:$G$91)/1000,SUMPRODUCT((($I$80:$I$91*$G$80:$G$91/1000*F232-((CVDebtBasis=1)*$I$80:$I$91+(CVDebtBasis&gt;=2)*$J$80:$J$91))&gt;0)*($I$80:$I$91*$G$80:$G$91/1000*F232-((CVDebtBasis=1)*$I$80:$I$91+(CVDebtBasis&gt;=2)*$J$80:$J$91)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26.7769863650532</v>
      </c>
    </row>
    <row r="234" customFormat="false" ht="15" hidden="false" customHeight="false" outlineLevel="0" collapsed="false">
      <c r="A234" s="0" t="s">
        <v>3011</v>
      </c>
      <c r="E234" s="25" t="n">
        <f aca="false">MAX(0.01,F233*(1+Ke))</f>
        <v>30.2579945925101</v>
      </c>
      <c r="F234" s="25" t="n">
        <f aca="false">MAX(0.01,(V_EV-OffBSWt*V_OFF-V_ODEBT-CHOOSE(DilMethod,0,SUMPRODUCT((F233&lt;=$H$80:$H$91)*((CVDebtBasis=1)*$I$80:$I$91+(CVDebtBasis&gt;=2)*$J$80:$J$91)),SUMPRODUCT(((CVDebtBasis=1)*$I$80:$I$91+(CVDebtBasis&gt;=2)*$J$80:$J$91)))+V_CASH+V_SOTP+V_FPCash)/(V_BASIC+V_RSU+Options*MAX(0,1-OptK/F233)+CHOOSE(DilMethod,SUMPRODUCT($I$80:$I$91,$G$80:$G$91)/1000,SUMPRODUCT((F233&gt;$H$80:$H$91)*$I$80:$I$91*$G$80:$G$91)/1000,SUMPRODUCT((($I$80:$I$91*$G$80:$G$91/1000*F233-((CVDebtBasis=1)*$I$80:$I$91+(CVDebtBasis&gt;=2)*$J$80:$J$91))&gt;0)*($I$80:$I$91*$G$80:$G$91/1000*F233-((CVDebtBasis=1)*$I$80:$I$91+(CVDebtBasis&gt;=2)*$J$80:$J$91)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26.7752819913014</v>
      </c>
    </row>
    <row r="235" customFormat="false" ht="15" hidden="false" customHeight="false" outlineLevel="0" collapsed="false">
      <c r="A235" s="0" t="s">
        <v>3012</v>
      </c>
      <c r="E235" s="25" t="n">
        <f aca="false">MAX(0.01,F234*(1+Ke))</f>
        <v>30.2560686501706</v>
      </c>
      <c r="F235" s="25" t="n">
        <f aca="false">MAX(0.01,(V_EV-OffBSWt*V_OFF-V_ODEBT-CHOOSE(DilMethod,0,SUMPRODUCT((F234&lt;=$H$80:$H$91)*((CVDebtBasis=1)*$I$80:$I$91+(CVDebtBasis&gt;=2)*$J$80:$J$91)),SUMPRODUCT(((CVDebtBasis=1)*$I$80:$I$91+(CVDebtBasis&gt;=2)*$J$80:$J$91)))+V_CASH+V_SOTP+V_FPCash)/(V_BASIC+V_RSU+Options*MAX(0,1-OptK/F234)+CHOOSE(DilMethod,SUMPRODUCT($I$80:$I$91,$G$80:$G$91)/1000,SUMPRODUCT((F234&gt;$H$80:$H$91)*$I$80:$I$91*$G$80:$G$91)/1000,SUMPRODUCT((($I$80:$I$91*$G$80:$G$91/1000*F234-((CVDebtBasis=1)*$I$80:$I$91+(CVDebtBasis&gt;=2)*$J$80:$J$91))&gt;0)*($I$80:$I$91*$G$80:$G$91/1000*F234-((CVDebtBasis=1)*$I$80:$I$91+(CVDebtBasis&gt;=2)*$J$80:$J$91)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26.7740487855742</v>
      </c>
    </row>
    <row r="236" customFormat="false" ht="15" hidden="false" customHeight="false" outlineLevel="0" collapsed="false">
      <c r="A236" s="0" t="s">
        <v>3013</v>
      </c>
      <c r="E236" s="25" t="n">
        <f aca="false">MAX(0.01,F235*(1+Ke))</f>
        <v>30.2546751276988</v>
      </c>
      <c r="F236" s="25" t="n">
        <f aca="false">MAX(0.01,(V_EV-OffBSWt*V_OFF-V_ODEBT-CHOOSE(DilMethod,0,SUMPRODUCT((F235&lt;=$H$80:$H$91)*((CVDebtBasis=1)*$I$80:$I$91+(CVDebtBasis&gt;=2)*$J$80:$J$91)),SUMPRODUCT(((CVDebtBasis=1)*$I$80:$I$91+(CVDebtBasis&gt;=2)*$J$80:$J$91)))+V_CASH+V_SOTP+V_FPCash)/(V_BASIC+V_RSU+Options*MAX(0,1-OptK/F235)+CHOOSE(DilMethod,SUMPRODUCT($I$80:$I$91,$G$80:$G$91)/1000,SUMPRODUCT((F235&gt;$H$80:$H$91)*$I$80:$I$91*$G$80:$G$91)/1000,SUMPRODUCT((($I$80:$I$91*$G$80:$G$91/1000*F235-((CVDebtBasis=1)*$I$80:$I$91+(CVDebtBasis&gt;=2)*$J$80:$J$91))&gt;0)*($I$80:$I$91*$G$80:$G$91/1000*F235-((CVDebtBasis=1)*$I$80:$I$91+(CVDebtBasis&gt;=2)*$J$80:$J$91)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26.7731564698732</v>
      </c>
    </row>
    <row r="237" customFormat="false" ht="15" hidden="false" customHeight="false" outlineLevel="0" collapsed="false">
      <c r="A237" s="0" t="s">
        <v>3014</v>
      </c>
      <c r="E237" s="25" t="n">
        <f aca="false">MAX(0.01,F236*(1+Ke))</f>
        <v>30.2536668109567</v>
      </c>
      <c r="F237" s="25" t="n">
        <f aca="false">MAX(0.01,(V_EV-OffBSWt*V_OFF-V_ODEBT-CHOOSE(DilMethod,0,SUMPRODUCT((F236&lt;=$H$80:$H$91)*((CVDebtBasis=1)*$I$80:$I$91+(CVDebtBasis&gt;=2)*$J$80:$J$91)),SUMPRODUCT(((CVDebtBasis=1)*$I$80:$I$91+(CVDebtBasis&gt;=2)*$J$80:$J$91)))+V_CASH+V_SOTP+V_FPCash)/(V_BASIC+V_RSU+Options*MAX(0,1-OptK/F236)+CHOOSE(DilMethod,SUMPRODUCT($I$80:$I$91,$G$80:$G$91)/1000,SUMPRODUCT((F236&gt;$H$80:$H$91)*$I$80:$I$91*$G$80:$G$91)/1000,SUMPRODUCT((($I$80:$I$91*$G$80:$G$91/1000*F236-((CVDebtBasis=1)*$I$80:$I$91+(CVDebtBasis&gt;=2)*$J$80:$J$91))&gt;0)*($I$80:$I$91*$G$80:$G$91/1000*F236-((CVDebtBasis=1)*$I$80:$I$91+(CVDebtBasis&gt;=2)*$J$80:$J$91)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26.7725108001217</v>
      </c>
    </row>
    <row r="238" customFormat="false" ht="15" hidden="false" customHeight="false" outlineLevel="0" collapsed="false">
      <c r="A238" s="0" t="s">
        <v>3015</v>
      </c>
      <c r="E238" s="25" t="n">
        <f aca="false">MAX(0.01,F237*(1+Ke))</f>
        <v>30.2529372041375</v>
      </c>
      <c r="F238" s="25" t="n">
        <f aca="false">MAX(0.01,(V_EV-OffBSWt*V_OFF-V_ODEBT-CHOOSE(DilMethod,0,SUMPRODUCT((F237&lt;=$H$80:$H$91)*((CVDebtBasis=1)*$I$80:$I$91+(CVDebtBasis&gt;=2)*$J$80:$J$91)),SUMPRODUCT(((CVDebtBasis=1)*$I$80:$I$91+(CVDebtBasis&gt;=2)*$J$80:$J$91)))+V_CASH+V_SOTP+V_FPCash)/(V_BASIC+V_RSU+Options*MAX(0,1-OptK/F237)+CHOOSE(DilMethod,SUMPRODUCT($I$80:$I$91,$G$80:$G$91)/1000,SUMPRODUCT((F237&gt;$H$80:$H$91)*$I$80:$I$91*$G$80:$G$91)/1000,SUMPRODUCT((($I$80:$I$91*$G$80:$G$91/1000*F237-((CVDebtBasis=1)*$I$80:$I$91+(CVDebtBasis&gt;=2)*$J$80:$J$91))&gt;0)*($I$80:$I$91*$G$80:$G$91/1000*F237-((CVDebtBasis=1)*$I$80:$I$91+(CVDebtBasis&gt;=2)*$J$80:$J$91)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26.7720435937142</v>
      </c>
    </row>
    <row r="239" customFormat="false" ht="15" hidden="false" customHeight="false" outlineLevel="0" collapsed="false">
      <c r="A239" s="0" t="s">
        <v>3016</v>
      </c>
      <c r="E239" s="25" t="n">
        <f aca="false">MAX(0.01,F238*(1+Ke))</f>
        <v>30.252409260897</v>
      </c>
      <c r="F239" s="25" t="n">
        <f aca="false">MAX(0.01,(V_EV-OffBSWt*V_OFF-V_ODEBT-CHOOSE(DilMethod,0,SUMPRODUCT((F238&lt;=$H$80:$H$91)*((CVDebtBasis=1)*$I$80:$I$91+(CVDebtBasis&gt;=2)*$J$80:$J$91)),SUMPRODUCT(((CVDebtBasis=1)*$I$80:$I$91+(CVDebtBasis&gt;=2)*$J$80:$J$91)))+V_CASH+V_SOTP+V_FPCash)/(V_BASIC+V_RSU+Options*MAX(0,1-OptK/F238)+CHOOSE(DilMethod,SUMPRODUCT($I$80:$I$91,$G$80:$G$91)/1000,SUMPRODUCT((F238&gt;$H$80:$H$91)*$I$80:$I$91*$G$80:$G$91)/1000,SUMPRODUCT((($I$80:$I$91*$G$80:$G$91/1000*F238-((CVDebtBasis=1)*$I$80:$I$91+(CVDebtBasis&gt;=2)*$J$80:$J$91))&gt;0)*($I$80:$I$91*$G$80:$G$91/1000*F238-((CVDebtBasis=1)*$I$80:$I$91+(CVDebtBasis&gt;=2)*$J$80:$J$91)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26.7717055196911</v>
      </c>
    </row>
    <row r="240" customFormat="false" ht="15" hidden="false" customHeight="false" outlineLevel="0" collapsed="false">
      <c r="A240" s="0" t="s">
        <v>3017</v>
      </c>
      <c r="E240" s="25" t="n">
        <f aca="false">MAX(0.01,F239*(1+Ke))</f>
        <v>30.252027237251</v>
      </c>
      <c r="F240" s="25" t="n">
        <f aca="false">MAX(0.01,(V_EV-OffBSWt*V_OFF-V_ODEBT-CHOOSE(DilMethod,0,SUMPRODUCT((F239&lt;=$H$80:$H$91)*((CVDebtBasis=1)*$I$80:$I$91+(CVDebtBasis&gt;=2)*$J$80:$J$91)),SUMPRODUCT(((CVDebtBasis=1)*$I$80:$I$91+(CVDebtBasis&gt;=2)*$J$80:$J$91)))+V_CASH+V_SOTP+V_FPCash)/(V_BASIC+V_RSU+Options*MAX(0,1-OptK/F239)+CHOOSE(DilMethod,SUMPRODUCT($I$80:$I$91,$G$80:$G$91)/1000,SUMPRODUCT((F239&gt;$H$80:$H$91)*$I$80:$I$91*$G$80:$G$91)/1000,SUMPRODUCT((($I$80:$I$91*$G$80:$G$91/1000*F239-((CVDebtBasis=1)*$I$80:$I$91+(CVDebtBasis&gt;=2)*$J$80:$J$91))&gt;0)*($I$80:$I$91*$G$80:$G$91/1000*F239-((CVDebtBasis=1)*$I$80:$I$91+(CVDebtBasis&gt;=2)*$J$80:$J$91)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26.7714608849192</v>
      </c>
    </row>
    <row r="241" customFormat="false" ht="15" hidden="false" customHeight="false" outlineLevel="0" collapsed="false">
      <c r="A241" s="0" t="s">
        <v>3018</v>
      </c>
      <c r="E241" s="25" t="n">
        <f aca="false">MAX(0.01,F240*(1+Ke))</f>
        <v>30.2517507999587</v>
      </c>
      <c r="F241" s="25" t="n">
        <f aca="false">MAX(0.01,(V_EV-OffBSWt*V_OFF-V_ODEBT-CHOOSE(DilMethod,0,SUMPRODUCT((F240&lt;=$H$80:$H$91)*((CVDebtBasis=1)*$I$80:$I$91+(CVDebtBasis&gt;=2)*$J$80:$J$91)),SUMPRODUCT(((CVDebtBasis=1)*$I$80:$I$91+(CVDebtBasis&gt;=2)*$J$80:$J$91)))+V_CASH+V_SOTP+V_FPCash)/(V_BASIC+V_RSU+Options*MAX(0,1-OptK/F240)+CHOOSE(DilMethod,SUMPRODUCT($I$80:$I$91,$G$80:$G$91)/1000,SUMPRODUCT((F240&gt;$H$80:$H$91)*$I$80:$I$91*$G$80:$G$91)/1000,SUMPRODUCT((($I$80:$I$91*$G$80:$G$91/1000*F240-((CVDebtBasis=1)*$I$80:$I$91+(CVDebtBasis&gt;=2)*$J$80:$J$91))&gt;0)*($I$80:$I$91*$G$80:$G$91/1000*F240-((CVDebtBasis=1)*$I$80:$I$91+(CVDebtBasis&gt;=2)*$J$80:$J$91)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26.7712838630129</v>
      </c>
    </row>
    <row r="242" customFormat="false" ht="15" hidden="false" customHeight="false" outlineLevel="0" collapsed="false">
      <c r="A242" s="0" t="s">
        <v>3019</v>
      </c>
      <c r="E242" s="25" t="n">
        <f aca="false">MAX(0.01,F241*(1+Ke))</f>
        <v>30.2515507652046</v>
      </c>
      <c r="F242" s="25" t="n">
        <f aca="false">MAX(0.01,(V_EV-OffBSWt*V_OFF-V_ODEBT-CHOOSE(DilMethod,0,SUMPRODUCT((F241&lt;=$H$80:$H$91)*((CVDebtBasis=1)*$I$80:$I$91+(CVDebtBasis&gt;=2)*$J$80:$J$91)),SUMPRODUCT(((CVDebtBasis=1)*$I$80:$I$91+(CVDebtBasis&gt;=2)*$J$80:$J$91)))+V_CASH+V_SOTP+V_FPCash)/(V_BASIC+V_RSU+Options*MAX(0,1-OptK/F241)+CHOOSE(DilMethod,SUMPRODUCT($I$80:$I$91,$G$80:$G$91)/1000,SUMPRODUCT((F241&gt;$H$80:$H$91)*$I$80:$I$91*$G$80:$G$91)/1000,SUMPRODUCT((($I$80:$I$91*$G$80:$G$91/1000*F241-((CVDebtBasis=1)*$I$80:$I$91+(CVDebtBasis&gt;=2)*$J$80:$J$91))&gt;0)*($I$80:$I$91*$G$80:$G$91/1000*F241-((CVDebtBasis=1)*$I$80:$I$91+(CVDebtBasis&gt;=2)*$J$80:$J$91)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26.7711557664119</v>
      </c>
    </row>
    <row r="243" customFormat="false" ht="15" hidden="false" customHeight="false" outlineLevel="0" collapsed="false">
      <c r="A243" s="0" t="s">
        <v>3020</v>
      </c>
      <c r="E243" s="25" t="n">
        <f aca="false">MAX(0.01,F242*(1+Ke))</f>
        <v>30.2514060160455</v>
      </c>
      <c r="F243" s="25" t="n">
        <f aca="false">MAX(0.01,(V_EV-OffBSWt*V_OFF-V_ODEBT-CHOOSE(DilMethod,0,SUMPRODUCT((F242&lt;=$H$80:$H$91)*((CVDebtBasis=1)*$I$80:$I$91+(CVDebtBasis&gt;=2)*$J$80:$J$91)),SUMPRODUCT(((CVDebtBasis=1)*$I$80:$I$91+(CVDebtBasis&gt;=2)*$J$80:$J$91)))+V_CASH+V_SOTP+V_FPCash)/(V_BASIC+V_RSU+Options*MAX(0,1-OptK/F242)+CHOOSE(DilMethod,SUMPRODUCT($I$80:$I$91,$G$80:$G$91)/1000,SUMPRODUCT((F242&gt;$H$80:$H$91)*$I$80:$I$91*$G$80:$G$91)/1000,SUMPRODUCT((($I$80:$I$91*$G$80:$G$91/1000*F242-((CVDebtBasis=1)*$I$80:$I$91+(CVDebtBasis&gt;=2)*$J$80:$J$91))&gt;0)*($I$80:$I$91*$G$80:$G$91/1000*F242-((CVDebtBasis=1)*$I$80:$I$91+(CVDebtBasis&gt;=2)*$J$80:$J$91)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26.77106307287</v>
      </c>
    </row>
    <row r="244" customFormat="false" ht="15" hidden="false" customHeight="false" outlineLevel="0" collapsed="false">
      <c r="A244" s="0" t="s">
        <v>3021</v>
      </c>
      <c r="E244" s="25" t="n">
        <f aca="false">MAX(0.01,F243*(1+Ke))</f>
        <v>30.2513012723431</v>
      </c>
      <c r="F244" s="25" t="n">
        <f aca="false">MAX(0.01,(V_EV-OffBSWt*V_OFF-V_ODEBT-CHOOSE(DilMethod,0,SUMPRODUCT((F243&lt;=$H$80:$H$91)*((CVDebtBasis=1)*$I$80:$I$91+(CVDebtBasis&gt;=2)*$J$80:$J$91)),SUMPRODUCT(((CVDebtBasis=1)*$I$80:$I$91+(CVDebtBasis&gt;=2)*$J$80:$J$91)))+V_CASH+V_SOTP+V_FPCash)/(V_BASIC+V_RSU+Options*MAX(0,1-OptK/F243)+CHOOSE(DilMethod,SUMPRODUCT($I$80:$I$91,$G$80:$G$91)/1000,SUMPRODUCT((F243&gt;$H$80:$H$91)*$I$80:$I$91*$G$80:$G$91)/1000,SUMPRODUCT((($I$80:$I$91*$G$80:$G$91/1000*F243-((CVDebtBasis=1)*$I$80:$I$91+(CVDebtBasis&gt;=2)*$J$80:$J$91))&gt;0)*($I$80:$I$91*$G$80:$G$91/1000*F243-((CVDebtBasis=1)*$I$80:$I$91+(CVDebtBasis&gt;=2)*$J$80:$J$91)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26.7709959976241</v>
      </c>
    </row>
    <row r="245" customFormat="false" ht="15" hidden="false" customHeight="false" outlineLevel="0" collapsed="false">
      <c r="A245" s="0" t="s">
        <v>3022</v>
      </c>
      <c r="E245" s="25" t="n">
        <f aca="false">MAX(0.01,F244*(1+Ke))</f>
        <v>30.2512254773153</v>
      </c>
      <c r="F245" s="25" t="n">
        <f aca="false">MAX(0.01,(V_EV-OffBSWt*V_OFF-V_ODEBT-CHOOSE(DilMethod,0,SUMPRODUCT((F244&lt;=$H$80:$H$91)*((CVDebtBasis=1)*$I$80:$I$91+(CVDebtBasis&gt;=2)*$J$80:$J$91)),SUMPRODUCT(((CVDebtBasis=1)*$I$80:$I$91+(CVDebtBasis&gt;=2)*$J$80:$J$91)))+V_CASH+V_SOTP+V_FPCash)/(V_BASIC+V_RSU+Options*MAX(0,1-OptK/F244)+CHOOSE(DilMethod,SUMPRODUCT($I$80:$I$91,$G$80:$G$91)/1000,SUMPRODUCT((F244&gt;$H$80:$H$91)*$I$80:$I$91*$G$80:$G$91)/1000,SUMPRODUCT((($I$80:$I$91*$G$80:$G$91/1000*F244-((CVDebtBasis=1)*$I$80:$I$91+(CVDebtBasis&gt;=2)*$J$80:$J$91))&gt;0)*($I$80:$I$91*$G$80:$G$91/1000*F244-((CVDebtBasis=1)*$I$80:$I$91+(CVDebtBasis&gt;=2)*$J$80:$J$91)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26.7709474603102</v>
      </c>
    </row>
    <row r="246" customFormat="false" ht="15" hidden="false" customHeight="false" outlineLevel="0" collapsed="false">
      <c r="A246" s="0" t="s">
        <v>3023</v>
      </c>
      <c r="E246" s="25" t="n">
        <f aca="false">MAX(0.01,F245*(1+Ke))</f>
        <v>30.2511706301505</v>
      </c>
      <c r="F246" s="25" t="n">
        <f aca="false">MAX(0.01,(V_EV-OffBSWt*V_OFF-V_ODEBT-CHOOSE(DilMethod,0,SUMPRODUCT((F245&lt;=$H$80:$H$91)*((CVDebtBasis=1)*$I$80:$I$91+(CVDebtBasis&gt;=2)*$J$80:$J$91)),SUMPRODUCT(((CVDebtBasis=1)*$I$80:$I$91+(CVDebtBasis&gt;=2)*$J$80:$J$91)))+V_CASH+V_SOTP+V_FPCash)/(V_BASIC+V_RSU+Options*MAX(0,1-OptK/F245)+CHOOSE(DilMethod,SUMPRODUCT($I$80:$I$91,$G$80:$G$91)/1000,SUMPRODUCT((F245&gt;$H$80:$H$91)*$I$80:$I$91*$G$80:$G$91)/1000,SUMPRODUCT((($I$80:$I$91*$G$80:$G$91/1000*F245-((CVDebtBasis=1)*$I$80:$I$91+(CVDebtBasis&gt;=2)*$J$80:$J$91))&gt;0)*($I$80:$I$91*$G$80:$G$91/1000*F245-((CVDebtBasis=1)*$I$80:$I$91+(CVDebtBasis&gt;=2)*$J$80:$J$91)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26.7709123374651</v>
      </c>
    </row>
    <row r="247" customFormat="false" ht="15" hidden="false" customHeight="false" outlineLevel="0" collapsed="false">
      <c r="A247" s="0" t="s">
        <v>3024</v>
      </c>
      <c r="E247" s="25" t="n">
        <f aca="false">MAX(0.01,F246*(1+Ke))</f>
        <v>30.2511309413356</v>
      </c>
      <c r="F247" s="25" t="n">
        <f aca="false">MAX(0.01,(V_EV-OffBSWt*V_OFF-V_ODEBT-CHOOSE(DilMethod,0,SUMPRODUCT((F246&lt;=$H$80:$H$91)*((CVDebtBasis=1)*$I$80:$I$91+(CVDebtBasis&gt;=2)*$J$80:$J$91)),SUMPRODUCT(((CVDebtBasis=1)*$I$80:$I$91+(CVDebtBasis&gt;=2)*$J$80:$J$91)))+V_CASH+V_SOTP+V_FPCash)/(V_BASIC+V_RSU+Options*MAX(0,1-OptK/F246)+CHOOSE(DilMethod,SUMPRODUCT($I$80:$I$91,$G$80:$G$91)/1000,SUMPRODUCT((F246&gt;$H$80:$H$91)*$I$80:$I$91*$G$80:$G$91)/1000,SUMPRODUCT((($I$80:$I$91*$G$80:$G$91/1000*F246-((CVDebtBasis=1)*$I$80:$I$91+(CVDebtBasis&gt;=2)*$J$80:$J$91))&gt;0)*($I$80:$I$91*$G$80:$G$91/1000*F246-((CVDebtBasis=1)*$I$80:$I$91+(CVDebtBasis&gt;=2)*$J$80:$J$91)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26.7708869216531</v>
      </c>
      <c r="G247" s="39" t="n">
        <f aca="false">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</f>
        <v>1169.00957579736</v>
      </c>
    </row>
    <row r="248" customFormat="false" ht="15" hidden="false" customHeight="false" outlineLevel="0" collapsed="false">
      <c r="A248" s="112" t="s">
        <v>3025</v>
      </c>
      <c r="D248" s="24"/>
      <c r="E248" s="25" t="n">
        <f aca="false">IF(F247&lt;=0.011,0,F247)</f>
        <v>26.7708869216531</v>
      </c>
    </row>
    <row r="249" customFormat="false" ht="15" hidden="false" customHeight="false" outlineLevel="0" collapsed="false">
      <c r="A249" s="3" t="s">
        <v>3026</v>
      </c>
      <c r="D249" s="24"/>
      <c r="E249" s="6" t="n">
        <f aca="false">V_PSPath*(1+Ke)</f>
        <v>30.251102221468</v>
      </c>
    </row>
    <row r="250" customFormat="false" ht="15" hidden="false" customHeight="false" outlineLevel="0" collapsed="false">
      <c r="A250" s="112" t="s">
        <v>3027</v>
      </c>
      <c r="D250" s="24"/>
      <c r="E250" s="25" t="n">
        <f aca="false">E247</f>
        <v>30.2511309413356</v>
      </c>
    </row>
    <row r="251" customFormat="false" ht="15" hidden="false" customHeight="false" outlineLevel="0" collapsed="false">
      <c r="A251" s="112" t="s">
        <v>3028</v>
      </c>
      <c r="D251" s="24"/>
      <c r="E251" s="39" t="n">
        <f aca="false">G247</f>
        <v>1169.00957579736</v>
      </c>
    </row>
    <row r="252" customFormat="false" ht="15" hidden="false" customHeight="false" outlineLevel="0" collapsed="false">
      <c r="A252" s="112" t="s">
        <v>3029</v>
      </c>
      <c r="D252" s="24"/>
      <c r="E252" s="56" t="n">
        <f aca="false">ABS(F247-F246)</f>
        <v>2.5415811975904E-005</v>
      </c>
    </row>
    <row r="254" customFormat="false" ht="15" hidden="false" customHeight="false" outlineLevel="0" collapsed="false">
      <c r="A254" s="64" t="s">
        <v>3030</v>
      </c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</row>
    <row r="255" customFormat="false" ht="15" hidden="false" customHeight="false" outlineLevel="0" collapsed="false">
      <c r="A255" s="3" t="s">
        <v>3031</v>
      </c>
      <c r="E255" s="6" t="n">
        <f aca="false">CHOOSE(PTBasis,E197,IF(FP_On=1,E153,E113),E197)</f>
        <v>3.51368674421347</v>
      </c>
      <c r="F255" s="6" t="n">
        <f aca="false">CHOOSE(PTBasis,F197,V_PSSpot,V_PSPath)</f>
        <v>3.51368674421347</v>
      </c>
      <c r="G255" s="6" t="n">
        <f aca="false">CHOOSE(PTBasis,G197,IF(FP_On=1,G153,G113),G197)</f>
        <v>0</v>
      </c>
    </row>
    <row r="256" customFormat="false" ht="15" hidden="false" customHeight="false" outlineLevel="0" collapsed="false">
      <c r="A256" s="3" t="s">
        <v>3032</v>
      </c>
      <c r="E256" s="6" t="n">
        <f aca="false">E255*(1+Ke)</f>
        <v>3.97046602096122</v>
      </c>
      <c r="F256" s="6" t="n">
        <f aca="false">F255*(1+Ke)</f>
        <v>3.97046602096122</v>
      </c>
      <c r="G256" s="6" t="n">
        <f aca="false">G255*(1+Ke)</f>
        <v>0</v>
      </c>
    </row>
    <row r="257" customFormat="false" ht="15" hidden="false" customHeight="false" outlineLevel="0" collapsed="false">
      <c r="A257" s="112" t="s">
        <v>3033</v>
      </c>
      <c r="E257" s="25" t="n">
        <f aca="false">E255*(1+Ke)^0.5</f>
        <v>3.7351002431262</v>
      </c>
      <c r="F257" s="25" t="n">
        <f aca="false">F255*(1+Ke)^0.5</f>
        <v>3.7351002431262</v>
      </c>
      <c r="G257" s="25" t="n">
        <f aca="false">G255*(1+Ke)^0.5</f>
        <v>0</v>
      </c>
    </row>
    <row r="258" customFormat="false" ht="15" hidden="false" customHeight="false" outlineLevel="0" collapsed="false">
      <c r="A258" s="112" t="s">
        <v>3034</v>
      </c>
      <c r="E258" s="25" t="n">
        <f aca="false">E255*(1+Ke)^3</f>
        <v>5.06988806216538</v>
      </c>
      <c r="F258" s="25" t="n">
        <f aca="false">F255*(1+Ke)^3</f>
        <v>5.06988806216538</v>
      </c>
      <c r="G258" s="25" t="n">
        <f aca="false">G255*(1+Ke)^3</f>
        <v>0</v>
      </c>
    </row>
    <row r="259" customFormat="false" ht="15" hidden="false" customHeight="false" outlineLevel="0" collapsed="false">
      <c r="A259" s="112" t="s">
        <v>3035</v>
      </c>
      <c r="E259" s="27" t="n">
        <f aca="false">E255*(1+Ke)/SharePx-1</f>
        <v>-0.983647848025365</v>
      </c>
      <c r="F259" s="27" t="n">
        <f aca="false">F255*(1+Ke)/SharePx-1</f>
        <v>-0.983647848025365</v>
      </c>
      <c r="G259" s="27" t="n">
        <f aca="false">G255*(1+Ke)/SharePx-1</f>
        <v>-1</v>
      </c>
    </row>
    <row r="260" customFormat="false" ht="15" hidden="false" customHeight="false" outlineLevel="0" collapsed="false">
      <c r="A260" s="112" t="s">
        <v>3036</v>
      </c>
      <c r="D260" s="24"/>
      <c r="E260" s="39" t="n">
        <f aca="false">CHOOSE(PTBasis,V_NewShSC,V_FPSh,V_NewShPath)</f>
        <v>10991.2196047346</v>
      </c>
    </row>
    <row r="261" customFormat="false" ht="15" hidden="false" customHeight="false" outlineLevel="0" collapsed="false">
      <c r="A261" s="112" t="s">
        <v>3037</v>
      </c>
      <c r="D261" s="24"/>
      <c r="E261" s="39" t="n">
        <f aca="false">CHOOSE(PTBasis,V_CVResSC,SUMPRODUCT(V_TrPlanE*V_TrRT)/1000,SUMPRODUCT(V_TrPlanE*V_TrRT)/1000)</f>
        <v>2270.95477479745</v>
      </c>
    </row>
    <row r="262" customFormat="false" ht="15" hidden="false" customHeight="false" outlineLevel="0" collapsed="false">
      <c r="A262" s="3" t="s">
        <v>3038</v>
      </c>
      <c r="D262" s="24"/>
      <c r="E262" s="50" t="n">
        <f aca="false">V_NewShHead+V_CVResHead</f>
        <v>13262.174379532</v>
      </c>
    </row>
    <row r="263" customFormat="false" ht="15" hidden="false" customHeight="false" outlineLevel="0" collapsed="false">
      <c r="A263" s="112" t="s">
        <v>3039</v>
      </c>
      <c r="D263" s="24"/>
      <c r="E263" s="39" t="n">
        <f aca="false">MAX(0,V_AuthNeed-AuthAvail)</f>
        <v>13180.174379532</v>
      </c>
    </row>
    <row r="264" customFormat="false" ht="15" hidden="false" customHeight="false" outlineLevel="0" collapsed="false">
      <c r="A264" s="112" t="s">
        <v>3040</v>
      </c>
      <c r="D264" s="24"/>
      <c r="E264" s="114" t="n">
        <f aca="false">V_ODEBT+F117-V_CASH</f>
        <v>1976.59470425845</v>
      </c>
    </row>
    <row r="265" customFormat="false" ht="15" hidden="false" customHeight="false" outlineLevel="0" collapsed="false">
      <c r="A265" s="0" t="s">
        <v>3041</v>
      </c>
      <c r="E265" s="6" t="n">
        <f aca="false">IF(DilPxMode=1,SharePx,V_PSolve)</f>
        <v>0.01</v>
      </c>
    </row>
    <row r="267" customFormat="false" ht="15" hidden="false" customHeight="false" outlineLevel="0" collapsed="false">
      <c r="A267" s="64" t="s">
        <v>3042</v>
      </c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</row>
    <row r="268" customFormat="false" ht="15" hidden="false" customHeight="false" outlineLevel="0" collapsed="false">
      <c r="A268" s="112" t="s">
        <v>3043</v>
      </c>
      <c r="D268" s="24"/>
      <c r="E268" s="114" t="n">
        <f aca="false">SUMPRODUCT(PL_EBITDA*(Q_Idx&gt;V_Q)*(Q_Idx&lt;=V_Q+4))</f>
        <v>2937.95948267248</v>
      </c>
    </row>
    <row r="269" customFormat="false" ht="15" hidden="false" customHeight="false" outlineLevel="0" collapsed="false">
      <c r="A269" s="112" t="s">
        <v>3044</v>
      </c>
      <c r="D269" s="24"/>
      <c r="E269" s="52" t="n">
        <f aca="false">IF(V_NTM&gt;0,V_EV/V_NTM,0)</f>
        <v>-0.305931383637097</v>
      </c>
    </row>
    <row r="270" customFormat="false" ht="15" hidden="false" customHeight="false" outlineLevel="0" collapsed="false">
      <c r="A270" s="112" t="s">
        <v>3045</v>
      </c>
      <c r="D270" s="24"/>
      <c r="E270" s="52" t="n">
        <f aca="false">V_EV/SUMIF(Q_Yr,2027,PL_EBITDA)</f>
        <v>-0.213335697251047</v>
      </c>
    </row>
    <row r="272" customFormat="false" ht="15" hidden="false" customHeight="false" outlineLevel="0" collapsed="false">
      <c r="A272" s="64" t="s">
        <v>3046</v>
      </c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 customFormat="false" ht="15" hidden="false" customHeight="false" outlineLevel="0" collapsed="false">
      <c r="A273" s="112" t="s">
        <v>3047</v>
      </c>
      <c r="D273" s="24" t="s">
        <v>3048</v>
      </c>
      <c r="E273" s="54" t="n">
        <f aca="false">V_BASIC+V_RSU+Options*MAX(0,1-OptK/SharePx)+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369.226788774505</v>
      </c>
    </row>
    <row r="274" customFormat="false" ht="15" hidden="false" customHeight="false" outlineLevel="0" collapsed="false">
      <c r="A274" s="112" t="s">
        <v>3049</v>
      </c>
      <c r="D274" s="24"/>
      <c r="E274" s="54" t="n">
        <f aca="false">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50.02193875</v>
      </c>
    </row>
    <row r="275" customFormat="false" ht="15" hidden="false" customHeight="false" outlineLevel="0" collapsed="false">
      <c r="A275" s="112" t="s">
        <v>3050</v>
      </c>
      <c r="D275" s="24"/>
      <c r="E275" s="114" t="n">
        <f aca="false">SUMPRODUCT((SharePx&gt;$H$80:$H$91)*$E$80:$E$91)</f>
        <v>7675</v>
      </c>
    </row>
    <row r="276" customFormat="false" ht="15" hidden="false" customHeight="false" outlineLevel="0" collapsed="false">
      <c r="A276" s="112" t="s">
        <v>3051</v>
      </c>
      <c r="D276" s="24"/>
      <c r="E276" s="114" t="n">
        <f aca="false">CHOOSE(DilMethod,0,SUMPRODUCT((SharePx&lt;=$H$80:$H$91)*((CVDebtBasis=1)*$E$80:$E$91+(CVDebtBasis&gt;=2)*$F$80:$F$91)),SUMPRODUCT(((CVDebtBasis=1)*$E$80:$E$91+(CVDebtBasis&gt;=2)*$F$80:$F$91)))</f>
        <v>5767.83060829888</v>
      </c>
    </row>
    <row r="278" customFormat="false" ht="15" hidden="false" customHeight="false" outlineLevel="0" collapsed="false">
      <c r="A278" s="64" t="s">
        <v>3052</v>
      </c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 customFormat="false" ht="15" hidden="false" customHeight="false" outlineLevel="0" collapsed="false">
      <c r="A279" s="112" t="s">
        <v>3053</v>
      </c>
      <c r="D279" s="24" t="s">
        <v>3054</v>
      </c>
      <c r="E279" s="114" t="n">
        <f aca="false">SharePx*308.69</f>
        <v>74953.0189</v>
      </c>
    </row>
    <row r="280" customFormat="false" ht="15" hidden="false" customHeight="false" outlineLevel="0" collapsed="false">
      <c r="A280" s="112" t="s">
        <v>3055</v>
      </c>
      <c r="D280" s="24"/>
      <c r="E280" s="114" t="n">
        <f aca="false">CS_ConvCarry</f>
        <v>7697.1</v>
      </c>
    </row>
    <row r="281" customFormat="false" ht="15" hidden="false" customHeight="false" outlineLevel="0" collapsed="false">
      <c r="A281" s="112" t="s">
        <v>3056</v>
      </c>
      <c r="D281" s="24"/>
      <c r="E281" s="114" t="n">
        <f aca="false">AugGross</f>
        <v>5750</v>
      </c>
    </row>
    <row r="282" customFormat="false" ht="15" hidden="false" customHeight="false" outlineLevel="0" collapsed="false">
      <c r="A282" s="112" t="s">
        <v>3057</v>
      </c>
      <c r="D282" s="24"/>
      <c r="E282" s="114" t="n">
        <f aca="false">CS_CurDebt</f>
        <v>46.7</v>
      </c>
    </row>
    <row r="283" customFormat="false" ht="15" hidden="false" customHeight="false" outlineLevel="0" collapsed="false">
      <c r="A283" s="112" t="s">
        <v>3058</v>
      </c>
      <c r="D283" s="24"/>
      <c r="E283" s="114" t="n">
        <f aca="false">SecAmt*LoanOn</f>
        <v>0</v>
      </c>
    </row>
    <row r="284" customFormat="false" ht="15" hidden="false" customHeight="false" outlineLevel="0" collapsed="false">
      <c r="A284" s="112" t="s">
        <v>3059</v>
      </c>
      <c r="D284" s="24"/>
      <c r="E284" s="114" t="n">
        <f aca="false">-CS_Cash</f>
        <v>-8042.1</v>
      </c>
    </row>
    <row r="285" customFormat="false" ht="15" hidden="false" customHeight="false" outlineLevel="0" collapsed="false">
      <c r="A285" s="112" t="s">
        <v>3060</v>
      </c>
      <c r="D285" s="24"/>
      <c r="E285" s="114" t="n">
        <f aca="false">-AugGross</f>
        <v>-5750</v>
      </c>
    </row>
    <row r="286" customFormat="false" ht="15" hidden="false" customHeight="false" outlineLevel="0" collapsed="false">
      <c r="A286" s="112" t="s">
        <v>3061</v>
      </c>
      <c r="D286" s="24"/>
      <c r="E286" s="114" t="n">
        <f aca="false">-SecAmt*LoanOn</f>
        <v>-0</v>
      </c>
    </row>
    <row r="287" customFormat="false" ht="15" hidden="false" customHeight="false" outlineLevel="0" collapsed="false">
      <c r="A287" s="3" t="s">
        <v>3062</v>
      </c>
      <c r="D287" s="24" t="s">
        <v>3063</v>
      </c>
      <c r="E287" s="120" t="n">
        <f aca="false">V_MKTEQ+CS_ConvCarry+AugGross+CS_CurDebt-CS_Cash-AugGross</f>
        <v>74654.7189</v>
      </c>
    </row>
    <row r="288" customFormat="false" ht="15" hidden="false" customHeight="false" outlineLevel="0" collapsed="false">
      <c r="A288" s="112" t="s">
        <v>3064</v>
      </c>
      <c r="D288" s="24" t="s">
        <v>3065</v>
      </c>
      <c r="E288" s="114" t="n">
        <f aca="false">SharePx*V_FDmkt+AugGross+CS_CurDebt-CS_Cash-AugGross</f>
        <v>81656.5565823375</v>
      </c>
    </row>
    <row r="289" customFormat="false" ht="15" hidden="false" customHeight="false" outlineLevel="0" collapsed="false">
      <c r="A289" s="112" t="s">
        <v>3066</v>
      </c>
      <c r="D289" s="24"/>
      <c r="E289" s="52" t="n">
        <f aca="false">IF(V_NTM&gt;0,V_MKTEV/V_NTM,0)</f>
        <v>25.410397706401</v>
      </c>
    </row>
    <row r="290" customFormat="false" ht="15" hidden="false" customHeight="false" outlineLevel="0" collapsed="false">
      <c r="A290" s="112" t="s">
        <v>3067</v>
      </c>
      <c r="D290" s="24"/>
      <c r="E290" s="35" t="n">
        <f aca="false">INDEX(MW_En,1,V_Q)</f>
        <v>216.9897</v>
      </c>
    </row>
    <row r="291" customFormat="false" ht="15" hidden="false" customHeight="false" outlineLevel="0" collapsed="false">
      <c r="A291" s="112" t="s">
        <v>3068</v>
      </c>
      <c r="D291" s="24"/>
      <c r="E291" s="35" t="n">
        <f aca="false">INDEX(MW_Contr,1,V_Q)</f>
        <v>3400</v>
      </c>
    </row>
    <row r="293" customFormat="false" ht="15" hidden="false" customHeight="false" outlineLevel="0" collapsed="false">
      <c r="A293" s="64" t="s">
        <v>3069</v>
      </c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</row>
    <row r="294" customFormat="false" ht="15" hidden="false" customHeight="false" outlineLevel="0" collapsed="false">
      <c r="E294" s="3" t="s">
        <v>3070</v>
      </c>
      <c r="F294" s="3" t="s">
        <v>3071</v>
      </c>
      <c r="G294" s="3" t="s">
        <v>3072</v>
      </c>
      <c r="H294" s="3" t="s">
        <v>3073</v>
      </c>
    </row>
    <row r="295" customFormat="false" ht="15" hidden="false" customHeight="false" outlineLevel="0" collapsed="false">
      <c r="A295" s="0" t="s">
        <v>3074</v>
      </c>
      <c r="D295" s="24"/>
      <c r="E295" s="32" t="n">
        <f aca="false">IFERROR((V_MKTEV)/V_ENMW,0)</f>
        <v>344.047293028194</v>
      </c>
      <c r="F295" s="32" t="n">
        <f aca="false">IFERROR((V_EV)/V_ENMW,0)</f>
        <v>-4.14219665543444</v>
      </c>
      <c r="G295" s="32" t="n">
        <f aca="false">IFERROR((CRWV_EV)/CRWV_MW,0)</f>
        <v>53</v>
      </c>
      <c r="H295" s="36" t="n">
        <f aca="false">IFERROR(E295/G295,0)</f>
        <v>6.49145835902254</v>
      </c>
    </row>
    <row r="296" customFormat="false" ht="15" hidden="false" customHeight="false" outlineLevel="0" collapsed="false">
      <c r="A296" s="0" t="s">
        <v>3075</v>
      </c>
      <c r="D296" s="24" t="s">
        <v>3076</v>
      </c>
      <c r="E296" s="32" t="n">
        <f aca="false">IFERROR((V_MKTEV+OpLease)/V_ENMW,0)</f>
        <v>351.536127751686</v>
      </c>
      <c r="F296" s="32" t="n">
        <f aca="false">IFERROR((V_EV+OpLease)/V_ENMW,0)</f>
        <v>3.34663806805705</v>
      </c>
      <c r="G296" s="32" t="n">
        <f aca="false">IFERROR((CRWV_EV+CRWV_Lease)/CRWV_MW,0)</f>
        <v>53</v>
      </c>
      <c r="H296" s="36" t="n">
        <f aca="false">IFERROR(E296/G296,0)</f>
        <v>6.6327571273903</v>
      </c>
    </row>
    <row r="297" customFormat="false" ht="15" hidden="false" customHeight="false" outlineLevel="0" collapsed="false">
      <c r="A297" s="0" t="s">
        <v>3077</v>
      </c>
      <c r="D297" s="24" t="s">
        <v>3078</v>
      </c>
      <c r="E297" s="32" t="n">
        <f aca="false">IFERROR((V_MKTEV+OpLease+OffBS_Lease+OffBS_Energy)/V_ENMW,0)</f>
        <v>431.586010303715</v>
      </c>
      <c r="F297" s="32" t="n">
        <f aca="false">IFERROR((V_EV+OpLease+OffBS_Lease+OffBS_Energy)/V_ENMW,0)</f>
        <v>83.396520620086</v>
      </c>
      <c r="G297" s="32" t="n">
        <f aca="false">IFERROR((CRWV_EV+CRWV_Lease+CRWV_Commit)/CRWV_MW,0)</f>
        <v>53</v>
      </c>
      <c r="H297" s="36" t="n">
        <f aca="false">IFERROR(E297/G297,0)</f>
        <v>8.14313226988141</v>
      </c>
    </row>
    <row r="298" customFormat="false" ht="15" hidden="false" customHeight="false" outlineLevel="0" collapsed="false">
      <c r="A298" s="0" t="s">
        <v>3079</v>
      </c>
      <c r="D298" s="24" t="s">
        <v>3080</v>
      </c>
      <c r="E298" s="32" t="n">
        <f aca="false">IFERROR((V_MKTEV)/V_CTMW,0)</f>
        <v>21.9572702647059</v>
      </c>
      <c r="F298" s="32" t="n">
        <f aca="false">IFERROR((V_EV)/V_CTMW,0)</f>
        <v>-0.264357061648153</v>
      </c>
      <c r="G298" s="32" t="n">
        <f aca="false">IFERROR((CRWV_EV)/CRWV_Contr,0)</f>
        <v>21.4864864864865</v>
      </c>
      <c r="H298" s="36" t="n">
        <f aca="false">IFERROR(E298/G298,0)</f>
        <v>1.02191069156493</v>
      </c>
    </row>
    <row r="299" customFormat="false" ht="15" hidden="false" customHeight="false" outlineLevel="0" collapsed="false">
      <c r="A299" s="112" t="s">
        <v>3081</v>
      </c>
      <c r="D299" s="24"/>
      <c r="E299" s="114" t="n">
        <f aca="false">CRWV_EV/CRWV_MW*V_ENMW</f>
        <v>11500.4541</v>
      </c>
    </row>
    <row r="300" customFormat="false" ht="15" hidden="false" customHeight="false" outlineLevel="0" collapsed="false">
      <c r="A300" s="112" t="s">
        <v>3082</v>
      </c>
      <c r="D300" s="24"/>
      <c r="E300" s="36" t="n">
        <f aca="false">IFERROR(V_EV/V_MKTEV,0)</f>
        <v>-0.0120396141442537</v>
      </c>
    </row>
    <row r="301" customFormat="false" ht="15" hidden="false" customHeight="false" outlineLevel="0" collapsed="false">
      <c r="A301" s="112" t="s">
        <v>3083</v>
      </c>
      <c r="D301" s="24"/>
      <c r="E301" s="52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3084</v>
      </c>
    </row>
    <row r="2" customFormat="false" ht="15" hidden="false" customHeight="false" outlineLevel="0" collapsed="false">
      <c r="A2" s="24" t="s">
        <v>3085</v>
      </c>
    </row>
    <row r="3" customFormat="false" ht="15" hidden="false" customHeight="false" outlineLevel="0" collapsed="false">
      <c r="A3" s="49" t="s">
        <v>1597</v>
      </c>
      <c r="B3" s="49" t="s">
        <v>663</v>
      </c>
      <c r="C3" s="49" t="s">
        <v>666</v>
      </c>
      <c r="D3" s="49" t="s">
        <v>1598</v>
      </c>
      <c r="E3" s="49" t="s">
        <v>1599</v>
      </c>
      <c r="F3" s="49" t="str">
        <f aca="false">Timeline!F3</f>
        <v>Q1'24</v>
      </c>
      <c r="G3" s="49" t="str">
        <f aca="false">Timeline!G3</f>
        <v>Q2'24</v>
      </c>
      <c r="H3" s="49" t="str">
        <f aca="false">Timeline!H3</f>
        <v>Q3'24</v>
      </c>
      <c r="I3" s="49" t="str">
        <f aca="false">Timeline!I3</f>
        <v>Q4'24</v>
      </c>
      <c r="J3" s="49" t="str">
        <f aca="false">Timeline!J3</f>
        <v>Q1'25</v>
      </c>
      <c r="K3" s="49" t="str">
        <f aca="false">Timeline!K3</f>
        <v>Q2'25</v>
      </c>
      <c r="L3" s="49" t="str">
        <f aca="false">Timeline!L3</f>
        <v>Q3'25</v>
      </c>
      <c r="M3" s="49" t="str">
        <f aca="false">Timeline!M3</f>
        <v>Q4'25</v>
      </c>
      <c r="N3" s="49" t="str">
        <f aca="false">Timeline!N3</f>
        <v>Q1'26</v>
      </c>
      <c r="O3" s="49" t="str">
        <f aca="false">Timeline!O3</f>
        <v>Q2'26</v>
      </c>
      <c r="P3" s="49" t="str">
        <f aca="false">Timeline!P3</f>
        <v>Q3'26</v>
      </c>
      <c r="Q3" s="49" t="str">
        <f aca="false">Timeline!Q3</f>
        <v>Q4'26</v>
      </c>
      <c r="R3" s="49" t="str">
        <f aca="false">Timeline!R3</f>
        <v>Q1'27</v>
      </c>
      <c r="S3" s="49" t="str">
        <f aca="false">Timeline!S3</f>
        <v>Q2'27</v>
      </c>
      <c r="T3" s="49" t="str">
        <f aca="false">Timeline!T3</f>
        <v>Q3'27</v>
      </c>
      <c r="U3" s="49" t="str">
        <f aca="false">Timeline!U3</f>
        <v>Q4'27</v>
      </c>
      <c r="V3" s="49" t="str">
        <f aca="false">Timeline!V3</f>
        <v>Q1'28</v>
      </c>
      <c r="W3" s="49" t="str">
        <f aca="false">Timeline!W3</f>
        <v>Q2'28</v>
      </c>
      <c r="X3" s="49" t="str">
        <f aca="false">Timeline!X3</f>
        <v>Q3'28</v>
      </c>
      <c r="Y3" s="49" t="str">
        <f aca="false">Timeline!Y3</f>
        <v>Q4'28</v>
      </c>
      <c r="Z3" s="49" t="str">
        <f aca="false">Timeline!Z3</f>
        <v>Q1'29</v>
      </c>
      <c r="AA3" s="49" t="str">
        <f aca="false">Timeline!AA3</f>
        <v>Q2'29</v>
      </c>
      <c r="AB3" s="49" t="str">
        <f aca="false">Timeline!AB3</f>
        <v>Q3'29</v>
      </c>
      <c r="AC3" s="49" t="str">
        <f aca="false">Timeline!AC3</f>
        <v>Q4'29</v>
      </c>
      <c r="AD3" s="49" t="str">
        <f aca="false">Timeline!AD3</f>
        <v>Q1'30</v>
      </c>
      <c r="AE3" s="49" t="str">
        <f aca="false">Timeline!AE3</f>
        <v>Q2'30</v>
      </c>
      <c r="AF3" s="49" t="str">
        <f aca="false">Timeline!AF3</f>
        <v>Q3'30</v>
      </c>
      <c r="AG3" s="49" t="str">
        <f aca="false">Timeline!AG3</f>
        <v>Q4'30</v>
      </c>
      <c r="AI3" s="49" t="s">
        <v>1600</v>
      </c>
      <c r="AJ3" s="49" t="s">
        <v>1601</v>
      </c>
      <c r="AK3" s="49" t="s">
        <v>461</v>
      </c>
      <c r="AL3" s="49" t="s">
        <v>462</v>
      </c>
      <c r="AM3" s="49" t="s">
        <v>463</v>
      </c>
      <c r="AN3" s="49" t="s">
        <v>1602</v>
      </c>
      <c r="AO3" s="49" t="s">
        <v>1603</v>
      </c>
    </row>
    <row r="4" customFormat="false" ht="15" hidden="false" customHeight="false" outlineLevel="0" collapsed="false">
      <c r="A4" s="24" t="s">
        <v>1482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4" t="s">
        <v>1483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1604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1485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4" t="s">
        <v>3086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112" t="s">
        <v>3087</v>
      </c>
      <c r="B11" s="24" t="s">
        <v>857</v>
      </c>
      <c r="C11" s="24" t="s">
        <v>672</v>
      </c>
      <c r="D11" s="24"/>
      <c r="F11" s="116" t="n">
        <f aca="false">MAX(0,INDEX(MW_Act,1,1)-(INDEX(A_MW,1,1)-INDEX(A_BillMW,1,1)))</f>
        <v>22.7275</v>
      </c>
      <c r="G11" s="116" t="n">
        <f aca="false">MAX(0,INDEX(MW_Act,1,2)-(INDEX(A_MW,1,2)-INDEX(A_BillMW,1,2)))</f>
        <v>22.7275</v>
      </c>
      <c r="H11" s="116" t="n">
        <f aca="false">MAX(0,INDEX(MW_Act,1,3)-(INDEX(A_MW,1,3)-INDEX(A_BillMW,1,3)))</f>
        <v>22.7275</v>
      </c>
      <c r="I11" s="116" t="n">
        <f aca="false">MAX(0,INDEX(MW_Act,1,4)-(INDEX(A_MW,1,4)-INDEX(A_BillMW,1,4)))</f>
        <v>27.7275</v>
      </c>
      <c r="J11" s="116" t="n">
        <f aca="false">MAX(0,INDEX(MW_Act,1,5)-(INDEX(A_MW,1,5)-INDEX(A_BillMW,1,5)))</f>
        <v>47.7275</v>
      </c>
      <c r="K11" s="116" t="n">
        <f aca="false">MAX(0,INDEX(MW_Act,1,6)-(INDEX(A_MW,1,6)-INDEX(A_BillMW,1,6)))</f>
        <v>47.7275</v>
      </c>
      <c r="L11" s="116" t="n">
        <f aca="false">MAX(0,INDEX(MW_Act,1,7)-(INDEX(A_MW,1,7)-INDEX(A_BillMW,1,7)))</f>
        <v>59.09125</v>
      </c>
      <c r="M11" s="116" t="n">
        <f aca="false">MAX(0,INDEX(MW_Act,1,8)-(INDEX(A_MW,1,8)-INDEX(A_BillMW,1,8)))</f>
        <v>138.32595</v>
      </c>
      <c r="N11" s="116" t="n">
        <f aca="false">MAX(0,INDEX(MW_Act,1,9)-(INDEX(A_MW,1,9)-INDEX(A_BillMW,1,9)))</f>
        <v>170.9897</v>
      </c>
      <c r="O11" s="116" t="n">
        <f aca="false">MAX(0,INDEX(MW_Act,1,10)-(INDEX(A_MW,1,10)-INDEX(A_BillMW,1,10)))</f>
        <v>182.4897</v>
      </c>
      <c r="P11" s="35" t="n">
        <f aca="false">MAX(0,INDEX(MW_Act,1,11)-(INDEX(A_MW,1,11)-INDEX(A_BillMW,1,11)))</f>
        <v>178.2397</v>
      </c>
      <c r="Q11" s="35" t="n">
        <f aca="false">MAX(0,INDEX(MW_Act,1,12)-(INDEX(A_MW,1,12)-INDEX(A_BillMW,1,12)))</f>
        <v>212.7397</v>
      </c>
      <c r="R11" s="35" t="n">
        <f aca="false">MAX(0,INDEX(MW_Act,1,13)-(INDEX(A_MW,1,13)-INDEX(A_BillMW,1,13)))</f>
        <v>297.4695</v>
      </c>
      <c r="S11" s="35" t="n">
        <f aca="false">MAX(0,INDEX(MW_Act,1,14)-(INDEX(A_MW,1,14)-INDEX(A_BillMW,1,14)))</f>
        <v>453.79225</v>
      </c>
      <c r="T11" s="35" t="n">
        <f aca="false">MAX(0,INDEX(MW_Act,1,15)-(INDEX(A_MW,1,15)-INDEX(A_BillMW,1,15)))</f>
        <v>629.5368</v>
      </c>
      <c r="U11" s="35" t="n">
        <f aca="false">MAX(0,INDEX(MW_Act,1,16)-(INDEX(A_MW,1,16)-INDEX(A_BillMW,1,16)))</f>
        <v>812.6073</v>
      </c>
      <c r="V11" s="35" t="n">
        <f aca="false">MAX(0,INDEX(MW_Act,1,17)-(INDEX(A_MW,1,17)-INDEX(A_BillMW,1,17)))</f>
        <v>1081.9108</v>
      </c>
      <c r="W11" s="35" t="n">
        <f aca="false">MAX(0,INDEX(MW_Act,1,18)-(INDEX(A_MW,1,18)-INDEX(A_BillMW,1,18)))</f>
        <v>1172.9923</v>
      </c>
      <c r="X11" s="35" t="n">
        <f aca="false">MAX(0,INDEX(MW_Act,1,19)-(INDEX(A_MW,1,19)-INDEX(A_BillMW,1,19)))</f>
        <v>1326.4518</v>
      </c>
      <c r="Y11" s="35" t="n">
        <f aca="false">MAX(0,INDEX(MW_Act,1,20)-(INDEX(A_MW,1,20)-INDEX(A_BillMW,1,20)))</f>
        <v>1338.9518</v>
      </c>
      <c r="Z11" s="35" t="n">
        <f aca="false">MAX(0,INDEX(MW_Act,1,21)-(INDEX(A_MW,1,21)-INDEX(A_BillMW,1,21)))</f>
        <v>1652.7273</v>
      </c>
      <c r="AA11" s="35" t="n">
        <f aca="false">MAX(0,INDEX(MW_Act,1,22)-(INDEX(A_MW,1,22)-INDEX(A_BillMW,1,22)))</f>
        <v>1652.7273</v>
      </c>
      <c r="AB11" s="35" t="n">
        <f aca="false">MAX(0,INDEX(MW_Act,1,23)-(INDEX(A_MW,1,23)-INDEX(A_BillMW,1,23)))</f>
        <v>1963.8213</v>
      </c>
      <c r="AC11" s="35" t="n">
        <f aca="false">MAX(0,INDEX(MW_Act,1,24)-(INDEX(A_MW,1,24)-INDEX(A_BillMW,1,24)))</f>
        <v>1963.8213</v>
      </c>
      <c r="AD11" s="35" t="n">
        <f aca="false">MAX(0,INDEX(MW_Act,1,25)-(INDEX(A_MW,1,25)-INDEX(A_BillMW,1,25)))</f>
        <v>2409.3763</v>
      </c>
      <c r="AE11" s="35" t="n">
        <f aca="false">MAX(0,INDEX(MW_Act,1,26)-(INDEX(A_MW,1,26)-INDEX(A_BillMW,1,26)))</f>
        <v>2409.3763</v>
      </c>
      <c r="AF11" s="35" t="n">
        <f aca="false">MAX(0,INDEX(MW_Act,1,27)-(INDEX(A_MW,1,27)-INDEX(A_BillMW,1,27)))</f>
        <v>2409.3763</v>
      </c>
      <c r="AG11" s="35" t="n">
        <f aca="false">MAX(0,INDEX(MW_Act,1,28)-(INDEX(A_MW,1,28)-INDEX(A_BillMW,1,28)))</f>
        <v>2409.3763</v>
      </c>
      <c r="AI11" s="35" t="n">
        <f aca="false">INDEX($F11:$AG11,1,MATCH(AI$7,$F$7:$AG$7,1))</f>
        <v>27.7275</v>
      </c>
      <c r="AJ11" s="35" t="n">
        <f aca="false">INDEX($F11:$AG11,1,MATCH(AJ$7,$F$7:$AG$7,1))</f>
        <v>138.32595</v>
      </c>
      <c r="AK11" s="35" t="n">
        <f aca="false">INDEX($F11:$AG11,1,MATCH(AK$7,$F$7:$AG$7,1))</f>
        <v>212.7397</v>
      </c>
      <c r="AL11" s="35" t="n">
        <f aca="false">INDEX($F11:$AG11,1,MATCH(AL$7,$F$7:$AG$7,1))</f>
        <v>812.6073</v>
      </c>
      <c r="AM11" s="35" t="n">
        <f aca="false">INDEX($F11:$AG11,1,MATCH(AM$7,$F$7:$AG$7,1))</f>
        <v>1338.9518</v>
      </c>
      <c r="AN11" s="35" t="n">
        <f aca="false">INDEX($F11:$AG11,1,MATCH(AN$7,$F$7:$AG$7,1))</f>
        <v>1963.8213</v>
      </c>
      <c r="AO11" s="35" t="n">
        <f aca="false">INDEX($F11:$AG11,1,MATCH(AO$7,$F$7:$AG$7,1))</f>
        <v>2409.3763</v>
      </c>
    </row>
    <row r="12" customFormat="false" ht="15" hidden="false" customHeight="false" outlineLevel="0" collapsed="false">
      <c r="A12" s="112" t="s">
        <v>3088</v>
      </c>
      <c r="B12" s="24" t="s">
        <v>857</v>
      </c>
      <c r="C12" s="24" t="s">
        <v>1595</v>
      </c>
      <c r="D12" s="24"/>
      <c r="F12" s="116" t="n">
        <f aca="false">INDEX(MW_Contr,1,1)</f>
        <v>0</v>
      </c>
      <c r="G12" s="116" t="n">
        <f aca="false">INDEX(MW_Contr,1,2)</f>
        <v>0</v>
      </c>
      <c r="H12" s="116" t="n">
        <f aca="false">INDEX(MW_Contr,1,3)</f>
        <v>5</v>
      </c>
      <c r="I12" s="116" t="n">
        <f aca="false">INDEX(MW_Contr,1,4)</f>
        <v>123.1825</v>
      </c>
      <c r="J12" s="116" t="n">
        <f aca="false">INDEX(MW_Contr,1,5)</f>
        <v>423.1825</v>
      </c>
      <c r="K12" s="116" t="n">
        <f aca="false">INDEX(MW_Contr,1,6)</f>
        <v>443.4897</v>
      </c>
      <c r="L12" s="116" t="n">
        <f aca="false">INDEX(MW_Contr,1,7)</f>
        <v>665.6997</v>
      </c>
      <c r="M12" s="116" t="n">
        <f aca="false">INDEX(MW_Contr,1,8)</f>
        <v>1600</v>
      </c>
      <c r="N12" s="116" t="n">
        <f aca="false">INDEX(MW_Contr,1,9)</f>
        <v>2200</v>
      </c>
      <c r="O12" s="116" t="n">
        <f aca="false">INDEX(MW_Contr,1,10)</f>
        <v>3102.7433</v>
      </c>
      <c r="P12" s="35" t="n">
        <f aca="false">INDEX(MW_Contr,1,11)</f>
        <v>3400</v>
      </c>
      <c r="Q12" s="35" t="n">
        <f aca="false">INDEX(MW_Contr,1,12)</f>
        <v>4000</v>
      </c>
      <c r="R12" s="35" t="n">
        <f aca="false">INDEX(MW_Contr,1,13)</f>
        <v>4000</v>
      </c>
      <c r="S12" s="35" t="n">
        <f aca="false">INDEX(MW_Contr,1,14)</f>
        <v>4000</v>
      </c>
      <c r="T12" s="35" t="n">
        <f aca="false">INDEX(MW_Contr,1,15)</f>
        <v>4000</v>
      </c>
      <c r="U12" s="35" t="n">
        <f aca="false">INDEX(MW_Contr,1,16)</f>
        <v>4000</v>
      </c>
      <c r="V12" s="35" t="n">
        <f aca="false">INDEX(MW_Contr,1,17)</f>
        <v>4000</v>
      </c>
      <c r="W12" s="35" t="n">
        <f aca="false">INDEX(MW_Contr,1,18)</f>
        <v>4000</v>
      </c>
      <c r="X12" s="35" t="n">
        <f aca="false">INDEX(MW_Contr,1,19)</f>
        <v>4000</v>
      </c>
      <c r="Y12" s="35" t="n">
        <f aca="false">INDEX(MW_Contr,1,20)</f>
        <v>4000</v>
      </c>
      <c r="Z12" s="35" t="n">
        <f aca="false">INDEX(MW_Contr,1,21)</f>
        <v>4000</v>
      </c>
      <c r="AA12" s="35" t="n">
        <f aca="false">INDEX(MW_Contr,1,22)</f>
        <v>4000</v>
      </c>
      <c r="AB12" s="35" t="n">
        <f aca="false">INDEX(MW_Contr,1,23)</f>
        <v>4000</v>
      </c>
      <c r="AC12" s="35" t="n">
        <f aca="false">INDEX(MW_Contr,1,24)</f>
        <v>4000</v>
      </c>
      <c r="AD12" s="35" t="n">
        <f aca="false">INDEX(MW_Contr,1,25)</f>
        <v>4000</v>
      </c>
      <c r="AE12" s="35" t="n">
        <f aca="false">INDEX(MW_Contr,1,26)</f>
        <v>4000</v>
      </c>
      <c r="AF12" s="35" t="n">
        <f aca="false">INDEX(MW_Contr,1,27)</f>
        <v>4000</v>
      </c>
      <c r="AG12" s="35" t="n">
        <f aca="false">INDEX(MW_Contr,1,28)</f>
        <v>4000</v>
      </c>
      <c r="AI12" s="35" t="n">
        <f aca="false">INDEX($F12:$AG12,1,MATCH(AI$7,$F$7:$AG$7,1))</f>
        <v>123.1825</v>
      </c>
      <c r="AJ12" s="35" t="n">
        <f aca="false">INDEX($F12:$AG12,1,MATCH(AJ$7,$F$7:$AG$7,1))</f>
        <v>1600</v>
      </c>
      <c r="AK12" s="35" t="n">
        <f aca="false">INDEX($F12:$AG12,1,MATCH(AK$7,$F$7:$AG$7,1))</f>
        <v>4000</v>
      </c>
      <c r="AL12" s="35" t="n">
        <f aca="false">INDEX($F12:$AG12,1,MATCH(AL$7,$F$7:$AG$7,1))</f>
        <v>4000</v>
      </c>
      <c r="AM12" s="35" t="n">
        <f aca="false">INDEX($F12:$AG12,1,MATCH(AM$7,$F$7:$AG$7,1))</f>
        <v>4000</v>
      </c>
      <c r="AN12" s="35" t="n">
        <f aca="false">INDEX($F12:$AG12,1,MATCH(AN$7,$F$7:$AG$7,1))</f>
        <v>4000</v>
      </c>
      <c r="AO12" s="35" t="n">
        <f aca="false">INDEX($F12:$AG12,1,MATCH(AO$7,$F$7:$AG$7,1))</f>
        <v>4000</v>
      </c>
    </row>
    <row r="13" customFormat="false" ht="15" hidden="false" customHeight="false" outlineLevel="0" collapsed="false">
      <c r="A13" s="112" t="s">
        <v>3089</v>
      </c>
      <c r="B13" s="24" t="s">
        <v>857</v>
      </c>
      <c r="C13" s="24" t="s">
        <v>1595</v>
      </c>
      <c r="D13" s="24"/>
      <c r="F13" s="116" t="n">
        <f aca="false">INDEX(MW_En,1,1)</f>
        <v>22.7275</v>
      </c>
      <c r="G13" s="116" t="n">
        <f aca="false">INDEX(MW_En,1,2)</f>
        <v>22.7275</v>
      </c>
      <c r="H13" s="116" t="n">
        <f aca="false">INDEX(MW_En,1,3)</f>
        <v>22.7275</v>
      </c>
      <c r="I13" s="116" t="n">
        <f aca="false">INDEX(MW_En,1,4)</f>
        <v>27.7275</v>
      </c>
      <c r="J13" s="116" t="n">
        <f aca="false">INDEX(MW_En,1,5)</f>
        <v>47.7275</v>
      </c>
      <c r="K13" s="116" t="n">
        <f aca="false">INDEX(MW_En,1,6)</f>
        <v>47.7275</v>
      </c>
      <c r="L13" s="116" t="n">
        <f aca="false">INDEX(MW_En,1,7)</f>
        <v>59.09125</v>
      </c>
      <c r="M13" s="116" t="n">
        <f aca="false">INDEX(MW_En,1,8)</f>
        <v>138.32595</v>
      </c>
      <c r="N13" s="116" t="n">
        <f aca="false">INDEX(MW_En,1,9)</f>
        <v>170.9897</v>
      </c>
      <c r="O13" s="116" t="n">
        <f aca="false">INDEX(MW_En,1,10)</f>
        <v>182.4897</v>
      </c>
      <c r="P13" s="35" t="n">
        <f aca="false">INDEX(MW_En,1,11)</f>
        <v>216.9897</v>
      </c>
      <c r="Q13" s="35" t="n">
        <f aca="false">INDEX(MW_En,1,12)</f>
        <v>301.7195</v>
      </c>
      <c r="R13" s="35" t="n">
        <f aca="false">INDEX(MW_En,1,13)</f>
        <v>453.79225</v>
      </c>
      <c r="S13" s="35" t="n">
        <f aca="false">INDEX(MW_En,1,14)</f>
        <v>629.5368</v>
      </c>
      <c r="T13" s="35" t="n">
        <f aca="false">INDEX(MW_En,1,15)</f>
        <v>812.6073</v>
      </c>
      <c r="U13" s="35" t="n">
        <f aca="false">INDEX(MW_En,1,16)</f>
        <v>1081.9108</v>
      </c>
      <c r="V13" s="35" t="n">
        <f aca="false">INDEX(MW_En,1,17)</f>
        <v>1172.9923</v>
      </c>
      <c r="W13" s="35" t="n">
        <f aca="false">INDEX(MW_En,1,18)</f>
        <v>1326.4518</v>
      </c>
      <c r="X13" s="35" t="n">
        <f aca="false">INDEX(MW_En,1,19)</f>
        <v>1338.9518</v>
      </c>
      <c r="Y13" s="35" t="n">
        <f aca="false">INDEX(MW_En,1,20)</f>
        <v>1652.7273</v>
      </c>
      <c r="Z13" s="35" t="n">
        <f aca="false">INDEX(MW_En,1,21)</f>
        <v>1652.7273</v>
      </c>
      <c r="AA13" s="35" t="n">
        <f aca="false">INDEX(MW_En,1,22)</f>
        <v>1963.8213</v>
      </c>
      <c r="AB13" s="35" t="n">
        <f aca="false">INDEX(MW_En,1,23)</f>
        <v>1963.8213</v>
      </c>
      <c r="AC13" s="35" t="n">
        <f aca="false">INDEX(MW_En,1,24)</f>
        <v>2409.3763</v>
      </c>
      <c r="AD13" s="35" t="n">
        <f aca="false">INDEX(MW_En,1,25)</f>
        <v>2409.3763</v>
      </c>
      <c r="AE13" s="35" t="n">
        <f aca="false">INDEX(MW_En,1,26)</f>
        <v>2409.3763</v>
      </c>
      <c r="AF13" s="35" t="n">
        <f aca="false">INDEX(MW_En,1,27)</f>
        <v>2409.3763</v>
      </c>
      <c r="AG13" s="35" t="n">
        <f aca="false">INDEX(MW_En,1,28)</f>
        <v>2841.0793</v>
      </c>
      <c r="AI13" s="35" t="n">
        <f aca="false">INDEX($F13:$AG13,1,MATCH(AI$7,$F$7:$AG$7,1))</f>
        <v>27.7275</v>
      </c>
      <c r="AJ13" s="35" t="n">
        <f aca="false">INDEX($F13:$AG13,1,MATCH(AJ$7,$F$7:$AG$7,1))</f>
        <v>138.32595</v>
      </c>
      <c r="AK13" s="35" t="n">
        <f aca="false">INDEX($F13:$AG13,1,MATCH(AK$7,$F$7:$AG$7,1))</f>
        <v>301.7195</v>
      </c>
      <c r="AL13" s="35" t="n">
        <f aca="false">INDEX($F13:$AG13,1,MATCH(AL$7,$F$7:$AG$7,1))</f>
        <v>1081.9108</v>
      </c>
      <c r="AM13" s="35" t="n">
        <f aca="false">INDEX($F13:$AG13,1,MATCH(AM$7,$F$7:$AG$7,1))</f>
        <v>1652.7273</v>
      </c>
      <c r="AN13" s="35" t="n">
        <f aca="false">INDEX($F13:$AG13,1,MATCH(AN$7,$F$7:$AG$7,1))</f>
        <v>2409.3763</v>
      </c>
      <c r="AO13" s="35" t="n">
        <f aca="false">INDEX($F13:$AG13,1,MATCH(AO$7,$F$7:$AG$7,1))</f>
        <v>2841.0793</v>
      </c>
    </row>
    <row r="14" customFormat="false" ht="15" hidden="false" customHeight="false" outlineLevel="0" collapsed="false">
      <c r="A14" s="112" t="s">
        <v>3090</v>
      </c>
      <c r="B14" s="24" t="s">
        <v>857</v>
      </c>
      <c r="C14" s="24" t="s">
        <v>1595</v>
      </c>
      <c r="D14" s="24"/>
      <c r="F14" s="116" t="n">
        <f aca="false">INDEX(MW_Act,1,1)*INDEX(MW_OwnSh,1,1)</f>
        <v>22.7275</v>
      </c>
      <c r="G14" s="116" t="n">
        <f aca="false">INDEX(MW_Act,1,2)*INDEX(MW_OwnSh,1,2)</f>
        <v>22.7275</v>
      </c>
      <c r="H14" s="116" t="n">
        <f aca="false">INDEX(MW_Act,1,3)*INDEX(MW_OwnSh,1,3)</f>
        <v>22.7275</v>
      </c>
      <c r="I14" s="116" t="n">
        <f aca="false">INDEX(MW_Act,1,4)*INDEX(MW_OwnSh,1,4)</f>
        <v>22.7275</v>
      </c>
      <c r="J14" s="116" t="n">
        <f aca="false">INDEX(MW_Act,1,5)*INDEX(MW_OwnSh,1,5)</f>
        <v>22.7275</v>
      </c>
      <c r="K14" s="116" t="n">
        <f aca="false">INDEX(MW_Act,1,6)*INDEX(MW_OwnSh,1,6)</f>
        <v>22.7275</v>
      </c>
      <c r="L14" s="116" t="n">
        <f aca="false">INDEX(MW_Act,1,7)*INDEX(MW_OwnSh,1,7)</f>
        <v>34.09125</v>
      </c>
      <c r="M14" s="116" t="n">
        <f aca="false">INDEX(MW_Act,1,8)*INDEX(MW_OwnSh,1,8)</f>
        <v>56.81875</v>
      </c>
      <c r="N14" s="116" t="n">
        <f aca="false">INDEX(MW_Act,1,9)*INDEX(MW_OwnSh,1,9)</f>
        <v>68.1825</v>
      </c>
      <c r="O14" s="116" t="n">
        <f aca="false">INDEX(MW_Act,1,10)*INDEX(MW_OwnSh,1,10)</f>
        <v>68.1825</v>
      </c>
      <c r="P14" s="35" t="n">
        <f aca="false">INDEX(MW_Act,1,11)*INDEX(MW_OwnSh,1,11)</f>
        <v>57.3419105618838</v>
      </c>
      <c r="Q14" s="35" t="n">
        <f aca="false">INDEX(MW_Act,1,12)*INDEX(MW_OwnSh,1,12)</f>
        <v>49.035280186564</v>
      </c>
      <c r="R14" s="35" t="n">
        <f aca="false">INDEX(MW_Act,1,13)*INDEX(MW_OwnSh,1,13)</f>
        <v>51.4894981775802</v>
      </c>
      <c r="S14" s="35" t="n">
        <f aca="false">INDEX(MW_Act,1,14)*INDEX(MW_OwnSh,1,14)</f>
        <v>73.4660762254089</v>
      </c>
      <c r="T14" s="35" t="n">
        <f aca="false">INDEX(MW_Act,1,15)*INDEX(MW_OwnSh,1,15)</f>
        <v>133.783890062026</v>
      </c>
      <c r="U14" s="35" t="n">
        <f aca="false">INDEX(MW_Act,1,16)*INDEX(MW_OwnSh,1,16)</f>
        <v>244.358092166193</v>
      </c>
      <c r="V14" s="35" t="n">
        <f aca="false">INDEX(MW_Act,1,17)*INDEX(MW_OwnSh,1,17)</f>
        <v>372.557461120759</v>
      </c>
      <c r="W14" s="35" t="n">
        <f aca="false">INDEX(MW_Act,1,18)*INDEX(MW_OwnSh,1,18)</f>
        <v>492.896629313104</v>
      </c>
      <c r="X14" s="35" t="n">
        <f aca="false">INDEX(MW_Act,1,19)*INDEX(MW_OwnSh,1,19)</f>
        <v>552.177479977845</v>
      </c>
      <c r="Y14" s="35" t="n">
        <f aca="false">INDEX(MW_Act,1,20)*INDEX(MW_OwnSh,1,20)</f>
        <v>668.374788921984</v>
      </c>
      <c r="Z14" s="35" t="n">
        <f aca="false">INDEX(MW_Act,1,21)*INDEX(MW_OwnSh,1,21)</f>
        <v>825.0045</v>
      </c>
      <c r="AA14" s="35" t="n">
        <f aca="false">INDEX(MW_Act,1,22)*INDEX(MW_OwnSh,1,22)</f>
        <v>956.126204781998</v>
      </c>
      <c r="AB14" s="35" t="n">
        <f aca="false">INDEX(MW_Act,1,23)*INDEX(MW_OwnSh,1,23)</f>
        <v>1136.0985</v>
      </c>
      <c r="AC14" s="35" t="n">
        <f aca="false">INDEX(MW_Act,1,24)*INDEX(MW_OwnSh,1,24)</f>
        <v>1289.16551246875</v>
      </c>
      <c r="AD14" s="35" t="n">
        <f aca="false">INDEX(MW_Act,1,25)*INDEX(MW_OwnSh,1,25)</f>
        <v>1581.6535</v>
      </c>
      <c r="AE14" s="35" t="n">
        <f aca="false">INDEX(MW_Act,1,26)*INDEX(MW_OwnSh,1,26)</f>
        <v>1581.6535</v>
      </c>
      <c r="AF14" s="35" t="n">
        <f aca="false">INDEX(MW_Act,1,27)*INDEX(MW_OwnSh,1,27)</f>
        <v>1581.6535</v>
      </c>
      <c r="AG14" s="35" t="n">
        <f aca="false">INDEX(MW_Act,1,28)*INDEX(MW_OwnSh,1,28)</f>
        <v>1707.42627090731</v>
      </c>
      <c r="AI14" s="35" t="n">
        <f aca="false">INDEX($F14:$AG14,1,MATCH(AI$7,$F$7:$AG$7,1))</f>
        <v>22.7275</v>
      </c>
      <c r="AJ14" s="35" t="n">
        <f aca="false">INDEX($F14:$AG14,1,MATCH(AJ$7,$F$7:$AG$7,1))</f>
        <v>56.81875</v>
      </c>
      <c r="AK14" s="35" t="n">
        <f aca="false">INDEX($F14:$AG14,1,MATCH(AK$7,$F$7:$AG$7,1))</f>
        <v>49.035280186564</v>
      </c>
      <c r="AL14" s="35" t="n">
        <f aca="false">INDEX($F14:$AG14,1,MATCH(AL$7,$F$7:$AG$7,1))</f>
        <v>244.358092166193</v>
      </c>
      <c r="AM14" s="35" t="n">
        <f aca="false">INDEX($F14:$AG14,1,MATCH(AM$7,$F$7:$AG$7,1))</f>
        <v>668.374788921984</v>
      </c>
      <c r="AN14" s="35" t="n">
        <f aca="false">INDEX($F14:$AG14,1,MATCH(AN$7,$F$7:$AG$7,1))</f>
        <v>1289.16551246875</v>
      </c>
      <c r="AO14" s="35" t="n">
        <f aca="false">INDEX($F14:$AG14,1,MATCH(AO$7,$F$7:$AG$7,1))</f>
        <v>1707.42627090731</v>
      </c>
    </row>
    <row r="15" customFormat="false" ht="15" hidden="false" customHeight="false" outlineLevel="0" collapsed="false">
      <c r="A15" s="112" t="s">
        <v>3091</v>
      </c>
      <c r="B15" s="24" t="s">
        <v>857</v>
      </c>
      <c r="C15" s="24" t="s">
        <v>1595</v>
      </c>
      <c r="D15" s="24"/>
      <c r="F15" s="116" t="n">
        <f aca="false">INDEX(MW_Act,1,1)*(1-INDEX(MW_OwnSh,1,1))</f>
        <v>0</v>
      </c>
      <c r="G15" s="116" t="n">
        <f aca="false">INDEX(MW_Act,1,2)*(1-INDEX(MW_OwnSh,1,2))</f>
        <v>0</v>
      </c>
      <c r="H15" s="116" t="n">
        <f aca="false">INDEX(MW_Act,1,3)*(1-INDEX(MW_OwnSh,1,3))</f>
        <v>0</v>
      </c>
      <c r="I15" s="116" t="n">
        <f aca="false">INDEX(MW_Act,1,4)*(1-INDEX(MW_OwnSh,1,4))</f>
        <v>5</v>
      </c>
      <c r="J15" s="116" t="n">
        <f aca="false">INDEX(MW_Act,1,5)*(1-INDEX(MW_OwnSh,1,5))</f>
        <v>25</v>
      </c>
      <c r="K15" s="116" t="n">
        <f aca="false">INDEX(MW_Act,1,6)*(1-INDEX(MW_OwnSh,1,6))</f>
        <v>25</v>
      </c>
      <c r="L15" s="116" t="n">
        <f aca="false">INDEX(MW_Act,1,7)*(1-INDEX(MW_OwnSh,1,7))</f>
        <v>25</v>
      </c>
      <c r="M15" s="116" t="n">
        <f aca="false">INDEX(MW_Act,1,8)*(1-INDEX(MW_OwnSh,1,8))</f>
        <v>81.5072</v>
      </c>
      <c r="N15" s="116" t="n">
        <f aca="false">INDEX(MW_Act,1,9)*(1-INDEX(MW_OwnSh,1,9))</f>
        <v>102.8072</v>
      </c>
      <c r="O15" s="116" t="n">
        <f aca="false">INDEX(MW_Act,1,10)*(1-INDEX(MW_OwnSh,1,10))</f>
        <v>114.3072</v>
      </c>
      <c r="P15" s="35" t="n">
        <f aca="false">INDEX(MW_Act,1,11)*(1-INDEX(MW_OwnSh,1,11))</f>
        <v>125.147789438116</v>
      </c>
      <c r="Q15" s="35" t="n">
        <f aca="false">INDEX(MW_Act,1,12)*(1-INDEX(MW_OwnSh,1,12))</f>
        <v>167.954419813436</v>
      </c>
      <c r="R15" s="35" t="n">
        <f aca="false">INDEX(MW_Act,1,13)*(1-INDEX(MW_OwnSh,1,13))</f>
        <v>250.23000182242</v>
      </c>
      <c r="S15" s="35" t="n">
        <f aca="false">INDEX(MW_Act,1,14)*(1-INDEX(MW_OwnSh,1,14))</f>
        <v>380.326173774591</v>
      </c>
      <c r="T15" s="35" t="n">
        <f aca="false">INDEX(MW_Act,1,15)*(1-INDEX(MW_OwnSh,1,15))</f>
        <v>495.752909937974</v>
      </c>
      <c r="U15" s="35" t="n">
        <f aca="false">INDEX(MW_Act,1,16)*(1-INDEX(MW_OwnSh,1,16))</f>
        <v>568.249207833807</v>
      </c>
      <c r="V15" s="35" t="n">
        <f aca="false">INDEX(MW_Act,1,17)*(1-INDEX(MW_OwnSh,1,17))</f>
        <v>709.353338879241</v>
      </c>
      <c r="W15" s="35" t="n">
        <f aca="false">INDEX(MW_Act,1,18)*(1-INDEX(MW_OwnSh,1,18))</f>
        <v>680.095670686896</v>
      </c>
      <c r="X15" s="35" t="n">
        <f aca="false">INDEX(MW_Act,1,19)*(1-INDEX(MW_OwnSh,1,19))</f>
        <v>774.274320022155</v>
      </c>
      <c r="Y15" s="35" t="n">
        <f aca="false">INDEX(MW_Act,1,20)*(1-INDEX(MW_OwnSh,1,20))</f>
        <v>670.577011078016</v>
      </c>
      <c r="Z15" s="35" t="n">
        <f aca="false">INDEX(MW_Act,1,21)*(1-INDEX(MW_OwnSh,1,21))</f>
        <v>827.7228</v>
      </c>
      <c r="AA15" s="35" t="n">
        <f aca="false">INDEX(MW_Act,1,22)*(1-INDEX(MW_OwnSh,1,22))</f>
        <v>696.601095218002</v>
      </c>
      <c r="AB15" s="35" t="n">
        <f aca="false">INDEX(MW_Act,1,23)*(1-INDEX(MW_OwnSh,1,23))</f>
        <v>827.7228</v>
      </c>
      <c r="AC15" s="35" t="n">
        <f aca="false">INDEX(MW_Act,1,24)*(1-INDEX(MW_OwnSh,1,24))</f>
        <v>674.655787531254</v>
      </c>
      <c r="AD15" s="35" t="n">
        <f aca="false">INDEX(MW_Act,1,25)*(1-INDEX(MW_OwnSh,1,25))</f>
        <v>827.7228</v>
      </c>
      <c r="AE15" s="35" t="n">
        <f aca="false">INDEX(MW_Act,1,26)*(1-INDEX(MW_OwnSh,1,26))</f>
        <v>827.7228</v>
      </c>
      <c r="AF15" s="35" t="n">
        <f aca="false">INDEX(MW_Act,1,27)*(1-INDEX(MW_OwnSh,1,27))</f>
        <v>827.7228</v>
      </c>
      <c r="AG15" s="35" t="n">
        <f aca="false">INDEX(MW_Act,1,28)*(1-INDEX(MW_OwnSh,1,28))</f>
        <v>701.95002909269</v>
      </c>
      <c r="AI15" s="35" t="n">
        <f aca="false">INDEX($F15:$AG15,1,MATCH(AI$7,$F$7:$AG$7,1))</f>
        <v>5</v>
      </c>
      <c r="AJ15" s="35" t="n">
        <f aca="false">INDEX($F15:$AG15,1,MATCH(AJ$7,$F$7:$AG$7,1))</f>
        <v>81.5072</v>
      </c>
      <c r="AK15" s="35" t="n">
        <f aca="false">INDEX($F15:$AG15,1,MATCH(AK$7,$F$7:$AG$7,1))</f>
        <v>167.954419813436</v>
      </c>
      <c r="AL15" s="35" t="n">
        <f aca="false">INDEX($F15:$AG15,1,MATCH(AL$7,$F$7:$AG$7,1))</f>
        <v>568.249207833807</v>
      </c>
      <c r="AM15" s="35" t="n">
        <f aca="false">INDEX($F15:$AG15,1,MATCH(AM$7,$F$7:$AG$7,1))</f>
        <v>670.577011078016</v>
      </c>
      <c r="AN15" s="35" t="n">
        <f aca="false">INDEX($F15:$AG15,1,MATCH(AN$7,$F$7:$AG$7,1))</f>
        <v>674.655787531254</v>
      </c>
      <c r="AO15" s="35" t="n">
        <f aca="false">INDEX($F15:$AG15,1,MATCH(AO$7,$F$7:$AG$7,1))</f>
        <v>701.95002909269</v>
      </c>
    </row>
    <row r="17" customFormat="false" ht="15" hidden="false" customHeight="false" outlineLevel="0" collapsed="false">
      <c r="A17" s="64" t="s">
        <v>3092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</row>
    <row r="18" customFormat="false" ht="15" hidden="false" customHeight="false" outlineLevel="0" collapsed="false">
      <c r="A18" s="3" t="s">
        <v>3093</v>
      </c>
      <c r="B18" s="24" t="s">
        <v>840</v>
      </c>
      <c r="C18" s="24" t="s">
        <v>672</v>
      </c>
      <c r="D18" s="24"/>
      <c r="F18" s="151" t="n">
        <f aca="false">IFERROR(INDEX(AIRev,1,1)*4/F11,0)</f>
        <v>1.81278187218128</v>
      </c>
      <c r="G18" s="151" t="n">
        <f aca="false">IFERROR(INDEX(AIRev,1,2)*4/G11,0)</f>
        <v>2.30557694423056</v>
      </c>
      <c r="H18" s="151" t="n">
        <f aca="false">IFERROR(INDEX(AIRev,1,3)*4/H11,0)</f>
        <v>5.08634913650864</v>
      </c>
      <c r="I18" s="151" t="n">
        <f aca="false">IFERROR(INDEX(AIRev,1,4)*4/I11,0)</f>
        <v>4.57307726985844</v>
      </c>
      <c r="J18" s="151" t="n">
        <f aca="false">IFERROR(INDEX(AIRev,1,5)*4/J11,0)</f>
        <v>3.46969776334398</v>
      </c>
      <c r="K18" s="151" t="n">
        <f aca="false">IFERROR(INDEX(AIRev,1,6)*4/K11,0)</f>
        <v>7.84453407364727</v>
      </c>
      <c r="L18" s="151" t="n">
        <f aca="false">IFERROR(INDEX(AIRev,1,7)*4/L11,0)</f>
        <v>9.39563810208787</v>
      </c>
      <c r="M18" s="151" t="n">
        <f aca="false">IFERROR(INDEX(AIRev,1,8)*4/M11,0)</f>
        <v>6.19406553867875</v>
      </c>
      <c r="N18" s="151" t="n">
        <f aca="false">IFERROR(INDEX(AIRev,1,9)*4/N11,0)</f>
        <v>9.11633858647626</v>
      </c>
      <c r="O18" s="151" t="n">
        <f aca="false">IFERROR(INDEX(AIRev,1,10)*4/O11,0)</f>
        <v>12.6012591395569</v>
      </c>
      <c r="P18" s="152" t="n">
        <f aca="false">IFERROR(INDEX(AIRev,1,11)*4/P11,0)</f>
        <v>14.9717129838289</v>
      </c>
      <c r="Q18" s="152" t="n">
        <f aca="false">IFERROR(INDEX(AIRev,1,12)*4/Q11,0)</f>
        <v>15.0680700197503</v>
      </c>
      <c r="R18" s="152" t="n">
        <f aca="false">IFERROR(INDEX(AIRev,1,13)*4/R11,0)</f>
        <v>13.712926559061</v>
      </c>
      <c r="S18" s="152" t="n">
        <f aca="false">IFERROR(INDEX(AIRev,1,14)*4/S11,0)</f>
        <v>14.3247974000533</v>
      </c>
      <c r="T18" s="152" t="n">
        <f aca="false">IFERROR(INDEX(AIRev,1,15)*4/T11,0)</f>
        <v>15.5926802826216</v>
      </c>
      <c r="U18" s="152" t="n">
        <f aca="false">IFERROR(INDEX(AIRev,1,16)*4/U11,0)</f>
        <v>15.1508226942456</v>
      </c>
      <c r="V18" s="152" t="n">
        <f aca="false">IFERROR(INDEX(AIRev,1,17)*4/V11,0)</f>
        <v>14.8085787695981</v>
      </c>
      <c r="W18" s="152" t="n">
        <f aca="false">IFERROR(INDEX(AIRev,1,18)*4/W11,0)</f>
        <v>16.1617403595121</v>
      </c>
      <c r="X18" s="152" t="n">
        <f aca="false">IFERROR(INDEX(AIRev,1,19)*4/X11,0)</f>
        <v>15.9326895718051</v>
      </c>
      <c r="Y18" s="152" t="n">
        <f aca="false">IFERROR(INDEX(AIRev,1,20)*4/Y11,0)</f>
        <v>16.8892892766613</v>
      </c>
      <c r="Z18" s="152" t="n">
        <f aca="false">IFERROR(INDEX(AIRev,1,21)*4/Z11,0)</f>
        <v>15.4247331378372</v>
      </c>
      <c r="AA18" s="152" t="n">
        <f aca="false">IFERROR(INDEX(AIRev,1,22)*4/AA11,0)</f>
        <v>17.1578404030672</v>
      </c>
      <c r="AB18" s="152" t="n">
        <f aca="false">IFERROR(INDEX(AIRev,1,23)*4/AB11,0)</f>
        <v>15.8761332244079</v>
      </c>
      <c r="AC18" s="152" t="n">
        <f aca="false">IFERROR(INDEX(AIRev,1,24)*4/AC11,0)</f>
        <v>17.3437848411868</v>
      </c>
      <c r="AD18" s="152" t="n">
        <f aca="false">IFERROR(INDEX(AIRev,1,25)*4/AD11,0)</f>
        <v>15.7409561021992</v>
      </c>
      <c r="AE18" s="152" t="n">
        <f aca="false">IFERROR(INDEX(AIRev,1,26)*4/AE11,0)</f>
        <v>17.3903629105893</v>
      </c>
      <c r="AF18" s="152" t="n">
        <f aca="false">IFERROR(INDEX(AIRev,1,27)*4/AF11,0)</f>
        <v>17.3332915683772</v>
      </c>
      <c r="AG18" s="152" t="n">
        <f aca="false">IFERROR(INDEX(AIRev,1,28)*4/AG11,0)</f>
        <v>17.5229452106083</v>
      </c>
    </row>
    <row r="19" customFormat="false" ht="15" hidden="false" customHeight="false" outlineLevel="0" collapsed="false">
      <c r="A19" s="112" t="s">
        <v>3094</v>
      </c>
      <c r="B19" s="24" t="s">
        <v>840</v>
      </c>
      <c r="C19" s="24" t="s">
        <v>672</v>
      </c>
      <c r="D19" s="24"/>
      <c r="F19" s="153" t="n">
        <f aca="false">IFERROR(INDEX(AIRev,1,1)*4/F12,0)</f>
        <v>0</v>
      </c>
      <c r="G19" s="153" t="n">
        <f aca="false">IFERROR(INDEX(AIRev,1,2)*4/G12,0)</f>
        <v>0</v>
      </c>
      <c r="H19" s="153" t="n">
        <f aca="false">IFERROR(INDEX(AIRev,1,3)*4/H12,0)</f>
        <v>23.12</v>
      </c>
      <c r="I19" s="153" t="n">
        <f aca="false">IFERROR(INDEX(AIRev,1,4)*4/I12,0)</f>
        <v>1.02936699612364</v>
      </c>
      <c r="J19" s="153" t="n">
        <f aca="false">IFERROR(INDEX(AIRev,1,5)*4/J12,0)</f>
        <v>0.39132052955876</v>
      </c>
      <c r="K19" s="153" t="n">
        <f aca="false">IFERROR(INDEX(AIRev,1,6)*4/K12,0)</f>
        <v>0.844213518374835</v>
      </c>
      <c r="L19" s="153" t="n">
        <f aca="false">IFERROR(INDEX(AIRev,1,7)*4/L12,0)</f>
        <v>0.834009689353924</v>
      </c>
      <c r="M19" s="153" t="n">
        <f aca="false">IFERROR(INDEX(AIRev,1,8)*4/M12,0)</f>
        <v>0.5355</v>
      </c>
      <c r="N19" s="153" t="n">
        <f aca="false">IFERROR(INDEX(AIRev,1,9)*4/N12,0)</f>
        <v>0.708545454545455</v>
      </c>
      <c r="O19" s="153" t="n">
        <f aca="false">IFERROR(INDEX(AIRev,1,10)*4/O12,0)</f>
        <v>0.741150581164739</v>
      </c>
      <c r="P19" s="154" t="n">
        <f aca="false">IFERROR(INDEX(AIRev,1,11)*4/P12,0)</f>
        <v>0.784868714918754</v>
      </c>
      <c r="Q19" s="154" t="n">
        <f aca="false">IFERROR(INDEX(AIRev,1,12)*4/Q12,0)</f>
        <v>0.801394173895167</v>
      </c>
      <c r="R19" s="154" t="n">
        <f aca="false">IFERROR(INDEX(AIRev,1,13)*4/R12,0)</f>
        <v>1.01979435176515</v>
      </c>
      <c r="S19" s="154" t="n">
        <f aca="false">IFERROR(INDEX(AIRev,1,14)*4/S12,0)</f>
        <v>1.62512051074108</v>
      </c>
      <c r="T19" s="154" t="n">
        <f aca="false">IFERROR(INDEX(AIRev,1,15)*4/T12,0)</f>
        <v>2.45404151213617</v>
      </c>
      <c r="U19" s="154" t="n">
        <f aca="false">IFERROR(INDEX(AIRev,1,16)*4/U12,0)</f>
        <v>3.07791728058742</v>
      </c>
      <c r="V19" s="154" t="n">
        <f aca="false">IFERROR(INDEX(AIRev,1,17)*4/V12,0)</f>
        <v>4.00539032586974</v>
      </c>
      <c r="W19" s="154" t="n">
        <f aca="false">IFERROR(INDEX(AIRev,1,18)*4/W12,0)</f>
        <v>4.73939924907673</v>
      </c>
      <c r="X19" s="154" t="n">
        <f aca="false">IFERROR(INDEX(AIRev,1,19)*4/X12,0)</f>
        <v>5.28348619034052</v>
      </c>
      <c r="Y19" s="154" t="n">
        <f aca="false">IFERROR(INDEX(AIRev,1,20)*4/Y12,0)</f>
        <v>5.65348606942659</v>
      </c>
      <c r="Z19" s="154" t="n">
        <f aca="false">IFERROR(INDEX(AIRev,1,21)*4/Z12,0)</f>
        <v>6.37321938802956</v>
      </c>
      <c r="AA19" s="154" t="n">
        <f aca="false">IFERROR(INDEX(AIRev,1,22)*4/AA12,0)</f>
        <v>7.08930781079804</v>
      </c>
      <c r="AB19" s="154" t="n">
        <f aca="false">IFERROR(INDEX(AIRev,1,23)*4/AB12,0)</f>
        <v>7.79447214693247</v>
      </c>
      <c r="AC19" s="154" t="n">
        <f aca="false">IFERROR(INDEX(AIRev,1,24)*4/AC12,0)</f>
        <v>8.51502352343495</v>
      </c>
      <c r="AD19" s="154" t="n">
        <f aca="false">IFERROR(INDEX(AIRev,1,25)*4/AD12,0)</f>
        <v>9.48147164299477</v>
      </c>
      <c r="AE19" s="154" t="n">
        <f aca="false">IFERROR(INDEX(AIRev,1,26)*4/AE12,0)</f>
        <v>10.4749820612932</v>
      </c>
      <c r="AF19" s="154" t="n">
        <f aca="false">IFERROR(INDEX(AIRev,1,27)*4/AF12,0)</f>
        <v>10.4406054764595</v>
      </c>
      <c r="AG19" s="154" t="n">
        <f aca="false">IFERROR(INDEX(AIRev,1,28)*4/AG12,0)</f>
        <v>10.5548422241595</v>
      </c>
    </row>
    <row r="20" customFormat="false" ht="15" hidden="false" customHeight="false" outlineLevel="0" collapsed="false">
      <c r="A20" s="112" t="s">
        <v>3095</v>
      </c>
      <c r="B20" s="24" t="s">
        <v>840</v>
      </c>
      <c r="C20" s="24" t="s">
        <v>672</v>
      </c>
      <c r="D20" s="24"/>
      <c r="F20" s="153" t="n">
        <f aca="false">IFERROR(INDEX(AIRev,1,1)*4/F13,0)</f>
        <v>1.81278187218128</v>
      </c>
      <c r="G20" s="153" t="n">
        <f aca="false">IFERROR(INDEX(AIRev,1,2)*4/G13,0)</f>
        <v>2.30557694423056</v>
      </c>
      <c r="H20" s="153" t="n">
        <f aca="false">IFERROR(INDEX(AIRev,1,3)*4/H13,0)</f>
        <v>5.08634913650864</v>
      </c>
      <c r="I20" s="153" t="n">
        <f aca="false">IFERROR(INDEX(AIRev,1,4)*4/I13,0)</f>
        <v>4.57307726985844</v>
      </c>
      <c r="J20" s="153" t="n">
        <f aca="false">IFERROR(INDEX(AIRev,1,5)*4/J13,0)</f>
        <v>3.46969776334398</v>
      </c>
      <c r="K20" s="153" t="n">
        <f aca="false">IFERROR(INDEX(AIRev,1,6)*4/K13,0)</f>
        <v>7.84453407364727</v>
      </c>
      <c r="L20" s="153" t="n">
        <f aca="false">IFERROR(INDEX(AIRev,1,7)*4/L13,0)</f>
        <v>9.39563810208787</v>
      </c>
      <c r="M20" s="153" t="n">
        <f aca="false">IFERROR(INDEX(AIRev,1,8)*4/M13,0)</f>
        <v>6.19406553867875</v>
      </c>
      <c r="N20" s="153" t="n">
        <f aca="false">IFERROR(INDEX(AIRev,1,9)*4/N13,0)</f>
        <v>9.11633858647626</v>
      </c>
      <c r="O20" s="153" t="n">
        <f aca="false">IFERROR(INDEX(AIRev,1,10)*4/O13,0)</f>
        <v>12.6012591395569</v>
      </c>
      <c r="P20" s="154" t="n">
        <f aca="false">IFERROR(INDEX(AIRev,1,11)*4/P13,0)</f>
        <v>12.2980659023159</v>
      </c>
      <c r="Q20" s="154" t="n">
        <f aca="false">IFERROR(INDEX(AIRev,1,12)*4/Q13,0)</f>
        <v>10.6243603598066</v>
      </c>
      <c r="R20" s="154" t="n">
        <f aca="false">IFERROR(INDEX(AIRev,1,13)*4/R13,0)</f>
        <v>8.98908565992612</v>
      </c>
      <c r="S20" s="154" t="n">
        <f aca="false">IFERROR(INDEX(AIRev,1,14)*4/S13,0)</f>
        <v>10.3258173993392</v>
      </c>
      <c r="T20" s="154" t="n">
        <f aca="false">IFERROR(INDEX(AIRev,1,15)*4/T13,0)</f>
        <v>12.0798398544348</v>
      </c>
      <c r="U20" s="154" t="n">
        <f aca="false">IFERROR(INDEX(AIRev,1,16)*4/U13,0)</f>
        <v>11.3795602394853</v>
      </c>
      <c r="V20" s="154" t="n">
        <f aca="false">IFERROR(INDEX(AIRev,1,17)*4/V13,0)</f>
        <v>13.6587096978206</v>
      </c>
      <c r="W20" s="154" t="n">
        <f aca="false">IFERROR(INDEX(AIRev,1,18)*4/W13,0)</f>
        <v>14.291960700198</v>
      </c>
      <c r="X20" s="154" t="n">
        <f aca="false">IFERROR(INDEX(AIRev,1,19)*4/X13,0)</f>
        <v>15.7839473843361</v>
      </c>
      <c r="Y20" s="154" t="n">
        <f aca="false">IFERROR(INDEX(AIRev,1,20)*4/Y13,0)</f>
        <v>13.6828043426803</v>
      </c>
      <c r="Z20" s="154" t="n">
        <f aca="false">IFERROR(INDEX(AIRev,1,21)*4/Z13,0)</f>
        <v>15.4247331378372</v>
      </c>
      <c r="AA20" s="154" t="n">
        <f aca="false">IFERROR(INDEX(AIRev,1,22)*4/AA13,0)</f>
        <v>14.4398226270344</v>
      </c>
      <c r="AB20" s="154" t="n">
        <f aca="false">IFERROR(INDEX(AIRev,1,23)*4/AB13,0)</f>
        <v>15.8761332244079</v>
      </c>
      <c r="AC20" s="154" t="n">
        <f aca="false">IFERROR(INDEX(AIRev,1,24)*4/AC13,0)</f>
        <v>14.1364775995098</v>
      </c>
      <c r="AD20" s="154" t="n">
        <f aca="false">IFERROR(INDEX(AIRev,1,25)*4/AD13,0)</f>
        <v>15.7409561021992</v>
      </c>
      <c r="AE20" s="154" t="n">
        <f aca="false">IFERROR(INDEX(AIRev,1,26)*4/AE13,0)</f>
        <v>17.3903629105893</v>
      </c>
      <c r="AF20" s="154" t="n">
        <f aca="false">IFERROR(INDEX(AIRev,1,27)*4/AF13,0)</f>
        <v>17.3332915683772</v>
      </c>
      <c r="AG20" s="154" t="n">
        <f aca="false">IFERROR(INDEX(AIRev,1,28)*4/AG13,0)</f>
        <v>14.8603275158979</v>
      </c>
    </row>
    <row r="21" customFormat="false" ht="15" hidden="false" customHeight="false" outlineLevel="0" collapsed="false">
      <c r="A21" s="112" t="s">
        <v>3096</v>
      </c>
      <c r="B21" s="24" t="s">
        <v>840</v>
      </c>
      <c r="C21" s="24" t="s">
        <v>672</v>
      </c>
      <c r="D21" s="24"/>
      <c r="F21" s="153" t="n">
        <f aca="false">IFERROR(INDEX(MS_Rev,1,1)*4/INDEX(MS_BillMW,1,1),0)</f>
        <v>0</v>
      </c>
      <c r="G21" s="153" t="n">
        <f aca="false">IFERROR(INDEX(MS_Rev,1,2)*4/INDEX(MS_BillMW,1,2),0)</f>
        <v>0</v>
      </c>
      <c r="H21" s="153" t="n">
        <f aca="false">IFERROR(INDEX(MS_Rev,1,3)*4/INDEX(MS_BillMW,1,3),0)</f>
        <v>0</v>
      </c>
      <c r="I21" s="153" t="n">
        <f aca="false">IFERROR(INDEX(MS_Rev,1,4)*4/INDEX(MS_BillMW,1,4),0)</f>
        <v>0</v>
      </c>
      <c r="J21" s="153" t="n">
        <f aca="false">IFERROR(INDEX(MS_Rev,1,5)*4/INDEX(MS_BillMW,1,5),0)</f>
        <v>0</v>
      </c>
      <c r="K21" s="153" t="n">
        <f aca="false">IFERROR(INDEX(MS_Rev,1,6)*4/INDEX(MS_BillMW,1,6),0)</f>
        <v>0</v>
      </c>
      <c r="L21" s="153" t="n">
        <f aca="false">IFERROR(INDEX(MS_Rev,1,7)*4/INDEX(MS_BillMW,1,7),0)</f>
        <v>0</v>
      </c>
      <c r="M21" s="153" t="n">
        <f aca="false">IFERROR(INDEX(MS_Rev,1,8)*4/INDEX(MS_BillMW,1,8),0)</f>
        <v>1.81176041666667</v>
      </c>
      <c r="N21" s="153" t="n">
        <f aca="false">IFERROR(INDEX(MS_Rev,1,9)*4/INDEX(MS_BillMW,1,9),0)</f>
        <v>4.52940104166667</v>
      </c>
      <c r="O21" s="153" t="n">
        <f aca="false">IFERROR(INDEX(MS_Rev,1,10)*4/INDEX(MS_BillMW,1,10),0)</f>
        <v>9.05880208333333</v>
      </c>
      <c r="P21" s="154" t="n">
        <f aca="false">IFERROR(INDEX(MS_Rev,1,11)*4/INDEX(MS_BillMW,1,11),0)</f>
        <v>7.24704166666667</v>
      </c>
      <c r="Q21" s="154" t="n">
        <f aca="false">IFERROR(INDEX(MS_Rev,1,12)*4/INDEX(MS_BillMW,1,12),0)</f>
        <v>10.8705625</v>
      </c>
      <c r="R21" s="154" t="n">
        <f aca="false">IFERROR(INDEX(MS_Rev,1,13)*4/INDEX(MS_BillMW,1,13),0)</f>
        <v>12.6823229166667</v>
      </c>
      <c r="S21" s="154" t="n">
        <f aca="false">IFERROR(INDEX(MS_Rev,1,14)*4/INDEX(MS_BillMW,1,14),0)</f>
        <v>14.4940833333333</v>
      </c>
      <c r="T21" s="154" t="n">
        <f aca="false">IFERROR(INDEX(MS_Rev,1,15)*4/INDEX(MS_BillMW,1,15),0)</f>
        <v>14.4940833333333</v>
      </c>
      <c r="U21" s="154" t="n">
        <f aca="false">IFERROR(INDEX(MS_Rev,1,16)*4/INDEX(MS_BillMW,1,16),0)</f>
        <v>14.4940833333333</v>
      </c>
      <c r="V21" s="154" t="n">
        <f aca="false">IFERROR(INDEX(MS_Rev,1,17)*4/INDEX(MS_BillMW,1,17),0)</f>
        <v>14.4940833333333</v>
      </c>
      <c r="W21" s="154" t="n">
        <f aca="false">IFERROR(INDEX(MS_Rev,1,18)*4/INDEX(MS_BillMW,1,18),0)</f>
        <v>14.4940833333333</v>
      </c>
      <c r="X21" s="154" t="n">
        <f aca="false">IFERROR(INDEX(MS_Rev,1,19)*4/INDEX(MS_BillMW,1,19),0)</f>
        <v>14.4940833333333</v>
      </c>
      <c r="Y21" s="154" t="n">
        <f aca="false">IFERROR(INDEX(MS_Rev,1,20)*4/INDEX(MS_BillMW,1,20),0)</f>
        <v>14.4940833333333</v>
      </c>
      <c r="Z21" s="154" t="n">
        <f aca="false">IFERROR(INDEX(MS_Rev,1,21)*4/INDEX(MS_BillMW,1,21),0)</f>
        <v>14.4940833333333</v>
      </c>
      <c r="AA21" s="154" t="n">
        <f aca="false">IFERROR(INDEX(MS_Rev,1,22)*4/INDEX(MS_BillMW,1,22),0)</f>
        <v>14.4940833333333</v>
      </c>
      <c r="AB21" s="154" t="n">
        <f aca="false">IFERROR(INDEX(MS_Rev,1,23)*4/INDEX(MS_BillMW,1,23),0)</f>
        <v>14.4940833333333</v>
      </c>
      <c r="AC21" s="154" t="n">
        <f aca="false">IFERROR(INDEX(MS_Rev,1,24)*4/INDEX(MS_BillMW,1,24),0)</f>
        <v>14.4940833333333</v>
      </c>
      <c r="AD21" s="154" t="n">
        <f aca="false">IFERROR(INDEX(MS_Rev,1,25)*4/INDEX(MS_BillMW,1,25),0)</f>
        <v>14.4940833333333</v>
      </c>
      <c r="AE21" s="154" t="n">
        <f aca="false">IFERROR(INDEX(MS_Rev,1,26)*4/INDEX(MS_BillMW,1,26),0)</f>
        <v>14.4940833333333</v>
      </c>
      <c r="AF21" s="154" t="n">
        <f aca="false">IFERROR(INDEX(MS_Rev,1,27)*4/INDEX(MS_BillMW,1,27),0)</f>
        <v>14.4940833333333</v>
      </c>
      <c r="AG21" s="154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64" t="s">
        <v>3097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</row>
    <row r="24" customFormat="false" ht="15" hidden="false" customHeight="false" outlineLevel="0" collapsed="false">
      <c r="A24" s="112" t="s">
        <v>3098</v>
      </c>
      <c r="B24" s="24" t="s">
        <v>3099</v>
      </c>
      <c r="C24" s="24" t="s">
        <v>672</v>
      </c>
      <c r="D24" s="24"/>
      <c r="F24" s="116" t="n">
        <f aca="false">IFERROR(INDEX(AIRev,1,1)*4000/INDEX(GPU_Avg,1,1),0)</f>
        <v>3.00444833369795</v>
      </c>
      <c r="G24" s="116" t="n">
        <f aca="false">IFERROR(INDEX(AIRev,1,2)*4000/INDEX(GPU_Avg,1,2),0)</f>
        <v>3.82119157004303</v>
      </c>
      <c r="H24" s="116" t="n">
        <f aca="false">IFERROR(INDEX(AIRev,1,3)*4000/INDEX(GPU_Avg,1,3),0)</f>
        <v>8.42995697513309</v>
      </c>
      <c r="I24" s="116" t="n">
        <f aca="false">IFERROR(INDEX(AIRev,1,4)*4000/INDEX(GPU_Avg,1,4),0)</f>
        <v>8.40597964798303</v>
      </c>
      <c r="J24" s="116" t="n">
        <f aca="false">IFERROR(INDEX(AIRev,1,5)*4000/INDEX(GPU_Avg,1,5),0)</f>
        <v>7.12932667470295</v>
      </c>
      <c r="K24" s="116" t="n">
        <f aca="false">IFERROR(INDEX(AIRev,1,6)*4000/INDEX(GPU_Avg,1,6),0)</f>
        <v>12.48</v>
      </c>
      <c r="L24" s="116" t="n">
        <f aca="false">IFERROR(INDEX(AIRev,1,7)*4000/INDEX(GPU_Avg,1,7),0)</f>
        <v>17.0526445113336</v>
      </c>
      <c r="M24" s="116" t="n">
        <f aca="false">IFERROR(INDEX(AIRev,1,8)*4000/INDEX(GPU_Avg,1,8),0)</f>
        <v>15.9423930335762</v>
      </c>
      <c r="N24" s="116" t="n">
        <f aca="false">IFERROR(INDEX(AIRev,1,9)*4000/INDEX(GPU_Avg,1,9),0)</f>
        <v>19.5745535826406</v>
      </c>
      <c r="O24" s="116" t="n">
        <f aca="false">IFERROR(INDEX(AIRev,1,10)*4000/INDEX(GPU_Avg,1,10),0)</f>
        <v>25.747939806521</v>
      </c>
      <c r="P24" s="35" t="n">
        <f aca="false">IFERROR(INDEX(AIRev,1,11)*4000/INDEX(GPU_Avg,1,11),0)</f>
        <v>29.0923461000988</v>
      </c>
      <c r="Q24" s="35" t="n">
        <f aca="false">IFERROR(INDEX(AIRev,1,12)*4000/INDEX(GPU_Avg,1,12),0)</f>
        <v>32.1183978315782</v>
      </c>
      <c r="R24" s="35" t="n">
        <f aca="false">IFERROR(INDEX(AIRev,1,13)*4000/INDEX(GPU_Avg,1,13),0)</f>
        <v>32.0579155564161</v>
      </c>
      <c r="S24" s="35" t="n">
        <f aca="false">IFERROR(INDEX(AIRev,1,14)*4000/INDEX(GPU_Avg,1,14),0)</f>
        <v>35.9283588753839</v>
      </c>
      <c r="T24" s="35" t="n">
        <f aca="false">IFERROR(INDEX(AIRev,1,15)*4000/INDEX(GPU_Avg,1,15),0)</f>
        <v>38.5766875484399</v>
      </c>
      <c r="U24" s="35" t="n">
        <f aca="false">IFERROR(INDEX(AIRev,1,16)*4000/INDEX(GPU_Avg,1,16),0)</f>
        <v>37.350645348487</v>
      </c>
      <c r="V24" s="35" t="n">
        <f aca="false">IFERROR(INDEX(AIRev,1,17)*4000/INDEX(GPU_Avg,1,17),0)</f>
        <v>38.1669756893362</v>
      </c>
      <c r="W24" s="35" t="n">
        <f aca="false">IFERROR(INDEX(AIRev,1,18)*4000/INDEX(GPU_Avg,1,18),0)</f>
        <v>38.7429764269521</v>
      </c>
      <c r="X24" s="35" t="n">
        <f aca="false">IFERROR(INDEX(AIRev,1,19)*4000/INDEX(GPU_Avg,1,19),0)</f>
        <v>39.8228463994884</v>
      </c>
      <c r="Y24" s="35" t="n">
        <f aca="false">IFERROR(INDEX(AIRev,1,20)*4000/INDEX(GPU_Avg,1,20),0)</f>
        <v>40.4737597836998</v>
      </c>
      <c r="Z24" s="35" t="n">
        <f aca="false">IFERROR(INDEX(AIRev,1,21)*4000/INDEX(GPU_Avg,1,21),0)</f>
        <v>41.1351263880824</v>
      </c>
      <c r="AA24" s="35" t="n">
        <f aca="false">IFERROR(INDEX(AIRev,1,22)*4000/INDEX(GPU_Avg,1,22),0)</f>
        <v>41.7792866524425</v>
      </c>
      <c r="AB24" s="35" t="n">
        <f aca="false">IFERROR(INDEX(AIRev,1,23)*4000/INDEX(GPU_Avg,1,23),0)</f>
        <v>42.4299220446808</v>
      </c>
      <c r="AC24" s="35" t="n">
        <f aca="false">IFERROR(INDEX(AIRev,1,24)*4000/INDEX(GPU_Avg,1,24),0)</f>
        <v>43.0661252780005</v>
      </c>
      <c r="AD24" s="35" t="n">
        <f aca="false">IFERROR(INDEX(AIRev,1,25)*4000/INDEX(GPU_Avg,1,25),0)</f>
        <v>43.6443178520697</v>
      </c>
      <c r="AE24" s="35" t="n">
        <f aca="false">IFERROR(INDEX(AIRev,1,26)*4000/INDEX(GPU_Avg,1,26),0)</f>
        <v>44.241451296491</v>
      </c>
      <c r="AF24" s="35" t="n">
        <f aca="false">IFERROR(INDEX(AIRev,1,27)*4000/INDEX(GPU_Avg,1,27),0)</f>
        <v>44.0962605940379</v>
      </c>
      <c r="AG24" s="35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12" t="s">
        <v>3100</v>
      </c>
      <c r="B25" s="24" t="s">
        <v>837</v>
      </c>
      <c r="C25" s="24" t="s">
        <v>672</v>
      </c>
      <c r="D25" s="24" t="s">
        <v>3101</v>
      </c>
      <c r="F25" s="126" t="n">
        <f aca="false">IFERROR(INDEX(AIRev,1,1)*1000000/(INDEX(GPU_Avg,1,1)*Timeline!F$9),0)</f>
        <v>0.343915789113776</v>
      </c>
      <c r="G25" s="126" t="n">
        <f aca="false">IFERROR(INDEX(AIRev,1,2)*1000000/(INDEX(GPU_Avg,1,2)*Timeline!G$9),0)</f>
        <v>0.437407459940822</v>
      </c>
      <c r="H25" s="126" t="n">
        <f aca="false">IFERROR(INDEX(AIRev,1,3)*1000000/(INDEX(GPU_Avg,1,3)*Timeline!H$9),0)</f>
        <v>0.954478824177206</v>
      </c>
      <c r="I25" s="126" t="n">
        <f aca="false">IFERROR(INDEX(AIRev,1,4)*1000000/(INDEX(GPU_Avg,1,4)*Timeline!I$9),0)</f>
        <v>0.951763999998079</v>
      </c>
      <c r="J25" s="126" t="n">
        <f aca="false">IFERROR(INDEX(AIRev,1,5)*1000000/(INDEX(GPU_Avg,1,5)*Timeline!J$9),0)</f>
        <v>0.825153550312841</v>
      </c>
      <c r="K25" s="126" t="n">
        <f aca="false">IFERROR(INDEX(AIRev,1,6)*1000000/(INDEX(GPU_Avg,1,6)*Timeline!K$9),0)</f>
        <v>1.42857142857143</v>
      </c>
      <c r="L25" s="126" t="n">
        <f aca="false">IFERROR(INDEX(AIRev,1,7)*1000000/(INDEX(GPU_Avg,1,7)*Timeline!L$9),0)</f>
        <v>1.93077949630136</v>
      </c>
      <c r="M25" s="126" t="n">
        <f aca="false">IFERROR(INDEX(AIRev,1,8)*1000000/(INDEX(GPU_Avg,1,8)*Timeline!M$9),0)</f>
        <v>1.8050716749973</v>
      </c>
      <c r="N25" s="126" t="n">
        <f aca="false">IFERROR(INDEX(AIRev,1,9)*1000000/(INDEX(GPU_Avg,1,9)*Timeline!N$9),0)</f>
        <v>2.26557333132414</v>
      </c>
      <c r="O25" s="126" t="n">
        <f aca="false">IFERROR(INDEX(AIRev,1,10)*1000000/(INDEX(GPU_Avg,1,10)*Timeline!O$9),0)</f>
        <v>2.94733743206513</v>
      </c>
      <c r="P25" s="25" t="n">
        <f aca="false">IFERROR(INDEX(AIRev,1,11)*1000000/(INDEX(GPU_Avg,1,11)*Timeline!P$9),0)</f>
        <v>3.29397034647858</v>
      </c>
      <c r="Q25" s="25" t="n">
        <f aca="false">IFERROR(INDEX(AIRev,1,12)*1000000/(INDEX(GPU_Avg,1,12)*Timeline!Q$9),0)</f>
        <v>3.63659395737978</v>
      </c>
      <c r="R25" s="25" t="n">
        <f aca="false">IFERROR(INDEX(AIRev,1,13)*1000000/(INDEX(GPU_Avg,1,13)*Timeline!R$9),0)</f>
        <v>3.71040689310371</v>
      </c>
      <c r="S25" s="25" t="n">
        <f aca="false">IFERROR(INDEX(AIRev,1,14)*1000000/(INDEX(GPU_Avg,1,14)*Timeline!S$9),0)</f>
        <v>4.11267844269504</v>
      </c>
      <c r="T25" s="25" t="n">
        <f aca="false">IFERROR(INDEX(AIRev,1,15)*1000000/(INDEX(GPU_Avg,1,15)*Timeline!T$9),0)</f>
        <v>4.3678314706114</v>
      </c>
      <c r="U25" s="25" t="n">
        <f aca="false">IFERROR(INDEX(AIRev,1,16)*1000000/(INDEX(GPU_Avg,1,16)*Timeline!U$9),0)</f>
        <v>4.22901328673992</v>
      </c>
      <c r="V25" s="25" t="n">
        <f aca="false">IFERROR(INDEX(AIRev,1,17)*1000000/(INDEX(GPU_Avg,1,17)*Timeline!V$9),0)</f>
        <v>4.36893036736907</v>
      </c>
      <c r="W25" s="25" t="n">
        <f aca="false">IFERROR(INDEX(AIRev,1,18)*1000000/(INDEX(GPU_Avg,1,18)*Timeline!W$9),0)</f>
        <v>4.43486451773719</v>
      </c>
      <c r="X25" s="25" t="n">
        <f aca="false">IFERROR(INDEX(AIRev,1,19)*1000000/(INDEX(GPU_Avg,1,19)*Timeline!X$9),0)</f>
        <v>4.50892735501453</v>
      </c>
      <c r="Y25" s="25" t="n">
        <f aca="false">IFERROR(INDEX(AIRev,1,20)*1000000/(INDEX(GPU_Avg,1,20)*Timeline!Y$9),0)</f>
        <v>4.58262678710369</v>
      </c>
      <c r="Z25" s="25" t="n">
        <f aca="false">IFERROR(INDEX(AIRev,1,21)*1000000/(INDEX(GPU_Avg,1,21)*Timeline!Z$9),0)</f>
        <v>4.76100999862065</v>
      </c>
      <c r="AA25" s="25" t="n">
        <f aca="false">IFERROR(INDEX(AIRev,1,22)*1000000/(INDEX(GPU_Avg,1,22)*Timeline!AA$9),0)</f>
        <v>4.78242750142428</v>
      </c>
      <c r="AB25" s="25" t="n">
        <f aca="false">IFERROR(INDEX(AIRev,1,23)*1000000/(INDEX(GPU_Avg,1,23)*Timeline!AB$9),0)</f>
        <v>4.80411255034883</v>
      </c>
      <c r="AC25" s="25" t="n">
        <f aca="false">IFERROR(INDEX(AIRev,1,24)*1000000/(INDEX(GPU_Avg,1,24)*Timeline!AC$9),0)</f>
        <v>4.87614643093303</v>
      </c>
      <c r="AD25" s="25" t="n">
        <f aca="false">IFERROR(INDEX(AIRev,1,25)*1000000/(INDEX(GPU_Avg,1,25)*Timeline!AD$9),0)</f>
        <v>5.05142567732289</v>
      </c>
      <c r="AE25" s="25" t="n">
        <f aca="false">IFERROR(INDEX(AIRev,1,26)*1000000/(INDEX(GPU_Avg,1,26)*Timeline!AE$9),0)</f>
        <v>5.0642686923639</v>
      </c>
      <c r="AF25" s="25" t="n">
        <f aca="false">IFERROR(INDEX(AIRev,1,27)*1000000/(INDEX(GPU_Avg,1,27)*Timeline!AF$9),0)</f>
        <v>4.99278312885393</v>
      </c>
      <c r="AG25" s="25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12" t="s">
        <v>3102</v>
      </c>
      <c r="B26" s="24" t="s">
        <v>837</v>
      </c>
      <c r="C26" s="24" t="s">
        <v>1965</v>
      </c>
      <c r="D26" s="24"/>
      <c r="F26" s="126" t="n">
        <f aca="false">IFERROR((INDEX(GPU_End_H,1,1)*INDEX(P_OD_H,1,1)+INDEX(GPU_End_B,1,1)*INDEX(P_OD_B,1,1)+INDEX(GPU_End_N,1,1)*INDEX(P_OD_N,1,1))/INDEX(GPU_End,1,1),0)</f>
        <v>3.875</v>
      </c>
      <c r="G26" s="126" t="n">
        <f aca="false">IFERROR((INDEX(GPU_End_H,1,2)*INDEX(P_OD_H,1,2)+INDEX(GPU_End_B,1,2)*INDEX(P_OD_B,1,2)+INDEX(GPU_End_N,1,2)*INDEX(P_OD_N,1,2))/INDEX(GPU_End,1,2),0)</f>
        <v>3.875</v>
      </c>
      <c r="H26" s="126" t="n">
        <f aca="false">IFERROR((INDEX(GPU_End_H,1,3)*INDEX(P_OD_H,1,3)+INDEX(GPU_End_B,1,3)*INDEX(P_OD_B,1,3)+INDEX(GPU_End_N,1,3)*INDEX(P_OD_N,1,3))/INDEX(GPU_End,1,3),0)</f>
        <v>3.875</v>
      </c>
      <c r="I26" s="126" t="n">
        <f aca="false">IFERROR((INDEX(GPU_End_H,1,4)*INDEX(P_OD_H,1,4)+INDEX(GPU_End_B,1,4)*INDEX(P_OD_B,1,4)+INDEX(GPU_End_N,1,4)*INDEX(P_OD_N,1,4))/INDEX(GPU_End,1,4),0)</f>
        <v>3.875</v>
      </c>
      <c r="J26" s="126" t="n">
        <f aca="false">IFERROR((INDEX(GPU_End_H,1,5)*INDEX(P_OD_H,1,5)+INDEX(GPU_End_B,1,5)*INDEX(P_OD_B,1,5)+INDEX(GPU_End_N,1,5)*INDEX(P_OD_N,1,5))/INDEX(GPU_End,1,5),0)</f>
        <v>3.875</v>
      </c>
      <c r="K26" s="126" t="n">
        <f aca="false">IFERROR((INDEX(GPU_End_H,1,6)*INDEX(P_OD_H,1,6)+INDEX(GPU_End_B,1,6)*INDEX(P_OD_B,1,6)+INDEX(GPU_End_N,1,6)*INDEX(P_OD_N,1,6))/INDEX(GPU_End,1,6),0)</f>
        <v>3.875</v>
      </c>
      <c r="L26" s="126" t="n">
        <f aca="false">IFERROR((INDEX(GPU_End_H,1,7)*INDEX(P_OD_H,1,7)+INDEX(GPU_End_B,1,7)*INDEX(P_OD_B,1,7)+INDEX(GPU_End_N,1,7)*INDEX(P_OD_N,1,7))/INDEX(GPU_End,1,7),0)</f>
        <v>4.55441866955234</v>
      </c>
      <c r="M26" s="126" t="n">
        <f aca="false">IFERROR((INDEX(GPU_End_H,1,8)*INDEX(P_OD_H,1,8)+INDEX(GPU_End_B,1,8)*INDEX(P_OD_B,1,8)+INDEX(GPU_End_N,1,8)*INDEX(P_OD_N,1,8))/INDEX(GPU_End,1,8),0)</f>
        <v>6.60533616365671</v>
      </c>
      <c r="N26" s="126" t="n">
        <f aca="false">IFERROR((INDEX(GPU_End_H,1,9)*INDEX(P_OD_H,1,9)+INDEX(GPU_End_B,1,9)*INDEX(P_OD_B,1,9)+INDEX(GPU_End_N,1,9)*INDEX(P_OD_N,1,9))/INDEX(GPU_End,1,9),0)</f>
        <v>6.92849044846197</v>
      </c>
      <c r="O26" s="126" t="n">
        <f aca="false">IFERROR((INDEX(GPU_End_H,1,10)*INDEX(P_OD_H,1,10)+INDEX(GPU_End_B,1,10)*INDEX(P_OD_B,1,10)+INDEX(GPU_End_N,1,10)*INDEX(P_OD_N,1,10))/INDEX(GPU_End,1,10),0)</f>
        <v>7.01326751665268</v>
      </c>
      <c r="P26" s="25" t="n">
        <f aca="false">IFERROR((INDEX(GPU_End_H,1,11)*INDEX(P_OD_H,1,11)+INDEX(GPU_End_B,1,11)*INDEX(P_OD_B,1,11)+INDEX(GPU_End_N,1,11)*INDEX(P_OD_N,1,11))/INDEX(GPU_End,1,11),0)</f>
        <v>7.1113847558516</v>
      </c>
      <c r="Q26" s="25" t="n">
        <f aca="false">IFERROR((INDEX(GPU_End_H,1,12)*INDEX(P_OD_H,1,12)+INDEX(GPU_End_B,1,12)*INDEX(P_OD_B,1,12)+INDEX(GPU_End_N,1,12)*INDEX(P_OD_N,1,12))/INDEX(GPU_End,1,12),0)</f>
        <v>8.80866758432747</v>
      </c>
      <c r="R26" s="25" t="n">
        <f aca="false">IFERROR((INDEX(GPU_End_H,1,13)*INDEX(P_OD_H,1,13)+INDEX(GPU_End_B,1,13)*INDEX(P_OD_B,1,13)+INDEX(GPU_End_N,1,13)*INDEX(P_OD_N,1,13))/INDEX(GPU_End,1,13),0)</f>
        <v>8.71055707787266</v>
      </c>
      <c r="S26" s="25" t="n">
        <f aca="false">IFERROR((INDEX(GPU_End_H,1,14)*INDEX(P_OD_H,1,14)+INDEX(GPU_End_B,1,14)*INDEX(P_OD_B,1,14)+INDEX(GPU_End_N,1,14)*INDEX(P_OD_N,1,14))/INDEX(GPU_End,1,14),0)</f>
        <v>8.6587343318285</v>
      </c>
      <c r="T26" s="25" t="n">
        <f aca="false">IFERROR((INDEX(GPU_End_H,1,15)*INDEX(P_OD_H,1,15)+INDEX(GPU_End_B,1,15)*INDEX(P_OD_B,1,15)+INDEX(GPU_End_N,1,15)*INDEX(P_OD_N,1,15))/INDEX(GPU_End,1,15),0)</f>
        <v>8.52940131225983</v>
      </c>
      <c r="U26" s="25" t="n">
        <f aca="false">IFERROR((INDEX(GPU_End_H,1,16)*INDEX(P_OD_H,1,16)+INDEX(GPU_End_B,1,16)*INDEX(P_OD_B,1,16)+INDEX(GPU_End_N,1,16)*INDEX(P_OD_N,1,16))/INDEX(GPU_End,1,16),0)</f>
        <v>8.80911345538171</v>
      </c>
      <c r="V26" s="25" t="n">
        <f aca="false">IFERROR((INDEX(GPU_End_H,1,17)*INDEX(P_OD_H,1,17)+INDEX(GPU_End_B,1,17)*INDEX(P_OD_B,1,17)+INDEX(GPU_End_N,1,17)*INDEX(P_OD_N,1,17))/INDEX(GPU_End,1,17),0)</f>
        <v>9.82849208890706</v>
      </c>
      <c r="W26" s="25" t="n">
        <f aca="false">IFERROR((INDEX(GPU_End_H,1,18)*INDEX(P_OD_H,1,18)+INDEX(GPU_End_B,1,18)*INDEX(P_OD_B,1,18)+INDEX(GPU_End_N,1,18)*INDEX(P_OD_N,1,18))/INDEX(GPU_End,1,18),0)</f>
        <v>10.1615527323605</v>
      </c>
      <c r="X26" s="25" t="n">
        <f aca="false">IFERROR((INDEX(GPU_End_H,1,19)*INDEX(P_OD_H,1,19)+INDEX(GPU_End_B,1,19)*INDEX(P_OD_B,1,19)+INDEX(GPU_End_N,1,19)*INDEX(P_OD_N,1,19))/INDEX(GPU_End,1,19),0)</f>
        <v>10.6973142419235</v>
      </c>
      <c r="Y26" s="25" t="n">
        <f aca="false">IFERROR((INDEX(GPU_End_H,1,20)*INDEX(P_OD_H,1,20)+INDEX(GPU_End_B,1,20)*INDEX(P_OD_B,1,20)+INDEX(GPU_End_N,1,20)*INDEX(P_OD_N,1,20))/INDEX(GPU_End,1,20),0)</f>
        <v>10.5757185206923</v>
      </c>
      <c r="Z26" s="25" t="n">
        <f aca="false">IFERROR((INDEX(GPU_End_H,1,21)*INDEX(P_OD_H,1,21)+INDEX(GPU_End_B,1,21)*INDEX(P_OD_B,1,21)+INDEX(GPU_End_N,1,21)*INDEX(P_OD_N,1,21))/INDEX(GPU_End,1,21),0)</f>
        <v>11.2024318485811</v>
      </c>
      <c r="AA26" s="25" t="n">
        <f aca="false">IFERROR((INDEX(GPU_End_H,1,22)*INDEX(P_OD_H,1,22)+INDEX(GPU_End_B,1,22)*INDEX(P_OD_B,1,22)+INDEX(GPU_End_N,1,22)*INDEX(P_OD_N,1,22))/INDEX(GPU_End,1,22),0)</f>
        <v>11.0267631035943</v>
      </c>
      <c r="AB26" s="25" t="n">
        <f aca="false">IFERROR((INDEX(GPU_End_H,1,23)*INDEX(P_OD_H,1,23)+INDEX(GPU_End_B,1,23)*INDEX(P_OD_B,1,23)+INDEX(GPU_End_N,1,23)*INDEX(P_OD_N,1,23))/INDEX(GPU_End,1,23),0)</f>
        <v>11.6417049904327</v>
      </c>
      <c r="AC26" s="25" t="n">
        <f aca="false">IFERROR((INDEX(GPU_End_H,1,24)*INDEX(P_OD_H,1,24)+INDEX(GPU_End_B,1,24)*INDEX(P_OD_B,1,24)+INDEX(GPU_End_N,1,24)*INDEX(P_OD_N,1,24))/INDEX(GPU_End,1,24),0)</f>
        <v>11.4600687308892</v>
      </c>
      <c r="AD26" s="25" t="n">
        <f aca="false">IFERROR((INDEX(GPU_End_H,1,25)*INDEX(P_OD_H,1,25)+INDEX(GPU_End_B,1,25)*INDEX(P_OD_B,1,25)+INDEX(GPU_End_N,1,25)*INDEX(P_OD_N,1,25))/INDEX(GPU_End,1,25),0)</f>
        <v>12.0446867988698</v>
      </c>
      <c r="AE26" s="25" t="n">
        <f aca="false">IFERROR((INDEX(GPU_End_H,1,26)*INDEX(P_OD_H,1,26)+INDEX(GPU_End_B,1,26)*INDEX(P_OD_B,1,26)+INDEX(GPU_End_N,1,26)*INDEX(P_OD_N,1,26))/INDEX(GPU_End,1,26),0)</f>
        <v>11.857540901891</v>
      </c>
      <c r="AF26" s="25" t="n">
        <f aca="false">IFERROR((INDEX(GPU_End_H,1,27)*INDEX(P_OD_H,1,27)+INDEX(GPU_End_B,1,27)*INDEX(P_OD_B,1,27)+INDEX(GPU_End_N,1,27)*INDEX(P_OD_N,1,27))/INDEX(GPU_End,1,27),0)</f>
        <v>11.6733577272718</v>
      </c>
      <c r="AG26" s="25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12" t="s">
        <v>3103</v>
      </c>
      <c r="B27" s="24" t="s">
        <v>751</v>
      </c>
      <c r="C27" s="24" t="s">
        <v>672</v>
      </c>
      <c r="D27" s="24" t="s">
        <v>3104</v>
      </c>
      <c r="F27" s="124" t="n">
        <f aca="false">IFERROR(F25/F26,0)</f>
        <v>0.088752461706781</v>
      </c>
      <c r="G27" s="124" t="n">
        <f aca="false">IFERROR(G25/G26,0)</f>
        <v>0.112879344500857</v>
      </c>
      <c r="H27" s="124" t="n">
        <f aca="false">IFERROR(H25/H26,0)</f>
        <v>0.246317115916698</v>
      </c>
      <c r="I27" s="124" t="n">
        <f aca="false">IFERROR(I25/I26,0)</f>
        <v>0.245616516128536</v>
      </c>
      <c r="J27" s="124" t="n">
        <f aca="false">IFERROR(J25/J26,0)</f>
        <v>0.212942851693636</v>
      </c>
      <c r="K27" s="124" t="n">
        <f aca="false">IFERROR(K25/K26,0)</f>
        <v>0.368663594470046</v>
      </c>
      <c r="L27" s="124" t="n">
        <f aca="false">IFERROR(L25/L26,0)</f>
        <v>0.423935443003781</v>
      </c>
      <c r="M27" s="124" t="n">
        <f aca="false">IFERROR(M25/M26,0)</f>
        <v>0.273274763051274</v>
      </c>
      <c r="N27" s="124" t="n">
        <f aca="false">IFERROR(N25/N26,0)</f>
        <v>0.326993787200366</v>
      </c>
      <c r="O27" s="124" t="n">
        <f aca="false">IFERROR(O25/O26,0)</f>
        <v>0.420251676564</v>
      </c>
      <c r="P27" s="27" t="n">
        <f aca="false">IFERROR(P25/P26,0)</f>
        <v>0.463196755564117</v>
      </c>
      <c r="Q27" s="27" t="n">
        <f aca="false">IFERROR(Q25/Q26,0)</f>
        <v>0.412842682796894</v>
      </c>
      <c r="R27" s="27" t="n">
        <f aca="false">IFERROR(R25/R26,0)</f>
        <v>0.425966658611218</v>
      </c>
      <c r="S27" s="27" t="n">
        <f aca="false">IFERROR(S25/S26,0)</f>
        <v>0.474974549984437</v>
      </c>
      <c r="T27" s="27" t="n">
        <f aca="false">IFERROR(T25/T26,0)</f>
        <v>0.512091213756498</v>
      </c>
      <c r="U27" s="27" t="n">
        <f aca="false">IFERROR(U25/U26,0)</f>
        <v>0.480072519006588</v>
      </c>
      <c r="V27" s="27" t="n">
        <f aca="false">IFERROR(V25/V26,0)</f>
        <v>0.444516852417276</v>
      </c>
      <c r="W27" s="27" t="n">
        <f aca="false">IFERROR(W25/W26,0)</f>
        <v>0.43643571357101</v>
      </c>
      <c r="X27" s="27" t="n">
        <f aca="false">IFERROR(X25/X26,0)</f>
        <v>0.421500878916293</v>
      </c>
      <c r="Y27" s="27" t="n">
        <f aca="false">IFERROR(Y25/Y26,0)</f>
        <v>0.43331588091508</v>
      </c>
      <c r="Z27" s="27" t="n">
        <f aca="false">IFERROR(Z25/Z26,0)</f>
        <v>0.424997898935997</v>
      </c>
      <c r="AA27" s="27" t="n">
        <f aca="false">IFERROR(AA25/AA26,0)</f>
        <v>0.433710913755405</v>
      </c>
      <c r="AB27" s="27" t="n">
        <f aca="false">IFERROR(AB25/AB26,0)</f>
        <v>0.41266400018699</v>
      </c>
      <c r="AC27" s="27" t="n">
        <f aca="false">IFERROR(AC25/AC26,0)</f>
        <v>0.425490155900199</v>
      </c>
      <c r="AD27" s="27" t="n">
        <f aca="false">IFERROR(AD25/AD26,0)</f>
        <v>0.419390372010079</v>
      </c>
      <c r="AE27" s="27" t="n">
        <f aca="false">IFERROR(AE25/AE26,0)</f>
        <v>0.427092660633898</v>
      </c>
      <c r="AF27" s="27" t="n">
        <f aca="false">IFERROR(AF25/AF26,0)</f>
        <v>0.427707541009352</v>
      </c>
      <c r="AG27" s="27" t="n">
        <f aca="false">IFERROR(AG25/AG26,0)</f>
        <v>0.439207564813211</v>
      </c>
    </row>
    <row r="28" customFormat="false" ht="15" hidden="false" customHeight="false" outlineLevel="0" collapsed="false">
      <c r="A28" s="112" t="s">
        <v>3105</v>
      </c>
      <c r="B28" s="24" t="s">
        <v>696</v>
      </c>
      <c r="C28" s="24" t="s">
        <v>672</v>
      </c>
      <c r="D28" s="24"/>
      <c r="F28" s="153" t="n">
        <f aca="false">IFERROR(INDEX(Capex,1,1)/INDEX(MW_New,1,1),0)</f>
        <v>0</v>
      </c>
      <c r="G28" s="153" t="n">
        <f aca="false">IFERROR(INDEX(Capex,1,2)/INDEX(MW_New,1,2),0)</f>
        <v>0</v>
      </c>
      <c r="H28" s="153" t="n">
        <f aca="false">IFERROR(INDEX(Capex,1,3)/INDEX(MW_New,1,3),0)</f>
        <v>0</v>
      </c>
      <c r="I28" s="153" t="n">
        <f aca="false">IFERROR(INDEX(Capex,1,4)/INDEX(MW_New,1,4),0)</f>
        <v>83.52</v>
      </c>
      <c r="J28" s="153" t="n">
        <f aca="false">IFERROR(INDEX(Capex,1,5)/INDEX(MW_New,1,5),0)</f>
        <v>27.2</v>
      </c>
      <c r="K28" s="153" t="n">
        <f aca="false">IFERROR(INDEX(Capex,1,6)/INDEX(MW_New,1,6),0)</f>
        <v>0</v>
      </c>
      <c r="L28" s="153" t="n">
        <f aca="false">IFERROR(INDEX(Capex,1,7)/INDEX(MW_New,1,7),0)</f>
        <v>84.0831591684083</v>
      </c>
      <c r="M28" s="153" t="n">
        <f aca="false">IFERROR(INDEX(Capex,1,8)/INDEX(MW_New,1,8),0)</f>
        <v>25.9482272287268</v>
      </c>
      <c r="N28" s="153" t="n">
        <f aca="false">IFERROR(INDEX(Capex,1,9)/INDEX(MW_New,1,9),0)</f>
        <v>75.7077800313804</v>
      </c>
      <c r="O28" s="153" t="n">
        <f aca="false">IFERROR(INDEX(Capex,1,10)/INDEX(MW_New,1,10),0)</f>
        <v>491.947826086956</v>
      </c>
      <c r="P28" s="154" t="n">
        <f aca="false">IFERROR(INDEX(Capex,1,11)/INDEX(MW_New,1,11),0)</f>
        <v>0</v>
      </c>
      <c r="Q28" s="154" t="n">
        <f aca="false">IFERROR(INDEX(Capex,1,12)/INDEX(MW_New,1,12),0)</f>
        <v>176.121100005157</v>
      </c>
      <c r="R28" s="154" t="n">
        <f aca="false">IFERROR(INDEX(Capex,1,13)/INDEX(MW_New,1,13),0)</f>
        <v>90.0644880941452</v>
      </c>
      <c r="S28" s="154" t="n">
        <f aca="false">IFERROR(INDEX(Capex,1,14)/INDEX(MW_New,1,14),0)</f>
        <v>59.6968168864869</v>
      </c>
      <c r="T28" s="154" t="n">
        <f aca="false">IFERROR(INDEX(Capex,1,15)/INDEX(MW_New,1,15),0)</f>
        <v>65.0814197891292</v>
      </c>
      <c r="U28" s="154" t="n">
        <f aca="false">IFERROR(INDEX(Capex,1,16)/INDEX(MW_New,1,16),0)</f>
        <v>30.7659449100199</v>
      </c>
      <c r="V28" s="154" t="n">
        <f aca="false">IFERROR(INDEX(Capex,1,17)/INDEX(MW_New,1,17),0)</f>
        <v>23.2228833342166</v>
      </c>
      <c r="W28" s="154" t="n">
        <f aca="false">IFERROR(INDEX(Capex,1,18)/INDEX(MW_New,1,18),0)</f>
        <v>44.085224118728</v>
      </c>
      <c r="X28" s="154" t="n">
        <f aca="false">IFERROR(INDEX(Capex,1,19)/INDEX(MW_New,1,19),0)</f>
        <v>81.685171967242</v>
      </c>
      <c r="Y28" s="154" t="n">
        <f aca="false">IFERROR(INDEX(Capex,1,20)/INDEX(MW_New,1,20),0)</f>
        <v>331.546010605015</v>
      </c>
      <c r="Z28" s="154" t="n">
        <f aca="false">IFERROR(INDEX(Capex,1,21)/INDEX(MW_New,1,21),0)</f>
        <v>40.4955702633196</v>
      </c>
      <c r="AA28" s="154" t="n">
        <f aca="false">IFERROR(INDEX(Capex,1,22)/INDEX(MW_New,1,22),0)</f>
        <v>0</v>
      </c>
      <c r="AB28" s="154" t="n">
        <f aca="false">IFERROR(INDEX(Capex,1,23)/INDEX(MW_New,1,23),0)</f>
        <v>58.2677788601514</v>
      </c>
      <c r="AC28" s="154" t="n">
        <f aca="false">IFERROR(INDEX(Capex,1,24)/INDEX(MW_New,1,24),0)</f>
        <v>0</v>
      </c>
      <c r="AD28" s="154" t="n">
        <f aca="false">IFERROR(INDEX(Capex,1,25)/INDEX(MW_New,1,25),0)</f>
        <v>1.40280912878089</v>
      </c>
      <c r="AE28" s="154" t="n">
        <f aca="false">IFERROR(INDEX(Capex,1,26)/INDEX(MW_New,1,26),0)</f>
        <v>0</v>
      </c>
      <c r="AF28" s="154" t="n">
        <f aca="false">IFERROR(INDEX(Capex,1,27)/INDEX(MW_New,1,27),0)</f>
        <v>0</v>
      </c>
      <c r="AG28" s="154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3106</v>
      </c>
      <c r="B29" s="24" t="s">
        <v>840</v>
      </c>
      <c r="C29" s="24" t="s">
        <v>672</v>
      </c>
      <c r="D29" s="24"/>
      <c r="F29" s="151" t="n">
        <f aca="false">IFERROR(INDEX(PL_EBITDA,1,1)*4/F11,0)</f>
        <v>-12.4782752172478</v>
      </c>
      <c r="G29" s="151" t="n">
        <f aca="false">IFERROR(INDEX(PL_EBITDA,1,2)*4/G11,0)</f>
        <v>-10.2254977450226</v>
      </c>
      <c r="H29" s="151" t="n">
        <f aca="false">IFERROR(INDEX(PL_EBITDA,1,3)*4/H11,0)</f>
        <v>-8.07831921680783</v>
      </c>
      <c r="I29" s="151" t="n">
        <f aca="false">IFERROR(INDEX(PL_EBITDA,1,4)*4/I11,0)</f>
        <v>-9.2182850960238</v>
      </c>
      <c r="J29" s="151" t="n">
        <f aca="false">IFERROR(INDEX(PL_EBITDA,1,5)*4/J11,0)</f>
        <v>-4.50054999738097</v>
      </c>
      <c r="K29" s="151" t="n">
        <f aca="false">IFERROR(INDEX(PL_EBITDA,1,6)*4/K11,0)</f>
        <v>-1.75999161908753</v>
      </c>
      <c r="L29" s="151" t="n">
        <f aca="false">IFERROR(INDEX(PL_EBITDA,1,7)*4/L11,0)</f>
        <v>-0.351997969242485</v>
      </c>
      <c r="M29" s="151" t="n">
        <f aca="false">IFERROR(INDEX(PL_EBITDA,1,8)*4/M11,0)</f>
        <v>0.43375809094389</v>
      </c>
      <c r="N29" s="151" t="n">
        <f aca="false">IFERROR(INDEX(PL_EBITDA,1,9)*4/N11,0)</f>
        <v>3.02942224005306</v>
      </c>
      <c r="O29" s="151" t="n">
        <f aca="false">IFERROR(INDEX(PL_EBITDA,1,10)*4/O11,0)</f>
        <v>5.17727849845772</v>
      </c>
      <c r="P29" s="152" t="n">
        <f aca="false">IFERROR(INDEX(PL_EBITDA,1,11)*4/P11,0)</f>
        <v>5.91472290483946</v>
      </c>
      <c r="Q29" s="152" t="n">
        <f aca="false">IFERROR(INDEX(PL_EBITDA,1,12)*4/Q11,0)</f>
        <v>6.05493423372181</v>
      </c>
      <c r="R29" s="152" t="n">
        <f aca="false">IFERROR(INDEX(PL_EBITDA,1,13)*4/R11,0)</f>
        <v>6.77557837956489</v>
      </c>
      <c r="S29" s="152" t="n">
        <f aca="false">IFERROR(INDEX(PL_EBITDA,1,14)*4/S11,0)</f>
        <v>7.31046061223931</v>
      </c>
      <c r="T29" s="152" t="n">
        <f aca="false">IFERROR(INDEX(PL_EBITDA,1,15)*4/T11,0)</f>
        <v>8.15004739316875</v>
      </c>
      <c r="U29" s="152" t="n">
        <f aca="false">IFERROR(INDEX(PL_EBITDA,1,16)*4/U11,0)</f>
        <v>7.86217758648586</v>
      </c>
      <c r="V29" s="152" t="n">
        <f aca="false">IFERROR(INDEX(PL_EBITDA,1,17)*4/V11,0)</f>
        <v>8.46776403037004</v>
      </c>
      <c r="W29" s="152" t="n">
        <f aca="false">IFERROR(INDEX(PL_EBITDA,1,18)*4/W11,0)</f>
        <v>9.34024370214318</v>
      </c>
      <c r="X29" s="152" t="n">
        <f aca="false">IFERROR(INDEX(PL_EBITDA,1,19)*4/X11,0)</f>
        <v>9.22457912409144</v>
      </c>
      <c r="Y29" s="152" t="n">
        <f aca="false">IFERROR(INDEX(PL_EBITDA,1,20)*4/Y11,0)</f>
        <v>9.90136990016018</v>
      </c>
      <c r="Z29" s="152" t="n">
        <f aca="false">IFERROR(INDEX(PL_EBITDA,1,21)*4/Z11,0)</f>
        <v>9.53724403877524</v>
      </c>
      <c r="AA29" s="152" t="n">
        <f aca="false">IFERROR(INDEX(PL_EBITDA,1,22)*4/AA11,0)</f>
        <v>10.7266181763728</v>
      </c>
      <c r="AB29" s="152" t="n">
        <f aca="false">IFERROR(INDEX(PL_EBITDA,1,23)*4/AB11,0)</f>
        <v>9.93782241308002</v>
      </c>
      <c r="AC29" s="152" t="n">
        <f aca="false">IFERROR(INDEX(PL_EBITDA,1,24)*4/AC11,0)</f>
        <v>10.9732732466725</v>
      </c>
      <c r="AD29" s="152" t="n">
        <f aca="false">IFERROR(INDEX(PL_EBITDA,1,25)*4/AD11,0)</f>
        <v>10.2913660303023</v>
      </c>
      <c r="AE29" s="152" t="n">
        <f aca="false">IFERROR(INDEX(PL_EBITDA,1,26)*4/AE11,0)</f>
        <v>11.3752094417112</v>
      </c>
      <c r="AF29" s="152" t="n">
        <f aca="false">IFERROR(INDEX(PL_EBITDA,1,27)*4/AF11,0)</f>
        <v>11.3227571261389</v>
      </c>
      <c r="AG29" s="152" t="n">
        <f aca="false">IFERROR(INDEX(PL_EBITDA,1,28)*4/AG11,0)</f>
        <v>11.5467229994239</v>
      </c>
    </row>
    <row r="30" customFormat="false" ht="15" hidden="false" customHeight="false" outlineLevel="0" collapsed="false">
      <c r="A30" s="112" t="s">
        <v>3107</v>
      </c>
      <c r="B30" s="24" t="s">
        <v>840</v>
      </c>
      <c r="C30" s="24" t="s">
        <v>672</v>
      </c>
      <c r="D30" s="24"/>
      <c r="F30" s="153" t="n">
        <f aca="false">IFERROR(INDEX(PL_EBITDA,1,1)*4/F13,0)</f>
        <v>-12.4782752172478</v>
      </c>
      <c r="G30" s="153" t="n">
        <f aca="false">IFERROR(INDEX(PL_EBITDA,1,2)*4/G13,0)</f>
        <v>-10.2254977450226</v>
      </c>
      <c r="H30" s="153" t="n">
        <f aca="false">IFERROR(INDEX(PL_EBITDA,1,3)*4/H13,0)</f>
        <v>-8.07831921680783</v>
      </c>
      <c r="I30" s="153" t="n">
        <f aca="false">IFERROR(INDEX(PL_EBITDA,1,4)*4/I13,0)</f>
        <v>-9.2182850960238</v>
      </c>
      <c r="J30" s="153" t="n">
        <f aca="false">IFERROR(INDEX(PL_EBITDA,1,5)*4/J13,0)</f>
        <v>-4.50054999738097</v>
      </c>
      <c r="K30" s="153" t="n">
        <f aca="false">IFERROR(INDEX(PL_EBITDA,1,6)*4/K13,0)</f>
        <v>-1.75999161908753</v>
      </c>
      <c r="L30" s="153" t="n">
        <f aca="false">IFERROR(INDEX(PL_EBITDA,1,7)*4/L13,0)</f>
        <v>-0.351997969242485</v>
      </c>
      <c r="M30" s="153" t="n">
        <f aca="false">IFERROR(INDEX(PL_EBITDA,1,8)*4/M13,0)</f>
        <v>0.43375809094389</v>
      </c>
      <c r="N30" s="153" t="n">
        <f aca="false">IFERROR(INDEX(PL_EBITDA,1,9)*4/N13,0)</f>
        <v>3.02942224005306</v>
      </c>
      <c r="O30" s="153" t="n">
        <f aca="false">IFERROR(INDEX(PL_EBITDA,1,10)*4/O13,0)</f>
        <v>5.17727849845772</v>
      </c>
      <c r="P30" s="154" t="n">
        <f aca="false">IFERROR(INDEX(PL_EBITDA,1,11)*4/P13,0)</f>
        <v>4.85847225071841</v>
      </c>
      <c r="Q30" s="154" t="n">
        <f aca="false">IFERROR(INDEX(PL_EBITDA,1,12)*4/Q13,0)</f>
        <v>4.26927955402852</v>
      </c>
      <c r="R30" s="154" t="n">
        <f aca="false">IFERROR(INDEX(PL_EBITDA,1,13)*4/R13,0)</f>
        <v>4.44152123087157</v>
      </c>
      <c r="S30" s="154" t="n">
        <f aca="false">IFERROR(INDEX(PL_EBITDA,1,14)*4/S13,0)</f>
        <v>5.26963692950826</v>
      </c>
      <c r="T30" s="154" t="n">
        <f aca="false">IFERROR(INDEX(PL_EBITDA,1,15)*4/T13,0)</f>
        <v>6.31394125519644</v>
      </c>
      <c r="U30" s="154" t="n">
        <f aca="false">IFERROR(INDEX(PL_EBITDA,1,16)*4/U13,0)</f>
        <v>5.90516602724993</v>
      </c>
      <c r="V30" s="154" t="n">
        <f aca="false">IFERROR(INDEX(PL_EBITDA,1,17)*4/V13,0)</f>
        <v>7.81025191410794</v>
      </c>
      <c r="W30" s="154" t="n">
        <f aca="false">IFERROR(INDEX(PL_EBITDA,1,18)*4/W13,0)</f>
        <v>8.25965477429142</v>
      </c>
      <c r="X30" s="154" t="n">
        <f aca="false">IFERROR(INDEX(PL_EBITDA,1,19)*4/X13,0)</f>
        <v>9.13846158121115</v>
      </c>
      <c r="Y30" s="154" t="n">
        <f aca="false">IFERROR(INDEX(PL_EBITDA,1,20)*4/Y13,0)</f>
        <v>8.02156353942075</v>
      </c>
      <c r="Z30" s="154" t="n">
        <f aca="false">IFERROR(INDEX(PL_EBITDA,1,21)*4/Z13,0)</f>
        <v>9.53724403877524</v>
      </c>
      <c r="AA30" s="154" t="n">
        <f aca="false">IFERROR(INDEX(PL_EBITDA,1,22)*4/AA13,0)</f>
        <v>9.02738690978019</v>
      </c>
      <c r="AB30" s="154" t="n">
        <f aca="false">IFERROR(INDEX(PL_EBITDA,1,23)*4/AB13,0)</f>
        <v>9.93782241308002</v>
      </c>
      <c r="AC30" s="154" t="n">
        <f aca="false">IFERROR(INDEX(PL_EBITDA,1,24)*4/AC13,0)</f>
        <v>8.94403573760376</v>
      </c>
      <c r="AD30" s="154" t="n">
        <f aca="false">IFERROR(INDEX(PL_EBITDA,1,25)*4/AD13,0)</f>
        <v>10.2913660303023</v>
      </c>
      <c r="AE30" s="154" t="n">
        <f aca="false">IFERROR(INDEX(PL_EBITDA,1,26)*4/AE13,0)</f>
        <v>11.3752094417112</v>
      </c>
      <c r="AF30" s="154" t="n">
        <f aca="false">IFERROR(INDEX(PL_EBITDA,1,27)*4/AF13,0)</f>
        <v>11.3227571261389</v>
      </c>
      <c r="AG30" s="154" t="n">
        <f aca="false">IFERROR(INDEX(PL_EBITDA,1,28)*4/AG13,0)</f>
        <v>9.792194373975</v>
      </c>
    </row>
    <row r="32" customFormat="false" ht="15" hidden="false" customHeight="false" outlineLevel="0" collapsed="false">
      <c r="A32" s="64" t="s">
        <v>3108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customFormat="false" ht="15" hidden="false" customHeight="false" outlineLevel="0" collapsed="false">
      <c r="A33" s="112" t="s">
        <v>3109</v>
      </c>
      <c r="B33" s="24" t="s">
        <v>840</v>
      </c>
      <c r="C33" s="24" t="s">
        <v>672</v>
      </c>
      <c r="D33" s="24"/>
      <c r="F33" s="153" t="n">
        <f aca="false">IFERROR((INDEX(PL_EBITDA,1,1)+INDEX(PL_Rent,1,1))*4/INDEX(MW_Act,1,1),0)</f>
        <v>-12.4782752172478</v>
      </c>
      <c r="G33" s="153" t="n">
        <f aca="false">IFERROR((INDEX(PL_EBITDA,1,2)+INDEX(PL_Rent,1,2))*4/INDEX(MW_Act,1,2),0)</f>
        <v>-10.2254977450226</v>
      </c>
      <c r="H33" s="153" t="n">
        <f aca="false">IFERROR((INDEX(PL_EBITDA,1,3)+INDEX(PL_Rent,1,3))*4/INDEX(MW_Act,1,3),0)</f>
        <v>-8.07831921680783</v>
      </c>
      <c r="I33" s="153" t="n">
        <f aca="false">IFERROR((INDEX(PL_EBITDA,1,4)+INDEX(PL_Rent,1,4))*4/INDEX(MW_Act,1,4),0)</f>
        <v>-8.75684500712587</v>
      </c>
      <c r="J33" s="153" t="n">
        <f aca="false">IFERROR((INDEX(PL_EBITDA,1,5)+INDEX(PL_Rent,1,5))*4/INDEX(MW_Act,1,5),0)</f>
        <v>-3.33601325660082</v>
      </c>
      <c r="K33" s="153" t="n">
        <f aca="false">IFERROR((INDEX(PL_EBITDA,1,6)+INDEX(PL_Rent,1,6))*4/INDEX(MW_Act,1,6),0)</f>
        <v>-0.286784348645959</v>
      </c>
      <c r="L33" s="153" t="n">
        <f aca="false">IFERROR((INDEX(PL_EBITDA,1,7)+INDEX(PL_Rent,1,7))*4/INDEX(MW_Act,1,7),0)</f>
        <v>0.723485356783193</v>
      </c>
      <c r="M33" s="153" t="n">
        <f aca="false">IFERROR((INDEX(PL_EBITDA,1,8)+INDEX(PL_Rent,1,8))*4/INDEX(MW_Act,1,8),0)</f>
        <v>1.61635346120359</v>
      </c>
      <c r="N33" s="153" t="n">
        <f aca="false">IFERROR((INDEX(PL_EBITDA,1,9)+INDEX(PL_Rent,1,9))*4/INDEX(MW_Act,1,9),0)</f>
        <v>4.55891723375648</v>
      </c>
      <c r="O33" s="153" t="n">
        <f aca="false">IFERROR((INDEX(PL_EBITDA,1,10)+INDEX(PL_Rent,1,10))*4/INDEX(MW_Act,1,10),0)</f>
        <v>6.88345327335307</v>
      </c>
      <c r="P33" s="154" t="n">
        <f aca="false">IFERROR((INDEX(PL_EBITDA,1,11)+INDEX(PL_Rent,1,11))*4/INDEX(MW_Act,1,11),0)</f>
        <v>7.70573130393888</v>
      </c>
      <c r="Q33" s="154" t="n">
        <f aca="false">IFERROR((INDEX(PL_EBITDA,1,12)+INDEX(PL_Rent,1,12))*4/INDEX(MW_Act,1,12),0)</f>
        <v>7.94021385526142</v>
      </c>
      <c r="R33" s="154" t="n">
        <f aca="false">IFERROR((INDEX(PL_EBITDA,1,13)+INDEX(PL_Rent,1,13))*4/INDEX(MW_Act,1,13),0)</f>
        <v>8.68515988716594</v>
      </c>
      <c r="S33" s="154" t="n">
        <f aca="false">IFERROR((INDEX(PL_EBITDA,1,14)+INDEX(PL_Rent,1,14))*4/INDEX(MW_Act,1,14),0)</f>
        <v>9.27267214339832</v>
      </c>
      <c r="T33" s="154" t="n">
        <f aca="false">IFERROR((INDEX(PL_EBITDA,1,15)+INDEX(PL_Rent,1,15))*4/INDEX(MW_Act,1,15),0)</f>
        <v>10.0557097369684</v>
      </c>
      <c r="U33" s="154" t="n">
        <f aca="false">IFERROR((INDEX(PL_EBITDA,1,16)+INDEX(PL_Rent,1,16))*4/INDEX(MW_Act,1,16),0)</f>
        <v>9.60739120406893</v>
      </c>
      <c r="V33" s="154" t="n">
        <f aca="false">IFERROR((INDEX(PL_EBITDA,1,17)+INDEX(PL_Rent,1,17))*4/INDEX(MW_Act,1,17),0)</f>
        <v>10.0822749971865</v>
      </c>
      <c r="W33" s="154" t="n">
        <f aca="false">IFERROR((INDEX(PL_EBITDA,1,18)+INDEX(PL_Rent,1,18))*4/INDEX(MW_Act,1,18),0)</f>
        <v>10.9076085662859</v>
      </c>
      <c r="X33" s="154" t="n">
        <f aca="false">IFERROR((INDEX(PL_EBITDA,1,19)+INDEX(PL_Rent,1,19))*4/INDEX(MW_Act,1,19),0)</f>
        <v>10.7713211022257</v>
      </c>
      <c r="Y33" s="154" t="n">
        <f aca="false">IFERROR((INDEX(PL_EBITDA,1,20)+INDEX(PL_Rent,1,20))*4/INDEX(MW_Act,1,20),0)</f>
        <v>11.3033578772254</v>
      </c>
      <c r="Z33" s="154" t="n">
        <f aca="false">IFERROR((INDEX(PL_EBITDA,1,21)+INDEX(PL_Rent,1,21))*4/INDEX(MW_Act,1,21),0)</f>
        <v>10.8120968891689</v>
      </c>
      <c r="AA33" s="154" t="n">
        <f aca="false">IFERROR((INDEX(PL_EBITDA,1,22)+INDEX(PL_Rent,1,22))*4/INDEX(MW_Act,1,22),0)</f>
        <v>11.9120470007775</v>
      </c>
      <c r="AB33" s="154" t="n">
        <f aca="false">IFERROR((INDEX(PL_EBITDA,1,23)+INDEX(PL_Rent,1,23))*4/INDEX(MW_Act,1,23),0)</f>
        <v>11.02935781788</v>
      </c>
      <c r="AC33" s="154" t="n">
        <f aca="false">IFERROR((INDEX(PL_EBITDA,1,24)+INDEX(PL_Rent,1,24))*4/INDEX(MW_Act,1,24),0)</f>
        <v>11.9394861105576</v>
      </c>
      <c r="AD33" s="154" t="n">
        <f aca="false">IFERROR((INDEX(PL_EBITDA,1,25)+INDEX(PL_Rent,1,25))*4/INDEX(MW_Act,1,25),0)</f>
        <v>11.1682402191602</v>
      </c>
      <c r="AE33" s="154" t="n">
        <f aca="false">IFERROR((INDEX(PL_EBITDA,1,26)+INDEX(PL_Rent,1,26))*4/INDEX(MW_Act,1,26),0)</f>
        <v>12.3414223055964</v>
      </c>
      <c r="AF33" s="154" t="n">
        <f aca="false">IFERROR((INDEX(PL_EBITDA,1,27)+INDEX(PL_Rent,1,27))*4/INDEX(MW_Act,1,27),0)</f>
        <v>12.2889699900241</v>
      </c>
      <c r="AG33" s="154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12" t="s">
        <v>3110</v>
      </c>
      <c r="B34" s="24" t="s">
        <v>840</v>
      </c>
      <c r="C34" s="24" t="s">
        <v>672</v>
      </c>
      <c r="D34" s="24"/>
      <c r="F34" s="153" t="n">
        <f aca="false">IFERROR(INDEX(PL_Rent,1,1)*4/F15,0)</f>
        <v>0</v>
      </c>
      <c r="G34" s="153" t="n">
        <f aca="false">IFERROR(INDEX(PL_Rent,1,2)*4/G15,0)</f>
        <v>0</v>
      </c>
      <c r="H34" s="153" t="n">
        <f aca="false">IFERROR(INDEX(PL_Rent,1,3)*4/H15,0)</f>
        <v>0</v>
      </c>
      <c r="I34" s="153" t="n">
        <f aca="false">IFERROR(INDEX(PL_Rent,1,4)*4/I15,0)</f>
        <v>2.5589160129835</v>
      </c>
      <c r="J34" s="153" t="n">
        <f aca="false">IFERROR(INDEX(PL_Rent,1,5)*4/J15,0)</f>
        <v>2.22321709182337</v>
      </c>
      <c r="K34" s="153" t="n">
        <f aca="false">IFERROR(INDEX(PL_Rent,1,6)*4/K15,0)</f>
        <v>2.8125</v>
      </c>
      <c r="L34" s="153" t="n">
        <f aca="false">IFERROR(INDEX(PL_Rent,1,7)*4/L15,0)</f>
        <v>2.54206616356059</v>
      </c>
      <c r="M34" s="153" t="n">
        <f aca="false">IFERROR(INDEX(PL_Rent,1,8)*4/M15,0)</f>
        <v>2.006983776363</v>
      </c>
      <c r="N34" s="153" t="n">
        <f aca="false">IFERROR(INDEX(PL_Rent,1,9)*4/N15,0)</f>
        <v>2.54386745407764</v>
      </c>
      <c r="O34" s="153" t="n">
        <f aca="false">IFERROR(INDEX(PL_Rent,1,10)*4/O15,0)</f>
        <v>2.72388198484627</v>
      </c>
      <c r="P34" s="154" t="n">
        <f aca="false">IFERROR(INDEX(PL_Rent,1,11)*4/P15,0)</f>
        <v>2.8125</v>
      </c>
      <c r="Q34" s="154" t="n">
        <f aca="false">IFERROR(INDEX(PL_Rent,1,12)*4/Q15,0)</f>
        <v>2.58891507868807</v>
      </c>
      <c r="R34" s="154" t="n">
        <f aca="false">IFERROR(INDEX(PL_Rent,1,13)*4/R15,0)</f>
        <v>2.41759254042248</v>
      </c>
      <c r="S34" s="154" t="n">
        <f aca="false">IFERROR(INDEX(PL_Rent,1,14)*4/S15,0)</f>
        <v>2.34124403499068</v>
      </c>
      <c r="T34" s="154" t="n">
        <f aca="false">IFERROR(INDEX(PL_Rent,1,15)*4/T15,0)</f>
        <v>2.41992442151515</v>
      </c>
      <c r="U34" s="154" t="n">
        <f aca="false">IFERROR(INDEX(PL_Rent,1,16)*4/U15,0)</f>
        <v>2.49568905007991</v>
      </c>
      <c r="V34" s="154" t="n">
        <f aca="false">IFERROR(INDEX(PL_Rent,1,17)*4/V15,0)</f>
        <v>2.46246370599591</v>
      </c>
      <c r="W34" s="154" t="n">
        <f aca="false">IFERROR(INDEX(PL_Rent,1,18)*4/W15,0)</f>
        <v>2.70330630846852</v>
      </c>
      <c r="X34" s="154" t="n">
        <f aca="false">IFERROR(INDEX(PL_Rent,1,19)*4/X15,0)</f>
        <v>2.64980850840189</v>
      </c>
      <c r="Y34" s="154" t="n">
        <f aca="false">IFERROR(INDEX(PL_Rent,1,20)*4/Y15,0)</f>
        <v>2.79937172682392</v>
      </c>
      <c r="Z34" s="154" t="n">
        <f aca="false">IFERROR(INDEX(PL_Rent,1,21)*4/Z15,0)</f>
        <v>2.54551899419523</v>
      </c>
      <c r="AA34" s="154" t="n">
        <f aca="false">IFERROR(INDEX(PL_Rent,1,22)*4/AA15,0)</f>
        <v>2.8125</v>
      </c>
      <c r="AB34" s="154" t="n">
        <f aca="false">IFERROR(INDEX(PL_Rent,1,23)*4/AB15,0)</f>
        <v>2.58973230850994</v>
      </c>
      <c r="AC34" s="154" t="n">
        <f aca="false">IFERROR(INDEX(PL_Rent,1,24)*4/AC15,0)</f>
        <v>2.8125</v>
      </c>
      <c r="AD34" s="154" t="n">
        <f aca="false">IFERROR(INDEX(PL_Rent,1,25)*4/AD15,0)</f>
        <v>2.55244858389285</v>
      </c>
      <c r="AE34" s="154" t="n">
        <f aca="false">IFERROR(INDEX(PL_Rent,1,26)*4/AE15,0)</f>
        <v>2.8125</v>
      </c>
      <c r="AF34" s="154" t="n">
        <f aca="false">IFERROR(INDEX(PL_Rent,1,27)*4/AF15,0)</f>
        <v>2.8125</v>
      </c>
      <c r="AG34" s="154" t="n">
        <f aca="false">IFERROR(INDEX(PL_Rent,1,28)*4/AG15,0)</f>
        <v>2.8125</v>
      </c>
    </row>
    <row r="35" customFormat="false" ht="15" hidden="false" customHeight="false" outlineLevel="0" collapsed="false">
      <c r="A35" s="112" t="s">
        <v>3111</v>
      </c>
      <c r="B35" s="24" t="s">
        <v>840</v>
      </c>
      <c r="C35" s="24" t="s">
        <v>672</v>
      </c>
      <c r="D35" s="24"/>
      <c r="F35" s="153" t="n">
        <f aca="false">F33</f>
        <v>-12.4782752172478</v>
      </c>
      <c r="G35" s="153" t="n">
        <f aca="false">G33</f>
        <v>-10.2254977450226</v>
      </c>
      <c r="H35" s="153" t="n">
        <f aca="false">H33</f>
        <v>-8.07831921680783</v>
      </c>
      <c r="I35" s="153" t="n">
        <f aca="false">I33</f>
        <v>-8.75684500712587</v>
      </c>
      <c r="J35" s="153" t="n">
        <f aca="false">J33</f>
        <v>-3.33601325660082</v>
      </c>
      <c r="K35" s="153" t="n">
        <f aca="false">K33</f>
        <v>-0.286784348645959</v>
      </c>
      <c r="L35" s="153" t="n">
        <f aca="false">L33</f>
        <v>0.723485356783193</v>
      </c>
      <c r="M35" s="153" t="n">
        <f aca="false">M33</f>
        <v>1.61635346120359</v>
      </c>
      <c r="N35" s="153" t="n">
        <f aca="false">N33</f>
        <v>4.55891723375648</v>
      </c>
      <c r="O35" s="153" t="n">
        <f aca="false">O33</f>
        <v>6.88345327335307</v>
      </c>
      <c r="P35" s="154" t="n">
        <f aca="false">P33</f>
        <v>7.70573130393888</v>
      </c>
      <c r="Q35" s="154" t="n">
        <f aca="false">Q33</f>
        <v>7.94021385526142</v>
      </c>
      <c r="R35" s="154" t="n">
        <f aca="false">R33</f>
        <v>8.68515988716594</v>
      </c>
      <c r="S35" s="154" t="n">
        <f aca="false">S33</f>
        <v>9.27267214339832</v>
      </c>
      <c r="T35" s="154" t="n">
        <f aca="false">T33</f>
        <v>10.0557097369684</v>
      </c>
      <c r="U35" s="154" t="n">
        <f aca="false">U33</f>
        <v>9.60739120406893</v>
      </c>
      <c r="V35" s="154" t="n">
        <f aca="false">V33</f>
        <v>10.0822749971865</v>
      </c>
      <c r="W35" s="154" t="n">
        <f aca="false">W33</f>
        <v>10.9076085662859</v>
      </c>
      <c r="X35" s="154" t="n">
        <f aca="false">X33</f>
        <v>10.7713211022257</v>
      </c>
      <c r="Y35" s="154" t="n">
        <f aca="false">Y33</f>
        <v>11.3033578772254</v>
      </c>
      <c r="Z35" s="154" t="n">
        <f aca="false">Z33</f>
        <v>10.8120968891689</v>
      </c>
      <c r="AA35" s="154" t="n">
        <f aca="false">AA33</f>
        <v>11.9120470007775</v>
      </c>
      <c r="AB35" s="154" t="n">
        <f aca="false">AB33</f>
        <v>11.02935781788</v>
      </c>
      <c r="AC35" s="154" t="n">
        <f aca="false">AC33</f>
        <v>11.9394861105576</v>
      </c>
      <c r="AD35" s="154" t="n">
        <f aca="false">AD33</f>
        <v>11.1682402191602</v>
      </c>
      <c r="AE35" s="154" t="n">
        <f aca="false">AE33</f>
        <v>12.3414223055964</v>
      </c>
      <c r="AF35" s="154" t="n">
        <f aca="false">AF33</f>
        <v>12.2889699900241</v>
      </c>
      <c r="AG35" s="154" t="n">
        <f aca="false">AG33</f>
        <v>12.366119478431</v>
      </c>
    </row>
    <row r="36" customFormat="false" ht="15" hidden="false" customHeight="false" outlineLevel="0" collapsed="false">
      <c r="A36" s="112" t="s">
        <v>3112</v>
      </c>
      <c r="B36" s="24" t="s">
        <v>840</v>
      </c>
      <c r="C36" s="24" t="s">
        <v>672</v>
      </c>
      <c r="D36" s="24"/>
      <c r="F36" s="153" t="n">
        <f aca="false">F33-F34</f>
        <v>-12.4782752172478</v>
      </c>
      <c r="G36" s="153" t="n">
        <f aca="false">G33-G34</f>
        <v>-10.2254977450226</v>
      </c>
      <c r="H36" s="153" t="n">
        <f aca="false">H33-H34</f>
        <v>-8.07831921680783</v>
      </c>
      <c r="I36" s="153" t="n">
        <f aca="false">I33-I34</f>
        <v>-11.3157610201094</v>
      </c>
      <c r="J36" s="153" t="n">
        <f aca="false">J33-J34</f>
        <v>-5.55923034842419</v>
      </c>
      <c r="K36" s="153" t="n">
        <f aca="false">K33-K34</f>
        <v>-3.09928434864596</v>
      </c>
      <c r="L36" s="153" t="n">
        <f aca="false">L33-L34</f>
        <v>-1.8185808067774</v>
      </c>
      <c r="M36" s="153" t="n">
        <f aca="false">M33-M34</f>
        <v>-0.390630315159415</v>
      </c>
      <c r="N36" s="153" t="n">
        <f aca="false">N33-N34</f>
        <v>2.01504977967884</v>
      </c>
      <c r="O36" s="153" t="n">
        <f aca="false">O33-O34</f>
        <v>4.1595712885068</v>
      </c>
      <c r="P36" s="154" t="n">
        <f aca="false">P33-P34</f>
        <v>4.89323130393888</v>
      </c>
      <c r="Q36" s="154" t="n">
        <f aca="false">Q33-Q34</f>
        <v>5.35129877657335</v>
      </c>
      <c r="R36" s="154" t="n">
        <f aca="false">R33-R34</f>
        <v>6.26756734674346</v>
      </c>
      <c r="S36" s="154" t="n">
        <f aca="false">S33-S34</f>
        <v>6.93142810840764</v>
      </c>
      <c r="T36" s="154" t="n">
        <f aca="false">T33-T34</f>
        <v>7.6357853154532</v>
      </c>
      <c r="U36" s="154" t="n">
        <f aca="false">U33-U34</f>
        <v>7.11170215398903</v>
      </c>
      <c r="V36" s="154" t="n">
        <f aca="false">V33-V34</f>
        <v>7.61981129119057</v>
      </c>
      <c r="W36" s="154" t="n">
        <f aca="false">W33-W34</f>
        <v>8.20430225781743</v>
      </c>
      <c r="X36" s="154" t="n">
        <f aca="false">X33-X34</f>
        <v>8.12151259382384</v>
      </c>
      <c r="Y36" s="154" t="n">
        <f aca="false">Y33-Y34</f>
        <v>8.50398615040152</v>
      </c>
      <c r="Z36" s="154" t="n">
        <f aca="false">Z33-Z34</f>
        <v>8.26657789497369</v>
      </c>
      <c r="AA36" s="154" t="n">
        <f aca="false">AA33-AA34</f>
        <v>9.09954700077753</v>
      </c>
      <c r="AB36" s="154" t="n">
        <f aca="false">AB33-AB34</f>
        <v>8.43962550937006</v>
      </c>
      <c r="AC36" s="154" t="n">
        <f aca="false">AC33-AC34</f>
        <v>9.1269861105576</v>
      </c>
      <c r="AD36" s="154" t="n">
        <f aca="false">AD33-AD34</f>
        <v>8.61579163526734</v>
      </c>
      <c r="AE36" s="154" t="n">
        <f aca="false">AE33-AE34</f>
        <v>9.52892230559639</v>
      </c>
      <c r="AF36" s="154" t="n">
        <f aca="false">AF33-AF34</f>
        <v>9.47646999002407</v>
      </c>
      <c r="AG36" s="154" t="n">
        <f aca="false">AG33-AG34</f>
        <v>9.55361947843101</v>
      </c>
    </row>
    <row r="37" customFormat="false" ht="15" hidden="false" customHeight="false" outlineLevel="0" collapsed="false">
      <c r="A37" s="112" t="s">
        <v>3113</v>
      </c>
      <c r="B37" s="24" t="s">
        <v>696</v>
      </c>
      <c r="C37" s="24" t="s">
        <v>3114</v>
      </c>
      <c r="D37" s="24"/>
      <c r="F37" s="153" t="n">
        <f aca="false">ITCapexMW+ShellMW+PowerMW</f>
        <v>42.5</v>
      </c>
      <c r="G37" s="153" t="n">
        <f aca="false">ITCapexMW+ShellMW+PowerMW</f>
        <v>42.5</v>
      </c>
      <c r="H37" s="153" t="n">
        <f aca="false">ITCapexMW+ShellMW+PowerMW</f>
        <v>42.5</v>
      </c>
      <c r="I37" s="153" t="n">
        <f aca="false">ITCapexMW+ShellMW+PowerMW</f>
        <v>42.5</v>
      </c>
      <c r="J37" s="153" t="n">
        <f aca="false">ITCapexMW+ShellMW+PowerMW</f>
        <v>42.5</v>
      </c>
      <c r="K37" s="153" t="n">
        <f aca="false">ITCapexMW+ShellMW+PowerMW</f>
        <v>42.5</v>
      </c>
      <c r="L37" s="153" t="n">
        <f aca="false">ITCapexMW+ShellMW+PowerMW</f>
        <v>42.5</v>
      </c>
      <c r="M37" s="153" t="n">
        <f aca="false">ITCapexMW+ShellMW+PowerMW</f>
        <v>42.5</v>
      </c>
      <c r="N37" s="153" t="n">
        <f aca="false">ITCapexMW+ShellMW+PowerMW</f>
        <v>42.5</v>
      </c>
      <c r="O37" s="153" t="n">
        <f aca="false">ITCapexMW+ShellMW+PowerMW</f>
        <v>42.5</v>
      </c>
      <c r="P37" s="154" t="n">
        <f aca="false">ITCapexMW+ShellMW+PowerMW</f>
        <v>42.5</v>
      </c>
      <c r="Q37" s="154" t="n">
        <f aca="false">ITCapexMW+ShellMW+PowerMW</f>
        <v>42.5</v>
      </c>
      <c r="R37" s="154" t="n">
        <f aca="false">ITCapexMW+ShellMW+PowerMW</f>
        <v>42.5</v>
      </c>
      <c r="S37" s="154" t="n">
        <f aca="false">ITCapexMW+ShellMW+PowerMW</f>
        <v>42.5</v>
      </c>
      <c r="T37" s="154" t="n">
        <f aca="false">ITCapexMW+ShellMW+PowerMW</f>
        <v>42.5</v>
      </c>
      <c r="U37" s="154" t="n">
        <f aca="false">ITCapexMW+ShellMW+PowerMW</f>
        <v>42.5</v>
      </c>
      <c r="V37" s="154" t="n">
        <f aca="false">ITCapexMW+ShellMW+PowerMW</f>
        <v>42.5</v>
      </c>
      <c r="W37" s="154" t="n">
        <f aca="false">ITCapexMW+ShellMW+PowerMW</f>
        <v>42.5</v>
      </c>
      <c r="X37" s="154" t="n">
        <f aca="false">ITCapexMW+ShellMW+PowerMW</f>
        <v>42.5</v>
      </c>
      <c r="Y37" s="154" t="n">
        <f aca="false">ITCapexMW+ShellMW+PowerMW</f>
        <v>42.5</v>
      </c>
      <c r="Z37" s="154" t="n">
        <f aca="false">ITCapexMW+ShellMW+PowerMW</f>
        <v>42.5</v>
      </c>
      <c r="AA37" s="154" t="n">
        <f aca="false">ITCapexMW+ShellMW+PowerMW</f>
        <v>42.5</v>
      </c>
      <c r="AB37" s="154" t="n">
        <f aca="false">ITCapexMW+ShellMW+PowerMW</f>
        <v>42.5</v>
      </c>
      <c r="AC37" s="154" t="n">
        <f aca="false">ITCapexMW+ShellMW+PowerMW</f>
        <v>42.5</v>
      </c>
      <c r="AD37" s="154" t="n">
        <f aca="false">ITCapexMW+ShellMW+PowerMW</f>
        <v>42.5</v>
      </c>
      <c r="AE37" s="154" t="n">
        <f aca="false">ITCapexMW+ShellMW+PowerMW</f>
        <v>42.5</v>
      </c>
      <c r="AF37" s="154" t="n">
        <f aca="false">ITCapexMW+ShellMW+PowerMW</f>
        <v>42.5</v>
      </c>
      <c r="AG37" s="154" t="n">
        <f aca="false">ITCapexMW+ShellMW+PowerMW</f>
        <v>42.5</v>
      </c>
    </row>
    <row r="38" customFormat="false" ht="15" hidden="false" customHeight="false" outlineLevel="0" collapsed="false">
      <c r="A38" s="112" t="s">
        <v>3115</v>
      </c>
      <c r="B38" s="24" t="s">
        <v>696</v>
      </c>
      <c r="C38" s="24" t="s">
        <v>3114</v>
      </c>
      <c r="D38" s="24"/>
      <c r="F38" s="153" t="n">
        <f aca="false">ITCapexMW</f>
        <v>30</v>
      </c>
      <c r="G38" s="153" t="n">
        <f aca="false">ITCapexMW</f>
        <v>30</v>
      </c>
      <c r="H38" s="153" t="n">
        <f aca="false">ITCapexMW</f>
        <v>30</v>
      </c>
      <c r="I38" s="153" t="n">
        <f aca="false">ITCapexMW</f>
        <v>30</v>
      </c>
      <c r="J38" s="153" t="n">
        <f aca="false">ITCapexMW</f>
        <v>30</v>
      </c>
      <c r="K38" s="153" t="n">
        <f aca="false">ITCapexMW</f>
        <v>30</v>
      </c>
      <c r="L38" s="153" t="n">
        <f aca="false">ITCapexMW</f>
        <v>30</v>
      </c>
      <c r="M38" s="153" t="n">
        <f aca="false">ITCapexMW</f>
        <v>30</v>
      </c>
      <c r="N38" s="153" t="n">
        <f aca="false">ITCapexMW</f>
        <v>30</v>
      </c>
      <c r="O38" s="153" t="n">
        <f aca="false">ITCapexMW</f>
        <v>30</v>
      </c>
      <c r="P38" s="154" t="n">
        <f aca="false">ITCapexMW</f>
        <v>30</v>
      </c>
      <c r="Q38" s="154" t="n">
        <f aca="false">ITCapexMW</f>
        <v>30</v>
      </c>
      <c r="R38" s="154" t="n">
        <f aca="false">ITCapexMW</f>
        <v>30</v>
      </c>
      <c r="S38" s="154" t="n">
        <f aca="false">ITCapexMW</f>
        <v>30</v>
      </c>
      <c r="T38" s="154" t="n">
        <f aca="false">ITCapexMW</f>
        <v>30</v>
      </c>
      <c r="U38" s="154" t="n">
        <f aca="false">ITCapexMW</f>
        <v>30</v>
      </c>
      <c r="V38" s="154" t="n">
        <f aca="false">ITCapexMW</f>
        <v>30</v>
      </c>
      <c r="W38" s="154" t="n">
        <f aca="false">ITCapexMW</f>
        <v>30</v>
      </c>
      <c r="X38" s="154" t="n">
        <f aca="false">ITCapexMW</f>
        <v>30</v>
      </c>
      <c r="Y38" s="154" t="n">
        <f aca="false">ITCapexMW</f>
        <v>30</v>
      </c>
      <c r="Z38" s="154" t="n">
        <f aca="false">ITCapexMW</f>
        <v>30</v>
      </c>
      <c r="AA38" s="154" t="n">
        <f aca="false">ITCapexMW</f>
        <v>30</v>
      </c>
      <c r="AB38" s="154" t="n">
        <f aca="false">ITCapexMW</f>
        <v>30</v>
      </c>
      <c r="AC38" s="154" t="n">
        <f aca="false">ITCapexMW</f>
        <v>30</v>
      </c>
      <c r="AD38" s="154" t="n">
        <f aca="false">ITCapexMW</f>
        <v>30</v>
      </c>
      <c r="AE38" s="154" t="n">
        <f aca="false">ITCapexMW</f>
        <v>30</v>
      </c>
      <c r="AF38" s="154" t="n">
        <f aca="false">ITCapexMW</f>
        <v>30</v>
      </c>
      <c r="AG38" s="154" t="n">
        <f aca="false">ITCapexMW</f>
        <v>30</v>
      </c>
    </row>
    <row r="39" customFormat="false" ht="15" hidden="false" customHeight="false" outlineLevel="0" collapsed="false">
      <c r="A39" s="112" t="s">
        <v>3116</v>
      </c>
      <c r="B39" s="24" t="s">
        <v>751</v>
      </c>
      <c r="C39" s="24" t="s">
        <v>2371</v>
      </c>
      <c r="D39" s="24"/>
      <c r="F39" s="134" t="n">
        <f aca="false">INDEX(DepYld,1,1)</f>
        <v>0</v>
      </c>
      <c r="G39" s="134" t="str">
        <f aca="false">INDEX(DepYld,1,2)</f>
        <v/>
      </c>
      <c r="H39" s="134" t="str">
        <f aca="false">INDEX(DepYld,1,3)</f>
        <v/>
      </c>
      <c r="I39" s="134" t="str">
        <f aca="false">INDEX(DepYld,1,4)</f>
        <v/>
      </c>
      <c r="J39" s="134" t="str">
        <f aca="false">INDEX(DepYld,1,5)</f>
        <v/>
      </c>
      <c r="K39" s="134" t="str">
        <f aca="false">INDEX(DepYld,1,6)</f>
        <v/>
      </c>
      <c r="L39" s="134" t="str">
        <f aca="false">INDEX(DepYld,1,7)</f>
        <v/>
      </c>
      <c r="M39" s="134" t="str">
        <f aca="false">INDEX(DepYld,1,8)</f>
        <v/>
      </c>
      <c r="N39" s="134" t="n">
        <f aca="false">INDEX(DepYld,1,9)</f>
        <v>0.216186062478544</v>
      </c>
      <c r="O39" s="134" t="n">
        <f aca="false">INDEX(DepYld,1,10)</f>
        <v>0.200171980643747</v>
      </c>
      <c r="P39" s="29" t="n">
        <f aca="false">INDEX(DepYld,1,11)</f>
        <v>0.329595545716654</v>
      </c>
      <c r="Q39" s="29" t="n">
        <f aca="false">INDEX(DepYld,1,12)</f>
        <v>0.228183660823641</v>
      </c>
      <c r="R39" s="29" t="n">
        <f aca="false">INDEX(DepYld,1,13)</f>
        <v>0.216674260399964</v>
      </c>
      <c r="S39" s="29" t="n">
        <f aca="false">INDEX(DepYld,1,14)</f>
        <v>0.237869841209253</v>
      </c>
      <c r="T39" s="29" t="n">
        <f aca="false">INDEX(DepYld,1,15)</f>
        <v>0.261044774113975</v>
      </c>
      <c r="U39" s="29" t="n">
        <f aca="false">INDEX(DepYld,1,16)</f>
        <v>0.265357075450229</v>
      </c>
      <c r="V39" s="29" t="n">
        <f aca="false">INDEX(DepYld,1,17)</f>
        <v>0.276784962433845</v>
      </c>
      <c r="W39" s="29" t="n">
        <f aca="false">INDEX(DepYld,1,18)</f>
        <v>0.243176279825479</v>
      </c>
      <c r="X39" s="29" t="n">
        <f aca="false">INDEX(DepYld,1,19)</f>
        <v>0.23459926776924</v>
      </c>
      <c r="Y39" s="29" t="n">
        <f aca="false">INDEX(DepYld,1,20)</f>
        <v>0.220237454954712</v>
      </c>
      <c r="Z39" s="29" t="n">
        <f aca="false">INDEX(DepYld,1,21)</f>
        <v>0.247819777497221</v>
      </c>
      <c r="AA39" s="29" t="n">
        <f aca="false">INDEX(DepYld,1,22)</f>
        <v>0.226636402457518</v>
      </c>
      <c r="AB39" s="29" t="n">
        <f aca="false">INDEX(DepYld,1,23)</f>
        <v>0.240663486272385</v>
      </c>
      <c r="AC39" s="29" t="n">
        <f aca="false">INDEX(DepYld,1,24)</f>
        <v>0.224943182209033</v>
      </c>
      <c r="AD39" s="29" t="n">
        <f aca="false">INDEX(DepYld,1,25)</f>
        <v>0.247365854617433</v>
      </c>
      <c r="AE39" s="29" t="n">
        <f aca="false">INDEX(DepYld,1,26)</f>
        <v>0.222555743181694</v>
      </c>
      <c r="AF39" s="29" t="n">
        <f aca="false">INDEX(DepYld,1,27)</f>
        <v>0.20654623485183</v>
      </c>
      <c r="AG39" s="29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3117</v>
      </c>
    </row>
    <row r="3" customFormat="false" ht="15" hidden="false" customHeight="false" outlineLevel="0" collapsed="false">
      <c r="A3" s="24" t="s">
        <v>3118</v>
      </c>
    </row>
    <row r="4" customFormat="false" ht="15" hidden="false" customHeight="false" outlineLevel="0" collapsed="false">
      <c r="A4" s="49" t="s">
        <v>3119</v>
      </c>
      <c r="B4" s="49" t="s">
        <v>3120</v>
      </c>
      <c r="C4" s="49" t="s">
        <v>3121</v>
      </c>
      <c r="D4" s="49" t="s">
        <v>3122</v>
      </c>
      <c r="E4" s="49" t="s">
        <v>3123</v>
      </c>
      <c r="F4" s="49" t="s">
        <v>3124</v>
      </c>
    </row>
    <row r="5" customFormat="false" ht="15" hidden="false" customHeight="false" outlineLevel="0" collapsed="false">
      <c r="A5" s="0" t="s">
        <v>3125</v>
      </c>
      <c r="B5" s="40" t="n">
        <f aca="false">-0.2*SUMPRODUCT((Q_Yr=2026)*(Q_Idx&gt;V_Q)*(Book_C+Book_B*(Q_Idx&gt;V_Q+ResLag)))</f>
        <v>-11.056320722595</v>
      </c>
      <c r="C5" s="40" t="n">
        <f aca="false">-0.1*SUMPRODUCT((Q_Yr=2026)*(Q_Idx&gt;V_Q)*(Book_C+Book_B*(Q_Idx&gt;V_Q+ResLag)))</f>
        <v>-5.52816036129748</v>
      </c>
      <c r="D5" s="40" t="n">
        <f aca="false">0.1*SUMPRODUCT((Q_Yr=2026)*(Q_Idx&gt;V_Q)*(Book_C+Book_B*(Q_Idx&gt;V_Q+ResLag)))</f>
        <v>5.52816036129748</v>
      </c>
      <c r="E5" s="40" t="n">
        <f aca="false">0.2*SUMPRODUCT((Q_Yr=2026)*(Q_Idx&gt;V_Q)*(Book_C+Book_B*(Q_Idx&gt;V_Q+ResLag)))</f>
        <v>11.056320722595</v>
      </c>
      <c r="F5" s="29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3126</v>
      </c>
      <c r="B6" s="40" t="n">
        <f aca="false">-0.2*SUMPRODUCT((Q_Yr=2027)*(Q_Idx&gt;V_Q)*(Book_C+Book_B*(Q_Idx&gt;V_Q+ResLag)))</f>
        <v>-442.120448331692</v>
      </c>
      <c r="C6" s="40" t="n">
        <f aca="false">-0.1*SUMPRODUCT((Q_Yr=2027)*(Q_Idx&gt;V_Q)*(Book_C+Book_B*(Q_Idx&gt;V_Q+ResLag)))</f>
        <v>-221.060224165846</v>
      </c>
      <c r="D6" s="40" t="n">
        <f aca="false">0.1*SUMPRODUCT((Q_Yr=2027)*(Q_Idx&gt;V_Q)*(Book_C+Book_B*(Q_Idx&gt;V_Q+ResLag)))</f>
        <v>221.060224165846</v>
      </c>
      <c r="E6" s="40" t="n">
        <f aca="false">0.2*SUMPRODUCT((Q_Yr=2027)*(Q_Idx&gt;V_Q)*(Book_C+Book_B*(Q_Idx&gt;V_Q+ResLag)))</f>
        <v>442.120448331692</v>
      </c>
      <c r="F6" s="29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3127</v>
      </c>
      <c r="B7" s="40" t="n">
        <f aca="false">-0.2*SUMPRODUCT((Q_Yr=2028)*(Q_Idx&gt;V_Q)*(Book_C+Book_B*(Q_Idx&gt;V_Q+ResLag)))</f>
        <v>-3327.00007820273</v>
      </c>
      <c r="C7" s="40" t="n">
        <f aca="false">-0.1*SUMPRODUCT((Q_Yr=2028)*(Q_Idx&gt;V_Q)*(Book_C+Book_B*(Q_Idx&gt;V_Q+ResLag)))</f>
        <v>-1663.50003910136</v>
      </c>
      <c r="D7" s="40" t="n">
        <f aca="false">0.1*SUMPRODUCT((Q_Yr=2028)*(Q_Idx&gt;V_Q)*(Book_C+Book_B*(Q_Idx&gt;V_Q+ResLag)))</f>
        <v>1663.50003910136</v>
      </c>
      <c r="E7" s="40" t="n">
        <f aca="false">0.2*SUMPRODUCT((Q_Yr=2028)*(Q_Idx&gt;V_Q)*(Book_C+Book_B*(Q_Idx&gt;V_Q+ResLag)))</f>
        <v>3327.00007820273</v>
      </c>
      <c r="F7" s="29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3128</v>
      </c>
      <c r="B9" s="27" t="n">
        <f aca="false">INDEX(Book_A,1,V_Q)/INDEX(AIRev,1,V_Q)</f>
        <v>0.494034609428809</v>
      </c>
      <c r="C9" s="27" t="n">
        <f aca="false">INDEX(Book_B,1,V_Q)/INDEX(AIRev,1,V_Q)</f>
        <v>0.439235798923321</v>
      </c>
      <c r="D9" s="27" t="n">
        <f aca="false">INDEX(Book_C,1,V_Q)/INDEX(AIRev,1,V_Q)</f>
        <v>0.0667295916478699</v>
      </c>
    </row>
    <row r="11" customFormat="false" ht="15" hidden="false" customHeight="false" outlineLevel="0" collapsed="false">
      <c r="A11" s="155" t="s">
        <v>3129</v>
      </c>
    </row>
    <row r="12" customFormat="false" ht="15" hidden="false" customHeight="false" outlineLevel="0" collapsed="false">
      <c r="A12" s="9" t="s">
        <v>3130</v>
      </c>
      <c r="B12" s="9" t="s">
        <v>3131</v>
      </c>
      <c r="C12" s="9" t="s">
        <v>500</v>
      </c>
      <c r="D12" s="9" t="s">
        <v>502</v>
      </c>
      <c r="E12" s="9" t="s">
        <v>501</v>
      </c>
      <c r="F12" s="9" t="s">
        <v>3132</v>
      </c>
      <c r="G12" s="9" t="s">
        <v>3133</v>
      </c>
      <c r="H12" s="9" t="s">
        <v>3134</v>
      </c>
      <c r="I12" s="9" t="s">
        <v>3135</v>
      </c>
      <c r="J12" s="9" t="s">
        <v>530</v>
      </c>
      <c r="K12" s="9" t="s">
        <v>3136</v>
      </c>
      <c r="L12" s="9" t="s">
        <v>3137</v>
      </c>
      <c r="M12" s="9" t="s">
        <v>3138</v>
      </c>
      <c r="N12" s="9" t="s">
        <v>503</v>
      </c>
      <c r="O12" s="9" t="s">
        <v>3139</v>
      </c>
      <c r="P12" s="9" t="s">
        <v>3140</v>
      </c>
      <c r="Q12" s="9" t="s">
        <v>3141</v>
      </c>
      <c r="R12" s="9" t="s">
        <v>3142</v>
      </c>
      <c r="S12" s="9" t="s">
        <v>3143</v>
      </c>
      <c r="T12" s="9" t="s">
        <v>3144</v>
      </c>
      <c r="U12" s="9" t="s">
        <v>3145</v>
      </c>
      <c r="V12" s="9" t="s">
        <v>531</v>
      </c>
      <c r="W12" s="9" t="s">
        <v>3146</v>
      </c>
      <c r="X12" s="9" t="s">
        <v>3147</v>
      </c>
      <c r="Y12" s="9" t="s">
        <v>3148</v>
      </c>
      <c r="Z12" s="9" t="s">
        <v>3149</v>
      </c>
      <c r="AA12" s="9" t="s">
        <v>3150</v>
      </c>
      <c r="AB12" s="9" t="s">
        <v>3151</v>
      </c>
      <c r="AC12" s="9" t="s">
        <v>3152</v>
      </c>
      <c r="AD12" s="9" t="s">
        <v>3153</v>
      </c>
      <c r="AE12" s="9" t="s">
        <v>3154</v>
      </c>
      <c r="AF12" s="9" t="s">
        <v>3155</v>
      </c>
      <c r="AG12" s="9" t="s">
        <v>3156</v>
      </c>
      <c r="AH12" s="9" t="s">
        <v>3157</v>
      </c>
      <c r="AI12" s="9" t="s">
        <v>3158</v>
      </c>
      <c r="AJ12" s="9" t="s">
        <v>3159</v>
      </c>
      <c r="AK12" s="9" t="s">
        <v>3160</v>
      </c>
      <c r="AL12" s="9" t="s">
        <v>3161</v>
      </c>
      <c r="AM12" s="9" t="s">
        <v>3162</v>
      </c>
      <c r="AN12" s="9" t="s">
        <v>3163</v>
      </c>
      <c r="AO12" s="9" t="s">
        <v>3164</v>
      </c>
      <c r="AP12" s="9" t="s">
        <v>3165</v>
      </c>
      <c r="AQ12" s="9" t="s">
        <v>3166</v>
      </c>
      <c r="AR12" s="9" t="s">
        <v>3167</v>
      </c>
      <c r="AS12" s="9" t="s">
        <v>3168</v>
      </c>
      <c r="AT12" s="9" t="s">
        <v>3169</v>
      </c>
      <c r="AU12" s="9" t="s">
        <v>3170</v>
      </c>
      <c r="AV12" s="9" t="s">
        <v>3171</v>
      </c>
      <c r="AW12" s="9" t="s">
        <v>3172</v>
      </c>
      <c r="AX12" s="9" t="s">
        <v>3173</v>
      </c>
      <c r="AY12" s="9" t="s">
        <v>3174</v>
      </c>
      <c r="AZ12" s="9" t="s">
        <v>3175</v>
      </c>
      <c r="BA12" s="9" t="s">
        <v>3176</v>
      </c>
      <c r="BB12" s="9" t="s">
        <v>3177</v>
      </c>
      <c r="BC12" s="9" t="s">
        <v>3178</v>
      </c>
      <c r="BD12" s="9" t="s">
        <v>3179</v>
      </c>
      <c r="BE12" s="9" t="s">
        <v>3180</v>
      </c>
      <c r="BF12" s="9" t="s">
        <v>3181</v>
      </c>
      <c r="BG12" s="9" t="s">
        <v>3182</v>
      </c>
      <c r="BH12" s="9" t="s">
        <v>3183</v>
      </c>
      <c r="BI12" s="9" t="s">
        <v>3184</v>
      </c>
      <c r="BJ12" s="9" t="s">
        <v>3185</v>
      </c>
      <c r="BK12" s="9" t="s">
        <v>3186</v>
      </c>
      <c r="BL12" s="9" t="s">
        <v>3187</v>
      </c>
      <c r="BM12" s="9" t="s">
        <v>3188</v>
      </c>
      <c r="BN12" s="9" t="s">
        <v>3189</v>
      </c>
      <c r="BO12" s="9" t="s">
        <v>3190</v>
      </c>
      <c r="BP12" s="9" t="s">
        <v>3191</v>
      </c>
      <c r="BQ12" s="9" t="s">
        <v>3192</v>
      </c>
      <c r="BR12" s="9" t="s">
        <v>3193</v>
      </c>
      <c r="BS12" s="9" t="s">
        <v>3194</v>
      </c>
      <c r="BT12" s="9" t="s">
        <v>3195</v>
      </c>
      <c r="BU12" s="9" t="s">
        <v>3196</v>
      </c>
      <c r="BV12" s="9" t="s">
        <v>3197</v>
      </c>
      <c r="BW12" s="9" t="s">
        <v>3198</v>
      </c>
      <c r="BX12" s="9" t="s">
        <v>3199</v>
      </c>
      <c r="BY12" s="9" t="s">
        <v>3200</v>
      </c>
      <c r="BZ12" s="9" t="s">
        <v>3201</v>
      </c>
      <c r="CA12" s="9" t="s">
        <v>3202</v>
      </c>
      <c r="CB12" s="9" t="s">
        <v>3203</v>
      </c>
      <c r="CC12" s="9" t="s">
        <v>3204</v>
      </c>
      <c r="CD12" s="9" t="s">
        <v>3205</v>
      </c>
      <c r="CE12" s="9" t="s">
        <v>3206</v>
      </c>
      <c r="CF12" s="9" t="s">
        <v>3207</v>
      </c>
      <c r="CG12" s="9" t="s">
        <v>3208</v>
      </c>
      <c r="CH12" s="9" t="s">
        <v>3209</v>
      </c>
      <c r="CI12" s="9" t="s">
        <v>3210</v>
      </c>
      <c r="CJ12" s="9" t="s">
        <v>3211</v>
      </c>
      <c r="CK12" s="9" t="s">
        <v>3212</v>
      </c>
      <c r="CL12" s="9" t="s">
        <v>3213</v>
      </c>
      <c r="CM12" s="9" t="s">
        <v>3214</v>
      </c>
      <c r="CN12" s="9" t="s">
        <v>3215</v>
      </c>
      <c r="CO12" s="9" t="s">
        <v>3216</v>
      </c>
      <c r="CP12" s="9" t="s">
        <v>3217</v>
      </c>
      <c r="CQ12" s="9" t="s">
        <v>3218</v>
      </c>
      <c r="CR12" s="9" t="s">
        <v>3219</v>
      </c>
      <c r="CS12" s="9" t="s">
        <v>3220</v>
      </c>
      <c r="CT12" s="9" t="s">
        <v>3221</v>
      </c>
      <c r="CU12" s="9" t="s">
        <v>3222</v>
      </c>
      <c r="CV12" s="9" t="s">
        <v>3223</v>
      </c>
      <c r="CW12" s="9" t="s">
        <v>3224</v>
      </c>
      <c r="CX12" s="9" t="s">
        <v>3225</v>
      </c>
      <c r="CY12" s="9" t="s">
        <v>3226</v>
      </c>
      <c r="CZ12" s="9" t="s">
        <v>3227</v>
      </c>
      <c r="DA12" s="9" t="s">
        <v>3228</v>
      </c>
      <c r="DB12" s="9" t="s">
        <v>3229</v>
      </c>
      <c r="DC12" s="9" t="s">
        <v>3230</v>
      </c>
      <c r="DD12" s="9" t="s">
        <v>3231</v>
      </c>
      <c r="DE12" s="9" t="s">
        <v>3232</v>
      </c>
      <c r="DF12" s="9" t="s">
        <v>3233</v>
      </c>
      <c r="DG12" s="9" t="s">
        <v>3234</v>
      </c>
      <c r="DH12" s="9" t="s">
        <v>3235</v>
      </c>
      <c r="DI12" s="9" t="s">
        <v>3236</v>
      </c>
    </row>
    <row r="13" customFormat="false" ht="15" hidden="false" customHeight="false" outlineLevel="0" collapsed="false">
      <c r="A13" s="0" t="s">
        <v>128</v>
      </c>
      <c r="B13" s="16" t="n">
        <v>2465.07954157611</v>
      </c>
      <c r="C13" s="16" t="n">
        <v>8209.24039226006</v>
      </c>
      <c r="D13" s="16" t="n">
        <v>19716.7966317894</v>
      </c>
      <c r="E13" s="16" t="n">
        <v>4213.14398474076</v>
      </c>
      <c r="F13" s="16" t="n">
        <v>-1135.49021845689</v>
      </c>
      <c r="G13" s="16" t="n">
        <v>5020.26458750724</v>
      </c>
      <c r="H13" s="16" t="n">
        <v>-898.814009603721</v>
      </c>
      <c r="I13" s="17" t="n">
        <v>0.01</v>
      </c>
      <c r="J13" s="17" t="n">
        <v>3.97046602096122</v>
      </c>
      <c r="K13" s="16" t="s">
        <v>116</v>
      </c>
      <c r="L13" s="16" t="n">
        <v>1000</v>
      </c>
      <c r="M13" s="16" t="n">
        <v>33779.4469253452</v>
      </c>
      <c r="N13" s="16" t="n">
        <v>11402.7039831813</v>
      </c>
      <c r="O13" s="16" t="n">
        <v>1000</v>
      </c>
      <c r="P13" s="16" t="n">
        <v>951.290832135856</v>
      </c>
      <c r="Q13" s="16" t="n">
        <v>-267.565775756198</v>
      </c>
      <c r="R13" s="16" t="n">
        <v>17617.7170533315</v>
      </c>
      <c r="S13" s="16" t="n">
        <v>26949.0428826358</v>
      </c>
      <c r="T13" s="16" t="n">
        <v>-955.692204749296</v>
      </c>
      <c r="U13" s="16" t="n">
        <v>-621.096213862173</v>
      </c>
      <c r="V13" s="16" t="n">
        <v>0.750319556751226</v>
      </c>
      <c r="W13" s="16" t="n">
        <v>46166.2147180189</v>
      </c>
      <c r="X13" s="16" t="n">
        <v>22149.4762774452</v>
      </c>
      <c r="Y13" s="16" t="n">
        <v>3.7351002431262</v>
      </c>
      <c r="Z13" s="16" t="n">
        <v>5.06988806216538</v>
      </c>
      <c r="AA13" s="16" t="n">
        <v>27.424347870838</v>
      </c>
      <c r="AB13" s="16" t="n">
        <v>25.224347870838</v>
      </c>
      <c r="AC13" s="16" t="n">
        <v>26.674347870838</v>
      </c>
      <c r="AD13" s="16" t="n">
        <v>27.2673434792775</v>
      </c>
      <c r="AE13" s="16" t="n">
        <v>674.686407680941</v>
      </c>
      <c r="AF13" s="16" t="n">
        <v>0.03</v>
      </c>
      <c r="AG13" s="16" t="n">
        <v>0.654405917289144</v>
      </c>
      <c r="AH13" s="16" t="n">
        <v>9819.91719809611</v>
      </c>
      <c r="AI13" s="16" t="n">
        <v>19716.7966317894</v>
      </c>
      <c r="AJ13" s="16" t="n">
        <v>16.69175</v>
      </c>
      <c r="AK13" s="16" t="n">
        <v>0</v>
      </c>
      <c r="AL13" s="16" t="n">
        <v>1000</v>
      </c>
      <c r="AM13" s="16" t="n">
        <v>812.6073</v>
      </c>
      <c r="AN13" s="16" t="n">
        <v>20079.98904</v>
      </c>
      <c r="AO13" s="16" t="n">
        <v>-5508.72242389994</v>
      </c>
      <c r="AP13" s="16" t="n">
        <v>0.414483496940676</v>
      </c>
      <c r="AQ13" s="16" t="n">
        <v>78.645426879892</v>
      </c>
      <c r="AR13" s="16" t="n">
        <v>506.474954430797</v>
      </c>
      <c r="AS13" s="16" t="n">
        <v>314.925245</v>
      </c>
      <c r="AT13" s="16" t="n">
        <v>1000</v>
      </c>
      <c r="AU13" s="16" t="n">
        <v>12.270507</v>
      </c>
      <c r="AV13" s="16" t="n">
        <v>0</v>
      </c>
      <c r="AW13" s="16" t="n">
        <v>2254.3125</v>
      </c>
      <c r="AX13" s="16" t="n">
        <v>314.925245</v>
      </c>
      <c r="AY13" s="16" t="n">
        <v>314.925245</v>
      </c>
      <c r="AZ13" s="16" t="n">
        <v>5631.62619515181</v>
      </c>
      <c r="BA13" s="16" t="n">
        <v>0</v>
      </c>
      <c r="BB13" s="16" t="n">
        <v>417.928966666667</v>
      </c>
      <c r="BC13" s="16" t="n">
        <v>111441.907179589</v>
      </c>
      <c r="BD13" s="16" t="n">
        <v>16.751694488301</v>
      </c>
      <c r="BE13" s="16" t="n">
        <v>25.4089871102374</v>
      </c>
      <c r="BF13" s="16" t="n">
        <v>39.6368423190398</v>
      </c>
      <c r="BG13" s="16" t="n">
        <v>-8.27711430924607</v>
      </c>
      <c r="BH13" s="16" t="n">
        <v>-7.28866183200638</v>
      </c>
      <c r="BI13" s="16" t="n">
        <v>1.09242813813745</v>
      </c>
      <c r="BJ13" s="16" t="n">
        <v>2.04083187529388</v>
      </c>
      <c r="BK13" s="16" t="n">
        <v>5.25403316350504</v>
      </c>
      <c r="BL13" s="16" t="n">
        <v>7.88491984612206</v>
      </c>
      <c r="BM13" s="16" t="n">
        <v>3.71992671744367</v>
      </c>
      <c r="BN13" s="16" t="n">
        <v>4.46573109600205</v>
      </c>
      <c r="BO13" s="16" t="n">
        <v>5.7791095890411</v>
      </c>
      <c r="BP13" s="16" t="n">
        <v>8712.70308277889</v>
      </c>
      <c r="BQ13" s="16" t="n">
        <v>8176.87365522983</v>
      </c>
      <c r="BR13" s="16" t="n">
        <v>8176.87365522983</v>
      </c>
      <c r="BS13" s="16" t="n">
        <v>506.474954430797</v>
      </c>
      <c r="BT13" s="16" t="n">
        <v>301.7195</v>
      </c>
      <c r="BU13" s="16" t="n">
        <v>1081.9108</v>
      </c>
      <c r="BV13" s="16" t="s">
        <v>3237</v>
      </c>
      <c r="BW13" s="16" t="n">
        <v>42.7692307692308</v>
      </c>
      <c r="BX13" s="16" t="n">
        <v>0.155994305554286</v>
      </c>
      <c r="BY13" s="16" t="n">
        <v>0.161741466184191</v>
      </c>
      <c r="BZ13" s="16" t="n">
        <v>13510.8578038903</v>
      </c>
      <c r="CA13" s="16" t="n">
        <v>19402.010477409</v>
      </c>
      <c r="CB13" s="16" t="n">
        <v>278.503097417438</v>
      </c>
      <c r="CC13" s="16" t="n">
        <v>0</v>
      </c>
      <c r="CD13" s="16" t="n">
        <v>950.69728</v>
      </c>
      <c r="CE13" s="16" t="n">
        <v>12000</v>
      </c>
      <c r="CF13" s="16" t="n">
        <v>24.2501640779233</v>
      </c>
      <c r="CG13" s="16" t="n">
        <v>27.4026854080534</v>
      </c>
      <c r="CH13" s="16" t="n">
        <v>2643.77364301215</v>
      </c>
      <c r="CI13" s="16" t="n">
        <v>-6.2083733271085</v>
      </c>
      <c r="CJ13" s="16" t="n">
        <v>3.00594144553374</v>
      </c>
      <c r="CK13" s="16" t="n">
        <v>38739.6121648513</v>
      </c>
      <c r="CL13" s="16" t="n">
        <v>164.481464930797</v>
      </c>
      <c r="CM13" s="16" t="n">
        <v>189.849033180797</v>
      </c>
      <c r="CN13" s="16" t="n">
        <v>1000</v>
      </c>
      <c r="CO13" s="16" t="n">
        <v>1.5535546875</v>
      </c>
      <c r="CP13" s="16" t="n">
        <v>1.09004417261298</v>
      </c>
      <c r="CQ13" s="16" t="n">
        <v>3.97046602096122</v>
      </c>
      <c r="CR13" s="16" t="n">
        <v>88.869332374278</v>
      </c>
      <c r="CS13" s="16" t="n">
        <v>30.251102221468</v>
      </c>
      <c r="CT13" s="16" t="n">
        <v>3.51368674421347</v>
      </c>
      <c r="CU13" s="16" t="n">
        <v>3.97046602096122</v>
      </c>
      <c r="CV13" s="16" t="n">
        <v>10991.2196047346</v>
      </c>
      <c r="CW13" s="16" t="n">
        <v>2270.95477479745</v>
      </c>
      <c r="CX13" s="16" t="n">
        <v>13262.174379532</v>
      </c>
      <c r="CY13" s="16" t="n">
        <v>10991.2196047346</v>
      </c>
      <c r="CZ13" s="16" t="n">
        <v>1169.00957579736</v>
      </c>
      <c r="DA13" s="16" t="n">
        <v>24.2501640779233</v>
      </c>
      <c r="DB13" s="16" t="n">
        <v>16775.9595284851</v>
      </c>
      <c r="DC13" s="16" t="n">
        <v>12447.761970136</v>
      </c>
      <c r="DD13" s="16" t="n">
        <v>11144.3333333333</v>
      </c>
      <c r="DE13" s="16" t="n">
        <v>1921.25</v>
      </c>
      <c r="DF13" s="16" t="n">
        <v>11306.1448497346</v>
      </c>
      <c r="DG13" s="16" t="n">
        <v>189.849033180797</v>
      </c>
      <c r="DH13" s="16" t="n">
        <v>0</v>
      </c>
      <c r="DI13" s="16" t="n">
        <v>30.2511309413356</v>
      </c>
    </row>
    <row r="14" customFormat="false" ht="15" hidden="false" customHeight="false" outlineLevel="0" collapsed="false">
      <c r="A14" s="0" t="s">
        <v>129</v>
      </c>
      <c r="B14" s="16" t="n">
        <v>2822.95391308961</v>
      </c>
      <c r="C14" s="16" t="n">
        <v>13514.6499380133</v>
      </c>
      <c r="D14" s="16" t="n">
        <v>28701.9254919039</v>
      </c>
      <c r="E14" s="16" t="n">
        <v>7841.10089763175</v>
      </c>
      <c r="F14" s="16" t="n">
        <v>2018.4216296884</v>
      </c>
      <c r="G14" s="16" t="n">
        <v>5282.09327042282</v>
      </c>
      <c r="H14" s="16" t="n">
        <v>125480.859518724</v>
      </c>
      <c r="I14" s="17" t="n">
        <v>355.026856324297</v>
      </c>
      <c r="J14" s="17" t="n">
        <v>401.014364683567</v>
      </c>
      <c r="K14" s="16" t="s">
        <v>116</v>
      </c>
      <c r="L14" s="16" t="n">
        <v>1000</v>
      </c>
      <c r="M14" s="16" t="n">
        <v>37641.1606487603</v>
      </c>
      <c r="N14" s="16" t="n">
        <v>18116.2303461208</v>
      </c>
      <c r="O14" s="16" t="n">
        <v>1000</v>
      </c>
      <c r="P14" s="16" t="n">
        <v>1212.1769462832</v>
      </c>
      <c r="Q14" s="16" t="n">
        <v>6323.58224228652</v>
      </c>
      <c r="R14" s="16" t="n">
        <v>23963.3261282618</v>
      </c>
      <c r="S14" s="16" t="n">
        <v>22480.1453098381</v>
      </c>
      <c r="T14" s="16" t="n">
        <v>-533.47336857847</v>
      </c>
      <c r="U14" s="16" t="n">
        <v>137784.257807271</v>
      </c>
      <c r="V14" s="16" t="n">
        <v>0.750319556751226</v>
      </c>
      <c r="W14" s="16" t="n">
        <v>155548.965916848</v>
      </c>
      <c r="X14" s="16" t="n">
        <v>23092.6812313472</v>
      </c>
      <c r="Y14" s="16" t="n">
        <v>378.922957541886</v>
      </c>
      <c r="Z14" s="16" t="n">
        <v>503.032419059066</v>
      </c>
      <c r="AA14" s="16" t="n">
        <v>43.041696075</v>
      </c>
      <c r="AB14" s="16" t="n">
        <v>40.841696075</v>
      </c>
      <c r="AC14" s="16" t="n">
        <v>42.291696075</v>
      </c>
      <c r="AD14" s="16" t="n">
        <v>46.9632728285</v>
      </c>
      <c r="AE14" s="16" t="n">
        <v>785.656190328325</v>
      </c>
      <c r="AF14" s="16" t="n">
        <v>0.035</v>
      </c>
      <c r="AG14" s="16" t="n">
        <v>0.702162322639483</v>
      </c>
      <c r="AH14" s="16" t="n">
        <v>3709.5941014662</v>
      </c>
      <c r="AI14" s="16" t="n">
        <v>28701.9254919039</v>
      </c>
      <c r="AJ14" s="16" t="n">
        <v>19.0921875</v>
      </c>
      <c r="AK14" s="16" t="n">
        <v>0</v>
      </c>
      <c r="AL14" s="16" t="n">
        <v>1000</v>
      </c>
      <c r="AM14" s="16" t="n">
        <v>1071.7478</v>
      </c>
      <c r="AN14" s="16" t="n">
        <v>26532.1623755</v>
      </c>
      <c r="AO14" s="16" t="n">
        <v>-8420.54944033089</v>
      </c>
      <c r="AP14" s="16" t="n">
        <v>0</v>
      </c>
      <c r="AQ14" s="16" t="n">
        <v>325.236563386159</v>
      </c>
      <c r="AR14" s="16" t="n">
        <v>496.636109925205</v>
      </c>
      <c r="AS14" s="16" t="n">
        <v>388.09530984161</v>
      </c>
      <c r="AT14" s="16" t="n">
        <v>1000</v>
      </c>
      <c r="AU14" s="16" t="n">
        <v>12.270507</v>
      </c>
      <c r="AV14" s="16" t="n">
        <v>0</v>
      </c>
      <c r="AW14" s="16" t="n">
        <v>3694.865</v>
      </c>
      <c r="AX14" s="16" t="n">
        <v>388.09530984161</v>
      </c>
      <c r="AY14" s="16" t="n">
        <v>350.039434452992</v>
      </c>
      <c r="AZ14" s="16" t="n">
        <v>8424.25061720007</v>
      </c>
      <c r="BA14" s="16" t="n">
        <v>0</v>
      </c>
      <c r="BB14" s="16" t="n">
        <v>677.069466666667</v>
      </c>
      <c r="BC14" s="16" t="n">
        <v>116510.551420808</v>
      </c>
      <c r="BD14" s="16" t="n">
        <v>16.3290373938001</v>
      </c>
      <c r="BE14" s="16" t="n">
        <v>24.9863300157365</v>
      </c>
      <c r="BF14" s="16" t="n">
        <v>40.3559441977689</v>
      </c>
      <c r="BG14" s="16" t="n">
        <v>-6.86548043539002</v>
      </c>
      <c r="BH14" s="16" t="n">
        <v>-0.510471429167696</v>
      </c>
      <c r="BI14" s="16" t="n">
        <v>2.24787422120944</v>
      </c>
      <c r="BJ14" s="16" t="n">
        <v>8.60288322743177</v>
      </c>
      <c r="BK14" s="16" t="n">
        <v>6.53606807781388</v>
      </c>
      <c r="BL14" s="16" t="n">
        <v>15.7885171639902</v>
      </c>
      <c r="BM14" s="16" t="n">
        <v>4.18491755712413</v>
      </c>
      <c r="BN14" s="16" t="n">
        <v>5.02394748300231</v>
      </c>
      <c r="BO14" s="16" t="n">
        <v>7.13470319634703</v>
      </c>
      <c r="BP14" s="16" t="n">
        <v>12077.6391665806</v>
      </c>
      <c r="BQ14" s="16" t="n">
        <v>13480.8203778751</v>
      </c>
      <c r="BR14" s="16" t="n">
        <v>13480.8203778751</v>
      </c>
      <c r="BS14" s="16" t="n">
        <v>496.636109925205</v>
      </c>
      <c r="BT14" s="16" t="n">
        <v>413.9493</v>
      </c>
      <c r="BU14" s="16" t="n">
        <v>1369.2143</v>
      </c>
      <c r="BV14" s="16" t="s">
        <v>3238</v>
      </c>
      <c r="BW14" s="16" t="n">
        <v>42.7692307692308</v>
      </c>
      <c r="BX14" s="16" t="n">
        <v>0.155994305554286</v>
      </c>
      <c r="BY14" s="16" t="n">
        <v>0.213851354521278</v>
      </c>
      <c r="BZ14" s="16" t="n">
        <v>0</v>
      </c>
      <c r="CA14" s="16" t="n">
        <v>9949.84803296745</v>
      </c>
      <c r="CB14" s="16" t="n">
        <v>157.255364019063</v>
      </c>
      <c r="CC14" s="16" t="n">
        <v>0</v>
      </c>
      <c r="CD14" s="16" t="n">
        <v>872.7296</v>
      </c>
      <c r="CE14" s="16" t="n">
        <v>12000</v>
      </c>
      <c r="CF14" s="16" t="n">
        <v>23.0016212254338</v>
      </c>
      <c r="CG14" s="16" t="n">
        <v>25.7618157724858</v>
      </c>
      <c r="CH14" s="16" t="n">
        <v>3188.69833333333</v>
      </c>
      <c r="CI14" s="16" t="n">
        <v>-0.379462866110714</v>
      </c>
      <c r="CJ14" s="16" t="n">
        <v>9.74648675233316</v>
      </c>
      <c r="CK14" s="16" t="n">
        <v>26085.2361535278</v>
      </c>
      <c r="CL14" s="16" t="n">
        <v>107.430650111312</v>
      </c>
      <c r="CM14" s="16" t="n">
        <v>132.798218361312</v>
      </c>
      <c r="CN14" s="16" t="n">
        <v>1000</v>
      </c>
      <c r="CO14" s="16" t="n">
        <v>1.70486111111111</v>
      </c>
      <c r="CP14" s="16" t="n">
        <v>0.90519877675841</v>
      </c>
      <c r="CQ14" s="16" t="n">
        <v>401.014364683567</v>
      </c>
      <c r="CR14" s="16" t="n">
        <v>364.264950992498</v>
      </c>
      <c r="CS14" s="16" t="n">
        <v>389.667065564172</v>
      </c>
      <c r="CT14" s="16" t="n">
        <v>358.048539896042</v>
      </c>
      <c r="CU14" s="16" t="n">
        <v>401.014364683567</v>
      </c>
      <c r="CV14" s="16" t="n">
        <v>87.1175474539217</v>
      </c>
      <c r="CW14" s="16" t="n">
        <v>22.4848523209084</v>
      </c>
      <c r="CX14" s="16" t="n">
        <v>109.60239977483</v>
      </c>
      <c r="CY14" s="16" t="n">
        <v>87.1175474539217</v>
      </c>
      <c r="CZ14" s="16" t="n">
        <v>101.108810454883</v>
      </c>
      <c r="DA14" s="16" t="n">
        <v>23.0016212254338</v>
      </c>
      <c r="DB14" s="16" t="n">
        <v>18843.2506172001</v>
      </c>
      <c r="DC14" s="16" t="n">
        <v>13981.6919579624</v>
      </c>
      <c r="DD14" s="16" t="n">
        <v>10419</v>
      </c>
      <c r="DE14" s="16" t="n">
        <v>-3795</v>
      </c>
      <c r="DF14" s="16" t="n">
        <v>451.123810454422</v>
      </c>
      <c r="DG14" s="16" t="n">
        <v>132.798218361312</v>
      </c>
      <c r="DH14" s="16" t="n">
        <v>0</v>
      </c>
      <c r="DI14" s="16" t="n">
        <v>389.667065564172</v>
      </c>
    </row>
    <row r="15" customFormat="false" ht="15" hidden="false" customHeight="false" outlineLevel="0" collapsed="false">
      <c r="A15" s="0" t="s">
        <v>130</v>
      </c>
      <c r="B15" s="16" t="n">
        <v>2161.09062763565</v>
      </c>
      <c r="C15" s="16" t="n">
        <v>4287.20023545696</v>
      </c>
      <c r="D15" s="16" t="n">
        <v>10944.1398681103</v>
      </c>
      <c r="E15" s="16" t="n">
        <v>1840.94291622573</v>
      </c>
      <c r="F15" s="16" t="n">
        <v>-3929.75629162136</v>
      </c>
      <c r="G15" s="16" t="n">
        <v>5599.21119842882</v>
      </c>
      <c r="H15" s="16" t="n">
        <v>-34363.0239982634</v>
      </c>
      <c r="I15" s="17" t="n">
        <v>0.01</v>
      </c>
      <c r="J15" s="17" t="n">
        <v>0</v>
      </c>
      <c r="K15" s="16" t="s">
        <v>116</v>
      </c>
      <c r="L15" s="16" t="n">
        <v>1000</v>
      </c>
      <c r="M15" s="16" t="n">
        <v>23393.2765619591</v>
      </c>
      <c r="N15" s="16" t="n">
        <v>5268.34038131425</v>
      </c>
      <c r="O15" s="16" t="n">
        <v>1000</v>
      </c>
      <c r="P15" s="16" t="n">
        <v>747.002337313713</v>
      </c>
      <c r="Q15" s="16" t="n">
        <v>-6256.63951054422</v>
      </c>
      <c r="R15" s="16" t="n">
        <v>10749.8273603027</v>
      </c>
      <c r="S15" s="16" t="n">
        <v>27562.9798373622</v>
      </c>
      <c r="T15" s="16" t="n">
        <v>-1436.17830391911</v>
      </c>
      <c r="U15" s="16" t="n">
        <v>-34087.8704089523</v>
      </c>
      <c r="V15" s="16" t="n">
        <v>0.750319556751226</v>
      </c>
      <c r="W15" s="16" t="n">
        <v>16992.5164114785</v>
      </c>
      <c r="X15" s="16" t="n">
        <v>14072.7441668294</v>
      </c>
      <c r="Y15" s="16" t="n">
        <v>0</v>
      </c>
      <c r="Z15" s="16" t="n">
        <v>0</v>
      </c>
      <c r="AA15" s="16" t="n">
        <v>22.27279275</v>
      </c>
      <c r="AB15" s="16" t="n">
        <v>20.07279275</v>
      </c>
      <c r="AC15" s="16" t="n">
        <v>21.52279275</v>
      </c>
      <c r="AD15" s="16" t="n">
        <v>21.8718824805</v>
      </c>
      <c r="AE15" s="16" t="n">
        <v>594.149368983825</v>
      </c>
      <c r="AF15" s="16" t="n">
        <v>0.02</v>
      </c>
      <c r="AG15" s="16" t="n">
        <v>0.572671227358019</v>
      </c>
      <c r="AH15" s="16" t="n">
        <v>15317.8810251285</v>
      </c>
      <c r="AI15" s="16" t="n">
        <v>10944.1398681103</v>
      </c>
      <c r="AJ15" s="16" t="n">
        <v>14.7365561910928</v>
      </c>
      <c r="AK15" s="16" t="n">
        <v>0</v>
      </c>
      <c r="AL15" s="16" t="n">
        <v>1000</v>
      </c>
      <c r="AM15" s="16" t="n">
        <v>470.44678</v>
      </c>
      <c r="AN15" s="16" t="n">
        <v>12000</v>
      </c>
      <c r="AO15" s="16" t="n">
        <v>-2079.00657489433</v>
      </c>
      <c r="AP15" s="16" t="n">
        <v>1</v>
      </c>
      <c r="AQ15" s="16" t="n">
        <v>29.4758978816343</v>
      </c>
      <c r="AR15" s="16" t="n">
        <v>703.192915045556</v>
      </c>
      <c r="AS15" s="16" t="n">
        <v>314.925245</v>
      </c>
      <c r="AT15" s="16" t="n">
        <v>1000</v>
      </c>
      <c r="AU15" s="16" t="n">
        <v>12.270507</v>
      </c>
      <c r="AV15" s="16" t="n">
        <v>0</v>
      </c>
      <c r="AW15" s="16" t="n">
        <v>998.76</v>
      </c>
      <c r="AX15" s="16" t="n">
        <v>314.925245</v>
      </c>
      <c r="AY15" s="16" t="n">
        <v>314.925245</v>
      </c>
      <c r="AZ15" s="16" t="n">
        <v>1668.24598467516</v>
      </c>
      <c r="BA15" s="16" t="n">
        <v>1732.5375</v>
      </c>
      <c r="BB15" s="16" t="n">
        <v>155.768446666667</v>
      </c>
      <c r="BC15" s="16" t="n">
        <v>88718.5578003424</v>
      </c>
      <c r="BD15" s="16" t="n">
        <v>8.14523324094375</v>
      </c>
      <c r="BE15" s="16" t="n">
        <v>16.8025258628801</v>
      </c>
      <c r="BF15" s="16" t="n">
        <v>29.677242910116</v>
      </c>
      <c r="BG15" s="16" t="n">
        <v>-13.6535979204585</v>
      </c>
      <c r="BH15" s="16" t="n">
        <v>-20.0976093877166</v>
      </c>
      <c r="BI15" s="16" t="n">
        <v>-3.59741167595651</v>
      </c>
      <c r="BJ15" s="16" t="n">
        <v>-9.93933550584831</v>
      </c>
      <c r="BK15" s="16" t="n">
        <v>-0.548394239950376</v>
      </c>
      <c r="BL15" s="16" t="n">
        <v>-6.73470781259538</v>
      </c>
      <c r="BM15" s="16" t="n">
        <v>3.37118358768332</v>
      </c>
      <c r="BN15" s="16" t="n">
        <v>4.04706880575186</v>
      </c>
      <c r="BO15" s="16" t="n">
        <v>5.1726598173516</v>
      </c>
      <c r="BP15" s="16" t="n">
        <v>5354.49215439957</v>
      </c>
      <c r="BQ15" s="16" t="n">
        <v>4257.60023545696</v>
      </c>
      <c r="BR15" s="16" t="n">
        <v>4257.60023545696</v>
      </c>
      <c r="BS15" s="16" t="n">
        <v>703.192915045556</v>
      </c>
      <c r="BT15" s="16" t="n">
        <v>189.4897</v>
      </c>
      <c r="BU15" s="16" t="n">
        <v>794.6073</v>
      </c>
      <c r="BV15" s="16" t="s">
        <v>3237</v>
      </c>
      <c r="BW15" s="16" t="n">
        <v>42.7692307692308</v>
      </c>
      <c r="BX15" s="16" t="n">
        <v>0.124596585374074</v>
      </c>
      <c r="BY15" s="16" t="n">
        <v>0.0866148510447071</v>
      </c>
      <c r="BZ15" s="16" t="n">
        <v>13510.8578038903</v>
      </c>
      <c r="CA15" s="16" t="n">
        <v>9557.85015295579</v>
      </c>
      <c r="CB15" s="16" t="n">
        <v>553.423588503561</v>
      </c>
      <c r="CC15" s="16" t="n">
        <v>1732.5375</v>
      </c>
      <c r="CD15" s="16" t="n">
        <v>1028.66496</v>
      </c>
      <c r="CE15" s="16" t="n">
        <v>12000</v>
      </c>
      <c r="CF15" s="16" t="n">
        <v>24.005515024774</v>
      </c>
      <c r="CG15" s="16" t="n">
        <v>27.6063422784901</v>
      </c>
      <c r="CH15" s="16" t="n">
        <v>1983.66628420139</v>
      </c>
      <c r="CI15" s="16" t="n">
        <v>-14.9451536418179</v>
      </c>
      <c r="CJ15" s="16" t="n">
        <v>-5.32272994264565</v>
      </c>
      <c r="CK15" s="16" t="n">
        <v>52869.4642301874</v>
      </c>
      <c r="CL15" s="16" t="n">
        <v>362.900101795556</v>
      </c>
      <c r="CM15" s="16" t="n">
        <v>388.267670045556</v>
      </c>
      <c r="CN15" s="16" t="n">
        <v>1000</v>
      </c>
      <c r="CO15" s="16" t="n">
        <v>1.534375</v>
      </c>
      <c r="CP15" s="16" t="n">
        <v>1.31022765885151</v>
      </c>
      <c r="CQ15" s="16" t="n">
        <v>0</v>
      </c>
      <c r="CR15" s="16" t="n">
        <v>33.8972825638795</v>
      </c>
      <c r="CS15" s="16" t="n">
        <v>0</v>
      </c>
      <c r="CT15" s="16" t="n">
        <v>0</v>
      </c>
      <c r="CU15" s="16" t="n">
        <v>0.0115</v>
      </c>
      <c r="CV15" s="16" t="n">
        <v>4919856.98373821</v>
      </c>
      <c r="CW15" s="16" t="n">
        <v>0</v>
      </c>
      <c r="CX15" s="16" t="n">
        <v>4919856.98373821</v>
      </c>
      <c r="CY15" s="16" t="n">
        <v>4919856.98373821</v>
      </c>
      <c r="CZ15" s="16" t="n">
        <v>6306107.02458794</v>
      </c>
      <c r="DA15" s="16" t="n">
        <v>24.005515024774</v>
      </c>
      <c r="DB15" s="16" t="n">
        <v>13676.5793180085</v>
      </c>
      <c r="DC15" s="16" t="n">
        <v>10148.0218539623</v>
      </c>
      <c r="DD15" s="16" t="n">
        <v>12008.3333333333</v>
      </c>
      <c r="DE15" s="16" t="n">
        <v>1921.25</v>
      </c>
      <c r="DF15" s="16" t="n">
        <v>4920171.90898321</v>
      </c>
      <c r="DG15" s="16" t="n">
        <v>388.267670045556</v>
      </c>
      <c r="DH15" s="16" t="n">
        <v>0</v>
      </c>
      <c r="DI15" s="16" t="n">
        <v>0.0115</v>
      </c>
    </row>
    <row r="16" customFormat="false" ht="15" hidden="false" customHeight="false" outlineLevel="0" collapsed="false">
      <c r="A16" s="0" t="s">
        <v>3239</v>
      </c>
      <c r="B16" s="16" t="n">
        <v>2465.07954157611</v>
      </c>
      <c r="C16" s="16" t="n">
        <v>8660.67116222822</v>
      </c>
      <c r="D16" s="16" t="n">
        <v>20727.1633713073</v>
      </c>
      <c r="E16" s="16" t="n">
        <v>4533.65983141815</v>
      </c>
      <c r="F16" s="16" t="n">
        <v>-833.411738395574</v>
      </c>
      <c r="G16" s="16" t="n">
        <v>5020.64472332459</v>
      </c>
      <c r="H16" s="16" t="n">
        <v>1732.32509534632</v>
      </c>
      <c r="I16" s="17" t="n">
        <v>6.38260324632871</v>
      </c>
      <c r="J16" s="17" t="n">
        <v>12.7308923001694</v>
      </c>
      <c r="K16" s="16" t="s">
        <v>116</v>
      </c>
      <c r="L16" s="16" t="n">
        <v>1000</v>
      </c>
      <c r="M16" s="16" t="n">
        <v>33788.4755407446</v>
      </c>
      <c r="N16" s="16" t="n">
        <v>12170.5827052149</v>
      </c>
      <c r="O16" s="16" t="n">
        <v>1000</v>
      </c>
      <c r="P16" s="16" t="n">
        <v>951.290832135856</v>
      </c>
      <c r="Q16" s="16" t="n">
        <v>456.59543005765</v>
      </c>
      <c r="R16" s="16" t="n">
        <v>17617.7170533315</v>
      </c>
      <c r="S16" s="16" t="n">
        <v>26969.2502174261</v>
      </c>
      <c r="T16" s="16" t="n">
        <v>-955.692204749296</v>
      </c>
      <c r="U16" s="16" t="n">
        <v>2010.04289108787</v>
      </c>
      <c r="V16" s="16" t="n">
        <v>0.750319556751226</v>
      </c>
      <c r="W16" s="16" t="n">
        <v>47133.9289295179</v>
      </c>
      <c r="X16" s="16" t="n">
        <v>22163.1975323397</v>
      </c>
      <c r="Y16" s="16" t="n">
        <v>11.9762160599134</v>
      </c>
      <c r="Z16" s="16" t="n">
        <v>16.2560763780863</v>
      </c>
      <c r="AA16" s="16" t="n">
        <v>27.424347870838</v>
      </c>
      <c r="AB16" s="16" t="n">
        <v>25.224347870838</v>
      </c>
      <c r="AC16" s="16" t="n">
        <v>26.674347870838</v>
      </c>
      <c r="AD16" s="16" t="n">
        <v>27.2673434792775</v>
      </c>
      <c r="AE16" s="16" t="n">
        <v>674.686407680941</v>
      </c>
      <c r="AF16" s="16" t="n">
        <v>0.03</v>
      </c>
      <c r="AG16" s="16" t="n">
        <v>0.658217046830445</v>
      </c>
      <c r="AH16" s="16" t="n">
        <v>9819.91719809611</v>
      </c>
      <c r="AI16" s="16" t="n">
        <v>20727.1633713073</v>
      </c>
      <c r="AJ16" s="16" t="n">
        <v>19.7391827628362</v>
      </c>
      <c r="AK16" s="16" t="n">
        <v>0</v>
      </c>
      <c r="AL16" s="16" t="n">
        <v>1000</v>
      </c>
      <c r="AM16" s="16" t="n">
        <v>812.6073</v>
      </c>
      <c r="AN16" s="16" t="n">
        <v>20079.98904</v>
      </c>
      <c r="AO16" s="16" t="n">
        <v>-5508.72242389994</v>
      </c>
      <c r="AP16" s="16" t="n">
        <v>0.358496107957722</v>
      </c>
      <c r="AQ16" s="16" t="n">
        <v>81.7148112736635</v>
      </c>
      <c r="AR16" s="16" t="n">
        <v>499.4756269261</v>
      </c>
      <c r="AS16" s="16" t="n">
        <v>314.925245</v>
      </c>
      <c r="AT16" s="16" t="n">
        <v>1000</v>
      </c>
      <c r="AU16" s="16" t="n">
        <v>12.270507</v>
      </c>
      <c r="AV16" s="16" t="n">
        <v>0</v>
      </c>
      <c r="AW16" s="16" t="n">
        <v>2254.3125</v>
      </c>
      <c r="AX16" s="16" t="n">
        <v>314.925245</v>
      </c>
      <c r="AY16" s="16" t="n">
        <v>314.925245</v>
      </c>
      <c r="AZ16" s="16" t="n">
        <v>5807.5893766769</v>
      </c>
      <c r="BA16" s="16" t="n">
        <v>0</v>
      </c>
      <c r="BB16" s="16" t="n">
        <v>417.928966666667</v>
      </c>
      <c r="BC16" s="16" t="n">
        <v>111513.618227291</v>
      </c>
      <c r="BD16" s="16" t="n">
        <v>17.3104403631359</v>
      </c>
      <c r="BE16" s="16" t="n">
        <v>25.9677329850722</v>
      </c>
      <c r="BF16" s="16" t="n">
        <v>40.1955881938747</v>
      </c>
      <c r="BG16" s="16" t="n">
        <v>-8.27711430924607</v>
      </c>
      <c r="BH16" s="16" t="n">
        <v>-7.28866183200638</v>
      </c>
      <c r="BI16" s="16" t="n">
        <v>1.09242813813745</v>
      </c>
      <c r="BJ16" s="16" t="n">
        <v>2.04083187529388</v>
      </c>
      <c r="BK16" s="16" t="n">
        <v>5.25403316350504</v>
      </c>
      <c r="BL16" s="16" t="n">
        <v>7.88491984612206</v>
      </c>
      <c r="BM16" s="16" t="n">
        <v>3.71992671744367</v>
      </c>
      <c r="BN16" s="16" t="n">
        <v>4.46573109600205</v>
      </c>
      <c r="BO16" s="16" t="n">
        <v>5.7791095890411</v>
      </c>
      <c r="BP16" s="16" t="n">
        <v>8712.70308277889</v>
      </c>
      <c r="BQ16" s="16" t="n">
        <v>8628.30442519799</v>
      </c>
      <c r="BR16" s="16" t="n">
        <v>8628.30442519799</v>
      </c>
      <c r="BS16" s="16" t="n">
        <v>499.4756269261</v>
      </c>
      <c r="BT16" s="16" t="n">
        <v>301.7195</v>
      </c>
      <c r="BU16" s="16" t="n">
        <v>1081.9108</v>
      </c>
      <c r="BV16" s="16" t="s">
        <v>3237</v>
      </c>
      <c r="BW16" s="16" t="n">
        <v>42.7692307692308</v>
      </c>
      <c r="BX16" s="16" t="n">
        <v>0.155994305554286</v>
      </c>
      <c r="BY16" s="16" t="n">
        <v>0.161741466184191</v>
      </c>
      <c r="BZ16" s="16" t="n">
        <v>13510.8578038903</v>
      </c>
      <c r="CA16" s="16" t="n">
        <v>19402.010477409</v>
      </c>
      <c r="CB16" s="16" t="n">
        <v>267.884850902871</v>
      </c>
      <c r="CC16" s="16" t="n">
        <v>0</v>
      </c>
      <c r="CD16" s="16" t="n">
        <v>950.69728</v>
      </c>
      <c r="CE16" s="16" t="n">
        <v>12000</v>
      </c>
      <c r="CF16" s="16" t="n">
        <v>24.2066942838047</v>
      </c>
      <c r="CG16" s="16" t="n">
        <v>27.3535645406993</v>
      </c>
      <c r="CH16" s="16" t="n">
        <v>2643.77364301215</v>
      </c>
      <c r="CI16" s="16" t="n">
        <v>-6.2083733271085</v>
      </c>
      <c r="CJ16" s="16" t="n">
        <v>3.00594144553374</v>
      </c>
      <c r="CK16" s="16" t="n">
        <v>37091.0906547785</v>
      </c>
      <c r="CL16" s="16" t="n">
        <v>157.4821374261</v>
      </c>
      <c r="CM16" s="16" t="n">
        <v>182.8497056761</v>
      </c>
      <c r="CN16" s="16" t="n">
        <v>1000</v>
      </c>
      <c r="CO16" s="16" t="n">
        <v>1.5535546875</v>
      </c>
      <c r="CP16" s="16" t="n">
        <v>1.09004417261298</v>
      </c>
      <c r="CQ16" s="16" t="n">
        <v>12.7308923001694</v>
      </c>
      <c r="CR16" s="16" t="n">
        <v>92.3377367392397</v>
      </c>
      <c r="CS16" s="16" t="n">
        <v>36.1278890867122</v>
      </c>
      <c r="CT16" s="16" t="n">
        <v>11.2662763718313</v>
      </c>
      <c r="CU16" s="16" t="n">
        <v>12.7308923001694</v>
      </c>
      <c r="CV16" s="16" t="n">
        <v>3298.41314099325</v>
      </c>
      <c r="CW16" s="16" t="n">
        <v>708.257406933914</v>
      </c>
      <c r="CX16" s="16" t="n">
        <v>4006.67054792716</v>
      </c>
      <c r="CY16" s="16" t="n">
        <v>3298.41314099325</v>
      </c>
      <c r="CZ16" s="16" t="n">
        <v>958.357612067537</v>
      </c>
      <c r="DA16" s="16" t="n">
        <v>24.2066942838047</v>
      </c>
      <c r="DB16" s="16" t="n">
        <v>16951.9227100102</v>
      </c>
      <c r="DC16" s="16" t="n">
        <v>12578.3266508276</v>
      </c>
      <c r="DD16" s="16" t="n">
        <v>11144.3333333333</v>
      </c>
      <c r="DE16" s="16" t="n">
        <v>1921.25</v>
      </c>
      <c r="DF16" s="16" t="n">
        <v>3613.33838599325</v>
      </c>
      <c r="DG16" s="16" t="n">
        <v>182.8497056761</v>
      </c>
      <c r="DH16" s="16" t="n">
        <v>0</v>
      </c>
      <c r="DI16" s="16" t="n">
        <v>36.1278941933852</v>
      </c>
    </row>
    <row r="17" customFormat="false" ht="15" hidden="false" customHeight="false" outlineLevel="0" collapsed="false">
      <c r="A17" s="0" t="s">
        <v>3240</v>
      </c>
      <c r="B17" s="16" t="n">
        <v>2465.07954157611</v>
      </c>
      <c r="C17" s="16" t="n">
        <v>6466.02057491987</v>
      </c>
      <c r="D17" s="16" t="n">
        <v>9434.33468610715</v>
      </c>
      <c r="E17" s="16" t="n">
        <v>3272.33555530442</v>
      </c>
      <c r="F17" s="16" t="n">
        <v>-920.70351697055</v>
      </c>
      <c r="G17" s="16" t="n">
        <v>3934.39824927818</v>
      </c>
      <c r="H17" s="16" t="n">
        <v>9765.23281735895</v>
      </c>
      <c r="I17" s="17" t="n">
        <v>17.1879310672402</v>
      </c>
      <c r="J17" s="17" t="n">
        <v>13.888663610505</v>
      </c>
      <c r="K17" s="16" t="s">
        <v>116</v>
      </c>
      <c r="L17" s="16" t="n">
        <v>3283.28182528248</v>
      </c>
      <c r="M17" s="16" t="n">
        <v>7378.50683876074</v>
      </c>
      <c r="N17" s="16" t="n">
        <v>5421.75101359893</v>
      </c>
      <c r="O17" s="16" t="n">
        <v>7034.82780559764</v>
      </c>
      <c r="P17" s="16" t="n">
        <v>951.290832135856</v>
      </c>
      <c r="Q17" s="16" t="n">
        <v>113.820383352525</v>
      </c>
      <c r="R17" s="16" t="n">
        <v>13419.3103849842</v>
      </c>
      <c r="S17" s="16" t="n">
        <v>331.086693722143</v>
      </c>
      <c r="T17" s="16" t="n">
        <v>-955.692204749296</v>
      </c>
      <c r="U17" s="16" t="n">
        <v>5412.91340239372</v>
      </c>
      <c r="V17" s="16" t="n">
        <v>0.750319556751226</v>
      </c>
      <c r="W17" s="16" t="n">
        <v>10417.7672783878</v>
      </c>
      <c r="X17" s="16" t="n">
        <v>5059.277710308</v>
      </c>
      <c r="Y17" s="16" t="n">
        <v>13.0653556923619</v>
      </c>
      <c r="Z17" s="16" t="n">
        <v>17.7344345642538</v>
      </c>
      <c r="AA17" s="16" t="n">
        <v>27.424347870838</v>
      </c>
      <c r="AB17" s="16" t="n">
        <v>25.224347870838</v>
      </c>
      <c r="AC17" s="16" t="n">
        <v>26.674347870838</v>
      </c>
      <c r="AD17" s="16" t="n">
        <v>27.2673434792775</v>
      </c>
      <c r="AE17" s="16" t="n">
        <v>674.686407680941</v>
      </c>
      <c r="AF17" s="16" t="n">
        <v>0.03</v>
      </c>
      <c r="AG17" s="16" t="n">
        <v>0.640062464560917</v>
      </c>
      <c r="AH17" s="16" t="n">
        <v>8631.07897870279</v>
      </c>
      <c r="AI17" s="16" t="n">
        <v>9434.33468610715</v>
      </c>
      <c r="AJ17" s="16" t="n">
        <v>16.69175</v>
      </c>
      <c r="AK17" s="16" t="n">
        <v>0</v>
      </c>
      <c r="AL17" s="16" t="n">
        <v>2036.48204429765</v>
      </c>
      <c r="AM17" s="16" t="n">
        <v>541.7195</v>
      </c>
      <c r="AN17" s="16" t="n">
        <v>0</v>
      </c>
      <c r="AO17" s="16" t="n">
        <v>-355.263647296984</v>
      </c>
      <c r="AP17" s="16" t="n">
        <v>1</v>
      </c>
      <c r="AQ17" s="16" t="n">
        <v>16.983360421478</v>
      </c>
      <c r="AR17" s="16" t="n">
        <v>328.02230625</v>
      </c>
      <c r="AS17" s="16" t="n">
        <v>314.925245</v>
      </c>
      <c r="AT17" s="16" t="n">
        <v>2036.48204429765</v>
      </c>
      <c r="AU17" s="16" t="n">
        <v>0</v>
      </c>
      <c r="AV17" s="16" t="n">
        <v>0</v>
      </c>
      <c r="AW17" s="16" t="n">
        <v>2254.3125</v>
      </c>
      <c r="AX17" s="16" t="n">
        <v>314.925245</v>
      </c>
      <c r="AY17" s="16" t="n">
        <v>314.925245</v>
      </c>
      <c r="AZ17" s="16" t="n">
        <v>5404.14372249687</v>
      </c>
      <c r="BA17" s="16" t="n">
        <v>3733.68485977856</v>
      </c>
      <c r="BB17" s="16" t="n">
        <v>147.041166666667</v>
      </c>
      <c r="BC17" s="16" t="n">
        <v>17267.913869933</v>
      </c>
      <c r="BD17" s="16" t="n">
        <v>1.32733661136516</v>
      </c>
      <c r="BE17" s="16" t="n">
        <v>9.98462923330152</v>
      </c>
      <c r="BF17" s="16" t="n">
        <v>24.212484442104</v>
      </c>
      <c r="BG17" s="16" t="n">
        <v>-8.27711430924607</v>
      </c>
      <c r="BH17" s="16" t="n">
        <v>-7.28866183200638</v>
      </c>
      <c r="BI17" s="16" t="n">
        <v>1.09242813813745</v>
      </c>
      <c r="BJ17" s="16" t="n">
        <v>2.04083187529388</v>
      </c>
      <c r="BK17" s="16" t="n">
        <v>5.25403316350504</v>
      </c>
      <c r="BL17" s="16" t="n">
        <v>7.88491984612206</v>
      </c>
      <c r="BM17" s="16" t="n">
        <v>3.71992671744367</v>
      </c>
      <c r="BN17" s="16" t="n">
        <v>4.46573109600205</v>
      </c>
      <c r="BO17" s="16" t="n">
        <v>5.7791095890411</v>
      </c>
      <c r="BP17" s="16" t="n">
        <v>8712.70308277889</v>
      </c>
      <c r="BQ17" s="16" t="n">
        <v>6433.65383788964</v>
      </c>
      <c r="BR17" s="16" t="n">
        <v>6433.65383788964</v>
      </c>
      <c r="BS17" s="16" t="n">
        <v>328.02230625</v>
      </c>
      <c r="BT17" s="16" t="n">
        <v>301.7195</v>
      </c>
      <c r="BU17" s="16" t="n">
        <v>1081.9108</v>
      </c>
      <c r="BV17" s="16" t="s">
        <v>3238</v>
      </c>
      <c r="BW17" s="16" t="n">
        <v>42.7692307692308</v>
      </c>
      <c r="BX17" s="16" t="n">
        <v>0.155994305554286</v>
      </c>
      <c r="BY17" s="16" t="n">
        <v>0.161741466184191</v>
      </c>
      <c r="BZ17" s="16" t="n">
        <v>13510.8578038903</v>
      </c>
      <c r="CA17" s="16" t="n">
        <v>9557.85015295579</v>
      </c>
      <c r="CB17" s="16" t="n">
        <v>13.1682168727248</v>
      </c>
      <c r="CC17" s="16" t="n">
        <v>0</v>
      </c>
      <c r="CD17" s="16" t="n">
        <v>0</v>
      </c>
      <c r="CE17" s="16" t="n">
        <v>0</v>
      </c>
      <c r="CF17" s="16" t="n">
        <v>0</v>
      </c>
      <c r="CG17" s="16" t="n">
        <v>0</v>
      </c>
      <c r="CH17" s="16" t="n">
        <v>2643.77364301215</v>
      </c>
      <c r="CI17" s="16" t="n">
        <v>-6.2083733271085</v>
      </c>
      <c r="CJ17" s="16" t="n">
        <v>3.00594144553374</v>
      </c>
      <c r="CK17" s="16" t="n">
        <v>0</v>
      </c>
      <c r="CL17" s="16" t="n">
        <v>0</v>
      </c>
      <c r="CM17" s="16" t="n">
        <v>13.09706125</v>
      </c>
      <c r="CN17" s="16" t="n">
        <v>2036.48204429765</v>
      </c>
      <c r="CO17" s="16" t="n">
        <v>1.5535546875</v>
      </c>
      <c r="CP17" s="16" t="n">
        <v>1.09004417261298</v>
      </c>
      <c r="CQ17" s="16" t="n">
        <v>13.888663610505</v>
      </c>
      <c r="CR17" s="16" t="n">
        <v>19.1911972762702</v>
      </c>
      <c r="CS17" s="16" t="n">
        <v>13.699983585527</v>
      </c>
      <c r="CT17" s="16" t="n">
        <v>12.2908527526593</v>
      </c>
      <c r="CU17" s="16" t="n">
        <v>13.888663610505</v>
      </c>
      <c r="CV17" s="16" t="n">
        <v>138.332243755031</v>
      </c>
      <c r="CW17" s="16" t="n">
        <v>0</v>
      </c>
      <c r="CX17" s="16" t="n">
        <v>138.332243755031</v>
      </c>
      <c r="CY17" s="16" t="n">
        <v>138.332243755031</v>
      </c>
      <c r="CZ17" s="16" t="n">
        <v>144.574633299941</v>
      </c>
      <c r="DA17" s="16" t="n">
        <v>0</v>
      </c>
      <c r="DB17" s="16" t="n">
        <v>16548.4770558302</v>
      </c>
      <c r="DC17" s="16" t="n">
        <v>12278.969975426</v>
      </c>
      <c r="DD17" s="16" t="n">
        <v>11144.3333333333</v>
      </c>
      <c r="DE17" s="16" t="n">
        <v>1921.25</v>
      </c>
      <c r="DF17" s="16" t="n">
        <v>453.257488755031</v>
      </c>
      <c r="DG17" s="16" t="n">
        <v>13.09706125</v>
      </c>
      <c r="DH17" s="16" t="n">
        <v>0</v>
      </c>
      <c r="DI17" s="16" t="n">
        <v>13.699983585527</v>
      </c>
    </row>
    <row r="18" customFormat="false" ht="15" hidden="false" customHeight="false" outlineLevel="0" collapsed="false">
      <c r="A18" s="0" t="s">
        <v>3241</v>
      </c>
      <c r="B18" s="16" t="n">
        <v>2822.95391308961</v>
      </c>
      <c r="C18" s="16" t="n">
        <v>10744.3513234302</v>
      </c>
      <c r="D18" s="16" t="n">
        <v>12085.9374237203</v>
      </c>
      <c r="E18" s="16" t="n">
        <v>6307.59109098764</v>
      </c>
      <c r="F18" s="16" t="n">
        <v>2231.2035071655</v>
      </c>
      <c r="G18" s="16" t="n">
        <v>3646.61353088493</v>
      </c>
      <c r="H18" s="16" t="n">
        <v>44239.036650475</v>
      </c>
      <c r="I18" s="17" t="n">
        <v>116.711013431306</v>
      </c>
      <c r="J18" s="17" t="n">
        <v>125.404096248475</v>
      </c>
      <c r="K18" s="16" t="s">
        <v>116</v>
      </c>
      <c r="L18" s="16" t="n">
        <v>7717.73223620237</v>
      </c>
      <c r="M18" s="16" t="n">
        <v>214.887026468604</v>
      </c>
      <c r="N18" s="16" t="n">
        <v>7752.91672691338</v>
      </c>
      <c r="O18" s="16" t="n">
        <v>13213.7965203113</v>
      </c>
      <c r="P18" s="16" t="n">
        <v>1212.1769462832</v>
      </c>
      <c r="Q18" s="16" t="n">
        <v>3325.17943957213</v>
      </c>
      <c r="R18" s="16" t="n">
        <v>18931.9330041464</v>
      </c>
      <c r="S18" s="16" t="n">
        <v>241.718748474405</v>
      </c>
      <c r="T18" s="16" t="n">
        <v>-533.47336857847</v>
      </c>
      <c r="U18" s="16" t="n">
        <v>37341.3678634994</v>
      </c>
      <c r="V18" s="16" t="n">
        <v>0.750319556751226</v>
      </c>
      <c r="W18" s="16" t="n">
        <v>32640.5921754613</v>
      </c>
      <c r="X18" s="16" t="n">
        <v>4647.81991939454</v>
      </c>
      <c r="Y18" s="16" t="n">
        <v>118.495732879383</v>
      </c>
      <c r="Z18" s="16" t="n">
        <v>157.306898334087</v>
      </c>
      <c r="AA18" s="16" t="n">
        <v>43.041696075</v>
      </c>
      <c r="AB18" s="16" t="n">
        <v>40.841696075</v>
      </c>
      <c r="AC18" s="16" t="n">
        <v>42.291696075</v>
      </c>
      <c r="AD18" s="16" t="n">
        <v>46.9632728285</v>
      </c>
      <c r="AE18" s="16" t="n">
        <v>785.656190328325</v>
      </c>
      <c r="AF18" s="16" t="n">
        <v>0.035</v>
      </c>
      <c r="AG18" s="16" t="n">
        <v>0.69909041141168</v>
      </c>
      <c r="AH18" s="16" t="n">
        <v>3355.02387100049</v>
      </c>
      <c r="AI18" s="16" t="n">
        <v>12085.9374237203</v>
      </c>
      <c r="AJ18" s="16" t="n">
        <v>19.0921875</v>
      </c>
      <c r="AK18" s="16" t="n">
        <v>0</v>
      </c>
      <c r="AL18" s="16" t="n">
        <v>3355.02387100049</v>
      </c>
      <c r="AM18" s="16" t="n">
        <v>547.282633333333</v>
      </c>
      <c r="AN18" s="16" t="n">
        <v>0</v>
      </c>
      <c r="AO18" s="16" t="n">
        <v>-372.830807031888</v>
      </c>
      <c r="AP18" s="16" t="n">
        <v>0</v>
      </c>
      <c r="AQ18" s="16" t="n">
        <v>113.000967577948</v>
      </c>
      <c r="AR18" s="16" t="n">
        <v>331.175537602616</v>
      </c>
      <c r="AS18" s="16" t="n">
        <v>319.947250612111</v>
      </c>
      <c r="AT18" s="16" t="n">
        <v>3355.02387100049</v>
      </c>
      <c r="AU18" s="16" t="n">
        <v>0</v>
      </c>
      <c r="AV18" s="16" t="n">
        <v>0</v>
      </c>
      <c r="AW18" s="16" t="n">
        <v>3694.865</v>
      </c>
      <c r="AX18" s="16" t="n">
        <v>319.947250612111</v>
      </c>
      <c r="AY18" s="16" t="n">
        <v>318.38863990043</v>
      </c>
      <c r="AZ18" s="16" t="n">
        <v>8500.1510183188</v>
      </c>
      <c r="BA18" s="16" t="n">
        <v>5122.22488892707</v>
      </c>
      <c r="BB18" s="16" t="n">
        <v>152.6043</v>
      </c>
      <c r="BC18" s="16" t="n">
        <v>12528.7031545083</v>
      </c>
      <c r="BD18" s="16" t="n">
        <v>0</v>
      </c>
      <c r="BE18" s="16" t="n">
        <v>6.58127675867317</v>
      </c>
      <c r="BF18" s="16" t="n">
        <v>21.9508909407056</v>
      </c>
      <c r="BG18" s="16" t="n">
        <v>-6.86548043539002</v>
      </c>
      <c r="BH18" s="16" t="n">
        <v>-0.510471429167696</v>
      </c>
      <c r="BI18" s="16" t="n">
        <v>2.24787422120944</v>
      </c>
      <c r="BJ18" s="16" t="n">
        <v>8.60288322743177</v>
      </c>
      <c r="BK18" s="16" t="n">
        <v>6.53606807781388</v>
      </c>
      <c r="BL18" s="16" t="n">
        <v>15.7885171639902</v>
      </c>
      <c r="BM18" s="16" t="n">
        <v>4.18491755712413</v>
      </c>
      <c r="BN18" s="16" t="n">
        <v>5.02394748300231</v>
      </c>
      <c r="BO18" s="16" t="n">
        <v>7.13470319634703</v>
      </c>
      <c r="BP18" s="16" t="n">
        <v>12077.6391665806</v>
      </c>
      <c r="BQ18" s="16" t="n">
        <v>10710.5217632921</v>
      </c>
      <c r="BR18" s="16" t="n">
        <v>10710.5217632921</v>
      </c>
      <c r="BS18" s="16" t="n">
        <v>331.175537602616</v>
      </c>
      <c r="BT18" s="16" t="n">
        <v>413.9493</v>
      </c>
      <c r="BU18" s="16" t="n">
        <v>1369.2143</v>
      </c>
      <c r="BV18" s="16" t="s">
        <v>3238</v>
      </c>
      <c r="BW18" s="16" t="n">
        <v>42.7692307692308</v>
      </c>
      <c r="BX18" s="16" t="n">
        <v>0.155994305554286</v>
      </c>
      <c r="BY18" s="16" t="n">
        <v>0.213851354521278</v>
      </c>
      <c r="BZ18" s="16" t="n">
        <v>13328.9507681851</v>
      </c>
      <c r="CA18" s="16" t="n">
        <v>9452.1624444416</v>
      </c>
      <c r="CB18" s="16" t="n">
        <v>11.2282869905054</v>
      </c>
      <c r="CC18" s="16" t="n">
        <v>0</v>
      </c>
      <c r="CD18" s="16" t="n">
        <v>0</v>
      </c>
      <c r="CE18" s="16" t="n">
        <v>0</v>
      </c>
      <c r="CF18" s="16" t="n">
        <v>0</v>
      </c>
      <c r="CG18" s="16" t="n">
        <v>0</v>
      </c>
      <c r="CH18" s="16" t="n">
        <v>3188.69833333333</v>
      </c>
      <c r="CI18" s="16" t="n">
        <v>-0.379462866110714</v>
      </c>
      <c r="CJ18" s="16" t="n">
        <v>9.74648675233316</v>
      </c>
      <c r="CK18" s="16" t="n">
        <v>0</v>
      </c>
      <c r="CL18" s="16" t="n">
        <v>0</v>
      </c>
      <c r="CM18" s="16" t="n">
        <v>13.09706125</v>
      </c>
      <c r="CN18" s="16" t="n">
        <v>3355.02387100049</v>
      </c>
      <c r="CO18" s="16" t="n">
        <v>1.70486111111111</v>
      </c>
      <c r="CP18" s="16" t="n">
        <v>0.90519877675841</v>
      </c>
      <c r="CQ18" s="16" t="n">
        <v>125.404096248475</v>
      </c>
      <c r="CR18" s="16" t="n">
        <v>126.561083687302</v>
      </c>
      <c r="CS18" s="16" t="n">
        <v>125.404096248475</v>
      </c>
      <c r="CT18" s="16" t="n">
        <v>111.967943078995</v>
      </c>
      <c r="CU18" s="16" t="n">
        <v>125.404096248475</v>
      </c>
      <c r="CV18" s="16" t="n">
        <v>16.2012990717375</v>
      </c>
      <c r="CW18" s="16" t="n">
        <v>0</v>
      </c>
      <c r="CX18" s="16" t="n">
        <v>16.2012990717375</v>
      </c>
      <c r="CY18" s="16" t="n">
        <v>16.2012990717375</v>
      </c>
      <c r="CZ18" s="16" t="n">
        <v>16.2012990717375</v>
      </c>
      <c r="DA18" s="16" t="n">
        <v>0</v>
      </c>
      <c r="DB18" s="16" t="n">
        <v>18919.1510183188</v>
      </c>
      <c r="DC18" s="16" t="n">
        <v>14038.0100555926</v>
      </c>
      <c r="DD18" s="16" t="n">
        <v>10419</v>
      </c>
      <c r="DE18" s="16" t="n">
        <v>1818.4375</v>
      </c>
      <c r="DF18" s="16" t="n">
        <v>334.230987532209</v>
      </c>
      <c r="DG18" s="16" t="n">
        <v>13.09706125</v>
      </c>
      <c r="DH18" s="16" t="n">
        <v>0</v>
      </c>
      <c r="DI18" s="16" t="n">
        <v>125.404096248475</v>
      </c>
    </row>
    <row r="19" customFormat="false" ht="15" hidden="false" customHeight="false" outlineLevel="0" collapsed="false">
      <c r="A19" s="0" t="s">
        <v>3242</v>
      </c>
      <c r="B19" s="16" t="n">
        <v>2161.09062763565</v>
      </c>
      <c r="C19" s="16" t="n">
        <v>3424.155756869</v>
      </c>
      <c r="D19" s="16" t="n">
        <v>6734.56677172685</v>
      </c>
      <c r="E19" s="16" t="n">
        <v>1497.39550307648</v>
      </c>
      <c r="F19" s="16" t="n">
        <v>-2593.52710978446</v>
      </c>
      <c r="G19" s="16" t="n">
        <v>3953.95638258618</v>
      </c>
      <c r="H19" s="16" t="n">
        <v>-2638.85161515583</v>
      </c>
      <c r="I19" s="17" t="n">
        <v>0.01</v>
      </c>
      <c r="J19" s="17" t="n">
        <v>0</v>
      </c>
      <c r="K19" s="16" t="s">
        <v>116</v>
      </c>
      <c r="L19" s="16" t="n">
        <v>3571.74630026067</v>
      </c>
      <c r="M19" s="16" t="n">
        <v>10353.7780395215</v>
      </c>
      <c r="N19" s="16" t="n">
        <v>3374.95366242216</v>
      </c>
      <c r="O19" s="16" t="n">
        <v>5280.40597349165</v>
      </c>
      <c r="P19" s="16" t="n">
        <v>747.002337313713</v>
      </c>
      <c r="Q19" s="16" t="n">
        <v>-2339.33635910105</v>
      </c>
      <c r="R19" s="16" t="n">
        <v>8386.74268755271</v>
      </c>
      <c r="S19" s="16" t="n">
        <v>289.795935434537</v>
      </c>
      <c r="T19" s="16" t="n">
        <v>-1433.47926391911</v>
      </c>
      <c r="U19" s="16" t="n">
        <v>-7661.16461838985</v>
      </c>
      <c r="V19" s="16" t="n">
        <v>0.750319556751226</v>
      </c>
      <c r="W19" s="16" t="n">
        <v>5358.62719991492</v>
      </c>
      <c r="X19" s="16" t="n">
        <v>3282.28456958065</v>
      </c>
      <c r="Y19" s="16" t="n">
        <v>0</v>
      </c>
      <c r="Z19" s="16" t="n">
        <v>0</v>
      </c>
      <c r="AA19" s="16" t="n">
        <v>22.27279275</v>
      </c>
      <c r="AB19" s="16" t="n">
        <v>20.07279275</v>
      </c>
      <c r="AC19" s="16" t="n">
        <v>21.52279275</v>
      </c>
      <c r="AD19" s="16" t="n">
        <v>21.8718824805</v>
      </c>
      <c r="AE19" s="16" t="n">
        <v>594.149368983825</v>
      </c>
      <c r="AF19" s="16" t="n">
        <v>0.02</v>
      </c>
      <c r="AG19" s="16" t="n">
        <v>0.590154315036167</v>
      </c>
      <c r="AH19" s="16" t="n">
        <v>13483.7692790765</v>
      </c>
      <c r="AI19" s="16" t="n">
        <v>6734.56677172685</v>
      </c>
      <c r="AJ19" s="16" t="n">
        <v>14.7365561910928</v>
      </c>
      <c r="AK19" s="16" t="n">
        <v>0</v>
      </c>
      <c r="AL19" s="16" t="n">
        <v>1000</v>
      </c>
      <c r="AM19" s="16" t="n">
        <v>321.066245</v>
      </c>
      <c r="AN19" s="16" t="n">
        <v>0</v>
      </c>
      <c r="AO19" s="16" t="n">
        <v>-323.015620082643</v>
      </c>
      <c r="AP19" s="16" t="n">
        <v>1</v>
      </c>
      <c r="AQ19" s="16" t="n">
        <v>0</v>
      </c>
      <c r="AR19" s="16" t="n">
        <v>335.5369217569</v>
      </c>
      <c r="AS19" s="16" t="n">
        <v>314.925245</v>
      </c>
      <c r="AT19" s="16" t="n">
        <v>3571.74630026067</v>
      </c>
      <c r="AU19" s="16" t="n">
        <v>0</v>
      </c>
      <c r="AV19" s="16" t="n">
        <v>0</v>
      </c>
      <c r="AW19" s="16" t="n">
        <v>998.76</v>
      </c>
      <c r="AX19" s="16" t="n">
        <v>314.925245</v>
      </c>
      <c r="AY19" s="16" t="n">
        <v>314.925245</v>
      </c>
      <c r="AZ19" s="16" t="n">
        <v>2060.23638343925</v>
      </c>
      <c r="BA19" s="16" t="n">
        <v>5937.96569254522</v>
      </c>
      <c r="BB19" s="16" t="n">
        <v>6.3879116666667</v>
      </c>
      <c r="BC19" s="16" t="n">
        <v>16766.2929985751</v>
      </c>
      <c r="BD19" s="16" t="n">
        <v>0</v>
      </c>
      <c r="BE19" s="16" t="n">
        <v>1.22588895725148</v>
      </c>
      <c r="BF19" s="16" t="n">
        <v>14.1006060044874</v>
      </c>
      <c r="BG19" s="16" t="n">
        <v>-13.6535979204585</v>
      </c>
      <c r="BH19" s="16" t="n">
        <v>-20.0976093877166</v>
      </c>
      <c r="BI19" s="16" t="n">
        <v>-3.59741167595651</v>
      </c>
      <c r="BJ19" s="16" t="n">
        <v>-9.93933550584831</v>
      </c>
      <c r="BK19" s="16" t="n">
        <v>-0.548394239950376</v>
      </c>
      <c r="BL19" s="16" t="n">
        <v>-6.73470781259538</v>
      </c>
      <c r="BM19" s="16" t="n">
        <v>3.37118358768332</v>
      </c>
      <c r="BN19" s="16" t="n">
        <v>4.04706880575186</v>
      </c>
      <c r="BO19" s="16" t="n">
        <v>5.1726598173516</v>
      </c>
      <c r="BP19" s="16" t="n">
        <v>5354.49215439957</v>
      </c>
      <c r="BQ19" s="16" t="n">
        <v>3394.555756869</v>
      </c>
      <c r="BR19" s="16" t="n">
        <v>3394.555756869</v>
      </c>
      <c r="BS19" s="16" t="n">
        <v>335.5369217569</v>
      </c>
      <c r="BT19" s="16" t="n">
        <v>189.4897</v>
      </c>
      <c r="BU19" s="16" t="n">
        <v>794.6073</v>
      </c>
      <c r="BV19" s="16" t="s">
        <v>3237</v>
      </c>
      <c r="BW19" s="16" t="n">
        <v>42.7692307692308</v>
      </c>
      <c r="BX19" s="16" t="n">
        <v>0.124596585374074</v>
      </c>
      <c r="BY19" s="16" t="n">
        <v>0.0866148510447071</v>
      </c>
      <c r="BZ19" s="16" t="n">
        <v>13510.8578038903</v>
      </c>
      <c r="CA19" s="16" t="n">
        <v>9557.85015295579</v>
      </c>
      <c r="CB19" s="16" t="n">
        <v>27.0455478474725</v>
      </c>
      <c r="CC19" s="16" t="n">
        <v>1432.5375</v>
      </c>
      <c r="CD19" s="16" t="n">
        <v>0</v>
      </c>
      <c r="CE19" s="16" t="n">
        <v>0</v>
      </c>
      <c r="CF19" s="16" t="n">
        <v>0</v>
      </c>
      <c r="CG19" s="16" t="n">
        <v>0</v>
      </c>
      <c r="CH19" s="16" t="n">
        <v>1983.66628420139</v>
      </c>
      <c r="CI19" s="16" t="n">
        <v>-14.9451536418179</v>
      </c>
      <c r="CJ19" s="16" t="n">
        <v>-5.32272994264565</v>
      </c>
      <c r="CK19" s="16" t="n">
        <v>1094.77427473827</v>
      </c>
      <c r="CL19" s="16" t="n">
        <v>7.51461550690024</v>
      </c>
      <c r="CM19" s="16" t="n">
        <v>20.6116767569002</v>
      </c>
      <c r="CN19" s="16" t="n">
        <v>1000</v>
      </c>
      <c r="CO19" s="16" t="n">
        <v>1.534375</v>
      </c>
      <c r="CP19" s="16" t="n">
        <v>1.31022765885151</v>
      </c>
      <c r="CQ19" s="16" t="n">
        <v>0</v>
      </c>
      <c r="CR19" s="16" t="n">
        <v>0</v>
      </c>
      <c r="CS19" s="16" t="n">
        <v>0</v>
      </c>
      <c r="CT19" s="16" t="n">
        <v>0</v>
      </c>
      <c r="CU19" s="16" t="n">
        <v>0.0115</v>
      </c>
      <c r="CV19" s="16" t="n">
        <v>262262.980412023</v>
      </c>
      <c r="CW19" s="16" t="n">
        <v>0</v>
      </c>
      <c r="CX19" s="16" t="n">
        <v>262262.980412023</v>
      </c>
      <c r="CY19" s="16" t="n">
        <v>262262.980412023</v>
      </c>
      <c r="CZ19" s="16" t="n">
        <v>437104.967352906</v>
      </c>
      <c r="DA19" s="16" t="n">
        <v>0</v>
      </c>
      <c r="DB19" s="16" t="n">
        <v>14068.5697167726</v>
      </c>
      <c r="DC19" s="16" t="n">
        <v>10438.8787298453</v>
      </c>
      <c r="DD19" s="16" t="n">
        <v>12008.3333333333</v>
      </c>
      <c r="DE19" s="16" t="n">
        <v>1921.25</v>
      </c>
      <c r="DF19" s="16" t="n">
        <v>262577.905657023</v>
      </c>
      <c r="DG19" s="16" t="n">
        <v>20.6116767569002</v>
      </c>
      <c r="DH19" s="16" t="n">
        <v>0</v>
      </c>
      <c r="DI19" s="16" t="n">
        <v>0.0115</v>
      </c>
    </row>
    <row r="20" customFormat="false" ht="15" hidden="false" customHeight="false" outlineLevel="0" collapsed="false">
      <c r="A20" s="0" t="s">
        <v>3243</v>
      </c>
      <c r="B20" s="16" t="n">
        <v>2465.07954157611</v>
      </c>
      <c r="C20" s="16" t="n">
        <v>6622.10628390712</v>
      </c>
      <c r="D20" s="16" t="n">
        <v>9602.19341981808</v>
      </c>
      <c r="E20" s="16" t="n">
        <v>3383.15640868537</v>
      </c>
      <c r="F20" s="16" t="n">
        <v>-816.333108519748</v>
      </c>
      <c r="G20" s="16" t="n">
        <v>3934.60526584884</v>
      </c>
      <c r="H20" s="16" t="n">
        <v>10238.1398938796</v>
      </c>
      <c r="I20" s="17" t="n">
        <v>18.6895797411046</v>
      </c>
      <c r="J20" s="17" t="n">
        <v>15.5855266119717</v>
      </c>
      <c r="K20" s="16" t="s">
        <v>116</v>
      </c>
      <c r="L20" s="16" t="n">
        <v>3391.65046417988</v>
      </c>
      <c r="M20" s="16" t="n">
        <v>7381.62855294049</v>
      </c>
      <c r="N20" s="16" t="n">
        <v>5549.32365121923</v>
      </c>
      <c r="O20" s="16" t="n">
        <v>7270.28954074166</v>
      </c>
      <c r="P20" s="16" t="n">
        <v>951.290832135856</v>
      </c>
      <c r="Q20" s="16" t="n">
        <v>233.802540687872</v>
      </c>
      <c r="R20" s="16" t="n">
        <v>13419.3103849842</v>
      </c>
      <c r="S20" s="16" t="n">
        <v>334.443868396362</v>
      </c>
      <c r="T20" s="16" t="n">
        <v>-955.692204749296</v>
      </c>
      <c r="U20" s="16" t="n">
        <v>5885.82047891439</v>
      </c>
      <c r="V20" s="16" t="n">
        <v>0.750319556751226</v>
      </c>
      <c r="W20" s="16" t="n">
        <v>10577.0406524516</v>
      </c>
      <c r="X20" s="16" t="n">
        <v>5061.82262288197</v>
      </c>
      <c r="Y20" s="16" t="n">
        <v>14.6616301286297</v>
      </c>
      <c r="Z20" s="16" t="n">
        <v>19.9011589308267</v>
      </c>
      <c r="AA20" s="16" t="n">
        <v>27.424347870838</v>
      </c>
      <c r="AB20" s="16" t="n">
        <v>25.224347870838</v>
      </c>
      <c r="AC20" s="16" t="n">
        <v>26.674347870838</v>
      </c>
      <c r="AD20" s="16" t="n">
        <v>27.2673434792775</v>
      </c>
      <c r="AE20" s="16" t="n">
        <v>674.686407680941</v>
      </c>
      <c r="AF20" s="16" t="n">
        <v>0.03</v>
      </c>
      <c r="AG20" s="16" t="n">
        <v>0.643092239438198</v>
      </c>
      <c r="AH20" s="16" t="n">
        <v>8631.07897870279</v>
      </c>
      <c r="AI20" s="16" t="n">
        <v>9602.19341981808</v>
      </c>
      <c r="AJ20" s="16" t="n">
        <v>19.7391827628362</v>
      </c>
      <c r="AK20" s="16" t="n">
        <v>0</v>
      </c>
      <c r="AL20" s="16" t="n">
        <v>2084.62007732058</v>
      </c>
      <c r="AM20" s="16" t="n">
        <v>541.7195</v>
      </c>
      <c r="AN20" s="16" t="n">
        <v>0</v>
      </c>
      <c r="AO20" s="16" t="n">
        <v>-355.263647296984</v>
      </c>
      <c r="AP20" s="16" t="n">
        <v>1</v>
      </c>
      <c r="AQ20" s="16" t="n">
        <v>18.4250522439855</v>
      </c>
      <c r="AR20" s="16" t="n">
        <v>328.02230625</v>
      </c>
      <c r="AS20" s="16" t="n">
        <v>314.925245</v>
      </c>
      <c r="AT20" s="16" t="n">
        <v>2084.62007732058</v>
      </c>
      <c r="AU20" s="16" t="n">
        <v>0</v>
      </c>
      <c r="AV20" s="16" t="n">
        <v>0</v>
      </c>
      <c r="AW20" s="16" t="n">
        <v>2254.3125</v>
      </c>
      <c r="AX20" s="16" t="n">
        <v>314.925245</v>
      </c>
      <c r="AY20" s="16" t="n">
        <v>314.925245</v>
      </c>
      <c r="AZ20" s="16" t="n">
        <v>5496.81052634697</v>
      </c>
      <c r="BA20" s="16" t="n">
        <v>3733.68485977856</v>
      </c>
      <c r="BB20" s="16" t="n">
        <v>147.041166666667</v>
      </c>
      <c r="BC20" s="16" t="n">
        <v>17281.1071081354</v>
      </c>
      <c r="BD20" s="16" t="n">
        <v>1.62158677174878</v>
      </c>
      <c r="BE20" s="16" t="n">
        <v>10.2788793936851</v>
      </c>
      <c r="BF20" s="16" t="n">
        <v>24.5067346024876</v>
      </c>
      <c r="BG20" s="16" t="n">
        <v>-8.27711430924607</v>
      </c>
      <c r="BH20" s="16" t="n">
        <v>-7.28866183200638</v>
      </c>
      <c r="BI20" s="16" t="n">
        <v>1.09242813813745</v>
      </c>
      <c r="BJ20" s="16" t="n">
        <v>2.04083187529388</v>
      </c>
      <c r="BK20" s="16" t="n">
        <v>5.25403316350504</v>
      </c>
      <c r="BL20" s="16" t="n">
        <v>7.88491984612206</v>
      </c>
      <c r="BM20" s="16" t="n">
        <v>3.71992671744367</v>
      </c>
      <c r="BN20" s="16" t="n">
        <v>4.46573109600205</v>
      </c>
      <c r="BO20" s="16" t="n">
        <v>5.7791095890411</v>
      </c>
      <c r="BP20" s="16" t="n">
        <v>8712.70308277889</v>
      </c>
      <c r="BQ20" s="16" t="n">
        <v>6589.73954687689</v>
      </c>
      <c r="BR20" s="16" t="n">
        <v>6589.73954687689</v>
      </c>
      <c r="BS20" s="16" t="n">
        <v>328.02230625</v>
      </c>
      <c r="BT20" s="16" t="n">
        <v>301.7195</v>
      </c>
      <c r="BU20" s="16" t="n">
        <v>1081.9108</v>
      </c>
      <c r="BV20" s="16" t="s">
        <v>3238</v>
      </c>
      <c r="BW20" s="16" t="n">
        <v>42.7692307692308</v>
      </c>
      <c r="BX20" s="16" t="n">
        <v>0.155994305554286</v>
      </c>
      <c r="BY20" s="16" t="n">
        <v>0.161741466184191</v>
      </c>
      <c r="BZ20" s="16" t="n">
        <v>13510.8578038903</v>
      </c>
      <c r="CA20" s="16" t="n">
        <v>9557.85015295579</v>
      </c>
      <c r="CB20" s="16" t="n">
        <v>13.09706125</v>
      </c>
      <c r="CC20" s="16" t="n">
        <v>0</v>
      </c>
      <c r="CD20" s="16" t="n">
        <v>0</v>
      </c>
      <c r="CE20" s="16" t="n">
        <v>0</v>
      </c>
      <c r="CF20" s="16" t="n">
        <v>0</v>
      </c>
      <c r="CG20" s="16" t="n">
        <v>0</v>
      </c>
      <c r="CH20" s="16" t="n">
        <v>2643.77364301215</v>
      </c>
      <c r="CI20" s="16" t="n">
        <v>-6.2083733271085</v>
      </c>
      <c r="CJ20" s="16" t="n">
        <v>3.00594144553374</v>
      </c>
      <c r="CK20" s="16" t="n">
        <v>0</v>
      </c>
      <c r="CL20" s="16" t="n">
        <v>0</v>
      </c>
      <c r="CM20" s="16" t="n">
        <v>13.09706125</v>
      </c>
      <c r="CN20" s="16" t="n">
        <v>2084.62007732058</v>
      </c>
      <c r="CO20" s="16" t="n">
        <v>1.5535546875</v>
      </c>
      <c r="CP20" s="16" t="n">
        <v>1.09004417261298</v>
      </c>
      <c r="CQ20" s="16" t="n">
        <v>15.5855266119717</v>
      </c>
      <c r="CR20" s="16" t="n">
        <v>20.8203090357036</v>
      </c>
      <c r="CS20" s="16" t="n">
        <v>15.3968465869938</v>
      </c>
      <c r="CT20" s="16" t="n">
        <v>13.7925014265237</v>
      </c>
      <c r="CU20" s="16" t="n">
        <v>15.5855266119717</v>
      </c>
      <c r="CV20" s="16" t="n">
        <v>123.271420198547</v>
      </c>
      <c r="CW20" s="16" t="n">
        <v>0</v>
      </c>
      <c r="CX20" s="16" t="n">
        <v>123.271420198547</v>
      </c>
      <c r="CY20" s="16" t="n">
        <v>123.271420198547</v>
      </c>
      <c r="CZ20" s="16" t="n">
        <v>128.641283258997</v>
      </c>
      <c r="DA20" s="16" t="n">
        <v>0</v>
      </c>
      <c r="DB20" s="16" t="n">
        <v>16641.1438596803</v>
      </c>
      <c r="DC20" s="16" t="n">
        <v>12347.7287438828</v>
      </c>
      <c r="DD20" s="16" t="n">
        <v>11144.3333333333</v>
      </c>
      <c r="DE20" s="16" t="n">
        <v>1921.25</v>
      </c>
      <c r="DF20" s="16" t="n">
        <v>438.196665198547</v>
      </c>
      <c r="DG20" s="16" t="n">
        <v>13.09706125</v>
      </c>
      <c r="DH20" s="16" t="n">
        <v>0</v>
      </c>
      <c r="DI20" s="16" t="n">
        <v>15.3968465869938</v>
      </c>
    </row>
    <row r="21" customFormat="false" ht="15" hidden="false" customHeight="false" outlineLevel="0" collapsed="false">
      <c r="A21" s="0" t="s">
        <v>3244</v>
      </c>
      <c r="B21" s="16" t="n">
        <v>2465.07954157611</v>
      </c>
      <c r="C21" s="16" t="n">
        <v>6466.02057491987</v>
      </c>
      <c r="D21" s="16" t="n">
        <v>9434.33468610715</v>
      </c>
      <c r="E21" s="16" t="n">
        <v>3272.33555530442</v>
      </c>
      <c r="F21" s="16" t="n">
        <v>-920.70351697055</v>
      </c>
      <c r="G21" s="16" t="n">
        <v>3934.39824927818</v>
      </c>
      <c r="H21" s="16" t="n">
        <v>9765.23281735895</v>
      </c>
      <c r="I21" s="17" t="n">
        <v>29.0437124599912</v>
      </c>
      <c r="J21" s="17" t="n">
        <v>27.2856965843136</v>
      </c>
      <c r="K21" s="16" t="s">
        <v>116</v>
      </c>
      <c r="L21" s="16" t="n">
        <v>3283.28182528248</v>
      </c>
      <c r="M21" s="16" t="n">
        <v>7378.50683876074</v>
      </c>
      <c r="N21" s="16" t="n">
        <v>5421.75101359893</v>
      </c>
      <c r="O21" s="16" t="n">
        <v>7034.82780559764</v>
      </c>
      <c r="P21" s="16" t="n">
        <v>951.290832135856</v>
      </c>
      <c r="Q21" s="16" t="n">
        <v>113.820383352525</v>
      </c>
      <c r="R21" s="16" t="n">
        <v>13419.3103849842</v>
      </c>
      <c r="S21" s="16" t="n">
        <v>331.086693722143</v>
      </c>
      <c r="T21" s="16" t="n">
        <v>-955.692204749296</v>
      </c>
      <c r="U21" s="16" t="n">
        <v>9146.59826217228</v>
      </c>
      <c r="V21" s="16" t="n">
        <v>0.750319556751226</v>
      </c>
      <c r="W21" s="16" t="n">
        <v>10417.7672783878</v>
      </c>
      <c r="X21" s="16" t="n">
        <v>5059.277710308</v>
      </c>
      <c r="Y21" s="16" t="n">
        <v>25.6682241852469</v>
      </c>
      <c r="Z21" s="16" t="n">
        <v>34.8411059685101</v>
      </c>
      <c r="AA21" s="16" t="n">
        <v>27.424347870838</v>
      </c>
      <c r="AB21" s="16" t="n">
        <v>25.224347870838</v>
      </c>
      <c r="AC21" s="16" t="n">
        <v>26.674347870838</v>
      </c>
      <c r="AD21" s="16" t="n">
        <v>27.2673434792775</v>
      </c>
      <c r="AE21" s="16" t="n">
        <v>674.686407680941</v>
      </c>
      <c r="AF21" s="16" t="n">
        <v>0.03</v>
      </c>
      <c r="AG21" s="16" t="n">
        <v>0.640062464560917</v>
      </c>
      <c r="AH21" s="16" t="n">
        <v>8631.07897870279</v>
      </c>
      <c r="AI21" s="16" t="n">
        <v>9434.33468610715</v>
      </c>
      <c r="AJ21" s="16" t="n">
        <v>16.69175</v>
      </c>
      <c r="AK21" s="16" t="n">
        <v>0</v>
      </c>
      <c r="AL21" s="16" t="n">
        <v>2036.48204429765</v>
      </c>
      <c r="AM21" s="16" t="n">
        <v>541.7195</v>
      </c>
      <c r="AN21" s="16" t="n">
        <v>0</v>
      </c>
      <c r="AO21" s="16" t="n">
        <v>-355.263647296984</v>
      </c>
      <c r="AP21" s="16" t="n">
        <v>1</v>
      </c>
      <c r="AQ21" s="16" t="n">
        <v>28.3657718875231</v>
      </c>
      <c r="AR21" s="16" t="n">
        <v>328.02230625</v>
      </c>
      <c r="AS21" s="16" t="n">
        <v>314.925245</v>
      </c>
      <c r="AT21" s="16" t="n">
        <v>2036.48204429765</v>
      </c>
      <c r="AU21" s="16" t="n">
        <v>0</v>
      </c>
      <c r="AV21" s="16" t="n">
        <v>0</v>
      </c>
      <c r="AW21" s="16" t="n">
        <v>2254.3125</v>
      </c>
      <c r="AX21" s="16" t="n">
        <v>314.925245</v>
      </c>
      <c r="AY21" s="16" t="n">
        <v>314.925245</v>
      </c>
      <c r="AZ21" s="16" t="n">
        <v>5404.14372249687</v>
      </c>
      <c r="BA21" s="16" t="n">
        <v>0</v>
      </c>
      <c r="BB21" s="16" t="n">
        <v>147.041166666667</v>
      </c>
      <c r="BC21" s="16" t="n">
        <v>17267.913869933</v>
      </c>
      <c r="BD21" s="16" t="n">
        <v>13.1831180041162</v>
      </c>
      <c r="BE21" s="16" t="n">
        <v>21.8404106260525</v>
      </c>
      <c r="BF21" s="16" t="n">
        <v>36.068265834855</v>
      </c>
      <c r="BG21" s="16" t="n">
        <v>-8.27711430924607</v>
      </c>
      <c r="BH21" s="16" t="n">
        <v>-7.28866183200638</v>
      </c>
      <c r="BI21" s="16" t="n">
        <v>1.09242813813745</v>
      </c>
      <c r="BJ21" s="16" t="n">
        <v>2.04083187529388</v>
      </c>
      <c r="BK21" s="16" t="n">
        <v>5.25403316350504</v>
      </c>
      <c r="BL21" s="16" t="n">
        <v>7.88491984612206</v>
      </c>
      <c r="BM21" s="16" t="n">
        <v>3.71992671744367</v>
      </c>
      <c r="BN21" s="16" t="n">
        <v>4.46573109600205</v>
      </c>
      <c r="BO21" s="16" t="n">
        <v>5.7791095890411</v>
      </c>
      <c r="BP21" s="16" t="n">
        <v>8712.70308277889</v>
      </c>
      <c r="BQ21" s="16" t="n">
        <v>6433.65383788964</v>
      </c>
      <c r="BR21" s="16" t="n">
        <v>6433.65383788964</v>
      </c>
      <c r="BS21" s="16" t="n">
        <v>328.02230625</v>
      </c>
      <c r="BT21" s="16" t="n">
        <v>301.7195</v>
      </c>
      <c r="BU21" s="16" t="n">
        <v>1081.9108</v>
      </c>
      <c r="BV21" s="16" t="s">
        <v>3238</v>
      </c>
      <c r="BW21" s="16" t="n">
        <v>42.7692307692308</v>
      </c>
      <c r="BX21" s="16" t="n">
        <v>0.155994305554286</v>
      </c>
      <c r="BY21" s="16" t="n">
        <v>0.161741466184191</v>
      </c>
      <c r="BZ21" s="16" t="n">
        <v>13510.8578038903</v>
      </c>
      <c r="CA21" s="16" t="n">
        <v>9557.85015295579</v>
      </c>
      <c r="CB21" s="16" t="n">
        <v>13.1682168727248</v>
      </c>
      <c r="CC21" s="16" t="n">
        <v>0</v>
      </c>
      <c r="CD21" s="16" t="n">
        <v>0</v>
      </c>
      <c r="CE21" s="16" t="n">
        <v>0</v>
      </c>
      <c r="CF21" s="16" t="n">
        <v>10.2986204847014</v>
      </c>
      <c r="CG21" s="16" t="n">
        <v>11.6374411477126</v>
      </c>
      <c r="CH21" s="16" t="n">
        <v>2643.77364301215</v>
      </c>
      <c r="CI21" s="16" t="n">
        <v>-6.2083733271085</v>
      </c>
      <c r="CJ21" s="16" t="n">
        <v>3.00594144553374</v>
      </c>
      <c r="CK21" s="16" t="n">
        <v>0</v>
      </c>
      <c r="CL21" s="16" t="n">
        <v>0</v>
      </c>
      <c r="CM21" s="16" t="n">
        <v>13.09706125</v>
      </c>
      <c r="CN21" s="16" t="n">
        <v>2036.48204429765</v>
      </c>
      <c r="CO21" s="16" t="n">
        <v>1.5535546875</v>
      </c>
      <c r="CP21" s="16" t="n">
        <v>1.09004417261298</v>
      </c>
      <c r="CQ21" s="16" t="n">
        <v>27.2856965843136</v>
      </c>
      <c r="CR21" s="16" t="n">
        <v>32.0533222329011</v>
      </c>
      <c r="CS21" s="16" t="n">
        <v>27.0970165593357</v>
      </c>
      <c r="CT21" s="16" t="n">
        <v>24.1466341454103</v>
      </c>
      <c r="CU21" s="16" t="n">
        <v>27.2856965843136</v>
      </c>
      <c r="CV21" s="16" t="n">
        <v>70.4123493444003</v>
      </c>
      <c r="CW21" s="16" t="n">
        <v>0</v>
      </c>
      <c r="CX21" s="16" t="n">
        <v>70.4123493444003</v>
      </c>
      <c r="CY21" s="16" t="n">
        <v>70.4123493444003</v>
      </c>
      <c r="CZ21" s="16" t="n">
        <v>73.0955047673094</v>
      </c>
      <c r="DA21" s="16" t="n">
        <v>10.2986204847014</v>
      </c>
      <c r="DB21" s="16" t="n">
        <v>16548.4770558302</v>
      </c>
      <c r="DC21" s="16" t="n">
        <v>12278.969975426</v>
      </c>
      <c r="DD21" s="16" t="n">
        <v>11144.3333333333</v>
      </c>
      <c r="DE21" s="16" t="n">
        <v>1921.25</v>
      </c>
      <c r="DF21" s="16" t="n">
        <v>385.3375943444</v>
      </c>
      <c r="DG21" s="16" t="n">
        <v>13.09706125</v>
      </c>
      <c r="DH21" s="16" t="n">
        <v>0</v>
      </c>
      <c r="DI21" s="16" t="n">
        <v>27.0970165593357</v>
      </c>
    </row>
    <row r="22" customFormat="false" ht="15" hidden="false" customHeight="false" outlineLevel="0" collapsed="false">
      <c r="A22" s="0" t="s">
        <v>3245</v>
      </c>
      <c r="B22" s="16" t="n">
        <v>2465.07954157611</v>
      </c>
      <c r="C22" s="16" t="n">
        <v>6466.02057491987</v>
      </c>
      <c r="D22" s="16" t="n">
        <v>9434.33468610715</v>
      </c>
      <c r="E22" s="16" t="n">
        <v>3272.33555530442</v>
      </c>
      <c r="F22" s="16" t="n">
        <v>-920.70351697055</v>
      </c>
      <c r="G22" s="16" t="n">
        <v>3934.39824927818</v>
      </c>
      <c r="H22" s="16" t="n">
        <v>9765.23281735895</v>
      </c>
      <c r="I22" s="17" t="n">
        <v>5.33214967448915</v>
      </c>
      <c r="J22" s="17" t="n">
        <v>0.491630636696318</v>
      </c>
      <c r="K22" s="16" t="s">
        <v>116</v>
      </c>
      <c r="L22" s="16" t="n">
        <v>3283.28182528248</v>
      </c>
      <c r="M22" s="16" t="n">
        <v>7378.50683876074</v>
      </c>
      <c r="N22" s="16" t="n">
        <v>5421.75101359893</v>
      </c>
      <c r="O22" s="16" t="n">
        <v>7034.82780559764</v>
      </c>
      <c r="P22" s="16" t="n">
        <v>951.290832135856</v>
      </c>
      <c r="Q22" s="16" t="n">
        <v>113.820383352525</v>
      </c>
      <c r="R22" s="16" t="n">
        <v>13419.3103849842</v>
      </c>
      <c r="S22" s="16" t="n">
        <v>331.086693722143</v>
      </c>
      <c r="T22" s="16" t="n">
        <v>-955.692204749296</v>
      </c>
      <c r="U22" s="16" t="n">
        <v>1679.22854261517</v>
      </c>
      <c r="V22" s="16" t="n">
        <v>0.750319556751226</v>
      </c>
      <c r="W22" s="16" t="n">
        <v>10417.7672783878</v>
      </c>
      <c r="X22" s="16" t="n">
        <v>5059.277710308</v>
      </c>
      <c r="Y22" s="16" t="n">
        <v>0.462487199476941</v>
      </c>
      <c r="Z22" s="16" t="n">
        <v>0.627763159997528</v>
      </c>
      <c r="AA22" s="16" t="n">
        <v>27.424347870838</v>
      </c>
      <c r="AB22" s="16" t="n">
        <v>25.224347870838</v>
      </c>
      <c r="AC22" s="16" t="n">
        <v>26.674347870838</v>
      </c>
      <c r="AD22" s="16" t="n">
        <v>27.2673434792775</v>
      </c>
      <c r="AE22" s="16" t="n">
        <v>674.686407680941</v>
      </c>
      <c r="AF22" s="16" t="n">
        <v>0.03</v>
      </c>
      <c r="AG22" s="16" t="n">
        <v>0.640062464560917</v>
      </c>
      <c r="AH22" s="16" t="n">
        <v>8631.07897870279</v>
      </c>
      <c r="AI22" s="16" t="n">
        <v>9434.33468610715</v>
      </c>
      <c r="AJ22" s="16" t="n">
        <v>16.69175</v>
      </c>
      <c r="AK22" s="16" t="n">
        <v>0</v>
      </c>
      <c r="AL22" s="16" t="n">
        <v>2036.48204429765</v>
      </c>
      <c r="AM22" s="16" t="n">
        <v>541.7195</v>
      </c>
      <c r="AN22" s="16" t="n">
        <v>0</v>
      </c>
      <c r="AO22" s="16" t="n">
        <v>-355.263647296984</v>
      </c>
      <c r="AP22" s="16" t="n">
        <v>1</v>
      </c>
      <c r="AQ22" s="16" t="n">
        <v>5.60094895543294</v>
      </c>
      <c r="AR22" s="16" t="n">
        <v>328.02230625</v>
      </c>
      <c r="AS22" s="16" t="n">
        <v>314.925245</v>
      </c>
      <c r="AT22" s="16" t="n">
        <v>2036.48204429765</v>
      </c>
      <c r="AU22" s="16" t="n">
        <v>0</v>
      </c>
      <c r="AV22" s="16" t="n">
        <v>0</v>
      </c>
      <c r="AW22" s="16" t="n">
        <v>2254.3125</v>
      </c>
      <c r="AX22" s="16" t="n">
        <v>314.925245</v>
      </c>
      <c r="AY22" s="16" t="n">
        <v>314.925245</v>
      </c>
      <c r="AZ22" s="16" t="n">
        <v>5404.14372249687</v>
      </c>
      <c r="BA22" s="16" t="n">
        <v>7467.36971955711</v>
      </c>
      <c r="BB22" s="16" t="n">
        <v>147.041166666667</v>
      </c>
      <c r="BC22" s="16" t="n">
        <v>17267.913869933</v>
      </c>
      <c r="BD22" s="16" t="n">
        <v>0</v>
      </c>
      <c r="BE22" s="16" t="n">
        <v>0</v>
      </c>
      <c r="BF22" s="16" t="n">
        <v>12.3567030493529</v>
      </c>
      <c r="BG22" s="16" t="n">
        <v>-8.27711430924607</v>
      </c>
      <c r="BH22" s="16" t="n">
        <v>-7.28866183200638</v>
      </c>
      <c r="BI22" s="16" t="n">
        <v>1.09242813813745</v>
      </c>
      <c r="BJ22" s="16" t="n">
        <v>2.04083187529388</v>
      </c>
      <c r="BK22" s="16" t="n">
        <v>5.25403316350504</v>
      </c>
      <c r="BL22" s="16" t="n">
        <v>7.88491984612206</v>
      </c>
      <c r="BM22" s="16" t="n">
        <v>3.71992671744367</v>
      </c>
      <c r="BN22" s="16" t="n">
        <v>4.46573109600205</v>
      </c>
      <c r="BO22" s="16" t="n">
        <v>5.7791095890411</v>
      </c>
      <c r="BP22" s="16" t="n">
        <v>8712.70308277889</v>
      </c>
      <c r="BQ22" s="16" t="n">
        <v>6433.65383788964</v>
      </c>
      <c r="BR22" s="16" t="n">
        <v>6433.65383788964</v>
      </c>
      <c r="BS22" s="16" t="n">
        <v>328.02230625</v>
      </c>
      <c r="BT22" s="16" t="n">
        <v>301.7195</v>
      </c>
      <c r="BU22" s="16" t="n">
        <v>1081.9108</v>
      </c>
      <c r="BV22" s="16" t="s">
        <v>3238</v>
      </c>
      <c r="BW22" s="16" t="n">
        <v>42.7692307692308</v>
      </c>
      <c r="BX22" s="16" t="n">
        <v>0.155994305554286</v>
      </c>
      <c r="BY22" s="16" t="n">
        <v>0.161741466184191</v>
      </c>
      <c r="BZ22" s="16" t="n">
        <v>13510.8578038903</v>
      </c>
      <c r="CA22" s="16" t="n">
        <v>9557.85015295579</v>
      </c>
      <c r="CB22" s="16" t="n">
        <v>13.1682168727248</v>
      </c>
      <c r="CC22" s="16" t="n">
        <v>0</v>
      </c>
      <c r="CD22" s="16" t="n">
        <v>0</v>
      </c>
      <c r="CE22" s="16" t="n">
        <v>0</v>
      </c>
      <c r="CF22" s="16" t="n">
        <v>0</v>
      </c>
      <c r="CG22" s="16" t="n">
        <v>0</v>
      </c>
      <c r="CH22" s="16" t="n">
        <v>2643.77364301215</v>
      </c>
      <c r="CI22" s="16" t="n">
        <v>-6.2083733271085</v>
      </c>
      <c r="CJ22" s="16" t="n">
        <v>3.00594144553374</v>
      </c>
      <c r="CK22" s="16" t="n">
        <v>0</v>
      </c>
      <c r="CL22" s="16" t="n">
        <v>0</v>
      </c>
      <c r="CM22" s="16" t="n">
        <v>13.09706125</v>
      </c>
      <c r="CN22" s="16" t="n">
        <v>2036.48204429765</v>
      </c>
      <c r="CO22" s="16" t="n">
        <v>1.5535546875</v>
      </c>
      <c r="CP22" s="16" t="n">
        <v>1.09004417261298</v>
      </c>
      <c r="CQ22" s="16" t="n">
        <v>0.491630636696318</v>
      </c>
      <c r="CR22" s="16" t="n">
        <v>6.32907231963922</v>
      </c>
      <c r="CS22" s="16" t="n">
        <v>0.359734717929622</v>
      </c>
      <c r="CT22" s="16" t="n">
        <v>0.435071359908246</v>
      </c>
      <c r="CU22" s="16" t="n">
        <v>0.491630636696318</v>
      </c>
      <c r="CV22" s="16" t="n">
        <v>3907.91349560822</v>
      </c>
      <c r="CW22" s="16" t="n">
        <v>0</v>
      </c>
      <c r="CX22" s="16" t="n">
        <v>3907.91349560822</v>
      </c>
      <c r="CY22" s="16" t="n">
        <v>3907.91349560822</v>
      </c>
      <c r="CZ22" s="16" t="n">
        <v>5456.20774616505</v>
      </c>
      <c r="DA22" s="16" t="n">
        <v>0</v>
      </c>
      <c r="DB22" s="16" t="n">
        <v>16548.4770558302</v>
      </c>
      <c r="DC22" s="16" t="n">
        <v>12278.969975426</v>
      </c>
      <c r="DD22" s="16" t="n">
        <v>11144.3333333333</v>
      </c>
      <c r="DE22" s="16" t="n">
        <v>1921.25</v>
      </c>
      <c r="DF22" s="16" t="n">
        <v>4222.83874060822</v>
      </c>
      <c r="DG22" s="16" t="n">
        <v>13.09706125</v>
      </c>
      <c r="DH22" s="16" t="n">
        <v>0</v>
      </c>
      <c r="DI22" s="16" t="n">
        <v>0.363012223001391</v>
      </c>
    </row>
    <row r="23" customFormat="false" ht="15" hidden="false" customHeight="false" outlineLevel="0" collapsed="false">
      <c r="A23" s="0" t="s">
        <v>3246</v>
      </c>
      <c r="B23" s="16" t="n">
        <v>2465.07954157611</v>
      </c>
      <c r="C23" s="16" t="n">
        <v>6466.02057491987</v>
      </c>
      <c r="D23" s="16" t="n">
        <v>9434.33468610715</v>
      </c>
      <c r="E23" s="16" t="n">
        <v>3272.33555530442</v>
      </c>
      <c r="F23" s="16" t="n">
        <v>-920.70351697055</v>
      </c>
      <c r="G23" s="16" t="n">
        <v>3934.39824927818</v>
      </c>
      <c r="H23" s="16" t="n">
        <v>11303.8778645416</v>
      </c>
      <c r="I23" s="17" t="n">
        <v>22.0736779916656</v>
      </c>
      <c r="J23" s="17" t="n">
        <v>19.4095576351057</v>
      </c>
      <c r="K23" s="16" t="s">
        <v>116</v>
      </c>
      <c r="L23" s="16" t="n">
        <v>3283.28182528248</v>
      </c>
      <c r="M23" s="16" t="n">
        <v>7378.50683876074</v>
      </c>
      <c r="N23" s="16" t="n">
        <v>5421.75101359893</v>
      </c>
      <c r="O23" s="16" t="n">
        <v>7034.82780559764</v>
      </c>
      <c r="P23" s="16" t="n">
        <v>951.290832135856</v>
      </c>
      <c r="Q23" s="16" t="n">
        <v>113.820383352525</v>
      </c>
      <c r="R23" s="16" t="n">
        <v>13419.3103849842</v>
      </c>
      <c r="S23" s="16" t="n">
        <v>331.086693722143</v>
      </c>
      <c r="T23" s="16" t="n">
        <v>-955.692204749296</v>
      </c>
      <c r="U23" s="16" t="n">
        <v>6951.55844957638</v>
      </c>
      <c r="V23" s="16" t="n">
        <v>0.750319556751226</v>
      </c>
      <c r="W23" s="16" t="n">
        <v>11725.2648010413</v>
      </c>
      <c r="X23" s="16" t="n">
        <v>5059.277710308</v>
      </c>
      <c r="Y23" s="16" t="n">
        <v>18.2589759134381</v>
      </c>
      <c r="Z23" s="16" t="n">
        <v>24.7840641442664</v>
      </c>
      <c r="AA23" s="16" t="n">
        <v>27.424347870838</v>
      </c>
      <c r="AB23" s="16" t="n">
        <v>25.224347870838</v>
      </c>
      <c r="AC23" s="16" t="n">
        <v>26.674347870838</v>
      </c>
      <c r="AD23" s="16" t="n">
        <v>27.2673434792775</v>
      </c>
      <c r="AE23" s="16" t="n">
        <v>674.686407680941</v>
      </c>
      <c r="AF23" s="16" t="n">
        <v>0.03</v>
      </c>
      <c r="AG23" s="16" t="n">
        <v>0.640062464560917</v>
      </c>
      <c r="AH23" s="16" t="n">
        <v>8631.07897870279</v>
      </c>
      <c r="AI23" s="16" t="n">
        <v>9434.33468610715</v>
      </c>
      <c r="AJ23" s="16" t="n">
        <v>16.69175</v>
      </c>
      <c r="AK23" s="16" t="n">
        <v>0</v>
      </c>
      <c r="AL23" s="16" t="n">
        <v>2036.48204429765</v>
      </c>
      <c r="AM23" s="16" t="n">
        <v>541.7195</v>
      </c>
      <c r="AN23" s="16" t="n">
        <v>0</v>
      </c>
      <c r="AO23" s="16" t="n">
        <v>-391.44977582918</v>
      </c>
      <c r="AP23" s="16" t="n">
        <v>1</v>
      </c>
      <c r="AQ23" s="16" t="n">
        <v>21.6740324211133</v>
      </c>
      <c r="AR23" s="16" t="n">
        <v>328.02230625</v>
      </c>
      <c r="AS23" s="16" t="n">
        <v>314.925245</v>
      </c>
      <c r="AT23" s="16" t="n">
        <v>2036.48204429765</v>
      </c>
      <c r="AU23" s="16" t="n">
        <v>0</v>
      </c>
      <c r="AV23" s="16" t="n">
        <v>0</v>
      </c>
      <c r="AW23" s="16" t="n">
        <v>2254.3125</v>
      </c>
      <c r="AX23" s="16" t="n">
        <v>314.925245</v>
      </c>
      <c r="AY23" s="16" t="n">
        <v>314.925245</v>
      </c>
      <c r="AZ23" s="16" t="n">
        <v>6158.14173394654</v>
      </c>
      <c r="BA23" s="16" t="n">
        <v>3733.68485977856</v>
      </c>
      <c r="BB23" s="16" t="n">
        <v>147.041166666667</v>
      </c>
      <c r="BC23" s="16" t="n">
        <v>17267.913869933</v>
      </c>
      <c r="BD23" s="16" t="n">
        <v>3.72154928062791</v>
      </c>
      <c r="BE23" s="16" t="n">
        <v>12.3788419025643</v>
      </c>
      <c r="BF23" s="16" t="n">
        <v>28.3844468393817</v>
      </c>
      <c r="BG23" s="16" t="n">
        <v>-6.40720576730569</v>
      </c>
      <c r="BH23" s="16" t="n">
        <v>-4.58304933887342</v>
      </c>
      <c r="BI23" s="16" t="n">
        <v>3.45352694344252</v>
      </c>
      <c r="BJ23" s="16" t="n">
        <v>5.23553511078511</v>
      </c>
      <c r="BK23" s="16" t="n">
        <v>7.87424060251126</v>
      </c>
      <c r="BL23" s="16" t="n">
        <v>11.4374085386455</v>
      </c>
      <c r="BM23" s="16" t="n">
        <v>3.71992671744367</v>
      </c>
      <c r="BN23" s="16" t="n">
        <v>4.46573109600205</v>
      </c>
      <c r="BO23" s="16" t="n">
        <v>5.7791095890411</v>
      </c>
      <c r="BP23" s="16" t="n">
        <v>8712.70308277889</v>
      </c>
      <c r="BQ23" s="16" t="n">
        <v>6433.65383788964</v>
      </c>
      <c r="BR23" s="16" t="n">
        <v>6433.65383788964</v>
      </c>
      <c r="BS23" s="16" t="n">
        <v>328.02230625</v>
      </c>
      <c r="BT23" s="16" t="n">
        <v>301.7195</v>
      </c>
      <c r="BU23" s="16" t="n">
        <v>1081.9108</v>
      </c>
      <c r="BV23" s="16" t="s">
        <v>3238</v>
      </c>
      <c r="BW23" s="16" t="n">
        <v>42.7692307692308</v>
      </c>
      <c r="BX23" s="16" t="n">
        <v>0.155994305554286</v>
      </c>
      <c r="BY23" s="16" t="n">
        <v>0.161741466184191</v>
      </c>
      <c r="BZ23" s="16" t="n">
        <v>13510.8578038903</v>
      </c>
      <c r="CA23" s="16" t="n">
        <v>9557.85015295579</v>
      </c>
      <c r="CB23" s="16" t="n">
        <v>13.1682168727248</v>
      </c>
      <c r="CC23" s="16" t="n">
        <v>0</v>
      </c>
      <c r="CD23" s="16" t="n">
        <v>0</v>
      </c>
      <c r="CE23" s="16" t="n">
        <v>0</v>
      </c>
      <c r="CF23" s="16" t="n">
        <v>0.837051761213172</v>
      </c>
      <c r="CG23" s="16" t="n">
        <v>0.945868490170885</v>
      </c>
      <c r="CH23" s="16" t="n">
        <v>2643.77364301215</v>
      </c>
      <c r="CI23" s="16" t="n">
        <v>-4.41302081982942</v>
      </c>
      <c r="CJ23" s="16" t="n">
        <v>5.28434653785802</v>
      </c>
      <c r="CK23" s="16" t="n">
        <v>0</v>
      </c>
      <c r="CL23" s="16" t="n">
        <v>0</v>
      </c>
      <c r="CM23" s="16" t="n">
        <v>13.09706125</v>
      </c>
      <c r="CN23" s="16" t="n">
        <v>2036.48204429765</v>
      </c>
      <c r="CO23" s="16" t="n">
        <v>1.5535546875</v>
      </c>
      <c r="CP23" s="16" t="n">
        <v>1.09004417261298</v>
      </c>
      <c r="CQ23" s="16" t="n">
        <v>19.4095576351057</v>
      </c>
      <c r="CR23" s="16" t="n">
        <v>24.491656635858</v>
      </c>
      <c r="CS23" s="16" t="n">
        <v>19.2208776101277</v>
      </c>
      <c r="CT23" s="16" t="n">
        <v>17.1765996770847</v>
      </c>
      <c r="CU23" s="16" t="n">
        <v>19.4095576351057</v>
      </c>
      <c r="CV23" s="16" t="n">
        <v>98.9847391743269</v>
      </c>
      <c r="CW23" s="16" t="n">
        <v>0</v>
      </c>
      <c r="CX23" s="16" t="n">
        <v>98.9847391743269</v>
      </c>
      <c r="CY23" s="16" t="n">
        <v>98.9847391743269</v>
      </c>
      <c r="CZ23" s="16" t="n">
        <v>103.04784949305</v>
      </c>
      <c r="DA23" s="16" t="n">
        <v>0.837051761213172</v>
      </c>
      <c r="DB23" s="16" t="n">
        <v>17302.4750672799</v>
      </c>
      <c r="DC23" s="16" t="n">
        <v>12838.4364999217</v>
      </c>
      <c r="DD23" s="16" t="n">
        <v>11144.3333333333</v>
      </c>
      <c r="DE23" s="16" t="n">
        <v>1921.25</v>
      </c>
      <c r="DF23" s="16" t="n">
        <v>413.909984174327</v>
      </c>
      <c r="DG23" s="16" t="n">
        <v>13.09706125</v>
      </c>
      <c r="DH23" s="16" t="n">
        <v>0</v>
      </c>
      <c r="DI23" s="16" t="n">
        <v>19.2208776101277</v>
      </c>
    </row>
    <row r="24" customFormat="false" ht="15" hidden="false" customHeight="false" outlineLevel="0" collapsed="false">
      <c r="A24" s="0" t="s">
        <v>3247</v>
      </c>
      <c r="B24" s="16" t="n">
        <v>2465.07954157611</v>
      </c>
      <c r="C24" s="16" t="n">
        <v>6466.02057491987</v>
      </c>
      <c r="D24" s="16" t="n">
        <v>9434.33468610715</v>
      </c>
      <c r="E24" s="16" t="n">
        <v>3272.33555530442</v>
      </c>
      <c r="F24" s="16" t="n">
        <v>-920.70351697055</v>
      </c>
      <c r="G24" s="16" t="n">
        <v>3934.39824927818</v>
      </c>
      <c r="H24" s="16" t="n">
        <v>10509.5935477909</v>
      </c>
      <c r="I24" s="17" t="n">
        <v>19.5515419312469</v>
      </c>
      <c r="J24" s="17" t="n">
        <v>16.5595438868326</v>
      </c>
      <c r="K24" s="16" t="s">
        <v>116</v>
      </c>
      <c r="L24" s="16" t="n">
        <v>3283.28182528248</v>
      </c>
      <c r="M24" s="16" t="n">
        <v>7378.50683876074</v>
      </c>
      <c r="N24" s="16" t="n">
        <v>5421.75101359893</v>
      </c>
      <c r="O24" s="16" t="n">
        <v>7034.82780559764</v>
      </c>
      <c r="P24" s="16" t="n">
        <v>951.290832135856</v>
      </c>
      <c r="Q24" s="16" t="n">
        <v>113.820383352525</v>
      </c>
      <c r="R24" s="16" t="n">
        <v>13419.3103849842</v>
      </c>
      <c r="S24" s="16" t="n">
        <v>331.086693722143</v>
      </c>
      <c r="T24" s="16" t="n">
        <v>-955.692204749296</v>
      </c>
      <c r="U24" s="16" t="n">
        <v>6157.27413282571</v>
      </c>
      <c r="V24" s="16" t="n">
        <v>0.750319556751226</v>
      </c>
      <c r="W24" s="16" t="n">
        <v>11048.5250205253</v>
      </c>
      <c r="X24" s="16" t="n">
        <v>5059.277710308</v>
      </c>
      <c r="Y24" s="16" t="n">
        <v>15.5779085052574</v>
      </c>
      <c r="Z24" s="16" t="n">
        <v>21.1448815890965</v>
      </c>
      <c r="AA24" s="16" t="n">
        <v>27.424347870838</v>
      </c>
      <c r="AB24" s="16" t="n">
        <v>25.224347870838</v>
      </c>
      <c r="AC24" s="16" t="n">
        <v>26.674347870838</v>
      </c>
      <c r="AD24" s="16" t="n">
        <v>27.2673434792775</v>
      </c>
      <c r="AE24" s="16" t="n">
        <v>674.686407680941</v>
      </c>
      <c r="AF24" s="16" t="n">
        <v>0.03</v>
      </c>
      <c r="AG24" s="16" t="n">
        <v>0.640062464560917</v>
      </c>
      <c r="AH24" s="16" t="n">
        <v>8631.07897870279</v>
      </c>
      <c r="AI24" s="16" t="n">
        <v>9434.33468610715</v>
      </c>
      <c r="AJ24" s="16" t="n">
        <v>16.69175</v>
      </c>
      <c r="AK24" s="16" t="n">
        <v>0</v>
      </c>
      <c r="AL24" s="16" t="n">
        <v>2036.48204429765</v>
      </c>
      <c r="AM24" s="16" t="n">
        <v>541.7195</v>
      </c>
      <c r="AN24" s="16" t="n">
        <v>0</v>
      </c>
      <c r="AO24" s="16" t="n">
        <v>-372.830807031888</v>
      </c>
      <c r="AP24" s="16" t="n">
        <v>1</v>
      </c>
      <c r="AQ24" s="16" t="n">
        <v>19.2525985685468</v>
      </c>
      <c r="AR24" s="16" t="n">
        <v>328.02230625</v>
      </c>
      <c r="AS24" s="16" t="n">
        <v>314.925245</v>
      </c>
      <c r="AT24" s="16" t="n">
        <v>2036.48204429765</v>
      </c>
      <c r="AU24" s="16" t="n">
        <v>0</v>
      </c>
      <c r="AV24" s="16" t="n">
        <v>0</v>
      </c>
      <c r="AW24" s="16" t="n">
        <v>2254.3125</v>
      </c>
      <c r="AX24" s="16" t="n">
        <v>314.925245</v>
      </c>
      <c r="AY24" s="16" t="n">
        <v>314.925245</v>
      </c>
      <c r="AZ24" s="16" t="n">
        <v>5773.87654637802</v>
      </c>
      <c r="BA24" s="16" t="n">
        <v>3733.68485977856</v>
      </c>
      <c r="BB24" s="16" t="n">
        <v>147.041166666667</v>
      </c>
      <c r="BC24" s="16" t="n">
        <v>17267.913869933</v>
      </c>
      <c r="BD24" s="16" t="n">
        <v>2.50137022648912</v>
      </c>
      <c r="BE24" s="16" t="n">
        <v>11.1586628484255</v>
      </c>
      <c r="BF24" s="16" t="n">
        <v>26.1480576922155</v>
      </c>
      <c r="BG24" s="16" t="n">
        <v>-7.36222513365331</v>
      </c>
      <c r="BH24" s="16" t="n">
        <v>-5.96608980620354</v>
      </c>
      <c r="BI24" s="16" t="n">
        <v>2.24787422120944</v>
      </c>
      <c r="BJ24" s="16" t="n">
        <v>3.60293258322591</v>
      </c>
      <c r="BK24" s="16" t="n">
        <v>6.53606807781388</v>
      </c>
      <c r="BL24" s="16" t="n">
        <v>9.62185691351051</v>
      </c>
      <c r="BM24" s="16" t="n">
        <v>3.71992671744367</v>
      </c>
      <c r="BN24" s="16" t="n">
        <v>4.46573109600205</v>
      </c>
      <c r="BO24" s="16" t="n">
        <v>5.7791095890411</v>
      </c>
      <c r="BP24" s="16" t="n">
        <v>8712.70308277889</v>
      </c>
      <c r="BQ24" s="16" t="n">
        <v>6433.65383788964</v>
      </c>
      <c r="BR24" s="16" t="n">
        <v>6433.65383788964</v>
      </c>
      <c r="BS24" s="16" t="n">
        <v>328.02230625</v>
      </c>
      <c r="BT24" s="16" t="n">
        <v>301.7195</v>
      </c>
      <c r="BU24" s="16" t="n">
        <v>1081.9108</v>
      </c>
      <c r="BV24" s="16" t="s">
        <v>3238</v>
      </c>
      <c r="BW24" s="16" t="n">
        <v>42.7692307692308</v>
      </c>
      <c r="BX24" s="16" t="n">
        <v>0.155994305554286</v>
      </c>
      <c r="BY24" s="16" t="n">
        <v>0.161741466184191</v>
      </c>
      <c r="BZ24" s="16" t="n">
        <v>13510.8578038903</v>
      </c>
      <c r="CA24" s="16" t="n">
        <v>9557.85015295579</v>
      </c>
      <c r="CB24" s="16" t="n">
        <v>13.1682168727248</v>
      </c>
      <c r="CC24" s="16" t="n">
        <v>0</v>
      </c>
      <c r="CD24" s="16" t="n">
        <v>0</v>
      </c>
      <c r="CE24" s="16" t="n">
        <v>0</v>
      </c>
      <c r="CF24" s="16" t="n">
        <v>0</v>
      </c>
      <c r="CG24" s="16" t="n">
        <v>0</v>
      </c>
      <c r="CH24" s="16" t="n">
        <v>2643.77364301215</v>
      </c>
      <c r="CI24" s="16" t="n">
        <v>-5.32992712401661</v>
      </c>
      <c r="CJ24" s="16" t="n">
        <v>4.12095918653099</v>
      </c>
      <c r="CK24" s="16" t="n">
        <v>0</v>
      </c>
      <c r="CL24" s="16" t="n">
        <v>0</v>
      </c>
      <c r="CM24" s="16" t="n">
        <v>13.09706125</v>
      </c>
      <c r="CN24" s="16" t="n">
        <v>2036.48204429765</v>
      </c>
      <c r="CO24" s="16" t="n">
        <v>1.5535546875</v>
      </c>
      <c r="CP24" s="16" t="n">
        <v>1.09004417261298</v>
      </c>
      <c r="CQ24" s="16" t="n">
        <v>16.5595438868326</v>
      </c>
      <c r="CR24" s="16" t="n">
        <v>21.7554363824579</v>
      </c>
      <c r="CS24" s="16" t="n">
        <v>16.3708638618546</v>
      </c>
      <c r="CT24" s="16" t="n">
        <v>14.654463616666</v>
      </c>
      <c r="CU24" s="16" t="n">
        <v>16.5595438868326</v>
      </c>
      <c r="CV24" s="16" t="n">
        <v>116.020707643264</v>
      </c>
      <c r="CW24" s="16" t="n">
        <v>0</v>
      </c>
      <c r="CX24" s="16" t="n">
        <v>116.020707643264</v>
      </c>
      <c r="CY24" s="16" t="n">
        <v>116.020707643264</v>
      </c>
      <c r="CZ24" s="16" t="n">
        <v>120.987512925808</v>
      </c>
      <c r="DA24" s="16" t="n">
        <v>0</v>
      </c>
      <c r="DB24" s="16" t="n">
        <v>16918.2098797114</v>
      </c>
      <c r="DC24" s="16" t="n">
        <v>12553.3117307458</v>
      </c>
      <c r="DD24" s="16" t="n">
        <v>11144.3333333333</v>
      </c>
      <c r="DE24" s="16" t="n">
        <v>1921.25</v>
      </c>
      <c r="DF24" s="16" t="n">
        <v>430.945952643264</v>
      </c>
      <c r="DG24" s="16" t="n">
        <v>13.09706125</v>
      </c>
      <c r="DH24" s="16" t="n">
        <v>0</v>
      </c>
      <c r="DI24" s="16" t="n">
        <v>16.3708638618546</v>
      </c>
    </row>
    <row r="25" customFormat="false" ht="15" hidden="false" customHeight="false" outlineLevel="0" collapsed="false">
      <c r="A25" s="0" t="s">
        <v>3248</v>
      </c>
      <c r="B25" s="16" t="n">
        <v>2465.07954157611</v>
      </c>
      <c r="C25" s="16" t="n">
        <v>7402.634952531</v>
      </c>
      <c r="D25" s="16" t="n">
        <v>11997.5962751479</v>
      </c>
      <c r="E25" s="16" t="n">
        <v>3760.47963474713</v>
      </c>
      <c r="F25" s="16" t="n">
        <v>-1249.86962912593</v>
      </c>
      <c r="G25" s="16" t="n">
        <v>4714.24386577183</v>
      </c>
      <c r="H25" s="16" t="n">
        <v>9133.78332032836</v>
      </c>
      <c r="I25" s="17" t="n">
        <v>21.7478123110142</v>
      </c>
      <c r="J25" s="17" t="n">
        <v>21.8771034107827</v>
      </c>
      <c r="K25" s="16" t="s">
        <v>116</v>
      </c>
      <c r="L25" s="16" t="n">
        <v>2716.95776487528</v>
      </c>
      <c r="M25" s="16" t="n">
        <v>15026.0992716205</v>
      </c>
      <c r="N25" s="16" t="n">
        <v>6925.96401124019</v>
      </c>
      <c r="O25" s="16" t="n">
        <v>7948.60050073678</v>
      </c>
      <c r="P25" s="16" t="n">
        <v>951.290832135856</v>
      </c>
      <c r="Q25" s="16" t="n">
        <v>-40.0576998852182</v>
      </c>
      <c r="R25" s="16" t="n">
        <v>13680.4502396767</v>
      </c>
      <c r="S25" s="16" t="n">
        <v>382.351925502958</v>
      </c>
      <c r="T25" s="16" t="n">
        <v>-955.692204749296</v>
      </c>
      <c r="U25" s="16" t="n">
        <v>6848.93512026017</v>
      </c>
      <c r="V25" s="16" t="n">
        <v>0.750319556751226</v>
      </c>
      <c r="W25" s="16" t="n">
        <v>13401.9383964915</v>
      </c>
      <c r="X25" s="16" t="n">
        <v>6686.49867004829</v>
      </c>
      <c r="Y25" s="16" t="n">
        <v>20.5802477183093</v>
      </c>
      <c r="Z25" s="16" t="n">
        <v>27.9348733452284</v>
      </c>
      <c r="AA25" s="16" t="n">
        <v>27.424347870838</v>
      </c>
      <c r="AB25" s="16" t="n">
        <v>25.224347870838</v>
      </c>
      <c r="AC25" s="16" t="n">
        <v>26.674347870838</v>
      </c>
      <c r="AD25" s="16" t="n">
        <v>27.2673434792775</v>
      </c>
      <c r="AE25" s="16" t="n">
        <v>674.686407680941</v>
      </c>
      <c r="AF25" s="16" t="n">
        <v>0.03</v>
      </c>
      <c r="AG25" s="16" t="n">
        <v>0.642989891724449</v>
      </c>
      <c r="AH25" s="16" t="n">
        <v>8369.93912401028</v>
      </c>
      <c r="AI25" s="16" t="n">
        <v>11997.5962751479</v>
      </c>
      <c r="AJ25" s="16" t="n">
        <v>16.69175</v>
      </c>
      <c r="AK25" s="16" t="n">
        <v>0</v>
      </c>
      <c r="AL25" s="16" t="n">
        <v>1000</v>
      </c>
      <c r="AM25" s="16" t="n">
        <v>691.7195</v>
      </c>
      <c r="AN25" s="16" t="n">
        <v>0</v>
      </c>
      <c r="AO25" s="16" t="n">
        <v>-355.263647296984</v>
      </c>
      <c r="AP25" s="16" t="n">
        <v>0.519389274760206</v>
      </c>
      <c r="AQ25" s="16" t="n">
        <v>38.8494156188488</v>
      </c>
      <c r="AR25" s="16" t="n">
        <v>357.18968733316</v>
      </c>
      <c r="AS25" s="16" t="n">
        <v>314.925245</v>
      </c>
      <c r="AT25" s="16" t="n">
        <v>1000</v>
      </c>
      <c r="AU25" s="16" t="n">
        <v>0</v>
      </c>
      <c r="AV25" s="16" t="n">
        <v>0</v>
      </c>
      <c r="AW25" s="16" t="n">
        <v>2254.3125</v>
      </c>
      <c r="AX25" s="16" t="n">
        <v>314.925245</v>
      </c>
      <c r="AY25" s="16" t="n">
        <v>314.925245</v>
      </c>
      <c r="AZ25" s="16" t="n">
        <v>5466.85175977273</v>
      </c>
      <c r="BA25" s="16" t="n">
        <v>1666.21364488153</v>
      </c>
      <c r="BB25" s="16" t="n">
        <v>147.041166666667</v>
      </c>
      <c r="BC25" s="16" t="n">
        <v>25329.9131442445</v>
      </c>
      <c r="BD25" s="16" t="n">
        <v>8.09141566184869</v>
      </c>
      <c r="BE25" s="16" t="n">
        <v>16.7487082837851</v>
      </c>
      <c r="BF25" s="16" t="n">
        <v>30.9765634925875</v>
      </c>
      <c r="BG25" s="16" t="n">
        <v>-8.27711430924607</v>
      </c>
      <c r="BH25" s="16" t="n">
        <v>-7.28866183200638</v>
      </c>
      <c r="BI25" s="16" t="n">
        <v>1.09242813813745</v>
      </c>
      <c r="BJ25" s="16" t="n">
        <v>2.04083187529388</v>
      </c>
      <c r="BK25" s="16" t="n">
        <v>5.25403316350504</v>
      </c>
      <c r="BL25" s="16" t="n">
        <v>7.88491984612206</v>
      </c>
      <c r="BM25" s="16" t="n">
        <v>3.71992671744367</v>
      </c>
      <c r="BN25" s="16" t="n">
        <v>4.46573109600205</v>
      </c>
      <c r="BO25" s="16" t="n">
        <v>5.7791095890411</v>
      </c>
      <c r="BP25" s="16" t="n">
        <v>8712.70308277889</v>
      </c>
      <c r="BQ25" s="16" t="n">
        <v>7370.26821550076</v>
      </c>
      <c r="BR25" s="16" t="n">
        <v>7370.26821550076</v>
      </c>
      <c r="BS25" s="16" t="n">
        <v>357.18968733316</v>
      </c>
      <c r="BT25" s="16" t="n">
        <v>301.7195</v>
      </c>
      <c r="BU25" s="16" t="n">
        <v>1081.9108</v>
      </c>
      <c r="BV25" s="16" t="s">
        <v>3238</v>
      </c>
      <c r="BW25" s="16" t="n">
        <v>42.7692307692308</v>
      </c>
      <c r="BX25" s="16" t="n">
        <v>0.155994305554286</v>
      </c>
      <c r="BY25" s="16" t="n">
        <v>0.161741466184191</v>
      </c>
      <c r="BZ25" s="16" t="n">
        <v>13510.8578038903</v>
      </c>
      <c r="CA25" s="16" t="n">
        <v>9557.85015295579</v>
      </c>
      <c r="CB25" s="16" t="n">
        <v>59.2368160973626</v>
      </c>
      <c r="CC25" s="16" t="n">
        <v>0</v>
      </c>
      <c r="CD25" s="16" t="n">
        <v>0</v>
      </c>
      <c r="CE25" s="16" t="n">
        <v>0</v>
      </c>
      <c r="CF25" s="16" t="n">
        <v>7.71645265111808</v>
      </c>
      <c r="CG25" s="16" t="n">
        <v>8.71959149576343</v>
      </c>
      <c r="CH25" s="16" t="n">
        <v>2643.77364301215</v>
      </c>
      <c r="CI25" s="16" t="n">
        <v>-6.2083733271085</v>
      </c>
      <c r="CJ25" s="16" t="n">
        <v>3.00594144553374</v>
      </c>
      <c r="CK25" s="16" t="n">
        <v>6869.66784677795</v>
      </c>
      <c r="CL25" s="16" t="n">
        <v>29.1673810831597</v>
      </c>
      <c r="CM25" s="16" t="n">
        <v>42.2644423331597</v>
      </c>
      <c r="CN25" s="16" t="n">
        <v>1000</v>
      </c>
      <c r="CO25" s="16" t="n">
        <v>1.5535546875</v>
      </c>
      <c r="CP25" s="16" t="n">
        <v>1.09004417261298</v>
      </c>
      <c r="CQ25" s="16" t="n">
        <v>21.8771034107827</v>
      </c>
      <c r="CR25" s="16" t="n">
        <v>43.8998396492992</v>
      </c>
      <c r="CS25" s="16" t="n">
        <v>38.7885928153345</v>
      </c>
      <c r="CT25" s="16" t="n">
        <v>19.3602685051174</v>
      </c>
      <c r="CU25" s="16" t="n">
        <v>21.8771034107827</v>
      </c>
      <c r="CV25" s="16" t="n">
        <v>401.831891622596</v>
      </c>
      <c r="CW25" s="16" t="n">
        <v>0</v>
      </c>
      <c r="CX25" s="16" t="n">
        <v>401.831891622596</v>
      </c>
      <c r="CY25" s="16" t="n">
        <v>401.831891622596</v>
      </c>
      <c r="CZ25" s="16" t="n">
        <v>89.3320084910303</v>
      </c>
      <c r="DA25" s="16" t="n">
        <v>7.71645265111808</v>
      </c>
      <c r="DB25" s="16" t="n">
        <v>16611.1850931061</v>
      </c>
      <c r="DC25" s="16" t="n">
        <v>12325.4993390847</v>
      </c>
      <c r="DD25" s="16" t="n">
        <v>11144.3333333333</v>
      </c>
      <c r="DE25" s="16" t="n">
        <v>1921.25</v>
      </c>
      <c r="DF25" s="16" t="n">
        <v>716.757136622596</v>
      </c>
      <c r="DG25" s="16" t="n">
        <v>42.2644423331597</v>
      </c>
      <c r="DH25" s="16" t="n">
        <v>0</v>
      </c>
      <c r="DI25" s="16" t="n">
        <v>38.7885928153345</v>
      </c>
    </row>
    <row r="26" customFormat="false" ht="15" hidden="false" customHeight="false" outlineLevel="0" collapsed="false">
      <c r="A26" s="0" t="s">
        <v>3249</v>
      </c>
      <c r="B26" s="16" t="n">
        <v>2465.07954157611</v>
      </c>
      <c r="C26" s="16" t="n">
        <v>7652.39878656063</v>
      </c>
      <c r="D26" s="16" t="n">
        <v>12681.1326988921</v>
      </c>
      <c r="E26" s="16" t="n">
        <v>3890.65138926519</v>
      </c>
      <c r="F26" s="16" t="n">
        <v>-1337.64725903404</v>
      </c>
      <c r="G26" s="16" t="n">
        <v>4922.2026968368</v>
      </c>
      <c r="H26" s="16" t="n">
        <v>8965.39678778688</v>
      </c>
      <c r="I26" s="17" t="n">
        <v>22.9637806426873</v>
      </c>
      <c r="J26" s="17" t="n">
        <v>24.1199227294002</v>
      </c>
      <c r="K26" s="16" t="s">
        <v>116</v>
      </c>
      <c r="L26" s="16" t="n">
        <v>2842.33322724607</v>
      </c>
      <c r="M26" s="16" t="n">
        <v>17065.4572537164</v>
      </c>
      <c r="N26" s="16" t="n">
        <v>7327.08747727786</v>
      </c>
      <c r="O26" s="16" t="n">
        <v>8468.66843125325</v>
      </c>
      <c r="P26" s="16" t="n">
        <v>951.290832135856</v>
      </c>
      <c r="Q26" s="16" t="n">
        <v>-81.0918554152831</v>
      </c>
      <c r="R26" s="16" t="n">
        <v>13750.0875342614</v>
      </c>
      <c r="S26" s="16" t="n">
        <v>396.022653977841</v>
      </c>
      <c r="T26" s="16" t="n">
        <v>-955.692204749296</v>
      </c>
      <c r="U26" s="16" t="n">
        <v>7231.87424502455</v>
      </c>
      <c r="V26" s="16" t="n">
        <v>0.750319556751226</v>
      </c>
      <c r="W26" s="16" t="n">
        <v>14197.7173613191</v>
      </c>
      <c r="X26" s="16" t="n">
        <v>7120.42425931236</v>
      </c>
      <c r="Y26" s="16" t="n">
        <v>22.6901146553466</v>
      </c>
      <c r="Z26" s="16" t="n">
        <v>30.7987293331711</v>
      </c>
      <c r="AA26" s="16" t="n">
        <v>27.424347870838</v>
      </c>
      <c r="AB26" s="16" t="n">
        <v>25.224347870838</v>
      </c>
      <c r="AC26" s="16" t="n">
        <v>26.674347870838</v>
      </c>
      <c r="AD26" s="16" t="n">
        <v>27.2673434792775</v>
      </c>
      <c r="AE26" s="16" t="n">
        <v>674.686407680941</v>
      </c>
      <c r="AF26" s="16" t="n">
        <v>0.03</v>
      </c>
      <c r="AG26" s="16" t="n">
        <v>0.643568750159435</v>
      </c>
      <c r="AH26" s="16" t="n">
        <v>8300.30182942561</v>
      </c>
      <c r="AI26" s="16" t="n">
        <v>12681.1326988921</v>
      </c>
      <c r="AJ26" s="16" t="n">
        <v>16.69175</v>
      </c>
      <c r="AK26" s="16" t="n">
        <v>0</v>
      </c>
      <c r="AL26" s="16" t="n">
        <v>1000</v>
      </c>
      <c r="AM26" s="16" t="n">
        <v>731.7195</v>
      </c>
      <c r="AN26" s="16" t="n">
        <v>0</v>
      </c>
      <c r="AO26" s="16" t="n">
        <v>-355.263647296984</v>
      </c>
      <c r="AP26" s="16" t="n">
        <v>0.124998636467128</v>
      </c>
      <c r="AQ26" s="16" t="n">
        <v>44.6954933962312</v>
      </c>
      <c r="AR26" s="16" t="n">
        <v>366.125482137411</v>
      </c>
      <c r="AS26" s="16" t="n">
        <v>314.925245</v>
      </c>
      <c r="AT26" s="16" t="n">
        <v>1000</v>
      </c>
      <c r="AU26" s="16" t="n">
        <v>0</v>
      </c>
      <c r="AV26" s="16" t="n">
        <v>0</v>
      </c>
      <c r="AW26" s="16" t="n">
        <v>2254.3125</v>
      </c>
      <c r="AX26" s="16" t="n">
        <v>314.925245</v>
      </c>
      <c r="AY26" s="16" t="n">
        <v>314.925245</v>
      </c>
      <c r="AZ26" s="16" t="n">
        <v>5479.2675812314</v>
      </c>
      <c r="BA26" s="16" t="n">
        <v>1114.88798757565</v>
      </c>
      <c r="BB26" s="16" t="n">
        <v>147.041166666667</v>
      </c>
      <c r="BC26" s="16" t="n">
        <v>27479.7796173942</v>
      </c>
      <c r="BD26" s="16" t="n">
        <v>9.88149596730195</v>
      </c>
      <c r="BE26" s="16" t="n">
        <v>18.5387885892383</v>
      </c>
      <c r="BF26" s="16" t="n">
        <v>32.7666437980408</v>
      </c>
      <c r="BG26" s="16" t="n">
        <v>-8.27711430924607</v>
      </c>
      <c r="BH26" s="16" t="n">
        <v>-7.28866183200638</v>
      </c>
      <c r="BI26" s="16" t="n">
        <v>1.09242813813745</v>
      </c>
      <c r="BJ26" s="16" t="n">
        <v>2.04083187529388</v>
      </c>
      <c r="BK26" s="16" t="n">
        <v>5.25403316350504</v>
      </c>
      <c r="BL26" s="16" t="n">
        <v>7.88491984612206</v>
      </c>
      <c r="BM26" s="16" t="n">
        <v>3.71992671744367</v>
      </c>
      <c r="BN26" s="16" t="n">
        <v>4.46573109600205</v>
      </c>
      <c r="BO26" s="16" t="n">
        <v>5.7791095890411</v>
      </c>
      <c r="BP26" s="16" t="n">
        <v>8712.70308277889</v>
      </c>
      <c r="BQ26" s="16" t="n">
        <v>7620.0320495304</v>
      </c>
      <c r="BR26" s="16" t="n">
        <v>7620.0320495304</v>
      </c>
      <c r="BS26" s="16" t="n">
        <v>366.125482137411</v>
      </c>
      <c r="BT26" s="16" t="n">
        <v>301.7195</v>
      </c>
      <c r="BU26" s="16" t="n">
        <v>1081.9108</v>
      </c>
      <c r="BV26" s="16" t="s">
        <v>3238</v>
      </c>
      <c r="BW26" s="16" t="n">
        <v>42.7692307692308</v>
      </c>
      <c r="BX26" s="16" t="n">
        <v>0.155994305554286</v>
      </c>
      <c r="BY26" s="16" t="n">
        <v>0.161741466184191</v>
      </c>
      <c r="BZ26" s="16" t="n">
        <v>13510.8578038903</v>
      </c>
      <c r="CA26" s="16" t="n">
        <v>9557.85015295579</v>
      </c>
      <c r="CB26" s="16" t="n">
        <v>72.6796024060079</v>
      </c>
      <c r="CC26" s="16" t="n">
        <v>0</v>
      </c>
      <c r="CD26" s="16" t="n">
        <v>0</v>
      </c>
      <c r="CE26" s="16" t="n">
        <v>0</v>
      </c>
      <c r="CF26" s="16" t="n">
        <v>10.2753604820819</v>
      </c>
      <c r="CG26" s="16" t="n">
        <v>11.6111573447525</v>
      </c>
      <c r="CH26" s="16" t="n">
        <v>2643.77364301215</v>
      </c>
      <c r="CI26" s="16" t="n">
        <v>-6.2083733271085</v>
      </c>
      <c r="CJ26" s="16" t="n">
        <v>3.00594144553374</v>
      </c>
      <c r="CK26" s="16" t="n">
        <v>8974.27717310556</v>
      </c>
      <c r="CL26" s="16" t="n">
        <v>38.1031758874109</v>
      </c>
      <c r="CM26" s="16" t="n">
        <v>51.2002371374109</v>
      </c>
      <c r="CN26" s="16" t="n">
        <v>1000</v>
      </c>
      <c r="CO26" s="16" t="n">
        <v>1.5535546875</v>
      </c>
      <c r="CP26" s="16" t="n">
        <v>1.09004417261298</v>
      </c>
      <c r="CQ26" s="16" t="n">
        <v>24.1199227294002</v>
      </c>
      <c r="CR26" s="16" t="n">
        <v>50.5059075377412</v>
      </c>
      <c r="CS26" s="16" t="n">
        <v>45.3564989353098</v>
      </c>
      <c r="CT26" s="16" t="n">
        <v>21.3450643623011</v>
      </c>
      <c r="CU26" s="16" t="n">
        <v>24.1199227294002</v>
      </c>
      <c r="CV26" s="16" t="n">
        <v>451.723137563157</v>
      </c>
      <c r="CW26" s="16" t="n">
        <v>0</v>
      </c>
      <c r="CX26" s="16" t="n">
        <v>451.723137563157</v>
      </c>
      <c r="CY26" s="16" t="n">
        <v>451.723137563157</v>
      </c>
      <c r="CZ26" s="16" t="n">
        <v>92.767151505663</v>
      </c>
      <c r="DA26" s="16" t="n">
        <v>10.2753604820819</v>
      </c>
      <c r="DB26" s="16" t="n">
        <v>16623.6009145647</v>
      </c>
      <c r="DC26" s="16" t="n">
        <v>12334.711878607</v>
      </c>
      <c r="DD26" s="16" t="n">
        <v>11144.3333333333</v>
      </c>
      <c r="DE26" s="16" t="n">
        <v>1921.25</v>
      </c>
      <c r="DF26" s="16" t="n">
        <v>766.648382563157</v>
      </c>
      <c r="DG26" s="16" t="n">
        <v>51.2002371374109</v>
      </c>
      <c r="DH26" s="16" t="n">
        <v>0</v>
      </c>
      <c r="DI26" s="16" t="n">
        <v>45.3564989353098</v>
      </c>
    </row>
    <row r="27" customFormat="false" ht="15" hidden="false" customHeight="false" outlineLevel="0" collapsed="false">
      <c r="A27" s="0" t="s">
        <v>3250</v>
      </c>
      <c r="B27" s="16" t="n">
        <v>2465.07954157611</v>
      </c>
      <c r="C27" s="16" t="n">
        <v>9092.95390788506</v>
      </c>
      <c r="D27" s="16" t="n">
        <v>20037.6299911644</v>
      </c>
      <c r="E27" s="16" t="n">
        <v>4840.58058083451</v>
      </c>
      <c r="F27" s="16" t="n">
        <v>-543.702162988141</v>
      </c>
      <c r="G27" s="16" t="n">
        <v>5020.56458750724</v>
      </c>
      <c r="H27" s="16" t="n">
        <v>-77.817989892942</v>
      </c>
      <c r="I27" s="17" t="n">
        <v>0.634753196266012</v>
      </c>
      <c r="J27" s="17" t="n">
        <v>6.55362241221962</v>
      </c>
      <c r="K27" s="16" t="s">
        <v>116</v>
      </c>
      <c r="L27" s="16" t="n">
        <v>1000</v>
      </c>
      <c r="M27" s="16" t="n">
        <v>33797.1211956577</v>
      </c>
      <c r="N27" s="16" t="n">
        <v>11646.5373363063</v>
      </c>
      <c r="O27" s="16" t="n">
        <v>1000</v>
      </c>
      <c r="P27" s="16" t="n">
        <v>951.290832135856</v>
      </c>
      <c r="Q27" s="16" t="n">
        <v>-40.9813714593229</v>
      </c>
      <c r="R27" s="16" t="n">
        <v>17617.7170533315</v>
      </c>
      <c r="S27" s="16" t="n">
        <v>26955.4595498233</v>
      </c>
      <c r="T27" s="16" t="n">
        <v>-955.692204749296</v>
      </c>
      <c r="U27" s="16" t="n">
        <v>199.899805848607</v>
      </c>
      <c r="V27" s="16" t="n">
        <v>0.750319556751226</v>
      </c>
      <c r="W27" s="16" t="n">
        <v>46219.700650953</v>
      </c>
      <c r="X27" s="16" t="n">
        <v>22154.8319060015</v>
      </c>
      <c r="Y27" s="16" t="n">
        <v>6.16512936668145</v>
      </c>
      <c r="Z27" s="16" t="n">
        <v>8.36832045816323</v>
      </c>
      <c r="AA27" s="16" t="n">
        <v>27.424347870838</v>
      </c>
      <c r="AB27" s="16" t="n">
        <v>25.224347870838</v>
      </c>
      <c r="AC27" s="16" t="n">
        <v>26.674347870838</v>
      </c>
      <c r="AD27" s="16" t="n">
        <v>27.2673434792775</v>
      </c>
      <c r="AE27" s="16" t="n">
        <v>674.686407680941</v>
      </c>
      <c r="AF27" s="16" t="n">
        <v>0.03</v>
      </c>
      <c r="AG27" s="16" t="n">
        <v>0.654612478455944</v>
      </c>
      <c r="AH27" s="16" t="n">
        <v>9819.91719809611</v>
      </c>
      <c r="AI27" s="16" t="n">
        <v>20037.6299911644</v>
      </c>
      <c r="AJ27" s="16" t="n">
        <v>16.69175</v>
      </c>
      <c r="AK27" s="16" t="n">
        <v>0</v>
      </c>
      <c r="AL27" s="16" t="n">
        <v>1000</v>
      </c>
      <c r="AM27" s="16" t="n">
        <v>812.6073</v>
      </c>
      <c r="AN27" s="16" t="n">
        <v>20079.98904</v>
      </c>
      <c r="AO27" s="16" t="n">
        <v>-5508.72242389994</v>
      </c>
      <c r="AP27" s="16" t="n">
        <v>0.124528911644855</v>
      </c>
      <c r="AQ27" s="16" t="n">
        <v>79.1143346233623</v>
      </c>
      <c r="AR27" s="16" t="n">
        <v>502.74436880296</v>
      </c>
      <c r="AS27" s="16" t="n">
        <v>314.925245</v>
      </c>
      <c r="AT27" s="16" t="n">
        <v>1000</v>
      </c>
      <c r="AU27" s="16" t="n">
        <v>12.270507</v>
      </c>
      <c r="AV27" s="16" t="n">
        <v>0</v>
      </c>
      <c r="AW27" s="16" t="n">
        <v>2254.3125</v>
      </c>
      <c r="AX27" s="16" t="n">
        <v>314.925245</v>
      </c>
      <c r="AY27" s="16" t="n">
        <v>314.925245</v>
      </c>
      <c r="AZ27" s="16" t="n">
        <v>5731.68272519058</v>
      </c>
      <c r="BA27" s="16" t="n">
        <v>0</v>
      </c>
      <c r="BB27" s="16" t="n">
        <v>267.928966666667</v>
      </c>
      <c r="BC27" s="16" t="n">
        <v>111468.177842089</v>
      </c>
      <c r="BD27" s="16" t="n">
        <v>17.0694096655609</v>
      </c>
      <c r="BE27" s="16" t="n">
        <v>25.7267022874972</v>
      </c>
      <c r="BF27" s="16" t="n">
        <v>39.9545574962997</v>
      </c>
      <c r="BG27" s="16" t="n">
        <v>-8.27711430924607</v>
      </c>
      <c r="BH27" s="16" t="n">
        <v>-7.28866183200638</v>
      </c>
      <c r="BI27" s="16" t="n">
        <v>1.09242813813745</v>
      </c>
      <c r="BJ27" s="16" t="n">
        <v>2.04083187529388</v>
      </c>
      <c r="BK27" s="16" t="n">
        <v>5.25403316350504</v>
      </c>
      <c r="BL27" s="16" t="n">
        <v>7.88491984612206</v>
      </c>
      <c r="BM27" s="16" t="n">
        <v>3.71992671744367</v>
      </c>
      <c r="BN27" s="16" t="n">
        <v>4.46573109600205</v>
      </c>
      <c r="BO27" s="16" t="n">
        <v>5.7791095890411</v>
      </c>
      <c r="BP27" s="16" t="n">
        <v>8712.70308277889</v>
      </c>
      <c r="BQ27" s="16" t="n">
        <v>9060.58717085483</v>
      </c>
      <c r="BR27" s="16" t="n">
        <v>9060.58717085483</v>
      </c>
      <c r="BS27" s="16" t="n">
        <v>502.74436880296</v>
      </c>
      <c r="BT27" s="16" t="n">
        <v>301.7195</v>
      </c>
      <c r="BU27" s="16" t="n">
        <v>1081.9108</v>
      </c>
      <c r="BV27" s="16" t="s">
        <v>3237</v>
      </c>
      <c r="BW27" s="16" t="n">
        <v>42.7692307692308</v>
      </c>
      <c r="BX27" s="16" t="n">
        <v>0.155994305554286</v>
      </c>
      <c r="BY27" s="16" t="n">
        <v>0.161741466184191</v>
      </c>
      <c r="BZ27" s="16" t="n">
        <v>13510.8578038903</v>
      </c>
      <c r="CA27" s="16" t="n">
        <v>19402.010477409</v>
      </c>
      <c r="CB27" s="16" t="n">
        <v>272.795268020278</v>
      </c>
      <c r="CC27" s="16" t="n">
        <v>0</v>
      </c>
      <c r="CD27" s="16" t="n">
        <v>950.69728</v>
      </c>
      <c r="CE27" s="16" t="n">
        <v>12000</v>
      </c>
      <c r="CF27" s="16" t="n">
        <v>24.2469031159828</v>
      </c>
      <c r="CG27" s="16" t="n">
        <v>27.3990005210606</v>
      </c>
      <c r="CH27" s="16" t="n">
        <v>2643.77364301215</v>
      </c>
      <c r="CI27" s="16" t="n">
        <v>-6.2083733271085</v>
      </c>
      <c r="CJ27" s="16" t="n">
        <v>3.00594144553374</v>
      </c>
      <c r="CK27" s="16" t="n">
        <v>37860.9633734451</v>
      </c>
      <c r="CL27" s="16" t="n">
        <v>160.75087930296</v>
      </c>
      <c r="CM27" s="16" t="n">
        <v>186.11844755296</v>
      </c>
      <c r="CN27" s="16" t="n">
        <v>1000</v>
      </c>
      <c r="CO27" s="16" t="n">
        <v>1.5535546875</v>
      </c>
      <c r="CP27" s="16" t="n">
        <v>1.09004417261298</v>
      </c>
      <c r="CQ27" s="16" t="n">
        <v>6.55362241221962</v>
      </c>
      <c r="CR27" s="16" t="n">
        <v>89.3991981243993</v>
      </c>
      <c r="CS27" s="16" t="n">
        <v>30.8278658801961</v>
      </c>
      <c r="CT27" s="16" t="n">
        <v>5.79966585152179</v>
      </c>
      <c r="CU27" s="16" t="n">
        <v>6.55362241221962</v>
      </c>
      <c r="CV27" s="16" t="n">
        <v>6524.88234573654</v>
      </c>
      <c r="CW27" s="16" t="n">
        <v>1375.84196972664</v>
      </c>
      <c r="CX27" s="16" t="n">
        <v>7900.72431546318</v>
      </c>
      <c r="CY27" s="16" t="n">
        <v>6524.88234573654</v>
      </c>
      <c r="CZ27" s="16" t="n">
        <v>1139.13312206708</v>
      </c>
      <c r="DA27" s="16" t="n">
        <v>24.2469031159828</v>
      </c>
      <c r="DB27" s="16" t="n">
        <v>16876.0160585239</v>
      </c>
      <c r="DC27" s="16" t="n">
        <v>12522.0039154247</v>
      </c>
      <c r="DD27" s="16" t="n">
        <v>11144.3333333333</v>
      </c>
      <c r="DE27" s="16" t="n">
        <v>1921.25</v>
      </c>
      <c r="DF27" s="16" t="n">
        <v>6839.80759073654</v>
      </c>
      <c r="DG27" s="16" t="n">
        <v>186.11844755296</v>
      </c>
      <c r="DH27" s="16" t="n">
        <v>0</v>
      </c>
      <c r="DI27" s="16" t="n">
        <v>30.8278938053835</v>
      </c>
    </row>
    <row r="28" customFormat="false" ht="15" hidden="false" customHeight="false" outlineLevel="0" collapsed="false">
      <c r="A28" s="0" t="s">
        <v>3251</v>
      </c>
      <c r="B28" s="16" t="n">
        <v>2465.07954157611</v>
      </c>
      <c r="C28" s="16" t="n">
        <v>9332.95390788506</v>
      </c>
      <c r="D28" s="16" t="n">
        <v>20110.6299911644</v>
      </c>
      <c r="E28" s="16" t="n">
        <v>5010.9805808345</v>
      </c>
      <c r="F28" s="16" t="n">
        <v>-382.982162988141</v>
      </c>
      <c r="G28" s="16" t="n">
        <v>5020.64458750724</v>
      </c>
      <c r="H28" s="16" t="n">
        <v>54.3412056748302</v>
      </c>
      <c r="I28" s="17" t="n">
        <v>1.05440578895598</v>
      </c>
      <c r="J28" s="17" t="n">
        <v>6.93907862101477</v>
      </c>
      <c r="K28" s="16" t="s">
        <v>116</v>
      </c>
      <c r="L28" s="16" t="n">
        <v>1000</v>
      </c>
      <c r="M28" s="16" t="n">
        <v>33801.9211956577</v>
      </c>
      <c r="N28" s="16" t="n">
        <v>11702.0173363063</v>
      </c>
      <c r="O28" s="16" t="n">
        <v>1000</v>
      </c>
      <c r="P28" s="16" t="n">
        <v>951.290832135856</v>
      </c>
      <c r="Q28" s="16" t="n">
        <v>10.3876285406782</v>
      </c>
      <c r="R28" s="16" t="n">
        <v>17617.7170533315</v>
      </c>
      <c r="S28" s="16" t="n">
        <v>26956.9195498233</v>
      </c>
      <c r="T28" s="16" t="n">
        <v>-955.692204749296</v>
      </c>
      <c r="U28" s="16" t="n">
        <v>332.059001416379</v>
      </c>
      <c r="V28" s="16" t="n">
        <v>0.750319556751226</v>
      </c>
      <c r="W28" s="16" t="n">
        <v>46212.6415736237</v>
      </c>
      <c r="X28" s="16" t="n">
        <v>22156.0637860015</v>
      </c>
      <c r="Y28" s="16" t="n">
        <v>6.52773606614307</v>
      </c>
      <c r="Z28" s="16" t="n">
        <v>8.86050949117376</v>
      </c>
      <c r="AA28" s="16" t="n">
        <v>27.424347870838</v>
      </c>
      <c r="AB28" s="16" t="n">
        <v>25.224347870838</v>
      </c>
      <c r="AC28" s="16" t="n">
        <v>26.674347870838</v>
      </c>
      <c r="AD28" s="16" t="n">
        <v>27.2673434792775</v>
      </c>
      <c r="AE28" s="16" t="n">
        <v>674.686407680941</v>
      </c>
      <c r="AF28" s="16" t="n">
        <v>0.03</v>
      </c>
      <c r="AG28" s="16" t="n">
        <v>0.654582188079906</v>
      </c>
      <c r="AH28" s="16" t="n">
        <v>9819.91719809611</v>
      </c>
      <c r="AI28" s="16" t="n">
        <v>20110.6299911644</v>
      </c>
      <c r="AJ28" s="16" t="n">
        <v>16.69175</v>
      </c>
      <c r="AK28" s="16" t="n">
        <v>0</v>
      </c>
      <c r="AL28" s="16" t="n">
        <v>1000</v>
      </c>
      <c r="AM28" s="16" t="n">
        <v>812.6073</v>
      </c>
      <c r="AN28" s="16" t="n">
        <v>20079.98904</v>
      </c>
      <c r="AO28" s="16" t="n">
        <v>-5508.72242389994</v>
      </c>
      <c r="AP28" s="16" t="n">
        <v>0.0312737074860035</v>
      </c>
      <c r="AQ28" s="16" t="n">
        <v>79.093169827643</v>
      </c>
      <c r="AR28" s="16" t="n">
        <v>501.831517254275</v>
      </c>
      <c r="AS28" s="16" t="n">
        <v>314.925245</v>
      </c>
      <c r="AT28" s="16" t="n">
        <v>1000</v>
      </c>
      <c r="AU28" s="16" t="n">
        <v>12.270507</v>
      </c>
      <c r="AV28" s="16" t="n">
        <v>0</v>
      </c>
      <c r="AW28" s="16" t="n">
        <v>2254.3125</v>
      </c>
      <c r="AX28" s="16" t="n">
        <v>314.925245</v>
      </c>
      <c r="AY28" s="16" t="n">
        <v>314.925245</v>
      </c>
      <c r="AZ28" s="16" t="n">
        <v>5752.72156999092</v>
      </c>
      <c r="BA28" s="16" t="n">
        <v>0</v>
      </c>
      <c r="BB28" s="16" t="n">
        <v>227.928966666667</v>
      </c>
      <c r="BC28" s="16" t="n">
        <v>111474.117842089</v>
      </c>
      <c r="BD28" s="16" t="n">
        <v>17.1362155032458</v>
      </c>
      <c r="BE28" s="16" t="n">
        <v>25.7935081251821</v>
      </c>
      <c r="BF28" s="16" t="n">
        <v>40.0213633339846</v>
      </c>
      <c r="BG28" s="16" t="n">
        <v>-8.27711430924607</v>
      </c>
      <c r="BH28" s="16" t="n">
        <v>-7.28866183200638</v>
      </c>
      <c r="BI28" s="16" t="n">
        <v>1.09242813813745</v>
      </c>
      <c r="BJ28" s="16" t="n">
        <v>2.04083187529388</v>
      </c>
      <c r="BK28" s="16" t="n">
        <v>5.25403316350504</v>
      </c>
      <c r="BL28" s="16" t="n">
        <v>7.88491984612206</v>
      </c>
      <c r="BM28" s="16" t="n">
        <v>3.71992671744367</v>
      </c>
      <c r="BN28" s="16" t="n">
        <v>4.46573109600205</v>
      </c>
      <c r="BO28" s="16" t="n">
        <v>5.7791095890411</v>
      </c>
      <c r="BP28" s="16" t="n">
        <v>8712.70308277889</v>
      </c>
      <c r="BQ28" s="16" t="n">
        <v>9300.58717085483</v>
      </c>
      <c r="BR28" s="16" t="n">
        <v>9300.58717085483</v>
      </c>
      <c r="BS28" s="16" t="n">
        <v>501.831517254275</v>
      </c>
      <c r="BT28" s="16" t="n">
        <v>301.7195</v>
      </c>
      <c r="BU28" s="16" t="n">
        <v>1081.9108</v>
      </c>
      <c r="BV28" s="16" t="s">
        <v>3237</v>
      </c>
      <c r="BW28" s="16" t="n">
        <v>42.7692307692308</v>
      </c>
      <c r="BX28" s="16" t="n">
        <v>0.155994305554286</v>
      </c>
      <c r="BY28" s="16" t="n">
        <v>0.161741466184191</v>
      </c>
      <c r="BZ28" s="16" t="n">
        <v>13510.8578038903</v>
      </c>
      <c r="CA28" s="16" t="n">
        <v>19402.010477409</v>
      </c>
      <c r="CB28" s="16" t="n">
        <v>271.396555463987</v>
      </c>
      <c r="CC28" s="16" t="n">
        <v>0</v>
      </c>
      <c r="CD28" s="16" t="n">
        <v>950.69728</v>
      </c>
      <c r="CE28" s="16" t="n">
        <v>12000</v>
      </c>
      <c r="CF28" s="16" t="n">
        <v>24.235168050177</v>
      </c>
      <c r="CG28" s="16" t="n">
        <v>27.3857398967</v>
      </c>
      <c r="CH28" s="16" t="n">
        <v>2643.77364301215</v>
      </c>
      <c r="CI28" s="16" t="n">
        <v>-6.2083733271085</v>
      </c>
      <c r="CJ28" s="16" t="n">
        <v>3.00594144553374</v>
      </c>
      <c r="CK28" s="16" t="n">
        <v>37645.9633734451</v>
      </c>
      <c r="CL28" s="16" t="n">
        <v>159.838027754275</v>
      </c>
      <c r="CM28" s="16" t="n">
        <v>185.205596004275</v>
      </c>
      <c r="CN28" s="16" t="n">
        <v>1000</v>
      </c>
      <c r="CO28" s="16" t="n">
        <v>1.5535546875</v>
      </c>
      <c r="CP28" s="16" t="n">
        <v>1.09004417261298</v>
      </c>
      <c r="CQ28" s="16" t="n">
        <v>6.93907862101477</v>
      </c>
      <c r="CR28" s="16" t="n">
        <v>89.3752819052366</v>
      </c>
      <c r="CS28" s="16" t="n">
        <v>30.7395178256802</v>
      </c>
      <c r="CT28" s="16" t="n">
        <v>6.14077754072103</v>
      </c>
      <c r="CU28" s="16" t="n">
        <v>6.93907862101477</v>
      </c>
      <c r="CV28" s="16" t="n">
        <v>6131.45022586487</v>
      </c>
      <c r="CW28" s="16" t="n">
        <v>1299.41585344861</v>
      </c>
      <c r="CX28" s="16" t="n">
        <v>7430.86607931348</v>
      </c>
      <c r="CY28" s="16" t="n">
        <v>6131.45022586487</v>
      </c>
      <c r="CZ28" s="16" t="n">
        <v>1140.26694332843</v>
      </c>
      <c r="DA28" s="16" t="n">
        <v>24.235168050177</v>
      </c>
      <c r="DB28" s="16" t="n">
        <v>16897.0549033243</v>
      </c>
      <c r="DC28" s="16" t="n">
        <v>12537.6147382666</v>
      </c>
      <c r="DD28" s="16" t="n">
        <v>11144.3333333333</v>
      </c>
      <c r="DE28" s="16" t="n">
        <v>1921.25</v>
      </c>
      <c r="DF28" s="16" t="n">
        <v>6446.37547086487</v>
      </c>
      <c r="DG28" s="16" t="n">
        <v>185.205596004275</v>
      </c>
      <c r="DH28" s="16" t="n">
        <v>0</v>
      </c>
      <c r="DI28" s="16" t="n">
        <v>30.7395475493846</v>
      </c>
    </row>
    <row r="29" customFormat="false" ht="15" hidden="false" customHeight="false" outlineLevel="0" collapsed="false">
      <c r="A29" s="0" t="s">
        <v>3252</v>
      </c>
      <c r="B29" s="16" t="n">
        <v>2161.09062763565</v>
      </c>
      <c r="C29" s="16" t="n">
        <v>5229.31188116758</v>
      </c>
      <c r="D29" s="16" t="n">
        <v>11828.9180811577</v>
      </c>
      <c r="E29" s="16" t="n">
        <v>2490.99995176606</v>
      </c>
      <c r="F29" s="16" t="n">
        <v>-3318.6367083279</v>
      </c>
      <c r="G29" s="16" t="n">
        <v>5600.46418484726</v>
      </c>
      <c r="H29" s="16" t="n">
        <v>-32765.6454821329</v>
      </c>
      <c r="I29" s="17" t="n">
        <v>0.01</v>
      </c>
      <c r="J29" s="17" t="n">
        <v>0</v>
      </c>
      <c r="K29" s="16" t="s">
        <v>116</v>
      </c>
      <c r="L29" s="16" t="n">
        <v>1000</v>
      </c>
      <c r="M29" s="16" t="n">
        <v>23412.1187948734</v>
      </c>
      <c r="N29" s="16" t="n">
        <v>5923.07625896933</v>
      </c>
      <c r="O29" s="16" t="n">
        <v>1000</v>
      </c>
      <c r="P29" s="16" t="n">
        <v>747.002337313713</v>
      </c>
      <c r="Q29" s="16" t="n">
        <v>-5643.86794380848</v>
      </c>
      <c r="R29" s="16" t="n">
        <v>10749.8273603027</v>
      </c>
      <c r="S29" s="16" t="n">
        <v>27580.6754016232</v>
      </c>
      <c r="T29" s="16" t="n">
        <v>-1436.17830391911</v>
      </c>
      <c r="U29" s="16" t="n">
        <v>-32490.4918928217</v>
      </c>
      <c r="V29" s="16" t="n">
        <v>0.750319556751226</v>
      </c>
      <c r="W29" s="16" t="n">
        <v>17249.6812074713</v>
      </c>
      <c r="X29" s="16" t="n">
        <v>14109.9588640748</v>
      </c>
      <c r="Y29" s="16" t="n">
        <v>0</v>
      </c>
      <c r="Z29" s="16" t="n">
        <v>0</v>
      </c>
      <c r="AA29" s="16" t="n">
        <v>22.27279275</v>
      </c>
      <c r="AB29" s="16" t="n">
        <v>20.07279275</v>
      </c>
      <c r="AC29" s="16" t="n">
        <v>21.52279275</v>
      </c>
      <c r="AD29" s="16" t="n">
        <v>21.8718824805</v>
      </c>
      <c r="AE29" s="16" t="n">
        <v>594.149368983825</v>
      </c>
      <c r="AF29" s="16" t="n">
        <v>0.02</v>
      </c>
      <c r="AG29" s="16" t="n">
        <v>0.575152989426573</v>
      </c>
      <c r="AH29" s="16" t="n">
        <v>15317.8810251285</v>
      </c>
      <c r="AI29" s="16" t="n">
        <v>11828.9180811577</v>
      </c>
      <c r="AJ29" s="16" t="n">
        <v>14.7365561910928</v>
      </c>
      <c r="AK29" s="16" t="n">
        <v>0</v>
      </c>
      <c r="AL29" s="16" t="n">
        <v>1000</v>
      </c>
      <c r="AM29" s="16" t="n">
        <v>470.44678</v>
      </c>
      <c r="AN29" s="16" t="n">
        <v>12000</v>
      </c>
      <c r="AO29" s="16" t="n">
        <v>-2079.00657489433</v>
      </c>
      <c r="AP29" s="16" t="n">
        <v>1</v>
      </c>
      <c r="AQ29" s="16" t="n">
        <v>29.9659522229091</v>
      </c>
      <c r="AR29" s="16" t="n">
        <v>692.366996810783</v>
      </c>
      <c r="AS29" s="16" t="n">
        <v>314.925245</v>
      </c>
      <c r="AT29" s="16" t="n">
        <v>1000</v>
      </c>
      <c r="AU29" s="16" t="n">
        <v>12.270507</v>
      </c>
      <c r="AV29" s="16" t="n">
        <v>0</v>
      </c>
      <c r="AW29" s="16" t="n">
        <v>998.76</v>
      </c>
      <c r="AX29" s="16" t="n">
        <v>314.925245</v>
      </c>
      <c r="AY29" s="16" t="n">
        <v>314.925245</v>
      </c>
      <c r="AZ29" s="16" t="n">
        <v>2006.13735612315</v>
      </c>
      <c r="BA29" s="16" t="n">
        <v>1732.5375</v>
      </c>
      <c r="BB29" s="16" t="n">
        <v>-34.2315533333333</v>
      </c>
      <c r="BC29" s="16" t="n">
        <v>88765.9649028768</v>
      </c>
      <c r="BD29" s="16" t="n">
        <v>9.21815888540261</v>
      </c>
      <c r="BE29" s="16" t="n">
        <v>17.875451507339</v>
      </c>
      <c r="BF29" s="16" t="n">
        <v>30.7501685545749</v>
      </c>
      <c r="BG29" s="16" t="n">
        <v>-13.6535979204585</v>
      </c>
      <c r="BH29" s="16" t="n">
        <v>-20.0976093877166</v>
      </c>
      <c r="BI29" s="16" t="n">
        <v>-3.59741167595651</v>
      </c>
      <c r="BJ29" s="16" t="n">
        <v>-9.93933550584831</v>
      </c>
      <c r="BK29" s="16" t="n">
        <v>-0.548394239950376</v>
      </c>
      <c r="BL29" s="16" t="n">
        <v>-6.73470781259538</v>
      </c>
      <c r="BM29" s="16" t="n">
        <v>3.37118358768332</v>
      </c>
      <c r="BN29" s="16" t="n">
        <v>4.04706880575186</v>
      </c>
      <c r="BO29" s="16" t="n">
        <v>5.1726598173516</v>
      </c>
      <c r="BP29" s="16" t="n">
        <v>5354.49215439957</v>
      </c>
      <c r="BQ29" s="16" t="n">
        <v>5199.71188116758</v>
      </c>
      <c r="BR29" s="16" t="n">
        <v>5199.71188116758</v>
      </c>
      <c r="BS29" s="16" t="n">
        <v>692.366996810783</v>
      </c>
      <c r="BT29" s="16" t="n">
        <v>189.4897</v>
      </c>
      <c r="BU29" s="16" t="n">
        <v>794.6073</v>
      </c>
      <c r="BV29" s="16" t="s">
        <v>3237</v>
      </c>
      <c r="BW29" s="16" t="n">
        <v>42.7692307692308</v>
      </c>
      <c r="BX29" s="16" t="n">
        <v>0.124596585374074</v>
      </c>
      <c r="BY29" s="16" t="n">
        <v>0.0866148510447071</v>
      </c>
      <c r="BZ29" s="16" t="n">
        <v>13510.8578038903</v>
      </c>
      <c r="CA29" s="16" t="n">
        <v>9557.85015295579</v>
      </c>
      <c r="CB29" s="16" t="n">
        <v>537.711985804799</v>
      </c>
      <c r="CC29" s="16" t="n">
        <v>1732.5375</v>
      </c>
      <c r="CD29" s="16" t="n">
        <v>1028.66496</v>
      </c>
      <c r="CE29" s="16" t="n">
        <v>12000</v>
      </c>
      <c r="CF29" s="16" t="n">
        <v>24.4252070848553</v>
      </c>
      <c r="CG29" s="16" t="n">
        <v>28.0889881475836</v>
      </c>
      <c r="CH29" s="16" t="n">
        <v>1983.66628420139</v>
      </c>
      <c r="CI29" s="16" t="n">
        <v>-14.9451536418179</v>
      </c>
      <c r="CJ29" s="16" t="n">
        <v>-5.32272994264565</v>
      </c>
      <c r="CK29" s="16" t="n">
        <v>51292.2795062362</v>
      </c>
      <c r="CL29" s="16" t="n">
        <v>352.074183560783</v>
      </c>
      <c r="CM29" s="16" t="n">
        <v>377.441751810783</v>
      </c>
      <c r="CN29" s="16" t="n">
        <v>1000</v>
      </c>
      <c r="CO29" s="16" t="n">
        <v>1.534375</v>
      </c>
      <c r="CP29" s="16" t="n">
        <v>1.31022765885151</v>
      </c>
      <c r="CQ29" s="16" t="n">
        <v>0</v>
      </c>
      <c r="CR29" s="16" t="n">
        <v>34.4608450563454</v>
      </c>
      <c r="CS29" s="16" t="n">
        <v>0</v>
      </c>
      <c r="CT29" s="16" t="n">
        <v>0</v>
      </c>
      <c r="CU29" s="16" t="n">
        <v>0.0115</v>
      </c>
      <c r="CV29" s="16" t="n">
        <v>4782710.48600332</v>
      </c>
      <c r="CW29" s="16" t="n">
        <v>0</v>
      </c>
      <c r="CX29" s="16" t="n">
        <v>4782710.48600332</v>
      </c>
      <c r="CY29" s="16" t="n">
        <v>4782710.48600332</v>
      </c>
      <c r="CZ29" s="16" t="n">
        <v>6238773.91972898</v>
      </c>
      <c r="DA29" s="16" t="n">
        <v>24.4252070848553</v>
      </c>
      <c r="DB29" s="16" t="n">
        <v>14014.4706894565</v>
      </c>
      <c r="DC29" s="16" t="n">
        <v>10398.7372515767</v>
      </c>
      <c r="DD29" s="16" t="n">
        <v>12008.3333333333</v>
      </c>
      <c r="DE29" s="16" t="n">
        <v>1921.25</v>
      </c>
      <c r="DF29" s="16" t="n">
        <v>4783025.41124832</v>
      </c>
      <c r="DG29" s="16" t="n">
        <v>377.441751810783</v>
      </c>
      <c r="DH29" s="16" t="n">
        <v>0</v>
      </c>
      <c r="DI29" s="16" t="n">
        <v>0.0115</v>
      </c>
    </row>
    <row r="30" customFormat="false" ht="15" hidden="false" customHeight="false" outlineLevel="0" collapsed="false">
      <c r="A30" s="0" t="s">
        <v>3253</v>
      </c>
      <c r="B30" s="16" t="n">
        <v>2161.09062763565</v>
      </c>
      <c r="C30" s="16" t="n">
        <v>4287.20023545696</v>
      </c>
      <c r="D30" s="16" t="n">
        <v>10944.1398681103</v>
      </c>
      <c r="E30" s="16" t="n">
        <v>1840.94291622573</v>
      </c>
      <c r="F30" s="16" t="n">
        <v>-3929.75629162136</v>
      </c>
      <c r="G30" s="16" t="n">
        <v>5599.21119842882</v>
      </c>
      <c r="H30" s="16" t="n">
        <v>-33757.8358208565</v>
      </c>
      <c r="I30" s="17" t="n">
        <v>0.01</v>
      </c>
      <c r="J30" s="17" t="n">
        <v>0</v>
      </c>
      <c r="K30" s="16" t="s">
        <v>116</v>
      </c>
      <c r="L30" s="16" t="n">
        <v>1000</v>
      </c>
      <c r="M30" s="16" t="n">
        <v>23393.2765619591</v>
      </c>
      <c r="N30" s="16" t="n">
        <v>5268.34038131425</v>
      </c>
      <c r="O30" s="16" t="n">
        <v>1000</v>
      </c>
      <c r="P30" s="16" t="n">
        <v>747.002337313713</v>
      </c>
      <c r="Q30" s="16" t="n">
        <v>-6256.63951054422</v>
      </c>
      <c r="R30" s="16" t="n">
        <v>10749.8273603027</v>
      </c>
      <c r="S30" s="16" t="n">
        <v>27562.9798373622</v>
      </c>
      <c r="T30" s="16" t="n">
        <v>-1436.17830391911</v>
      </c>
      <c r="U30" s="16" t="n">
        <v>-33482.6822315453</v>
      </c>
      <c r="V30" s="16" t="n">
        <v>0.750319556751226</v>
      </c>
      <c r="W30" s="16" t="n">
        <v>21201.3340155936</v>
      </c>
      <c r="X30" s="16" t="n">
        <v>14072.7441668294</v>
      </c>
      <c r="Y30" s="16" t="n">
        <v>0</v>
      </c>
      <c r="Z30" s="16" t="n">
        <v>0</v>
      </c>
      <c r="AA30" s="16" t="n">
        <v>22.27279275</v>
      </c>
      <c r="AB30" s="16" t="n">
        <v>20.07279275</v>
      </c>
      <c r="AC30" s="16" t="n">
        <v>21.52279275</v>
      </c>
      <c r="AD30" s="16" t="n">
        <v>21.8718824805</v>
      </c>
      <c r="AE30" s="16" t="n">
        <v>594.149368983825</v>
      </c>
      <c r="AF30" s="16" t="n">
        <v>0.02</v>
      </c>
      <c r="AG30" s="16" t="n">
        <v>0.572671227358019</v>
      </c>
      <c r="AH30" s="16" t="n">
        <v>15317.8810251285</v>
      </c>
      <c r="AI30" s="16" t="n">
        <v>10944.1398681103</v>
      </c>
      <c r="AJ30" s="16" t="n">
        <v>14.7365561910928</v>
      </c>
      <c r="AK30" s="16" t="n">
        <v>0</v>
      </c>
      <c r="AL30" s="16" t="n">
        <v>1000</v>
      </c>
      <c r="AM30" s="16" t="n">
        <v>470.44678</v>
      </c>
      <c r="AN30" s="16" t="n">
        <v>12000</v>
      </c>
      <c r="AO30" s="16" t="n">
        <v>-2519.46533570594</v>
      </c>
      <c r="AP30" s="16" t="n">
        <v>1</v>
      </c>
      <c r="AQ30" s="16" t="n">
        <v>30.3365268277717</v>
      </c>
      <c r="AR30" s="16" t="n">
        <v>703.192915045556</v>
      </c>
      <c r="AS30" s="16" t="n">
        <v>314.925245</v>
      </c>
      <c r="AT30" s="16" t="n">
        <v>1000</v>
      </c>
      <c r="AU30" s="16" t="n">
        <v>12.270507</v>
      </c>
      <c r="AV30" s="16" t="n">
        <v>0</v>
      </c>
      <c r="AW30" s="16" t="n">
        <v>998.76</v>
      </c>
      <c r="AX30" s="16" t="n">
        <v>314.925245</v>
      </c>
      <c r="AY30" s="16" t="n">
        <v>314.925245</v>
      </c>
      <c r="AZ30" s="16" t="n">
        <v>2942.95868579727</v>
      </c>
      <c r="BA30" s="16" t="n">
        <v>1732.5375</v>
      </c>
      <c r="BB30" s="16" t="n">
        <v>155.768446666667</v>
      </c>
      <c r="BC30" s="16" t="n">
        <v>88718.5578003424</v>
      </c>
      <c r="BD30" s="16" t="n">
        <v>12.1929008108209</v>
      </c>
      <c r="BE30" s="16" t="n">
        <v>20.8501934327572</v>
      </c>
      <c r="BF30" s="16" t="n">
        <v>36.0072424994791</v>
      </c>
      <c r="BG30" s="16" t="n">
        <v>-10.6839208260334</v>
      </c>
      <c r="BH30" s="16" t="n">
        <v>-15.3733513633071</v>
      </c>
      <c r="BI30" s="16" t="n">
        <v>0.437058894040774</v>
      </c>
      <c r="BJ30" s="16" t="n">
        <v>-4.13947451531413</v>
      </c>
      <c r="BK30" s="16" t="n">
        <v>3.80891978121511</v>
      </c>
      <c r="BL30" s="16" t="n">
        <v>-0.571928749939018</v>
      </c>
      <c r="BM30" s="16" t="n">
        <v>3.37118358768332</v>
      </c>
      <c r="BN30" s="16" t="n">
        <v>4.04706880575186</v>
      </c>
      <c r="BO30" s="16" t="n">
        <v>5.1726598173516</v>
      </c>
      <c r="BP30" s="16" t="n">
        <v>5354.49215439957</v>
      </c>
      <c r="BQ30" s="16" t="n">
        <v>4257.60023545696</v>
      </c>
      <c r="BR30" s="16" t="n">
        <v>4257.60023545696</v>
      </c>
      <c r="BS30" s="16" t="n">
        <v>703.192915045556</v>
      </c>
      <c r="BT30" s="16" t="n">
        <v>189.4897</v>
      </c>
      <c r="BU30" s="16" t="n">
        <v>794.6073</v>
      </c>
      <c r="BV30" s="16" t="s">
        <v>3237</v>
      </c>
      <c r="BW30" s="16" t="n">
        <v>42.7692307692308</v>
      </c>
      <c r="BX30" s="16" t="n">
        <v>0.124596585374074</v>
      </c>
      <c r="BY30" s="16" t="n">
        <v>0.0866148510447071</v>
      </c>
      <c r="BZ30" s="16" t="n">
        <v>13510.8578038903</v>
      </c>
      <c r="CA30" s="16" t="n">
        <v>9557.85015295579</v>
      </c>
      <c r="CB30" s="16" t="n">
        <v>553.423588503561</v>
      </c>
      <c r="CC30" s="16" t="n">
        <v>1732.5375</v>
      </c>
      <c r="CD30" s="16" t="n">
        <v>1028.66496</v>
      </c>
      <c r="CE30" s="16" t="n">
        <v>12000</v>
      </c>
      <c r="CF30" s="16" t="n">
        <v>28.0531825946511</v>
      </c>
      <c r="CG30" s="16" t="n">
        <v>32.2611599838488</v>
      </c>
      <c r="CH30" s="16" t="n">
        <v>1983.66628420139</v>
      </c>
      <c r="CI30" s="16" t="n">
        <v>-12.4629743297608</v>
      </c>
      <c r="CJ30" s="16" t="n">
        <v>-1.82168585173946</v>
      </c>
      <c r="CK30" s="16" t="n">
        <v>52869.4642301874</v>
      </c>
      <c r="CL30" s="16" t="n">
        <v>362.900101795556</v>
      </c>
      <c r="CM30" s="16" t="n">
        <v>388.267670045556</v>
      </c>
      <c r="CN30" s="16" t="n">
        <v>1000</v>
      </c>
      <c r="CO30" s="16" t="n">
        <v>1.534375</v>
      </c>
      <c r="CP30" s="16" t="n">
        <v>1.31022765885151</v>
      </c>
      <c r="CQ30" s="16" t="n">
        <v>0</v>
      </c>
      <c r="CR30" s="16" t="n">
        <v>34.8870058519375</v>
      </c>
      <c r="CS30" s="16" t="n">
        <v>0</v>
      </c>
      <c r="CT30" s="16" t="n">
        <v>0</v>
      </c>
      <c r="CU30" s="16" t="n">
        <v>0.0115</v>
      </c>
      <c r="CV30" s="16" t="n">
        <v>4919856.98373821</v>
      </c>
      <c r="CW30" s="16" t="n">
        <v>0</v>
      </c>
      <c r="CX30" s="16" t="n">
        <v>4919856.98373821</v>
      </c>
      <c r="CY30" s="16" t="n">
        <v>4919856.98373821</v>
      </c>
      <c r="CZ30" s="16" t="n">
        <v>6306107.02458794</v>
      </c>
      <c r="DA30" s="16" t="n">
        <v>28.0531825946511</v>
      </c>
      <c r="DB30" s="16" t="n">
        <v>14951.2920191306</v>
      </c>
      <c r="DC30" s="16" t="n">
        <v>11093.8586781949</v>
      </c>
      <c r="DD30" s="16" t="n">
        <v>12008.3333333333</v>
      </c>
      <c r="DE30" s="16" t="n">
        <v>1921.25</v>
      </c>
      <c r="DF30" s="16" t="n">
        <v>4920171.90898321</v>
      </c>
      <c r="DG30" s="16" t="n">
        <v>388.267670045556</v>
      </c>
      <c r="DH30" s="16" t="n">
        <v>0</v>
      </c>
      <c r="DI30" s="16" t="n">
        <v>0.0115</v>
      </c>
    </row>
    <row r="31" customFormat="false" ht="15" hidden="false" customHeight="false" outlineLevel="0" collapsed="false">
      <c r="A31" s="0" t="s">
        <v>3254</v>
      </c>
      <c r="B31" s="16" t="n">
        <v>2161.09062763565</v>
      </c>
      <c r="C31" s="16" t="n">
        <v>4287.20023545696</v>
      </c>
      <c r="D31" s="16" t="n">
        <v>10944.1398681103</v>
      </c>
      <c r="E31" s="16" t="n">
        <v>1840.94291622573</v>
      </c>
      <c r="F31" s="16" t="n">
        <v>-3929.75629162136</v>
      </c>
      <c r="G31" s="16" t="n">
        <v>5599.21119842882</v>
      </c>
      <c r="H31" s="16" t="n">
        <v>-33972.6740605276</v>
      </c>
      <c r="I31" s="17" t="n">
        <v>0.01</v>
      </c>
      <c r="J31" s="17" t="n">
        <v>0</v>
      </c>
      <c r="K31" s="16" t="s">
        <v>116</v>
      </c>
      <c r="L31" s="16" t="n">
        <v>1000</v>
      </c>
      <c r="M31" s="16" t="n">
        <v>23393.2765619591</v>
      </c>
      <c r="N31" s="16" t="n">
        <v>5268.34038131425</v>
      </c>
      <c r="O31" s="16" t="n">
        <v>1000</v>
      </c>
      <c r="P31" s="16" t="n">
        <v>747.002337313713</v>
      </c>
      <c r="Q31" s="16" t="n">
        <v>-6256.63951054422</v>
      </c>
      <c r="R31" s="16" t="n">
        <v>10749.8273603027</v>
      </c>
      <c r="S31" s="16" t="n">
        <v>27562.9798373622</v>
      </c>
      <c r="T31" s="16" t="n">
        <v>-1436.17830391911</v>
      </c>
      <c r="U31" s="16" t="n">
        <v>-33697.5204712164</v>
      </c>
      <c r="V31" s="16" t="n">
        <v>0.750319556751226</v>
      </c>
      <c r="W31" s="16" t="n">
        <v>20042.8846433525</v>
      </c>
      <c r="X31" s="16" t="n">
        <v>14072.7441668294</v>
      </c>
      <c r="Y31" s="16" t="n">
        <v>0</v>
      </c>
      <c r="Z31" s="16" t="n">
        <v>0</v>
      </c>
      <c r="AA31" s="16" t="n">
        <v>22.27279275</v>
      </c>
      <c r="AB31" s="16" t="n">
        <v>20.07279275</v>
      </c>
      <c r="AC31" s="16" t="n">
        <v>21.52279275</v>
      </c>
      <c r="AD31" s="16" t="n">
        <v>21.8718824805</v>
      </c>
      <c r="AE31" s="16" t="n">
        <v>594.149368983825</v>
      </c>
      <c r="AF31" s="16" t="n">
        <v>0.02</v>
      </c>
      <c r="AG31" s="16" t="n">
        <v>0.572671227358019</v>
      </c>
      <c r="AH31" s="16" t="n">
        <v>15317.8810251285</v>
      </c>
      <c r="AI31" s="16" t="n">
        <v>10944.1398681103</v>
      </c>
      <c r="AJ31" s="16" t="n">
        <v>14.7365561910928</v>
      </c>
      <c r="AK31" s="16" t="n">
        <v>0</v>
      </c>
      <c r="AL31" s="16" t="n">
        <v>1000</v>
      </c>
      <c r="AM31" s="16" t="n">
        <v>470.44678</v>
      </c>
      <c r="AN31" s="16" t="n">
        <v>12000</v>
      </c>
      <c r="AO31" s="16" t="n">
        <v>-2399.62915398377</v>
      </c>
      <c r="AP31" s="16" t="n">
        <v>1</v>
      </c>
      <c r="AQ31" s="16" t="n">
        <v>30.0310086192198</v>
      </c>
      <c r="AR31" s="16" t="n">
        <v>703.192915045556</v>
      </c>
      <c r="AS31" s="16" t="n">
        <v>314.925245</v>
      </c>
      <c r="AT31" s="16" t="n">
        <v>1000</v>
      </c>
      <c r="AU31" s="16" t="n">
        <v>12.270507</v>
      </c>
      <c r="AV31" s="16" t="n">
        <v>0</v>
      </c>
      <c r="AW31" s="16" t="n">
        <v>998.76</v>
      </c>
      <c r="AX31" s="16" t="n">
        <v>314.925245</v>
      </c>
      <c r="AY31" s="16" t="n">
        <v>314.925245</v>
      </c>
      <c r="AZ31" s="16" t="n">
        <v>2605.64934472464</v>
      </c>
      <c r="BA31" s="16" t="n">
        <v>1732.5375</v>
      </c>
      <c r="BB31" s="16" t="n">
        <v>155.768446666667</v>
      </c>
      <c r="BC31" s="16" t="n">
        <v>88718.5578003424</v>
      </c>
      <c r="BD31" s="16" t="n">
        <v>11.1218233204386</v>
      </c>
      <c r="BE31" s="16" t="n">
        <v>19.7791159423749</v>
      </c>
      <c r="BF31" s="16" t="n">
        <v>34.150654361521</v>
      </c>
      <c r="BG31" s="16" t="n">
        <v>-11.472266300737</v>
      </c>
      <c r="BH31" s="16" t="n">
        <v>-16.6322646173503</v>
      </c>
      <c r="BI31" s="16" t="n">
        <v>-0.633952032585938</v>
      </c>
      <c r="BJ31" s="16" t="n">
        <v>-5.68392276321715</v>
      </c>
      <c r="BK31" s="16" t="n">
        <v>2.65220520207886</v>
      </c>
      <c r="BL31" s="16" t="n">
        <v>-2.21298484469031</v>
      </c>
      <c r="BM31" s="16" t="n">
        <v>3.37118358768332</v>
      </c>
      <c r="BN31" s="16" t="n">
        <v>4.04706880575186</v>
      </c>
      <c r="BO31" s="16" t="n">
        <v>5.1726598173516</v>
      </c>
      <c r="BP31" s="16" t="n">
        <v>5354.49215439957</v>
      </c>
      <c r="BQ31" s="16" t="n">
        <v>4257.60023545696</v>
      </c>
      <c r="BR31" s="16" t="n">
        <v>4257.60023545696</v>
      </c>
      <c r="BS31" s="16" t="n">
        <v>703.192915045556</v>
      </c>
      <c r="BT31" s="16" t="n">
        <v>189.4897</v>
      </c>
      <c r="BU31" s="16" t="n">
        <v>794.6073</v>
      </c>
      <c r="BV31" s="16" t="s">
        <v>3237</v>
      </c>
      <c r="BW31" s="16" t="n">
        <v>42.7692307692308</v>
      </c>
      <c r="BX31" s="16" t="n">
        <v>0.124596585374074</v>
      </c>
      <c r="BY31" s="16" t="n">
        <v>0.0866148510447071</v>
      </c>
      <c r="BZ31" s="16" t="n">
        <v>13510.8578038903</v>
      </c>
      <c r="CA31" s="16" t="n">
        <v>9557.85015295579</v>
      </c>
      <c r="CB31" s="16" t="n">
        <v>553.423588503561</v>
      </c>
      <c r="CC31" s="16" t="n">
        <v>1732.5375</v>
      </c>
      <c r="CD31" s="16" t="n">
        <v>1028.66496</v>
      </c>
      <c r="CE31" s="16" t="n">
        <v>12000</v>
      </c>
      <c r="CF31" s="16" t="n">
        <v>26.9821051042688</v>
      </c>
      <c r="CG31" s="16" t="n">
        <v>31.0294208699092</v>
      </c>
      <c r="CH31" s="16" t="n">
        <v>1983.66628420139</v>
      </c>
      <c r="CI31" s="16" t="n">
        <v>-13.1219061818927</v>
      </c>
      <c r="CJ31" s="16" t="n">
        <v>-2.75109069207888</v>
      </c>
      <c r="CK31" s="16" t="n">
        <v>52869.4642301874</v>
      </c>
      <c r="CL31" s="16" t="n">
        <v>362.900101795556</v>
      </c>
      <c r="CM31" s="16" t="n">
        <v>388.267670045556</v>
      </c>
      <c r="CN31" s="16" t="n">
        <v>1000</v>
      </c>
      <c r="CO31" s="16" t="n">
        <v>1.534375</v>
      </c>
      <c r="CP31" s="16" t="n">
        <v>1.31022765885151</v>
      </c>
      <c r="CQ31" s="16" t="n">
        <v>0</v>
      </c>
      <c r="CR31" s="16" t="n">
        <v>34.5356599121028</v>
      </c>
      <c r="CS31" s="16" t="n">
        <v>0</v>
      </c>
      <c r="CT31" s="16" t="n">
        <v>0</v>
      </c>
      <c r="CU31" s="16" t="n">
        <v>0.0115</v>
      </c>
      <c r="CV31" s="16" t="n">
        <v>4919856.98373821</v>
      </c>
      <c r="CW31" s="16" t="n">
        <v>0</v>
      </c>
      <c r="CX31" s="16" t="n">
        <v>4919856.98373821</v>
      </c>
      <c r="CY31" s="16" t="n">
        <v>4919856.98373821</v>
      </c>
      <c r="CZ31" s="16" t="n">
        <v>6306107.02458794</v>
      </c>
      <c r="DA31" s="16" t="n">
        <v>26.9821051042688</v>
      </c>
      <c r="DB31" s="16" t="n">
        <v>14613.982678058</v>
      </c>
      <c r="DC31" s="16" t="n">
        <v>10843.575147119</v>
      </c>
      <c r="DD31" s="16" t="n">
        <v>12008.3333333333</v>
      </c>
      <c r="DE31" s="16" t="n">
        <v>1921.25</v>
      </c>
      <c r="DF31" s="16" t="n">
        <v>4920171.90898321</v>
      </c>
      <c r="DG31" s="16" t="n">
        <v>388.267670045556</v>
      </c>
      <c r="DH31" s="16" t="n">
        <v>0</v>
      </c>
      <c r="DI31" s="16" t="n">
        <v>0.0115</v>
      </c>
    </row>
    <row r="32" customFormat="false" ht="15" hidden="false" customHeight="false" outlineLevel="0" collapsed="false">
      <c r="A32" s="0" t="s">
        <v>3255</v>
      </c>
      <c r="B32" s="16" t="n">
        <v>2161.09062763565</v>
      </c>
      <c r="C32" s="16" t="n">
        <v>4287.20023545696</v>
      </c>
      <c r="D32" s="16" t="n">
        <v>10944.1398681103</v>
      </c>
      <c r="E32" s="16" t="n">
        <v>1840.94291622573</v>
      </c>
      <c r="F32" s="16" t="n">
        <v>-3929.75629162136</v>
      </c>
      <c r="G32" s="16" t="n">
        <v>5599.21119842882</v>
      </c>
      <c r="H32" s="16" t="n">
        <v>-34142.4135989551</v>
      </c>
      <c r="I32" s="17" t="n">
        <v>0.01</v>
      </c>
      <c r="J32" s="17" t="n">
        <v>0</v>
      </c>
      <c r="K32" s="16" t="s">
        <v>116</v>
      </c>
      <c r="L32" s="16" t="n">
        <v>1000</v>
      </c>
      <c r="M32" s="16" t="n">
        <v>23393.2765619591</v>
      </c>
      <c r="N32" s="16" t="n">
        <v>5268.34038131425</v>
      </c>
      <c r="O32" s="16" t="n">
        <v>1000</v>
      </c>
      <c r="P32" s="16" t="n">
        <v>747.002337313713</v>
      </c>
      <c r="Q32" s="16" t="n">
        <v>-6256.63951054422</v>
      </c>
      <c r="R32" s="16" t="n">
        <v>10749.8273603027</v>
      </c>
      <c r="S32" s="16" t="n">
        <v>27562.9798373622</v>
      </c>
      <c r="T32" s="16" t="n">
        <v>-1436.17830391911</v>
      </c>
      <c r="U32" s="16" t="n">
        <v>-33867.2600096439</v>
      </c>
      <c r="V32" s="16" t="n">
        <v>0.750319556751226</v>
      </c>
      <c r="W32" s="16" t="n">
        <v>18958.8366069721</v>
      </c>
      <c r="X32" s="16" t="n">
        <v>14072.7441668294</v>
      </c>
      <c r="Y32" s="16" t="n">
        <v>0</v>
      </c>
      <c r="Z32" s="16" t="n">
        <v>0</v>
      </c>
      <c r="AA32" s="16" t="n">
        <v>22.27279275</v>
      </c>
      <c r="AB32" s="16" t="n">
        <v>20.07279275</v>
      </c>
      <c r="AC32" s="16" t="n">
        <v>21.52279275</v>
      </c>
      <c r="AD32" s="16" t="n">
        <v>21.8718824805</v>
      </c>
      <c r="AE32" s="16" t="n">
        <v>594.149368983825</v>
      </c>
      <c r="AF32" s="16" t="n">
        <v>0.02</v>
      </c>
      <c r="AG32" s="16" t="n">
        <v>0.572671227358019</v>
      </c>
      <c r="AH32" s="16" t="n">
        <v>15317.8810251285</v>
      </c>
      <c r="AI32" s="16" t="n">
        <v>10944.1398681103</v>
      </c>
      <c r="AJ32" s="16" t="n">
        <v>14.7365561910928</v>
      </c>
      <c r="AK32" s="16" t="n">
        <v>0</v>
      </c>
      <c r="AL32" s="16" t="n">
        <v>1000</v>
      </c>
      <c r="AM32" s="16" t="n">
        <v>470.44678</v>
      </c>
      <c r="AN32" s="16" t="n">
        <v>12000</v>
      </c>
      <c r="AO32" s="16" t="n">
        <v>-2286.56266951549</v>
      </c>
      <c r="AP32" s="16" t="n">
        <v>1</v>
      </c>
      <c r="AQ32" s="16" t="n">
        <v>29.7896245910311</v>
      </c>
      <c r="AR32" s="16" t="n">
        <v>703.192915045556</v>
      </c>
      <c r="AS32" s="16" t="n">
        <v>314.925245</v>
      </c>
      <c r="AT32" s="16" t="n">
        <v>1000</v>
      </c>
      <c r="AU32" s="16" t="n">
        <v>12.270507</v>
      </c>
      <c r="AV32" s="16" t="n">
        <v>0</v>
      </c>
      <c r="AW32" s="16" t="n">
        <v>998.76</v>
      </c>
      <c r="AX32" s="16" t="n">
        <v>314.925245</v>
      </c>
      <c r="AY32" s="16" t="n">
        <v>314.925245</v>
      </c>
      <c r="AZ32" s="16" t="n">
        <v>2281.17350339914</v>
      </c>
      <c r="BA32" s="16" t="n">
        <v>1732.5375</v>
      </c>
      <c r="BB32" s="16" t="n">
        <v>155.768446666667</v>
      </c>
      <c r="BC32" s="16" t="n">
        <v>88718.5578003424</v>
      </c>
      <c r="BD32" s="16" t="n">
        <v>10.0914967700044</v>
      </c>
      <c r="BE32" s="16" t="n">
        <v>18.7487893919407</v>
      </c>
      <c r="BF32" s="16" t="n">
        <v>32.5099795387679</v>
      </c>
      <c r="BG32" s="16" t="n">
        <v>-12.2289171812632</v>
      </c>
      <c r="BH32" s="16" t="n">
        <v>-17.8373679250466</v>
      </c>
      <c r="BI32" s="16" t="n">
        <v>-1.66190410016121</v>
      </c>
      <c r="BJ32" s="16" t="n">
        <v>-7.16308143300733</v>
      </c>
      <c r="BK32" s="16" t="n">
        <v>1.54199510649876</v>
      </c>
      <c r="BL32" s="16" t="n">
        <v>-3.78468989215018</v>
      </c>
      <c r="BM32" s="16" t="n">
        <v>3.37118358768332</v>
      </c>
      <c r="BN32" s="16" t="n">
        <v>4.04706880575186</v>
      </c>
      <c r="BO32" s="16" t="n">
        <v>5.1726598173516</v>
      </c>
      <c r="BP32" s="16" t="n">
        <v>5354.49215439957</v>
      </c>
      <c r="BQ32" s="16" t="n">
        <v>4257.60023545696</v>
      </c>
      <c r="BR32" s="16" t="n">
        <v>4257.60023545696</v>
      </c>
      <c r="BS32" s="16" t="n">
        <v>703.192915045556</v>
      </c>
      <c r="BT32" s="16" t="n">
        <v>189.4897</v>
      </c>
      <c r="BU32" s="16" t="n">
        <v>794.6073</v>
      </c>
      <c r="BV32" s="16" t="s">
        <v>3237</v>
      </c>
      <c r="BW32" s="16" t="n">
        <v>42.7692307692308</v>
      </c>
      <c r="BX32" s="16" t="n">
        <v>0.124596585374074</v>
      </c>
      <c r="BY32" s="16" t="n">
        <v>0.0866148510447071</v>
      </c>
      <c r="BZ32" s="16" t="n">
        <v>13510.8578038903</v>
      </c>
      <c r="CA32" s="16" t="n">
        <v>9557.85015295579</v>
      </c>
      <c r="CB32" s="16" t="n">
        <v>553.423588503561</v>
      </c>
      <c r="CC32" s="16" t="n">
        <v>1732.5375</v>
      </c>
      <c r="CD32" s="16" t="n">
        <v>1028.66496</v>
      </c>
      <c r="CE32" s="16" t="n">
        <v>12000</v>
      </c>
      <c r="CF32" s="16" t="n">
        <v>25.9517785538346</v>
      </c>
      <c r="CG32" s="16" t="n">
        <v>29.8445453369098</v>
      </c>
      <c r="CH32" s="16" t="n">
        <v>1983.66628420139</v>
      </c>
      <c r="CI32" s="16" t="n">
        <v>-13.7543463773663</v>
      </c>
      <c r="CJ32" s="16" t="n">
        <v>-3.64312979596597</v>
      </c>
      <c r="CK32" s="16" t="n">
        <v>52869.4642301874</v>
      </c>
      <c r="CL32" s="16" t="n">
        <v>362.900101795556</v>
      </c>
      <c r="CM32" s="16" t="n">
        <v>388.267670045556</v>
      </c>
      <c r="CN32" s="16" t="n">
        <v>1000</v>
      </c>
      <c r="CO32" s="16" t="n">
        <v>1.534375</v>
      </c>
      <c r="CP32" s="16" t="n">
        <v>1.31022765885151</v>
      </c>
      <c r="CQ32" s="16" t="n">
        <v>0</v>
      </c>
      <c r="CR32" s="16" t="n">
        <v>34.2580682796858</v>
      </c>
      <c r="CS32" s="16" t="n">
        <v>0</v>
      </c>
      <c r="CT32" s="16" t="n">
        <v>0</v>
      </c>
      <c r="CU32" s="16" t="n">
        <v>0.0115</v>
      </c>
      <c r="CV32" s="16" t="n">
        <v>4919856.98373821</v>
      </c>
      <c r="CW32" s="16" t="n">
        <v>0</v>
      </c>
      <c r="CX32" s="16" t="n">
        <v>4919856.98373821</v>
      </c>
      <c r="CY32" s="16" t="n">
        <v>4919856.98373821</v>
      </c>
      <c r="CZ32" s="16" t="n">
        <v>6306107.02458794</v>
      </c>
      <c r="DA32" s="16" t="n">
        <v>25.9517785538346</v>
      </c>
      <c r="DB32" s="16" t="n">
        <v>14289.5068367325</v>
      </c>
      <c r="DC32" s="16" t="n">
        <v>10602.8140728555</v>
      </c>
      <c r="DD32" s="16" t="n">
        <v>12008.3333333333</v>
      </c>
      <c r="DE32" s="16" t="n">
        <v>1921.25</v>
      </c>
      <c r="DF32" s="16" t="n">
        <v>4920171.90898321</v>
      </c>
      <c r="DG32" s="16" t="n">
        <v>388.267670045556</v>
      </c>
      <c r="DH32" s="16" t="n">
        <v>0</v>
      </c>
      <c r="DI32" s="16" t="n">
        <v>0.0115</v>
      </c>
    </row>
    <row r="33" customFormat="false" ht="15" hidden="false" customHeight="false" outlineLevel="0" collapsed="false">
      <c r="A33" s="0" t="s">
        <v>3256</v>
      </c>
      <c r="B33" s="16" t="n">
        <v>2465.07954157611</v>
      </c>
      <c r="C33" s="16" t="n">
        <v>8209.24039226006</v>
      </c>
      <c r="D33" s="16" t="n">
        <v>19716.7966317894</v>
      </c>
      <c r="E33" s="16" t="n">
        <v>4213.14398474076</v>
      </c>
      <c r="F33" s="16" t="n">
        <v>-1135.49021845689</v>
      </c>
      <c r="G33" s="16" t="n">
        <v>5020.26458750724</v>
      </c>
      <c r="H33" s="16" t="n">
        <v>-898.814009603721</v>
      </c>
      <c r="I33" s="17" t="n">
        <v>0.01</v>
      </c>
      <c r="J33" s="17" t="n">
        <v>0</v>
      </c>
      <c r="K33" s="16" t="s">
        <v>116</v>
      </c>
      <c r="L33" s="16" t="n">
        <v>1000</v>
      </c>
      <c r="M33" s="16" t="n">
        <v>33779.4469253452</v>
      </c>
      <c r="N33" s="16" t="n">
        <v>11402.7039831813</v>
      </c>
      <c r="O33" s="16" t="n">
        <v>1000</v>
      </c>
      <c r="P33" s="16" t="n">
        <v>951.290832135856</v>
      </c>
      <c r="Q33" s="16" t="n">
        <v>-267.565775756198</v>
      </c>
      <c r="R33" s="16" t="n">
        <v>17617.7170533315</v>
      </c>
      <c r="S33" s="16" t="n">
        <v>26949.0428826358</v>
      </c>
      <c r="T33" s="16" t="n">
        <v>-955.692204749296</v>
      </c>
      <c r="U33" s="16" t="n">
        <v>-10118.5962138622</v>
      </c>
      <c r="V33" s="16" t="n">
        <v>0.750319556751226</v>
      </c>
      <c r="W33" s="16" t="n">
        <v>46166.2147180189</v>
      </c>
      <c r="X33" s="16" t="n">
        <v>22149.4762774452</v>
      </c>
      <c r="Y33" s="16" t="n">
        <v>0</v>
      </c>
      <c r="Z33" s="16" t="n">
        <v>0</v>
      </c>
      <c r="AA33" s="16" t="n">
        <v>27.424347870838</v>
      </c>
      <c r="AB33" s="16" t="n">
        <v>25.224347870838</v>
      </c>
      <c r="AC33" s="16" t="n">
        <v>26.674347870838</v>
      </c>
      <c r="AD33" s="16" t="n">
        <v>27.2673434792775</v>
      </c>
      <c r="AE33" s="16" t="n">
        <v>674.686407680941</v>
      </c>
      <c r="AF33" s="16" t="n">
        <v>0.03</v>
      </c>
      <c r="AG33" s="16" t="n">
        <v>0.654405917289144</v>
      </c>
      <c r="AH33" s="16" t="n">
        <v>9819.91719809611</v>
      </c>
      <c r="AI33" s="16" t="n">
        <v>19716.7966317894</v>
      </c>
      <c r="AJ33" s="16" t="n">
        <v>16.69175</v>
      </c>
      <c r="AK33" s="16" t="n">
        <v>0</v>
      </c>
      <c r="AL33" s="16" t="n">
        <v>1000</v>
      </c>
      <c r="AM33" s="16" t="n">
        <v>812.6073</v>
      </c>
      <c r="AN33" s="16" t="n">
        <v>20079.98904</v>
      </c>
      <c r="AO33" s="16" t="n">
        <v>-5508.72242389994</v>
      </c>
      <c r="AP33" s="16" t="n">
        <v>0.414483496940676</v>
      </c>
      <c r="AQ33" s="16" t="n">
        <v>59.8932656586648</v>
      </c>
      <c r="AR33" s="16" t="n">
        <v>506.474954430797</v>
      </c>
      <c r="AS33" s="16" t="n">
        <v>314.925245</v>
      </c>
      <c r="AT33" s="16" t="n">
        <v>1000</v>
      </c>
      <c r="AU33" s="16" t="n">
        <v>12.270507</v>
      </c>
      <c r="AV33" s="16" t="n">
        <v>0</v>
      </c>
      <c r="AW33" s="16" t="n">
        <v>2254.3125</v>
      </c>
      <c r="AX33" s="16" t="n">
        <v>314.925245</v>
      </c>
      <c r="AY33" s="16" t="n">
        <v>314.925245</v>
      </c>
      <c r="AZ33" s="16" t="n">
        <v>5631.62619515181</v>
      </c>
      <c r="BA33" s="16" t="n">
        <v>0</v>
      </c>
      <c r="BB33" s="16" t="n">
        <v>417.928966666667</v>
      </c>
      <c r="BC33" s="16" t="n">
        <v>111441.907179589</v>
      </c>
      <c r="BD33" s="16" t="n">
        <v>16.751694488301</v>
      </c>
      <c r="BE33" s="16" t="n">
        <v>25.4089871102374</v>
      </c>
      <c r="BF33" s="16" t="n">
        <v>39.6368423190398</v>
      </c>
      <c r="BG33" s="16" t="n">
        <v>-8.27711430924607</v>
      </c>
      <c r="BH33" s="16" t="n">
        <v>-7.28866183200638</v>
      </c>
      <c r="BI33" s="16" t="n">
        <v>1.09242813813745</v>
      </c>
      <c r="BJ33" s="16" t="n">
        <v>2.04083187529388</v>
      </c>
      <c r="BK33" s="16" t="n">
        <v>5.25403316350504</v>
      </c>
      <c r="BL33" s="16" t="n">
        <v>7.88491984612206</v>
      </c>
      <c r="BM33" s="16" t="n">
        <v>3.71992671744367</v>
      </c>
      <c r="BN33" s="16" t="n">
        <v>4.46573109600205</v>
      </c>
      <c r="BO33" s="16" t="n">
        <v>5.7791095890411</v>
      </c>
      <c r="BP33" s="16" t="n">
        <v>8712.70308277889</v>
      </c>
      <c r="BQ33" s="16" t="n">
        <v>8176.87365522983</v>
      </c>
      <c r="BR33" s="16" t="n">
        <v>8176.87365522983</v>
      </c>
      <c r="BS33" s="16" t="n">
        <v>506.474954430797</v>
      </c>
      <c r="BT33" s="16" t="n">
        <v>301.7195</v>
      </c>
      <c r="BU33" s="16" t="n">
        <v>1081.9108</v>
      </c>
      <c r="BV33" s="16" t="s">
        <v>3237</v>
      </c>
      <c r="BW33" s="16" t="n">
        <v>42.7692307692308</v>
      </c>
      <c r="BX33" s="16" t="n">
        <v>0.155994305554286</v>
      </c>
      <c r="BY33" s="16" t="n">
        <v>0.161741466184191</v>
      </c>
      <c r="BZ33" s="16" t="n">
        <v>13510.8578038903</v>
      </c>
      <c r="CA33" s="16" t="n">
        <v>19402.010477409</v>
      </c>
      <c r="CB33" s="16" t="n">
        <v>278.503097417438</v>
      </c>
      <c r="CC33" s="16" t="n">
        <v>0</v>
      </c>
      <c r="CD33" s="16" t="n">
        <v>950.69728</v>
      </c>
      <c r="CE33" s="16" t="n">
        <v>12000</v>
      </c>
      <c r="CF33" s="16" t="n">
        <v>0</v>
      </c>
      <c r="CG33" s="16" t="n">
        <v>0</v>
      </c>
      <c r="CH33" s="16" t="n">
        <v>2643.77364301215</v>
      </c>
      <c r="CI33" s="16" t="n">
        <v>-6.2083733271085</v>
      </c>
      <c r="CJ33" s="16" t="n">
        <v>3.00594144553374</v>
      </c>
      <c r="CK33" s="16" t="n">
        <v>38739.6121648513</v>
      </c>
      <c r="CL33" s="16" t="n">
        <v>164.481464930797</v>
      </c>
      <c r="CM33" s="16" t="n">
        <v>189.849033180797</v>
      </c>
      <c r="CN33" s="16" t="n">
        <v>1000</v>
      </c>
      <c r="CO33" s="16" t="n">
        <v>1.5535546875</v>
      </c>
      <c r="CP33" s="16" t="n">
        <v>1.09004417261298</v>
      </c>
      <c r="CQ33" s="16" t="n">
        <v>0</v>
      </c>
      <c r="CR33" s="16" t="n">
        <v>67.6793901942912</v>
      </c>
      <c r="CS33" s="16" t="n">
        <v>5.65974150203287</v>
      </c>
      <c r="CT33" s="16" t="n">
        <v>0</v>
      </c>
      <c r="CU33" s="16" t="n">
        <v>0.0113</v>
      </c>
      <c r="CV33" s="16" t="n">
        <v>3861970.2627895</v>
      </c>
      <c r="CW33" s="16" t="n">
        <v>797942.368891408</v>
      </c>
      <c r="CX33" s="16" t="n">
        <v>4659912.63168091</v>
      </c>
      <c r="CY33" s="16" t="n">
        <v>3861970.2627895</v>
      </c>
      <c r="CZ33" s="16" t="n">
        <v>5720.41911510332</v>
      </c>
      <c r="DA33" s="16" t="n">
        <v>0</v>
      </c>
      <c r="DB33" s="16" t="n">
        <v>16775.9595284851</v>
      </c>
      <c r="DC33" s="16" t="n">
        <v>12447.761970136</v>
      </c>
      <c r="DD33" s="16" t="n">
        <v>11144.3333333333</v>
      </c>
      <c r="DE33" s="16" t="n">
        <v>1921.25</v>
      </c>
      <c r="DF33" s="16" t="n">
        <v>3862285.1880345</v>
      </c>
      <c r="DG33" s="16" t="n">
        <v>189.849033180797</v>
      </c>
      <c r="DH33" s="16" t="n">
        <v>0</v>
      </c>
      <c r="DI33" s="16" t="n">
        <v>5.68431609452882</v>
      </c>
    </row>
    <row r="34" customFormat="false" ht="15" hidden="false" customHeight="false" outlineLevel="0" collapsed="false">
      <c r="A34" s="0" t="s">
        <v>3257</v>
      </c>
      <c r="B34" s="16" t="n">
        <v>2465.07954157611</v>
      </c>
      <c r="C34" s="16" t="n">
        <v>7496.61462837117</v>
      </c>
      <c r="D34" s="16" t="n">
        <v>19644.3262151227</v>
      </c>
      <c r="E34" s="16" t="n">
        <v>3707.17969237964</v>
      </c>
      <c r="F34" s="16" t="n">
        <v>-1612.26101130411</v>
      </c>
      <c r="G34" s="16" t="n">
        <v>5019.57611854891</v>
      </c>
      <c r="H34" s="16" t="n">
        <v>-1390.50065667787</v>
      </c>
      <c r="I34" s="17" t="n">
        <v>0.01</v>
      </c>
      <c r="J34" s="17" t="n">
        <v>2.43175480846286</v>
      </c>
      <c r="K34" s="16" t="s">
        <v>116</v>
      </c>
      <c r="L34" s="16" t="n">
        <v>1000</v>
      </c>
      <c r="M34" s="16" t="n">
        <v>33765.1944100674</v>
      </c>
      <c r="N34" s="16" t="n">
        <v>11347.6264665146</v>
      </c>
      <c r="O34" s="16" t="n">
        <v>1000</v>
      </c>
      <c r="P34" s="16" t="n">
        <v>951.290832135856</v>
      </c>
      <c r="Q34" s="16" t="n">
        <v>-316.676561450643</v>
      </c>
      <c r="R34" s="16" t="n">
        <v>17617.7170533315</v>
      </c>
      <c r="S34" s="16" t="n">
        <v>26947.5934743025</v>
      </c>
      <c r="T34" s="16" t="n">
        <v>-955.692204749296</v>
      </c>
      <c r="U34" s="16" t="n">
        <v>-1112.78286093632</v>
      </c>
      <c r="V34" s="16" t="n">
        <v>0.750319556751226</v>
      </c>
      <c r="W34" s="16" t="n">
        <v>46164.9436249069</v>
      </c>
      <c r="X34" s="16" t="n">
        <v>22146.2416811813</v>
      </c>
      <c r="Y34" s="16" t="n">
        <v>2.28760249511317</v>
      </c>
      <c r="Z34" s="16" t="n">
        <v>3.10510771492622</v>
      </c>
      <c r="AA34" s="16" t="n">
        <v>27.424347870838</v>
      </c>
      <c r="AB34" s="16" t="n">
        <v>25.224347870838</v>
      </c>
      <c r="AC34" s="16" t="n">
        <v>26.674347870838</v>
      </c>
      <c r="AD34" s="16" t="n">
        <v>27.2673434792775</v>
      </c>
      <c r="AE34" s="16" t="n">
        <v>674.686407680941</v>
      </c>
      <c r="AF34" s="16" t="n">
        <v>0.03</v>
      </c>
      <c r="AG34" s="16" t="n">
        <v>0.654405917289144</v>
      </c>
      <c r="AH34" s="16" t="n">
        <v>9819.91719809611</v>
      </c>
      <c r="AI34" s="16" t="n">
        <v>19644.3262151227</v>
      </c>
      <c r="AJ34" s="16" t="n">
        <v>16.69175</v>
      </c>
      <c r="AK34" s="16" t="n">
        <v>0</v>
      </c>
      <c r="AL34" s="16" t="n">
        <v>1000</v>
      </c>
      <c r="AM34" s="16" t="n">
        <v>812.6073</v>
      </c>
      <c r="AN34" s="16" t="n">
        <v>20079.98904</v>
      </c>
      <c r="AO34" s="16" t="n">
        <v>-5508.72242389994</v>
      </c>
      <c r="AP34" s="16" t="n">
        <v>0.52915910882411</v>
      </c>
      <c r="AQ34" s="16" t="n">
        <v>78.3943165876668</v>
      </c>
      <c r="AR34" s="16" t="n">
        <v>508.79470472731</v>
      </c>
      <c r="AS34" s="16" t="n">
        <v>314.925245</v>
      </c>
      <c r="AT34" s="16" t="n">
        <v>1000</v>
      </c>
      <c r="AU34" s="16" t="n">
        <v>12.270507</v>
      </c>
      <c r="AV34" s="16" t="n">
        <v>0</v>
      </c>
      <c r="AW34" s="16" t="n">
        <v>2254.3125</v>
      </c>
      <c r="AX34" s="16" t="n">
        <v>314.925245</v>
      </c>
      <c r="AY34" s="16" t="n">
        <v>314.925245</v>
      </c>
      <c r="AZ34" s="16" t="n">
        <v>5523.34717982985</v>
      </c>
      <c r="BA34" s="16" t="n">
        <v>0</v>
      </c>
      <c r="BB34" s="16" t="n">
        <v>417.928966666667</v>
      </c>
      <c r="BC34" s="16" t="n">
        <v>111426.205255978</v>
      </c>
      <c r="BD34" s="16" t="n">
        <v>16.4078699869596</v>
      </c>
      <c r="BE34" s="16" t="n">
        <v>25.065162608896</v>
      </c>
      <c r="BF34" s="16" t="n">
        <v>39.2930178176984</v>
      </c>
      <c r="BG34" s="16" t="n">
        <v>-8.27711430924607</v>
      </c>
      <c r="BH34" s="16" t="n">
        <v>-7.28866183200638</v>
      </c>
      <c r="BI34" s="16" t="n">
        <v>1.09242813813745</v>
      </c>
      <c r="BJ34" s="16" t="n">
        <v>2.04083187529388</v>
      </c>
      <c r="BK34" s="16" t="n">
        <v>5.25403316350504</v>
      </c>
      <c r="BL34" s="16" t="n">
        <v>7.88491984612206</v>
      </c>
      <c r="BM34" s="16" t="n">
        <v>3.71992671744367</v>
      </c>
      <c r="BN34" s="16" t="n">
        <v>4.46573109600205</v>
      </c>
      <c r="BO34" s="16" t="n">
        <v>5.7791095890411</v>
      </c>
      <c r="BP34" s="16" t="n">
        <v>8712.70308277889</v>
      </c>
      <c r="BQ34" s="16" t="n">
        <v>7464.24789134094</v>
      </c>
      <c r="BR34" s="16" t="n">
        <v>7464.24789134094</v>
      </c>
      <c r="BS34" s="16" t="n">
        <v>508.79470472731</v>
      </c>
      <c r="BT34" s="16" t="n">
        <v>301.7195</v>
      </c>
      <c r="BU34" s="16" t="n">
        <v>1081.9108</v>
      </c>
      <c r="BV34" s="16" t="s">
        <v>3237</v>
      </c>
      <c r="BW34" s="16" t="n">
        <v>42.7692307692308</v>
      </c>
      <c r="BX34" s="16" t="n">
        <v>0.155994305554286</v>
      </c>
      <c r="BY34" s="16" t="n">
        <v>0.161741466184191</v>
      </c>
      <c r="BZ34" s="16" t="n">
        <v>13510.8578038903</v>
      </c>
      <c r="CA34" s="16" t="n">
        <v>19402.010477409</v>
      </c>
      <c r="CB34" s="16" t="n">
        <v>282.061703455688</v>
      </c>
      <c r="CC34" s="16" t="n">
        <v>0</v>
      </c>
      <c r="CD34" s="16" t="n">
        <v>950.69728</v>
      </c>
      <c r="CE34" s="16" t="n">
        <v>12000</v>
      </c>
      <c r="CF34" s="16" t="n">
        <v>24.1059287479248</v>
      </c>
      <c r="CG34" s="16" t="n">
        <v>27.239699485155</v>
      </c>
      <c r="CH34" s="16" t="n">
        <v>1931.14787912326</v>
      </c>
      <c r="CI34" s="16" t="n">
        <v>-6.2083733271085</v>
      </c>
      <c r="CJ34" s="16" t="n">
        <v>3.00594144553374</v>
      </c>
      <c r="CK34" s="16" t="n">
        <v>39285.9729772628</v>
      </c>
      <c r="CL34" s="16" t="n">
        <v>166.80121522731</v>
      </c>
      <c r="CM34" s="16" t="n">
        <v>192.16878347731</v>
      </c>
      <c r="CN34" s="16" t="n">
        <v>1000</v>
      </c>
      <c r="CO34" s="16" t="n">
        <v>1.5535546875</v>
      </c>
      <c r="CP34" s="16" t="n">
        <v>1.09004417261298</v>
      </c>
      <c r="CQ34" s="16" t="n">
        <v>2.43175480846286</v>
      </c>
      <c r="CR34" s="16" t="n">
        <v>88.5855777440635</v>
      </c>
      <c r="CS34" s="16" t="n">
        <v>30.0623262385527</v>
      </c>
      <c r="CT34" s="16" t="n">
        <v>2.15199540571934</v>
      </c>
      <c r="CU34" s="16" t="n">
        <v>2.43175480846286</v>
      </c>
      <c r="CV34" s="16" t="n">
        <v>18170.6743739776</v>
      </c>
      <c r="CW34" s="16" t="n">
        <v>3707.91855210621</v>
      </c>
      <c r="CX34" s="16" t="n">
        <v>21878.5929260838</v>
      </c>
      <c r="CY34" s="16" t="n">
        <v>18170.6743739776</v>
      </c>
      <c r="CZ34" s="16" t="n">
        <v>1180.38304897759</v>
      </c>
      <c r="DA34" s="16" t="n">
        <v>24.1059287479248</v>
      </c>
      <c r="DB34" s="16" t="n">
        <v>16667.6805131632</v>
      </c>
      <c r="DC34" s="16" t="n">
        <v>12367.4189407671</v>
      </c>
      <c r="DD34" s="16" t="n">
        <v>11144.3333333333</v>
      </c>
      <c r="DE34" s="16" t="n">
        <v>1921.25</v>
      </c>
      <c r="DF34" s="16" t="n">
        <v>18485.5996189776</v>
      </c>
      <c r="DG34" s="16" t="n">
        <v>192.16878347731</v>
      </c>
      <c r="DH34" s="16" t="n">
        <v>0</v>
      </c>
      <c r="DI34" s="16" t="n">
        <v>30.0623539184816</v>
      </c>
    </row>
    <row r="35" customFormat="false" ht="15" hidden="false" customHeight="false" outlineLevel="0" collapsed="false">
      <c r="A35" s="0" t="s">
        <v>3258</v>
      </c>
      <c r="B35" s="16" t="n">
        <v>2465.07954157611</v>
      </c>
      <c r="C35" s="16" t="n">
        <v>8209.24039226006</v>
      </c>
      <c r="D35" s="16" t="n">
        <v>19716.7966317894</v>
      </c>
      <c r="E35" s="16" t="n">
        <v>4213.14398474076</v>
      </c>
      <c r="F35" s="16" t="n">
        <v>-1135.49021845689</v>
      </c>
      <c r="G35" s="16" t="n">
        <v>5020.26458750724</v>
      </c>
      <c r="H35" s="16" t="n">
        <v>-898.814009603721</v>
      </c>
      <c r="I35" s="17" t="n">
        <v>0.01</v>
      </c>
      <c r="J35" s="17" t="n">
        <v>88.869332374278</v>
      </c>
      <c r="K35" s="16" t="s">
        <v>116</v>
      </c>
      <c r="L35" s="16" t="n">
        <v>1000</v>
      </c>
      <c r="M35" s="16" t="n">
        <v>33779.4469253452</v>
      </c>
      <c r="N35" s="16" t="n">
        <v>11402.7039831813</v>
      </c>
      <c r="O35" s="16" t="n">
        <v>1000</v>
      </c>
      <c r="P35" s="16" t="n">
        <v>951.290832135856</v>
      </c>
      <c r="Q35" s="16" t="n">
        <v>-267.565775756198</v>
      </c>
      <c r="R35" s="16" t="n">
        <v>17617.7170533315</v>
      </c>
      <c r="S35" s="16" t="n">
        <v>26949.0428826358</v>
      </c>
      <c r="T35" s="16" t="n">
        <v>-955.692204749296</v>
      </c>
      <c r="U35" s="16" t="n">
        <v>-621.096213862173</v>
      </c>
      <c r="V35" s="16" t="n">
        <v>0.750319556751226</v>
      </c>
      <c r="W35" s="16" t="n">
        <v>46166.2147180189</v>
      </c>
      <c r="X35" s="16" t="n">
        <v>22149.4762774452</v>
      </c>
      <c r="Y35" s="16" t="n">
        <v>83.6012355238013</v>
      </c>
      <c r="Z35" s="16" t="n">
        <v>113.477250508716</v>
      </c>
      <c r="AA35" s="16" t="n">
        <v>27.424347870838</v>
      </c>
      <c r="AB35" s="16" t="n">
        <v>25.224347870838</v>
      </c>
      <c r="AC35" s="16" t="n">
        <v>26.674347870838</v>
      </c>
      <c r="AD35" s="16" t="n">
        <v>27.2673434792775</v>
      </c>
      <c r="AE35" s="16" t="n">
        <v>674.686407680941</v>
      </c>
      <c r="AF35" s="16" t="n">
        <v>0.03</v>
      </c>
      <c r="AG35" s="16" t="n">
        <v>0.654405917289144</v>
      </c>
      <c r="AH35" s="16" t="n">
        <v>9819.91719809611</v>
      </c>
      <c r="AI35" s="16" t="n">
        <v>19716.7966317894</v>
      </c>
      <c r="AJ35" s="16" t="n">
        <v>16.69175</v>
      </c>
      <c r="AK35" s="16" t="n">
        <v>0</v>
      </c>
      <c r="AL35" s="16" t="n">
        <v>1000</v>
      </c>
      <c r="AM35" s="16" t="n">
        <v>812.6073</v>
      </c>
      <c r="AN35" s="16" t="n">
        <v>20079.98904</v>
      </c>
      <c r="AO35" s="16" t="n">
        <v>-5508.72242389994</v>
      </c>
      <c r="AP35" s="16" t="n">
        <v>0.414483496940676</v>
      </c>
      <c r="AQ35" s="16" t="n">
        <v>78.645426879892</v>
      </c>
      <c r="AR35" s="16" t="n">
        <v>506.474954430797</v>
      </c>
      <c r="AS35" s="16" t="n">
        <v>314.925245</v>
      </c>
      <c r="AT35" s="16" t="n">
        <v>1000</v>
      </c>
      <c r="AU35" s="16" t="n">
        <v>12.270507</v>
      </c>
      <c r="AV35" s="16" t="n">
        <v>0</v>
      </c>
      <c r="AW35" s="16" t="n">
        <v>2254.3125</v>
      </c>
      <c r="AX35" s="16" t="n">
        <v>314.925245</v>
      </c>
      <c r="AY35" s="16" t="n">
        <v>314.925245</v>
      </c>
      <c r="AZ35" s="16" t="n">
        <v>5631.62619515181</v>
      </c>
      <c r="BA35" s="16" t="n">
        <v>0</v>
      </c>
      <c r="BB35" s="16" t="n">
        <v>417.928966666667</v>
      </c>
      <c r="BC35" s="16" t="n">
        <v>111441.907179589</v>
      </c>
      <c r="BD35" s="16" t="n">
        <v>16.751694488301</v>
      </c>
      <c r="BE35" s="16" t="n">
        <v>25.4089871102374</v>
      </c>
      <c r="BF35" s="16" t="n">
        <v>39.6368423190398</v>
      </c>
      <c r="BG35" s="16" t="n">
        <v>-8.27711430924607</v>
      </c>
      <c r="BH35" s="16" t="n">
        <v>-7.28866183200638</v>
      </c>
      <c r="BI35" s="16" t="n">
        <v>1.09242813813745</v>
      </c>
      <c r="BJ35" s="16" t="n">
        <v>2.04083187529388</v>
      </c>
      <c r="BK35" s="16" t="n">
        <v>5.25403316350504</v>
      </c>
      <c r="BL35" s="16" t="n">
        <v>7.88491984612206</v>
      </c>
      <c r="BM35" s="16" t="n">
        <v>3.71992671744367</v>
      </c>
      <c r="BN35" s="16" t="n">
        <v>4.46573109600205</v>
      </c>
      <c r="BO35" s="16" t="n">
        <v>5.7791095890411</v>
      </c>
      <c r="BP35" s="16" t="n">
        <v>8712.70308277889</v>
      </c>
      <c r="BQ35" s="16" t="n">
        <v>8176.87365522983</v>
      </c>
      <c r="BR35" s="16" t="n">
        <v>8176.87365522983</v>
      </c>
      <c r="BS35" s="16" t="n">
        <v>506.474954430797</v>
      </c>
      <c r="BT35" s="16" t="n">
        <v>301.7195</v>
      </c>
      <c r="BU35" s="16" t="n">
        <v>1081.9108</v>
      </c>
      <c r="BV35" s="16" t="s">
        <v>3237</v>
      </c>
      <c r="BW35" s="16" t="n">
        <v>42.7692307692308</v>
      </c>
      <c r="BX35" s="16" t="n">
        <v>0.155994305554286</v>
      </c>
      <c r="BY35" s="16" t="n">
        <v>0.161741466184191</v>
      </c>
      <c r="BZ35" s="16" t="n">
        <v>13510.8578038903</v>
      </c>
      <c r="CA35" s="16" t="n">
        <v>19402.010477409</v>
      </c>
      <c r="CB35" s="16" t="n">
        <v>278.503097417438</v>
      </c>
      <c r="CC35" s="16" t="n">
        <v>0</v>
      </c>
      <c r="CD35" s="16" t="n">
        <v>950.69728</v>
      </c>
      <c r="CE35" s="16" t="n">
        <v>12000</v>
      </c>
      <c r="CF35" s="16" t="n">
        <v>91.501383745125</v>
      </c>
      <c r="CG35" s="16" t="n">
        <v>103.396563631991</v>
      </c>
      <c r="CH35" s="16" t="n">
        <v>2643.77364301215</v>
      </c>
      <c r="CI35" s="16" t="n">
        <v>-6.2083733271085</v>
      </c>
      <c r="CJ35" s="16" t="n">
        <v>3.00594144553374</v>
      </c>
      <c r="CK35" s="16" t="n">
        <v>38739.6121648513</v>
      </c>
      <c r="CL35" s="16" t="n">
        <v>164.481464930797</v>
      </c>
      <c r="CM35" s="16" t="n">
        <v>189.849033180797</v>
      </c>
      <c r="CN35" s="16" t="n">
        <v>1000</v>
      </c>
      <c r="CO35" s="16" t="n">
        <v>1.5535546875</v>
      </c>
      <c r="CP35" s="16" t="n">
        <v>1.09004417261298</v>
      </c>
      <c r="CQ35" s="16" t="n">
        <v>3.97046602096122</v>
      </c>
      <c r="CR35" s="16" t="n">
        <v>88.869332374278</v>
      </c>
      <c r="CS35" s="16" t="n">
        <v>30.251102221468</v>
      </c>
      <c r="CT35" s="16" t="n">
        <v>3.51368674421347</v>
      </c>
      <c r="CU35" s="16" t="n">
        <v>3.97046602096122</v>
      </c>
      <c r="CV35" s="16" t="n">
        <v>189.849033180797</v>
      </c>
      <c r="CW35" s="16" t="n">
        <v>37.1349976050118</v>
      </c>
      <c r="CX35" s="16" t="n">
        <v>226.984030785808</v>
      </c>
      <c r="CY35" s="16" t="n">
        <v>10991.2196047346</v>
      </c>
      <c r="CZ35" s="16" t="n">
        <v>1169.00957579736</v>
      </c>
      <c r="DA35" s="16" t="n">
        <v>24.2501640779233</v>
      </c>
      <c r="DB35" s="16" t="n">
        <v>16775.9595284851</v>
      </c>
      <c r="DC35" s="16" t="n">
        <v>12447.761970136</v>
      </c>
      <c r="DD35" s="16" t="n">
        <v>11144.3333333333</v>
      </c>
      <c r="DE35" s="16" t="n">
        <v>1921.25</v>
      </c>
      <c r="DF35" s="16" t="n">
        <v>11306.1448497346</v>
      </c>
      <c r="DG35" s="16" t="n">
        <v>189.849033180797</v>
      </c>
      <c r="DH35" s="16" t="n">
        <v>0</v>
      </c>
      <c r="DI35" s="16" t="n">
        <v>30.2511309413356</v>
      </c>
    </row>
    <row r="36" customFormat="false" ht="15" hidden="false" customHeight="false" outlineLevel="0" collapsed="false">
      <c r="A36" s="0" t="s">
        <v>3259</v>
      </c>
      <c r="B36" s="16" t="n">
        <v>2465.07954157611</v>
      </c>
      <c r="C36" s="16" t="n">
        <v>8209.24039226006</v>
      </c>
      <c r="D36" s="16" t="n">
        <v>19716.7966317894</v>
      </c>
      <c r="E36" s="16" t="n">
        <v>4213.14398474076</v>
      </c>
      <c r="F36" s="16" t="n">
        <v>-1135.49021845689</v>
      </c>
      <c r="G36" s="16" t="n">
        <v>5020.26458750724</v>
      </c>
      <c r="H36" s="16" t="n">
        <v>-898.814009603721</v>
      </c>
      <c r="I36" s="17" t="n">
        <v>0.01</v>
      </c>
      <c r="J36" s="17" t="n">
        <v>30.251102221468</v>
      </c>
      <c r="K36" s="16" t="s">
        <v>116</v>
      </c>
      <c r="L36" s="16" t="n">
        <v>1000</v>
      </c>
      <c r="M36" s="16" t="n">
        <v>33779.4469253452</v>
      </c>
      <c r="N36" s="16" t="n">
        <v>11402.7039831813</v>
      </c>
      <c r="O36" s="16" t="n">
        <v>1000</v>
      </c>
      <c r="P36" s="16" t="n">
        <v>951.290832135856</v>
      </c>
      <c r="Q36" s="16" t="n">
        <v>-267.565775756198</v>
      </c>
      <c r="R36" s="16" t="n">
        <v>17617.7170533315</v>
      </c>
      <c r="S36" s="16" t="n">
        <v>26949.0428826358</v>
      </c>
      <c r="T36" s="16" t="n">
        <v>-955.692204749296</v>
      </c>
      <c r="U36" s="16" t="n">
        <v>-621.096213862173</v>
      </c>
      <c r="V36" s="16" t="n">
        <v>0.750319556751226</v>
      </c>
      <c r="W36" s="16" t="n">
        <v>46166.2147180189</v>
      </c>
      <c r="X36" s="16" t="n">
        <v>22149.4762774452</v>
      </c>
      <c r="Y36" s="16" t="n">
        <v>28.4578431513404</v>
      </c>
      <c r="Z36" s="16" t="n">
        <v>38.6276324265925</v>
      </c>
      <c r="AA36" s="16" t="n">
        <v>27.424347870838</v>
      </c>
      <c r="AB36" s="16" t="n">
        <v>25.224347870838</v>
      </c>
      <c r="AC36" s="16" t="n">
        <v>26.674347870838</v>
      </c>
      <c r="AD36" s="16" t="n">
        <v>27.2673434792775</v>
      </c>
      <c r="AE36" s="16" t="n">
        <v>674.686407680941</v>
      </c>
      <c r="AF36" s="16" t="n">
        <v>0.03</v>
      </c>
      <c r="AG36" s="16" t="n">
        <v>0.654405917289144</v>
      </c>
      <c r="AH36" s="16" t="n">
        <v>9819.91719809611</v>
      </c>
      <c r="AI36" s="16" t="n">
        <v>19716.7966317894</v>
      </c>
      <c r="AJ36" s="16" t="n">
        <v>16.69175</v>
      </c>
      <c r="AK36" s="16" t="n">
        <v>0</v>
      </c>
      <c r="AL36" s="16" t="n">
        <v>1000</v>
      </c>
      <c r="AM36" s="16" t="n">
        <v>812.6073</v>
      </c>
      <c r="AN36" s="16" t="n">
        <v>20079.98904</v>
      </c>
      <c r="AO36" s="16" t="n">
        <v>-5508.72242389994</v>
      </c>
      <c r="AP36" s="16" t="n">
        <v>0.414483496940676</v>
      </c>
      <c r="AQ36" s="16" t="n">
        <v>78.645426879892</v>
      </c>
      <c r="AR36" s="16" t="n">
        <v>506.474954430797</v>
      </c>
      <c r="AS36" s="16" t="n">
        <v>314.925245</v>
      </c>
      <c r="AT36" s="16" t="n">
        <v>1000</v>
      </c>
      <c r="AU36" s="16" t="n">
        <v>12.270507</v>
      </c>
      <c r="AV36" s="16" t="n">
        <v>0</v>
      </c>
      <c r="AW36" s="16" t="n">
        <v>2254.3125</v>
      </c>
      <c r="AX36" s="16" t="n">
        <v>314.925245</v>
      </c>
      <c r="AY36" s="16" t="n">
        <v>314.925245</v>
      </c>
      <c r="AZ36" s="16" t="n">
        <v>5631.62619515181</v>
      </c>
      <c r="BA36" s="16" t="n">
        <v>0</v>
      </c>
      <c r="BB36" s="16" t="n">
        <v>417.928966666667</v>
      </c>
      <c r="BC36" s="16" t="n">
        <v>111441.907179589</v>
      </c>
      <c r="BD36" s="16" t="n">
        <v>16.751694488301</v>
      </c>
      <c r="BE36" s="16" t="n">
        <v>25.4089871102374</v>
      </c>
      <c r="BF36" s="16" t="n">
        <v>39.6368423190398</v>
      </c>
      <c r="BG36" s="16" t="n">
        <v>-8.27711430924607</v>
      </c>
      <c r="BH36" s="16" t="n">
        <v>-7.28866183200638</v>
      </c>
      <c r="BI36" s="16" t="n">
        <v>1.09242813813745</v>
      </c>
      <c r="BJ36" s="16" t="n">
        <v>2.04083187529388</v>
      </c>
      <c r="BK36" s="16" t="n">
        <v>5.25403316350504</v>
      </c>
      <c r="BL36" s="16" t="n">
        <v>7.88491984612206</v>
      </c>
      <c r="BM36" s="16" t="n">
        <v>3.71992671744367</v>
      </c>
      <c r="BN36" s="16" t="n">
        <v>4.46573109600205</v>
      </c>
      <c r="BO36" s="16" t="n">
        <v>5.7791095890411</v>
      </c>
      <c r="BP36" s="16" t="n">
        <v>8712.70308277889</v>
      </c>
      <c r="BQ36" s="16" t="n">
        <v>8176.87365522983</v>
      </c>
      <c r="BR36" s="16" t="n">
        <v>8176.87365522983</v>
      </c>
      <c r="BS36" s="16" t="n">
        <v>506.474954430797</v>
      </c>
      <c r="BT36" s="16" t="n">
        <v>301.7195</v>
      </c>
      <c r="BU36" s="16" t="n">
        <v>1081.9108</v>
      </c>
      <c r="BV36" s="16" t="s">
        <v>3237</v>
      </c>
      <c r="BW36" s="16" t="n">
        <v>42.7692307692308</v>
      </c>
      <c r="BX36" s="16" t="n">
        <v>0.155994305554286</v>
      </c>
      <c r="BY36" s="16" t="n">
        <v>0.161741466184191</v>
      </c>
      <c r="BZ36" s="16" t="n">
        <v>13510.8578038903</v>
      </c>
      <c r="CA36" s="16" t="n">
        <v>19402.010477409</v>
      </c>
      <c r="CB36" s="16" t="n">
        <v>278.503097417438</v>
      </c>
      <c r="CC36" s="16" t="n">
        <v>0</v>
      </c>
      <c r="CD36" s="16" t="n">
        <v>950.69728</v>
      </c>
      <c r="CE36" s="16" t="n">
        <v>12000</v>
      </c>
      <c r="CF36" s="16" t="n">
        <v>91.501383745125</v>
      </c>
      <c r="CG36" s="16" t="n">
        <v>103.396563631991</v>
      </c>
      <c r="CH36" s="16" t="n">
        <v>2643.77364301215</v>
      </c>
      <c r="CI36" s="16" t="n">
        <v>-6.2083733271085</v>
      </c>
      <c r="CJ36" s="16" t="n">
        <v>3.00594144553374</v>
      </c>
      <c r="CK36" s="16" t="n">
        <v>38739.6121648513</v>
      </c>
      <c r="CL36" s="16" t="n">
        <v>164.481464930797</v>
      </c>
      <c r="CM36" s="16" t="n">
        <v>189.849033180797</v>
      </c>
      <c r="CN36" s="16" t="n">
        <v>1000</v>
      </c>
      <c r="CO36" s="16" t="n">
        <v>1.5535546875</v>
      </c>
      <c r="CP36" s="16" t="n">
        <v>1.09004417261298</v>
      </c>
      <c r="CQ36" s="16" t="n">
        <v>3.97046602096122</v>
      </c>
      <c r="CR36" s="16" t="n">
        <v>88.869332374278</v>
      </c>
      <c r="CS36" s="16" t="n">
        <v>30.251102221468</v>
      </c>
      <c r="CT36" s="16" t="n">
        <v>3.51368674421347</v>
      </c>
      <c r="CU36" s="16" t="n">
        <v>3.97046602096122</v>
      </c>
      <c r="CV36" s="16" t="n">
        <v>1169.00957579736</v>
      </c>
      <c r="CW36" s="16" t="n">
        <v>37.1349976050118</v>
      </c>
      <c r="CX36" s="16" t="n">
        <v>1206.14457340237</v>
      </c>
      <c r="CY36" s="16" t="n">
        <v>10991.2196047346</v>
      </c>
      <c r="CZ36" s="16" t="n">
        <v>1169.00957579736</v>
      </c>
      <c r="DA36" s="16" t="n">
        <v>24.2501640779233</v>
      </c>
      <c r="DB36" s="16" t="n">
        <v>16775.9595284851</v>
      </c>
      <c r="DC36" s="16" t="n">
        <v>12447.761970136</v>
      </c>
      <c r="DD36" s="16" t="n">
        <v>11144.3333333333</v>
      </c>
      <c r="DE36" s="16" t="n">
        <v>1921.25</v>
      </c>
      <c r="DF36" s="16" t="n">
        <v>11306.1448497346</v>
      </c>
      <c r="DG36" s="16" t="n">
        <v>189.849033180797</v>
      </c>
      <c r="DH36" s="16" t="n">
        <v>0</v>
      </c>
      <c r="DI36" s="16" t="n">
        <v>30.2511309413356</v>
      </c>
    </row>
    <row r="37" customFormat="false" ht="15" hidden="false" customHeight="false" outlineLevel="0" collapsed="false">
      <c r="A37" s="0" t="s">
        <v>3260</v>
      </c>
      <c r="B37" s="16" t="n">
        <v>2822.95391308961</v>
      </c>
      <c r="C37" s="16" t="n">
        <v>13514.6499380133</v>
      </c>
      <c r="D37" s="16" t="n">
        <v>28701.9254919039</v>
      </c>
      <c r="E37" s="16" t="n">
        <v>7841.10089763175</v>
      </c>
      <c r="F37" s="16" t="n">
        <v>2018.4216296884</v>
      </c>
      <c r="G37" s="16" t="n">
        <v>5282.09327042282</v>
      </c>
      <c r="H37" s="16" t="n">
        <v>125480.859518724</v>
      </c>
      <c r="I37" s="17" t="n">
        <v>355.026856324297</v>
      </c>
      <c r="J37" s="17" t="n">
        <v>364.264950992498</v>
      </c>
      <c r="K37" s="16" t="s">
        <v>116</v>
      </c>
      <c r="L37" s="16" t="n">
        <v>1000</v>
      </c>
      <c r="M37" s="16" t="n">
        <v>37641.1606487603</v>
      </c>
      <c r="N37" s="16" t="n">
        <v>18116.2303461208</v>
      </c>
      <c r="O37" s="16" t="n">
        <v>1000</v>
      </c>
      <c r="P37" s="16" t="n">
        <v>1212.1769462832</v>
      </c>
      <c r="Q37" s="16" t="n">
        <v>6323.58224228652</v>
      </c>
      <c r="R37" s="16" t="n">
        <v>23963.3261282618</v>
      </c>
      <c r="S37" s="16" t="n">
        <v>22480.1453098381</v>
      </c>
      <c r="T37" s="16" t="n">
        <v>-533.47336857847</v>
      </c>
      <c r="U37" s="16" t="n">
        <v>137784.257807271</v>
      </c>
      <c r="V37" s="16" t="n">
        <v>0.750319556751226</v>
      </c>
      <c r="W37" s="16" t="n">
        <v>155548.965916848</v>
      </c>
      <c r="X37" s="16" t="n">
        <v>23092.6812313472</v>
      </c>
      <c r="Y37" s="16" t="n">
        <v>344.198025594029</v>
      </c>
      <c r="Z37" s="16" t="n">
        <v>456.933954524989</v>
      </c>
      <c r="AA37" s="16" t="n">
        <v>43.041696075</v>
      </c>
      <c r="AB37" s="16" t="n">
        <v>40.841696075</v>
      </c>
      <c r="AC37" s="16" t="n">
        <v>42.291696075</v>
      </c>
      <c r="AD37" s="16" t="n">
        <v>46.9632728285</v>
      </c>
      <c r="AE37" s="16" t="n">
        <v>785.656190328325</v>
      </c>
      <c r="AF37" s="16" t="n">
        <v>0.035</v>
      </c>
      <c r="AG37" s="16" t="n">
        <v>0.702162322639483</v>
      </c>
      <c r="AH37" s="16" t="n">
        <v>3709.5941014662</v>
      </c>
      <c r="AI37" s="16" t="n">
        <v>28701.9254919039</v>
      </c>
      <c r="AJ37" s="16" t="n">
        <v>19.0921875</v>
      </c>
      <c r="AK37" s="16" t="n">
        <v>0</v>
      </c>
      <c r="AL37" s="16" t="n">
        <v>1000</v>
      </c>
      <c r="AM37" s="16" t="n">
        <v>1071.7478</v>
      </c>
      <c r="AN37" s="16" t="n">
        <v>26532.1623755</v>
      </c>
      <c r="AO37" s="16" t="n">
        <v>-8420.54944033089</v>
      </c>
      <c r="AP37" s="16" t="n">
        <v>0</v>
      </c>
      <c r="AQ37" s="16" t="n">
        <v>325.236563386159</v>
      </c>
      <c r="AR37" s="16" t="n">
        <v>496.636109925205</v>
      </c>
      <c r="AS37" s="16" t="n">
        <v>388.09530984161</v>
      </c>
      <c r="AT37" s="16" t="n">
        <v>1000</v>
      </c>
      <c r="AU37" s="16" t="n">
        <v>12.270507</v>
      </c>
      <c r="AV37" s="16" t="n">
        <v>0</v>
      </c>
      <c r="AW37" s="16" t="n">
        <v>3694.865</v>
      </c>
      <c r="AX37" s="16" t="n">
        <v>388.09530984161</v>
      </c>
      <c r="AY37" s="16" t="n">
        <v>350.039434452992</v>
      </c>
      <c r="AZ37" s="16" t="n">
        <v>8424.25061720007</v>
      </c>
      <c r="BA37" s="16" t="n">
        <v>0</v>
      </c>
      <c r="BB37" s="16" t="n">
        <v>677.069466666667</v>
      </c>
      <c r="BC37" s="16" t="n">
        <v>116510.551420808</v>
      </c>
      <c r="BD37" s="16" t="n">
        <v>16.3290373938001</v>
      </c>
      <c r="BE37" s="16" t="n">
        <v>24.9863300157365</v>
      </c>
      <c r="BF37" s="16" t="n">
        <v>40.3559441977689</v>
      </c>
      <c r="BG37" s="16" t="n">
        <v>-6.86548043539002</v>
      </c>
      <c r="BH37" s="16" t="n">
        <v>-0.510471429167696</v>
      </c>
      <c r="BI37" s="16" t="n">
        <v>2.24787422120944</v>
      </c>
      <c r="BJ37" s="16" t="n">
        <v>8.60288322743177</v>
      </c>
      <c r="BK37" s="16" t="n">
        <v>6.53606807781388</v>
      </c>
      <c r="BL37" s="16" t="n">
        <v>15.7885171639902</v>
      </c>
      <c r="BM37" s="16" t="n">
        <v>4.18491755712413</v>
      </c>
      <c r="BN37" s="16" t="n">
        <v>5.02394748300231</v>
      </c>
      <c r="BO37" s="16" t="n">
        <v>7.13470319634703</v>
      </c>
      <c r="BP37" s="16" t="n">
        <v>12077.6391665806</v>
      </c>
      <c r="BQ37" s="16" t="n">
        <v>13480.8203778751</v>
      </c>
      <c r="BR37" s="16" t="n">
        <v>13480.8203778751</v>
      </c>
      <c r="BS37" s="16" t="n">
        <v>496.636109925205</v>
      </c>
      <c r="BT37" s="16" t="n">
        <v>413.9493</v>
      </c>
      <c r="BU37" s="16" t="n">
        <v>1369.2143</v>
      </c>
      <c r="BV37" s="16" t="s">
        <v>3238</v>
      </c>
      <c r="BW37" s="16" t="n">
        <v>42.7692307692308</v>
      </c>
      <c r="BX37" s="16" t="n">
        <v>0.155994305554286</v>
      </c>
      <c r="BY37" s="16" t="n">
        <v>0.213851354521278</v>
      </c>
      <c r="BZ37" s="16" t="n">
        <v>0</v>
      </c>
      <c r="CA37" s="16" t="n">
        <v>9949.84803296745</v>
      </c>
      <c r="CB37" s="16" t="n">
        <v>157.255364019063</v>
      </c>
      <c r="CC37" s="16" t="n">
        <v>0</v>
      </c>
      <c r="CD37" s="16" t="n">
        <v>872.7296</v>
      </c>
      <c r="CE37" s="16" t="n">
        <v>12000</v>
      </c>
      <c r="CF37" s="16" t="n">
        <v>77.9118147277591</v>
      </c>
      <c r="CG37" s="16" t="n">
        <v>87.2612324950902</v>
      </c>
      <c r="CH37" s="16" t="n">
        <v>3188.69833333333</v>
      </c>
      <c r="CI37" s="16" t="n">
        <v>-0.379462866110714</v>
      </c>
      <c r="CJ37" s="16" t="n">
        <v>9.74648675233316</v>
      </c>
      <c r="CK37" s="16" t="n">
        <v>26085.2361535278</v>
      </c>
      <c r="CL37" s="16" t="n">
        <v>107.430650111312</v>
      </c>
      <c r="CM37" s="16" t="n">
        <v>132.798218361312</v>
      </c>
      <c r="CN37" s="16" t="n">
        <v>1000</v>
      </c>
      <c r="CO37" s="16" t="n">
        <v>1.70486111111111</v>
      </c>
      <c r="CP37" s="16" t="n">
        <v>0.90519877675841</v>
      </c>
      <c r="CQ37" s="16" t="n">
        <v>401.014364683567</v>
      </c>
      <c r="CR37" s="16" t="n">
        <v>364.264950992498</v>
      </c>
      <c r="CS37" s="16" t="n">
        <v>389.667065564172</v>
      </c>
      <c r="CT37" s="16" t="n">
        <v>358.048539896042</v>
      </c>
      <c r="CU37" s="16" t="n">
        <v>401.014364683567</v>
      </c>
      <c r="CV37" s="16" t="n">
        <v>132.798218361312</v>
      </c>
      <c r="CW37" s="16" t="n">
        <v>37.1349976050118</v>
      </c>
      <c r="CX37" s="16" t="n">
        <v>169.933215966324</v>
      </c>
      <c r="CY37" s="16" t="n">
        <v>87.1175474539217</v>
      </c>
      <c r="CZ37" s="16" t="n">
        <v>101.108810454883</v>
      </c>
      <c r="DA37" s="16" t="n">
        <v>23.0016212254338</v>
      </c>
      <c r="DB37" s="16" t="n">
        <v>18843.2506172001</v>
      </c>
      <c r="DC37" s="16" t="n">
        <v>13981.6919579624</v>
      </c>
      <c r="DD37" s="16" t="n">
        <v>10419</v>
      </c>
      <c r="DE37" s="16" t="n">
        <v>-3795</v>
      </c>
      <c r="DF37" s="16" t="n">
        <v>451.123810454422</v>
      </c>
      <c r="DG37" s="16" t="n">
        <v>132.798218361312</v>
      </c>
      <c r="DH37" s="16" t="n">
        <v>0</v>
      </c>
      <c r="DI37" s="16" t="n">
        <v>389.667065564172</v>
      </c>
    </row>
    <row r="38" customFormat="false" ht="15" hidden="false" customHeight="false" outlineLevel="0" collapsed="false">
      <c r="A38" s="0" t="s">
        <v>3261</v>
      </c>
      <c r="B38" s="16" t="n">
        <v>2161.09062763565</v>
      </c>
      <c r="C38" s="16" t="n">
        <v>4287.20023545696</v>
      </c>
      <c r="D38" s="16" t="n">
        <v>10944.1398681103</v>
      </c>
      <c r="E38" s="16" t="n">
        <v>1840.94291622573</v>
      </c>
      <c r="F38" s="16" t="n">
        <v>-3929.75629162136</v>
      </c>
      <c r="G38" s="16" t="n">
        <v>5599.21119842882</v>
      </c>
      <c r="H38" s="16" t="n">
        <v>-34363.0239982634</v>
      </c>
      <c r="I38" s="17" t="n">
        <v>0.01</v>
      </c>
      <c r="J38" s="17" t="n">
        <v>33.8972825638795</v>
      </c>
      <c r="K38" s="16" t="s">
        <v>116</v>
      </c>
      <c r="L38" s="16" t="n">
        <v>1000</v>
      </c>
      <c r="M38" s="16" t="n">
        <v>23393.2765619591</v>
      </c>
      <c r="N38" s="16" t="n">
        <v>5268.34038131425</v>
      </c>
      <c r="O38" s="16" t="n">
        <v>1000</v>
      </c>
      <c r="P38" s="16" t="n">
        <v>747.002337313713</v>
      </c>
      <c r="Q38" s="16" t="n">
        <v>-6256.63951054422</v>
      </c>
      <c r="R38" s="16" t="n">
        <v>10749.8273603027</v>
      </c>
      <c r="S38" s="16" t="n">
        <v>27562.9798373622</v>
      </c>
      <c r="T38" s="16" t="n">
        <v>-1436.17830391911</v>
      </c>
      <c r="U38" s="16" t="n">
        <v>-34087.8704089523</v>
      </c>
      <c r="V38" s="16" t="n">
        <v>0.750319556751226</v>
      </c>
      <c r="W38" s="16" t="n">
        <v>16992.5164114785</v>
      </c>
      <c r="X38" s="16" t="n">
        <v>14072.7441668294</v>
      </c>
      <c r="Y38" s="16" t="n">
        <v>31.6093789770982</v>
      </c>
      <c r="Z38" s="16" t="n">
        <v>44.8291561907306</v>
      </c>
      <c r="AA38" s="16" t="n">
        <v>22.27279275</v>
      </c>
      <c r="AB38" s="16" t="n">
        <v>20.07279275</v>
      </c>
      <c r="AC38" s="16" t="n">
        <v>21.52279275</v>
      </c>
      <c r="AD38" s="16" t="n">
        <v>21.8718824805</v>
      </c>
      <c r="AE38" s="16" t="n">
        <v>594.149368983825</v>
      </c>
      <c r="AF38" s="16" t="n">
        <v>0.02</v>
      </c>
      <c r="AG38" s="16" t="n">
        <v>0.572671227358019</v>
      </c>
      <c r="AH38" s="16" t="n">
        <v>15317.8810251285</v>
      </c>
      <c r="AI38" s="16" t="n">
        <v>10944.1398681103</v>
      </c>
      <c r="AJ38" s="16" t="n">
        <v>14.7365561910928</v>
      </c>
      <c r="AK38" s="16" t="n">
        <v>0</v>
      </c>
      <c r="AL38" s="16" t="n">
        <v>1000</v>
      </c>
      <c r="AM38" s="16" t="n">
        <v>470.44678</v>
      </c>
      <c r="AN38" s="16" t="n">
        <v>12000</v>
      </c>
      <c r="AO38" s="16" t="n">
        <v>-2079.00657489433</v>
      </c>
      <c r="AP38" s="16" t="n">
        <v>1</v>
      </c>
      <c r="AQ38" s="16" t="n">
        <v>29.4758978816343</v>
      </c>
      <c r="AR38" s="16" t="n">
        <v>703.192915045556</v>
      </c>
      <c r="AS38" s="16" t="n">
        <v>314.925245</v>
      </c>
      <c r="AT38" s="16" t="n">
        <v>1000</v>
      </c>
      <c r="AU38" s="16" t="n">
        <v>12.270507</v>
      </c>
      <c r="AV38" s="16" t="n">
        <v>0</v>
      </c>
      <c r="AW38" s="16" t="n">
        <v>998.76</v>
      </c>
      <c r="AX38" s="16" t="n">
        <v>314.925245</v>
      </c>
      <c r="AY38" s="16" t="n">
        <v>314.925245</v>
      </c>
      <c r="AZ38" s="16" t="n">
        <v>1668.24598467516</v>
      </c>
      <c r="BA38" s="16" t="n">
        <v>1732.5375</v>
      </c>
      <c r="BB38" s="16" t="n">
        <v>155.768446666667</v>
      </c>
      <c r="BC38" s="16" t="n">
        <v>88718.5578003424</v>
      </c>
      <c r="BD38" s="16" t="n">
        <v>8.14523324094375</v>
      </c>
      <c r="BE38" s="16" t="n">
        <v>16.8025258628801</v>
      </c>
      <c r="BF38" s="16" t="n">
        <v>29.677242910116</v>
      </c>
      <c r="BG38" s="16" t="n">
        <v>-13.6535979204585</v>
      </c>
      <c r="BH38" s="16" t="n">
        <v>-20.0976093877166</v>
      </c>
      <c r="BI38" s="16" t="n">
        <v>-3.59741167595651</v>
      </c>
      <c r="BJ38" s="16" t="n">
        <v>-9.93933550584831</v>
      </c>
      <c r="BK38" s="16" t="n">
        <v>-0.548394239950376</v>
      </c>
      <c r="BL38" s="16" t="n">
        <v>-6.73470781259538</v>
      </c>
      <c r="BM38" s="16" t="n">
        <v>3.37118358768332</v>
      </c>
      <c r="BN38" s="16" t="n">
        <v>4.04706880575186</v>
      </c>
      <c r="BO38" s="16" t="n">
        <v>5.1726598173516</v>
      </c>
      <c r="BP38" s="16" t="n">
        <v>5354.49215439957</v>
      </c>
      <c r="BQ38" s="16" t="n">
        <v>4257.60023545696</v>
      </c>
      <c r="BR38" s="16" t="n">
        <v>4257.60023545696</v>
      </c>
      <c r="BS38" s="16" t="n">
        <v>703.192915045556</v>
      </c>
      <c r="BT38" s="16" t="n">
        <v>189.4897</v>
      </c>
      <c r="BU38" s="16" t="n">
        <v>794.6073</v>
      </c>
      <c r="BV38" s="16" t="s">
        <v>3237</v>
      </c>
      <c r="BW38" s="16" t="n">
        <v>42.7692307692308</v>
      </c>
      <c r="BX38" s="16" t="n">
        <v>0.124596585374074</v>
      </c>
      <c r="BY38" s="16" t="n">
        <v>0.0866148510447071</v>
      </c>
      <c r="BZ38" s="16" t="n">
        <v>13510.8578038903</v>
      </c>
      <c r="CA38" s="16" t="n">
        <v>9557.85015295579</v>
      </c>
      <c r="CB38" s="16" t="n">
        <v>553.423588503561</v>
      </c>
      <c r="CC38" s="16" t="n">
        <v>1732.5375</v>
      </c>
      <c r="CD38" s="16" t="n">
        <v>1028.66496</v>
      </c>
      <c r="CE38" s="16" t="n">
        <v>12000</v>
      </c>
      <c r="CF38" s="16" t="n">
        <v>80.6706160314369</v>
      </c>
      <c r="CG38" s="16" t="n">
        <v>92.7712084361524</v>
      </c>
      <c r="CH38" s="16" t="n">
        <v>1983.66628420139</v>
      </c>
      <c r="CI38" s="16" t="n">
        <v>-14.9451536418179</v>
      </c>
      <c r="CJ38" s="16" t="n">
        <v>-5.32272994264565</v>
      </c>
      <c r="CK38" s="16" t="n">
        <v>52869.4642301874</v>
      </c>
      <c r="CL38" s="16" t="n">
        <v>362.900101795556</v>
      </c>
      <c r="CM38" s="16" t="n">
        <v>388.267670045556</v>
      </c>
      <c r="CN38" s="16" t="n">
        <v>1000</v>
      </c>
      <c r="CO38" s="16" t="n">
        <v>1.534375</v>
      </c>
      <c r="CP38" s="16" t="n">
        <v>1.31022765885151</v>
      </c>
      <c r="CQ38" s="16" t="n">
        <v>0</v>
      </c>
      <c r="CR38" s="16" t="n">
        <v>33.8972825638795</v>
      </c>
      <c r="CS38" s="16" t="n">
        <v>0</v>
      </c>
      <c r="CT38" s="16" t="n">
        <v>0</v>
      </c>
      <c r="CU38" s="16" t="n">
        <v>0.0115</v>
      </c>
      <c r="CV38" s="16" t="n">
        <v>388.267670045556</v>
      </c>
      <c r="CW38" s="16" t="n">
        <v>0</v>
      </c>
      <c r="CX38" s="16" t="n">
        <v>388.267670045556</v>
      </c>
      <c r="CY38" s="16" t="n">
        <v>4919856.98373821</v>
      </c>
      <c r="CZ38" s="16" t="n">
        <v>6306107.02458794</v>
      </c>
      <c r="DA38" s="16" t="n">
        <v>24.005515024774</v>
      </c>
      <c r="DB38" s="16" t="n">
        <v>13676.5793180085</v>
      </c>
      <c r="DC38" s="16" t="n">
        <v>10148.0218539623</v>
      </c>
      <c r="DD38" s="16" t="n">
        <v>12008.3333333333</v>
      </c>
      <c r="DE38" s="16" t="n">
        <v>1921.25</v>
      </c>
      <c r="DF38" s="16" t="n">
        <v>4920171.90898321</v>
      </c>
      <c r="DG38" s="16" t="n">
        <v>388.267670045556</v>
      </c>
      <c r="DH38" s="16" t="n">
        <v>0</v>
      </c>
      <c r="DI38" s="16" t="n">
        <v>0.0115</v>
      </c>
    </row>
    <row r="39" customFormat="false" ht="15" hidden="false" customHeight="false" outlineLevel="0" collapsed="false">
      <c r="A39" s="0" t="s">
        <v>3262</v>
      </c>
      <c r="B39" s="16" t="n">
        <v>2465.07954157611</v>
      </c>
      <c r="C39" s="16" t="n">
        <v>8209.24039226006</v>
      </c>
      <c r="D39" s="16" t="n">
        <v>19716.7966317894</v>
      </c>
      <c r="E39" s="16" t="n">
        <v>4213.14398474076</v>
      </c>
      <c r="F39" s="16" t="n">
        <v>-1135.49021845689</v>
      </c>
      <c r="G39" s="16" t="n">
        <v>5020.26458750724</v>
      </c>
      <c r="H39" s="16" t="n">
        <v>6207.61946889793</v>
      </c>
      <c r="I39" s="17" t="n">
        <v>20.5932594087193</v>
      </c>
      <c r="J39" s="17" t="n">
        <v>29.4621796077423</v>
      </c>
      <c r="K39" s="16" t="s">
        <v>116</v>
      </c>
      <c r="L39" s="16" t="n">
        <v>1000</v>
      </c>
      <c r="M39" s="16" t="n">
        <v>33779.4469253452</v>
      </c>
      <c r="N39" s="16" t="n">
        <v>11402.7039831813</v>
      </c>
      <c r="O39" s="16" t="n">
        <v>1000</v>
      </c>
      <c r="P39" s="16" t="n">
        <v>951.290832135856</v>
      </c>
      <c r="Q39" s="16" t="n">
        <v>-267.565775756198</v>
      </c>
      <c r="R39" s="16" t="n">
        <v>17617.7170533315</v>
      </c>
      <c r="S39" s="16" t="n">
        <v>26949.0428826358</v>
      </c>
      <c r="T39" s="16" t="n">
        <v>-955.692204749296</v>
      </c>
      <c r="U39" s="16" t="n">
        <v>6485.33726463948</v>
      </c>
      <c r="V39" s="16" t="n">
        <v>0.750319556751226</v>
      </c>
      <c r="W39" s="16" t="n">
        <v>52237.3948391385</v>
      </c>
      <c r="X39" s="16" t="n">
        <v>22149.4762774452</v>
      </c>
      <c r="Y39" s="16" t="n">
        <v>27.7156871850689</v>
      </c>
      <c r="Z39" s="16" t="n">
        <v>37.6202571411262</v>
      </c>
      <c r="AA39" s="16" t="n">
        <v>27.424347870838</v>
      </c>
      <c r="AB39" s="16" t="n">
        <v>25.224347870838</v>
      </c>
      <c r="AC39" s="16" t="n">
        <v>26.674347870838</v>
      </c>
      <c r="AD39" s="16" t="n">
        <v>27.2673434792775</v>
      </c>
      <c r="AE39" s="16" t="n">
        <v>674.686407680941</v>
      </c>
      <c r="AF39" s="16" t="n">
        <v>0.03</v>
      </c>
      <c r="AG39" s="16" t="n">
        <v>0.654405917289144</v>
      </c>
      <c r="AH39" s="16" t="n">
        <v>9819.91719809611</v>
      </c>
      <c r="AI39" s="16" t="n">
        <v>19716.7966317894</v>
      </c>
      <c r="AJ39" s="16" t="n">
        <v>16.69175</v>
      </c>
      <c r="AK39" s="16" t="n">
        <v>0</v>
      </c>
      <c r="AL39" s="16" t="n">
        <v>1000</v>
      </c>
      <c r="AM39" s="16" t="n">
        <v>812.6073</v>
      </c>
      <c r="AN39" s="16" t="n">
        <v>20079.98904</v>
      </c>
      <c r="AO39" s="16" t="n">
        <v>-5508.72242389994</v>
      </c>
      <c r="AP39" s="16" t="n">
        <v>0.414483496940676</v>
      </c>
      <c r="AQ39" s="16" t="n">
        <v>92.602916945967</v>
      </c>
      <c r="AR39" s="16" t="n">
        <v>506.688037883983</v>
      </c>
      <c r="AS39" s="16" t="n">
        <v>314.925245</v>
      </c>
      <c r="AT39" s="16" t="n">
        <v>1000</v>
      </c>
      <c r="AU39" s="16" t="n">
        <v>12.270507</v>
      </c>
      <c r="AV39" s="16" t="n">
        <v>0</v>
      </c>
      <c r="AW39" s="16" t="n">
        <v>2254.3125</v>
      </c>
      <c r="AX39" s="16" t="n">
        <v>314.925245</v>
      </c>
      <c r="AY39" s="16" t="n">
        <v>314.925245</v>
      </c>
      <c r="AZ39" s="16" t="n">
        <v>5631.62619515181</v>
      </c>
      <c r="BA39" s="16" t="n">
        <v>0</v>
      </c>
      <c r="BB39" s="16" t="n">
        <v>417.928966666667</v>
      </c>
      <c r="BC39" s="16" t="n">
        <v>111441.907179589</v>
      </c>
      <c r="BD39" s="16" t="n">
        <v>16.751694488301</v>
      </c>
      <c r="BE39" s="16" t="n">
        <v>25.4089871102374</v>
      </c>
      <c r="BF39" s="16" t="n">
        <v>39.6368423190398</v>
      </c>
      <c r="BG39" s="16" t="n">
        <v>-7.31940849053845</v>
      </c>
      <c r="BH39" s="16" t="n">
        <v>-4.68852180792144</v>
      </c>
      <c r="BI39" s="16" t="n">
        <v>5.25403316350504</v>
      </c>
      <c r="BJ39" s="16" t="n">
        <v>7.88491984612206</v>
      </c>
      <c r="BK39" s="16" t="n">
        <v>5.25403316350504</v>
      </c>
      <c r="BL39" s="16" t="n">
        <v>7.88491984612206</v>
      </c>
      <c r="BM39" s="16" t="n">
        <v>3.71992671744367</v>
      </c>
      <c r="BN39" s="16" t="n">
        <v>4.46573109600205</v>
      </c>
      <c r="BO39" s="16" t="n">
        <v>5.7791095890411</v>
      </c>
      <c r="BP39" s="16" t="n">
        <v>8712.70308277889</v>
      </c>
      <c r="BQ39" s="16" t="n">
        <v>8176.87365522983</v>
      </c>
      <c r="BR39" s="16" t="n">
        <v>8176.87365522983</v>
      </c>
      <c r="BS39" s="16" t="n">
        <v>506.688037883983</v>
      </c>
      <c r="BT39" s="16" t="n">
        <v>301.7195</v>
      </c>
      <c r="BU39" s="16" t="n">
        <v>1081.9108</v>
      </c>
      <c r="BV39" s="16" t="s">
        <v>3238</v>
      </c>
      <c r="BW39" s="16" t="n">
        <v>42.7692307692308</v>
      </c>
      <c r="BX39" s="16" t="n">
        <v>0.155994305554286</v>
      </c>
      <c r="BY39" s="16" t="n">
        <v>0.161741466184191</v>
      </c>
      <c r="BZ39" s="16" t="n">
        <v>13510.8578038903</v>
      </c>
      <c r="CA39" s="16" t="n">
        <v>19402.010477409</v>
      </c>
      <c r="CB39" s="16" t="n">
        <v>278.67832072793</v>
      </c>
      <c r="CC39" s="16" t="n">
        <v>0</v>
      </c>
      <c r="CD39" s="16" t="n">
        <v>950.69728</v>
      </c>
      <c r="CE39" s="16" t="n">
        <v>12000</v>
      </c>
      <c r="CF39" s="16" t="n">
        <v>24.2437411913341</v>
      </c>
      <c r="CG39" s="16" t="n">
        <v>27.3954275462075</v>
      </c>
      <c r="CH39" s="16" t="n">
        <v>2643.77364301215</v>
      </c>
      <c r="CI39" s="16" t="n">
        <v>-4.88573134795616</v>
      </c>
      <c r="CJ39" s="16" t="n">
        <v>7.53248263134605</v>
      </c>
      <c r="CK39" s="16" t="n">
        <v>38722.0299808513</v>
      </c>
      <c r="CL39" s="16" t="n">
        <v>164.406814121989</v>
      </c>
      <c r="CM39" s="16" t="n">
        <v>189.774382371989</v>
      </c>
      <c r="CN39" s="16" t="n">
        <v>1000</v>
      </c>
      <c r="CO39" s="16" t="n">
        <v>1.5535546875</v>
      </c>
      <c r="CP39" s="16" t="n">
        <v>1.09004417261298</v>
      </c>
      <c r="CQ39" s="16" t="n">
        <v>29.4621796077423</v>
      </c>
      <c r="CR39" s="16" t="n">
        <v>104.641296148943</v>
      </c>
      <c r="CS39" s="16" t="n">
        <v>50.3655810103158</v>
      </c>
      <c r="CT39" s="16" t="n">
        <v>26.0727253165861</v>
      </c>
      <c r="CU39" s="16" t="n">
        <v>29.4621796077423</v>
      </c>
      <c r="CV39" s="16" t="n">
        <v>1480.63321744389</v>
      </c>
      <c r="CW39" s="16" t="n">
        <v>306.044864586441</v>
      </c>
      <c r="CX39" s="16" t="n">
        <v>1786.67808203033</v>
      </c>
      <c r="CY39" s="16" t="n">
        <v>1480.63321744389</v>
      </c>
      <c r="CZ39" s="16" t="n">
        <v>735.416374327065</v>
      </c>
      <c r="DA39" s="16" t="n">
        <v>24.2437411913341</v>
      </c>
      <c r="DB39" s="16" t="n">
        <v>16775.9595284851</v>
      </c>
      <c r="DC39" s="16" t="n">
        <v>16775.9595284851</v>
      </c>
      <c r="DD39" s="16" t="n">
        <v>11144.3333333333</v>
      </c>
      <c r="DE39" s="16" t="n">
        <v>1921.25</v>
      </c>
      <c r="DF39" s="16" t="n">
        <v>1795.55846244389</v>
      </c>
      <c r="DG39" s="16" t="n">
        <v>189.774382371989</v>
      </c>
      <c r="DH39" s="16" t="n">
        <v>0</v>
      </c>
      <c r="DI39" s="16" t="n">
        <v>50.3655812582185</v>
      </c>
    </row>
    <row r="40" customFormat="false" ht="15" hidden="false" customHeight="false" outlineLevel="0" collapsed="false">
      <c r="A40" s="0" t="s">
        <v>3263</v>
      </c>
      <c r="B40" s="16" t="n">
        <v>2465.07954157611</v>
      </c>
      <c r="C40" s="16" t="n">
        <v>8490.69646682863</v>
      </c>
      <c r="D40" s="16" t="n">
        <v>20346.7356507876</v>
      </c>
      <c r="E40" s="16" t="n">
        <v>4412.97779768444</v>
      </c>
      <c r="F40" s="16" t="n">
        <v>-947.151653906466</v>
      </c>
      <c r="G40" s="16" t="n">
        <v>5020.50159291776</v>
      </c>
      <c r="H40" s="16" t="n">
        <v>743.652520240535</v>
      </c>
      <c r="I40" s="17" t="n">
        <v>3.24321511913751</v>
      </c>
      <c r="J40" s="17" t="n">
        <v>9.43790140068882</v>
      </c>
      <c r="K40" s="16" t="s">
        <v>116</v>
      </c>
      <c r="L40" s="16" t="n">
        <v>1000</v>
      </c>
      <c r="M40" s="16" t="n">
        <v>33785.0760468366</v>
      </c>
      <c r="N40" s="16" t="n">
        <v>11881.4576376199</v>
      </c>
      <c r="O40" s="16" t="n">
        <v>1000</v>
      </c>
      <c r="P40" s="16" t="n">
        <v>951.290832135856</v>
      </c>
      <c r="Q40" s="16" t="n">
        <v>183.931073600304</v>
      </c>
      <c r="R40" s="16" t="n">
        <v>17617.7170533315</v>
      </c>
      <c r="S40" s="16" t="n">
        <v>26961.6416630157</v>
      </c>
      <c r="T40" s="16" t="n">
        <v>-955.692204749296</v>
      </c>
      <c r="U40" s="16" t="n">
        <v>1021.37031598208</v>
      </c>
      <c r="V40" s="16" t="n">
        <v>0.750319556751226</v>
      </c>
      <c r="W40" s="16" t="n">
        <v>46769.5609261029</v>
      </c>
      <c r="X40" s="16" t="n">
        <v>22158.0311452072</v>
      </c>
      <c r="Y40" s="16" t="n">
        <v>8.87843080137475</v>
      </c>
      <c r="Z40" s="16" t="n">
        <v>12.0512562985395</v>
      </c>
      <c r="AA40" s="16" t="n">
        <v>27.424347870838</v>
      </c>
      <c r="AB40" s="16" t="n">
        <v>25.224347870838</v>
      </c>
      <c r="AC40" s="16" t="n">
        <v>26.674347870838</v>
      </c>
      <c r="AD40" s="16" t="n">
        <v>24.2376386482466</v>
      </c>
      <c r="AE40" s="16" t="n">
        <v>674.686407680941</v>
      </c>
      <c r="AF40" s="16" t="n">
        <v>0.03</v>
      </c>
      <c r="AG40" s="16" t="n">
        <v>0.656804181857681</v>
      </c>
      <c r="AH40" s="16" t="n">
        <v>9819.91719809611</v>
      </c>
      <c r="AI40" s="16" t="n">
        <v>20346.7356507876</v>
      </c>
      <c r="AJ40" s="16" t="n">
        <v>18.59175</v>
      </c>
      <c r="AK40" s="16" t="n">
        <v>0</v>
      </c>
      <c r="AL40" s="16" t="n">
        <v>1000</v>
      </c>
      <c r="AM40" s="16" t="n">
        <v>812.6073</v>
      </c>
      <c r="AN40" s="16" t="n">
        <v>20079.98904</v>
      </c>
      <c r="AO40" s="16" t="n">
        <v>-5508.72242389994</v>
      </c>
      <c r="AP40" s="16" t="n">
        <v>0.377706235085269</v>
      </c>
      <c r="AQ40" s="16" t="n">
        <v>80.5476587858026</v>
      </c>
      <c r="AR40" s="16" t="n">
        <v>502.093471049916</v>
      </c>
      <c r="AS40" s="16" t="n">
        <v>314.925245</v>
      </c>
      <c r="AT40" s="16" t="n">
        <v>1000</v>
      </c>
      <c r="AU40" s="16" t="n">
        <v>12.270507</v>
      </c>
      <c r="AV40" s="16" t="n">
        <v>0</v>
      </c>
      <c r="AW40" s="16" t="n">
        <v>2254.3125</v>
      </c>
      <c r="AX40" s="16" t="n">
        <v>314.925245</v>
      </c>
      <c r="AY40" s="16" t="n">
        <v>314.925245</v>
      </c>
      <c r="AZ40" s="16" t="n">
        <v>5743.14545538266</v>
      </c>
      <c r="BA40" s="16" t="n">
        <v>0</v>
      </c>
      <c r="BB40" s="16" t="n">
        <v>417.928966666667</v>
      </c>
      <c r="BC40" s="16" t="n">
        <v>111486.617268782</v>
      </c>
      <c r="BD40" s="16" t="n">
        <v>17.1058079231603</v>
      </c>
      <c r="BE40" s="16" t="n">
        <v>25.7631005450967</v>
      </c>
      <c r="BF40" s="16" t="n">
        <v>39.9909557538991</v>
      </c>
      <c r="BG40" s="16" t="n">
        <v>-8.27711430924607</v>
      </c>
      <c r="BH40" s="16" t="n">
        <v>-7.28866183200638</v>
      </c>
      <c r="BI40" s="16" t="n">
        <v>1.09242813813745</v>
      </c>
      <c r="BJ40" s="16" t="n">
        <v>2.04083187529388</v>
      </c>
      <c r="BK40" s="16" t="n">
        <v>5.25403316350504</v>
      </c>
      <c r="BL40" s="16" t="n">
        <v>7.88491984612206</v>
      </c>
      <c r="BM40" s="16" t="n">
        <v>4.18491755712413</v>
      </c>
      <c r="BN40" s="16" t="n">
        <v>5.02394748300231</v>
      </c>
      <c r="BO40" s="16" t="n">
        <v>5.7791095890411</v>
      </c>
      <c r="BP40" s="16" t="n">
        <v>8712.70308277889</v>
      </c>
      <c r="BQ40" s="16" t="n">
        <v>8458.32972979839</v>
      </c>
      <c r="BR40" s="16" t="n">
        <v>8458.32972979839</v>
      </c>
      <c r="BS40" s="16" t="n">
        <v>502.093471049916</v>
      </c>
      <c r="BT40" s="16" t="n">
        <v>301.7195</v>
      </c>
      <c r="BU40" s="16" t="n">
        <v>1081.9108</v>
      </c>
      <c r="BV40" s="16" t="s">
        <v>3237</v>
      </c>
      <c r="BW40" s="16" t="n">
        <v>42.7692307692308</v>
      </c>
      <c r="BX40" s="16" t="n">
        <v>0.155994305554286</v>
      </c>
      <c r="BY40" s="16" t="n">
        <v>0.161741466184191</v>
      </c>
      <c r="BZ40" s="16" t="n">
        <v>13510.8578038903</v>
      </c>
      <c r="CA40" s="16" t="n">
        <v>19402.010477409</v>
      </c>
      <c r="CB40" s="16" t="n">
        <v>271.856442718105</v>
      </c>
      <c r="CC40" s="16" t="n">
        <v>0</v>
      </c>
      <c r="CD40" s="16" t="n">
        <v>950.69728</v>
      </c>
      <c r="CE40" s="16" t="n">
        <v>12000</v>
      </c>
      <c r="CF40" s="16" t="n">
        <v>24.2272987325419</v>
      </c>
      <c r="CG40" s="16" t="n">
        <v>27.3768475677724</v>
      </c>
      <c r="CH40" s="16" t="n">
        <v>2643.77364301215</v>
      </c>
      <c r="CI40" s="16" t="n">
        <v>-1.87545149949695</v>
      </c>
      <c r="CJ40" s="16" t="n">
        <v>8.49065261972557</v>
      </c>
      <c r="CK40" s="16" t="n">
        <v>37707.6602245311</v>
      </c>
      <c r="CL40" s="16" t="n">
        <v>160.099981549916</v>
      </c>
      <c r="CM40" s="16" t="n">
        <v>185.467549799916</v>
      </c>
      <c r="CN40" s="16" t="n">
        <v>1000</v>
      </c>
      <c r="CO40" s="16" t="n">
        <v>1.3809375</v>
      </c>
      <c r="CP40" s="16" t="n">
        <v>1.09004417261298</v>
      </c>
      <c r="CQ40" s="16" t="n">
        <v>9.43790140068882</v>
      </c>
      <c r="CR40" s="16" t="n">
        <v>91.0188544279569</v>
      </c>
      <c r="CS40" s="16" t="n">
        <v>33.8898915431011</v>
      </c>
      <c r="CT40" s="16" t="n">
        <v>8.35212513335294</v>
      </c>
      <c r="CU40" s="16" t="n">
        <v>9.43790140068882</v>
      </c>
      <c r="CV40" s="16" t="n">
        <v>4514.59601242405</v>
      </c>
      <c r="CW40" s="16" t="n">
        <v>955.376453478824</v>
      </c>
      <c r="CX40" s="16" t="n">
        <v>5469.97246590288</v>
      </c>
      <c r="CY40" s="16" t="n">
        <v>4514.59601242405</v>
      </c>
      <c r="CZ40" s="16" t="n">
        <v>1030.03466383092</v>
      </c>
      <c r="DA40" s="16" t="n">
        <v>24.2272987325419</v>
      </c>
      <c r="DB40" s="16" t="n">
        <v>16887.478788716</v>
      </c>
      <c r="DC40" s="16" t="n">
        <v>12530.5092612273</v>
      </c>
      <c r="DD40" s="16" t="n">
        <v>11144.3333333333</v>
      </c>
      <c r="DE40" s="16" t="n">
        <v>1921.25</v>
      </c>
      <c r="DF40" s="16" t="n">
        <v>4829.52125742405</v>
      </c>
      <c r="DG40" s="16" t="n">
        <v>185.467549799916</v>
      </c>
      <c r="DH40" s="16" t="n">
        <v>0</v>
      </c>
      <c r="DI40" s="16" t="n">
        <v>33.8899013934948</v>
      </c>
    </row>
    <row r="41" customFormat="false" ht="15" hidden="false" customHeight="false" outlineLevel="0" collapsed="false">
      <c r="A41" s="0" t="s">
        <v>3264</v>
      </c>
      <c r="B41" s="16" t="n">
        <v>2465.07954157611</v>
      </c>
      <c r="C41" s="16" t="n">
        <v>8772.15254139719</v>
      </c>
      <c r="D41" s="16" t="n">
        <v>20976.6746697858</v>
      </c>
      <c r="E41" s="16" t="n">
        <v>4612.81161062812</v>
      </c>
      <c r="F41" s="16" t="n">
        <v>-758.813089356041</v>
      </c>
      <c r="G41" s="16" t="n">
        <v>5020.73859832827</v>
      </c>
      <c r="H41" s="16" t="n">
        <v>2376.8633411704</v>
      </c>
      <c r="I41" s="17" t="n">
        <v>8.4292421108125</v>
      </c>
      <c r="J41" s="17" t="n">
        <v>14.876663590122</v>
      </c>
      <c r="K41" s="16" t="s">
        <v>116</v>
      </c>
      <c r="L41" s="16" t="n">
        <v>1000</v>
      </c>
      <c r="M41" s="16" t="n">
        <v>33790.705168328</v>
      </c>
      <c r="N41" s="16" t="n">
        <v>12360.2112920585</v>
      </c>
      <c r="O41" s="16" t="n">
        <v>1000</v>
      </c>
      <c r="P41" s="16" t="n">
        <v>951.290832135856</v>
      </c>
      <c r="Q41" s="16" t="n">
        <v>635.427922956805</v>
      </c>
      <c r="R41" s="16" t="n">
        <v>17617.7170533315</v>
      </c>
      <c r="S41" s="16" t="n">
        <v>26974.2404433957</v>
      </c>
      <c r="T41" s="16" t="n">
        <v>-955.692204749296</v>
      </c>
      <c r="U41" s="16" t="n">
        <v>2654.58113691194</v>
      </c>
      <c r="V41" s="16" t="n">
        <v>0.750319556751226</v>
      </c>
      <c r="W41" s="16" t="n">
        <v>47372.9071341868</v>
      </c>
      <c r="X41" s="16" t="n">
        <v>22166.5860129692</v>
      </c>
      <c r="Y41" s="16" t="n">
        <v>13.9947878911502</v>
      </c>
      <c r="Z41" s="16" t="n">
        <v>18.9960117382268</v>
      </c>
      <c r="AA41" s="16" t="n">
        <v>27.424347870838</v>
      </c>
      <c r="AB41" s="16" t="n">
        <v>25.224347870838</v>
      </c>
      <c r="AC41" s="16" t="n">
        <v>26.674347870838</v>
      </c>
      <c r="AD41" s="16" t="n">
        <v>21.813874783422</v>
      </c>
      <c r="AE41" s="16" t="n">
        <v>674.686407680941</v>
      </c>
      <c r="AF41" s="16" t="n">
        <v>0.03</v>
      </c>
      <c r="AG41" s="16" t="n">
        <v>0.659129636913101</v>
      </c>
      <c r="AH41" s="16" t="n">
        <v>9819.91719809611</v>
      </c>
      <c r="AI41" s="16" t="n">
        <v>20976.6746697858</v>
      </c>
      <c r="AJ41" s="16" t="n">
        <v>20.49175</v>
      </c>
      <c r="AK41" s="16" t="n">
        <v>0</v>
      </c>
      <c r="AL41" s="16" t="n">
        <v>1000</v>
      </c>
      <c r="AM41" s="16" t="n">
        <v>812.6073</v>
      </c>
      <c r="AN41" s="16" t="n">
        <v>20079.98904</v>
      </c>
      <c r="AO41" s="16" t="n">
        <v>-5508.72242389994</v>
      </c>
      <c r="AP41" s="16" t="n">
        <v>0.346923587045563</v>
      </c>
      <c r="AQ41" s="16" t="n">
        <v>82.4791376808474</v>
      </c>
      <c r="AR41" s="16" t="n">
        <v>497.758660334772</v>
      </c>
      <c r="AS41" s="16" t="n">
        <v>314.925245</v>
      </c>
      <c r="AT41" s="16" t="n">
        <v>1000</v>
      </c>
      <c r="AU41" s="16" t="n">
        <v>12.270507</v>
      </c>
      <c r="AV41" s="16" t="n">
        <v>0</v>
      </c>
      <c r="AW41" s="16" t="n">
        <v>2254.3125</v>
      </c>
      <c r="AX41" s="16" t="n">
        <v>314.925245</v>
      </c>
      <c r="AY41" s="16" t="n">
        <v>314.925245</v>
      </c>
      <c r="AZ41" s="16" t="n">
        <v>5848.73726624437</v>
      </c>
      <c r="BA41" s="16" t="n">
        <v>0</v>
      </c>
      <c r="BB41" s="16" t="n">
        <v>417.928966666667</v>
      </c>
      <c r="BC41" s="16" t="n">
        <v>111531.327357974</v>
      </c>
      <c r="BD41" s="16" t="n">
        <v>17.4410995917013</v>
      </c>
      <c r="BE41" s="16" t="n">
        <v>26.0983922136376</v>
      </c>
      <c r="BF41" s="16" t="n">
        <v>40.3262474224401</v>
      </c>
      <c r="BG41" s="16" t="n">
        <v>-8.27711430924607</v>
      </c>
      <c r="BH41" s="16" t="n">
        <v>-7.28866183200638</v>
      </c>
      <c r="BI41" s="16" t="n">
        <v>1.09242813813745</v>
      </c>
      <c r="BJ41" s="16" t="n">
        <v>2.04083187529388</v>
      </c>
      <c r="BK41" s="16" t="n">
        <v>5.25403316350504</v>
      </c>
      <c r="BL41" s="16" t="n">
        <v>7.88491984612206</v>
      </c>
      <c r="BM41" s="16" t="n">
        <v>4.64990839680458</v>
      </c>
      <c r="BN41" s="16" t="n">
        <v>5.58216387000257</v>
      </c>
      <c r="BO41" s="16" t="n">
        <v>5.7791095890411</v>
      </c>
      <c r="BP41" s="16" t="n">
        <v>8712.70308277889</v>
      </c>
      <c r="BQ41" s="16" t="n">
        <v>8739.78580436696</v>
      </c>
      <c r="BR41" s="16" t="n">
        <v>8739.78580436696</v>
      </c>
      <c r="BS41" s="16" t="n">
        <v>497.758660334772</v>
      </c>
      <c r="BT41" s="16" t="n">
        <v>301.7195</v>
      </c>
      <c r="BU41" s="16" t="n">
        <v>1081.9108</v>
      </c>
      <c r="BV41" s="16" t="s">
        <v>3237</v>
      </c>
      <c r="BW41" s="16" t="n">
        <v>42.7692307692308</v>
      </c>
      <c r="BX41" s="16" t="n">
        <v>0.155994305554286</v>
      </c>
      <c r="BY41" s="16" t="n">
        <v>0.161741466184191</v>
      </c>
      <c r="BZ41" s="16" t="n">
        <v>13510.8578038903</v>
      </c>
      <c r="CA41" s="16" t="n">
        <v>19402.010477409</v>
      </c>
      <c r="CB41" s="16" t="n">
        <v>265.280001210288</v>
      </c>
      <c r="CC41" s="16" t="n">
        <v>0</v>
      </c>
      <c r="CD41" s="16" t="n">
        <v>950.69728</v>
      </c>
      <c r="CE41" s="16" t="n">
        <v>12000</v>
      </c>
      <c r="CF41" s="16" t="n">
        <v>24.189627293862</v>
      </c>
      <c r="CG41" s="16" t="n">
        <v>27.3342788420641</v>
      </c>
      <c r="CH41" s="16" t="n">
        <v>2643.77364301215</v>
      </c>
      <c r="CI41" s="16" t="n">
        <v>2.45747032811458</v>
      </c>
      <c r="CJ41" s="16" t="n">
        <v>13.9753637939174</v>
      </c>
      <c r="CK41" s="16" t="n">
        <v>36686.7008964792</v>
      </c>
      <c r="CL41" s="16" t="n">
        <v>155.765170834772</v>
      </c>
      <c r="CM41" s="16" t="n">
        <v>181.132739084772</v>
      </c>
      <c r="CN41" s="16" t="n">
        <v>1000</v>
      </c>
      <c r="CO41" s="16" t="n">
        <v>1.24284375</v>
      </c>
      <c r="CP41" s="16" t="n">
        <v>1.09004417261298</v>
      </c>
      <c r="CQ41" s="16" t="n">
        <v>14.876663590122</v>
      </c>
      <c r="CR41" s="16" t="n">
        <v>93.2014255793576</v>
      </c>
      <c r="CS41" s="16" t="n">
        <v>37.6035760714043</v>
      </c>
      <c r="CT41" s="16" t="n">
        <v>13.1651890178071</v>
      </c>
      <c r="CU41" s="16" t="n">
        <v>14.876663590122</v>
      </c>
      <c r="CV41" s="16" t="n">
        <v>2795.47577648814</v>
      </c>
      <c r="CW41" s="16" t="n">
        <v>606.100199406267</v>
      </c>
      <c r="CX41" s="16" t="n">
        <v>3401.5759758944</v>
      </c>
      <c r="CY41" s="16" t="n">
        <v>2795.47577648814</v>
      </c>
      <c r="CZ41" s="16" t="n">
        <v>915.606381544925</v>
      </c>
      <c r="DA41" s="16" t="n">
        <v>24.189627293862</v>
      </c>
      <c r="DB41" s="16" t="n">
        <v>16993.0705995777</v>
      </c>
      <c r="DC41" s="16" t="n">
        <v>12608.8583848867</v>
      </c>
      <c r="DD41" s="16" t="n">
        <v>11144.3333333333</v>
      </c>
      <c r="DE41" s="16" t="n">
        <v>1921.25</v>
      </c>
      <c r="DF41" s="16" t="n">
        <v>3110.40102148814</v>
      </c>
      <c r="DG41" s="16" t="n">
        <v>181.132739084772</v>
      </c>
      <c r="DH41" s="16" t="n">
        <v>0</v>
      </c>
      <c r="DI41" s="16" t="n">
        <v>37.6035793798349</v>
      </c>
    </row>
    <row r="42" customFormat="false" ht="15" hidden="false" customHeight="false" outlineLevel="0" collapsed="false">
      <c r="A42" s="0" t="s">
        <v>3265</v>
      </c>
      <c r="B42" s="16" t="n">
        <v>2465.07954157611</v>
      </c>
      <c r="C42" s="16" t="n">
        <v>8209.24039226006</v>
      </c>
      <c r="D42" s="16" t="n">
        <v>19716.7966317894</v>
      </c>
      <c r="E42" s="16" t="n">
        <v>4213.14398474076</v>
      </c>
      <c r="F42" s="16" t="n">
        <v>-2272.68412323814</v>
      </c>
      <c r="G42" s="16" t="n">
        <v>6157.45849228849</v>
      </c>
      <c r="H42" s="16" t="n">
        <v>-12667.058598149</v>
      </c>
      <c r="I42" s="17" t="n">
        <v>0.01</v>
      </c>
      <c r="J42" s="17" t="n">
        <v>0</v>
      </c>
      <c r="K42" s="16" t="s">
        <v>116</v>
      </c>
      <c r="L42" s="16" t="n">
        <v>1000</v>
      </c>
      <c r="M42" s="16" t="n">
        <v>33921.8469253452</v>
      </c>
      <c r="N42" s="16" t="n">
        <v>11402.7039831813</v>
      </c>
      <c r="O42" s="16" t="n">
        <v>1000</v>
      </c>
      <c r="P42" s="16" t="n">
        <v>951.290832135856</v>
      </c>
      <c r="Q42" s="16" t="n">
        <v>-2714.3543601312</v>
      </c>
      <c r="R42" s="16" t="n">
        <v>17617.7170533315</v>
      </c>
      <c r="S42" s="16" t="n">
        <v>27452.6428826358</v>
      </c>
      <c r="T42" s="16" t="n">
        <v>-1219.3302047493</v>
      </c>
      <c r="U42" s="16" t="n">
        <v>-12389.3408024075</v>
      </c>
      <c r="V42" s="16" t="n">
        <v>0.750319556751226</v>
      </c>
      <c r="W42" s="16" t="n">
        <v>42615.6140519162</v>
      </c>
      <c r="X42" s="16" t="n">
        <v>27883.5043616702</v>
      </c>
      <c r="Y42" s="16" t="n">
        <v>0</v>
      </c>
      <c r="Z42" s="16" t="n">
        <v>0</v>
      </c>
      <c r="AA42" s="16" t="n">
        <v>27.424347870838</v>
      </c>
      <c r="AB42" s="16" t="n">
        <v>25.224347870838</v>
      </c>
      <c r="AC42" s="16" t="n">
        <v>26.674347870838</v>
      </c>
      <c r="AD42" s="16" t="n">
        <v>27.2673434792775</v>
      </c>
      <c r="AE42" s="16" t="n">
        <v>674.686407680941</v>
      </c>
      <c r="AF42" s="16" t="n">
        <v>0.03</v>
      </c>
      <c r="AG42" s="16" t="n">
        <v>0.654405917289144</v>
      </c>
      <c r="AH42" s="16" t="n">
        <v>9819.91719809611</v>
      </c>
      <c r="AI42" s="16" t="n">
        <v>19716.7966317894</v>
      </c>
      <c r="AJ42" s="16" t="n">
        <v>16.69175</v>
      </c>
      <c r="AK42" s="16" t="n">
        <v>0</v>
      </c>
      <c r="AL42" s="16" t="n">
        <v>1000</v>
      </c>
      <c r="AM42" s="16" t="n">
        <v>812.6073</v>
      </c>
      <c r="AN42" s="16" t="n">
        <v>20079.98904</v>
      </c>
      <c r="AO42" s="16" t="n">
        <v>-5508.72242389994</v>
      </c>
      <c r="AP42" s="16" t="n">
        <v>0.414483496940676</v>
      </c>
      <c r="AQ42" s="16" t="n">
        <v>57.9787945481014</v>
      </c>
      <c r="AR42" s="16" t="n">
        <v>513.803231523275</v>
      </c>
      <c r="AS42" s="16" t="n">
        <v>314.925245</v>
      </c>
      <c r="AT42" s="16" t="n">
        <v>1000</v>
      </c>
      <c r="AU42" s="16" t="n">
        <v>12.270507</v>
      </c>
      <c r="AV42" s="16" t="n">
        <v>0</v>
      </c>
      <c r="AW42" s="16" t="n">
        <v>2254.3125</v>
      </c>
      <c r="AX42" s="16" t="n">
        <v>314.925245</v>
      </c>
      <c r="AY42" s="16" t="n">
        <v>314.925245</v>
      </c>
      <c r="AZ42" s="16" t="n">
        <v>5631.62619515181</v>
      </c>
      <c r="BA42" s="16" t="n">
        <v>0</v>
      </c>
      <c r="BB42" s="16" t="n">
        <v>417.928966666667</v>
      </c>
      <c r="BC42" s="16" t="n">
        <v>126511.664012089</v>
      </c>
      <c r="BD42" s="16" t="n">
        <v>16.751694488301</v>
      </c>
      <c r="BE42" s="16" t="n">
        <v>25.4089871102374</v>
      </c>
      <c r="BF42" s="16" t="n">
        <v>39.6368423190398</v>
      </c>
      <c r="BG42" s="16" t="n">
        <v>-8.27711430924607</v>
      </c>
      <c r="BH42" s="16" t="n">
        <v>-7.28866183200638</v>
      </c>
      <c r="BI42" s="16" t="n">
        <v>1.09242813813745</v>
      </c>
      <c r="BJ42" s="16" t="n">
        <v>2.04083187529388</v>
      </c>
      <c r="BK42" s="16" t="n">
        <v>5.25403316350504</v>
      </c>
      <c r="BL42" s="16" t="n">
        <v>7.88491984612206</v>
      </c>
      <c r="BM42" s="16" t="n">
        <v>3.71992671744367</v>
      </c>
      <c r="BN42" s="16" t="n">
        <v>4.46573109600205</v>
      </c>
      <c r="BO42" s="16" t="n">
        <v>5.7791095890411</v>
      </c>
      <c r="BP42" s="16" t="n">
        <v>8712.70308277889</v>
      </c>
      <c r="BQ42" s="16" t="n">
        <v>8176.87365522983</v>
      </c>
      <c r="BR42" s="16" t="n">
        <v>8176.87365522983</v>
      </c>
      <c r="BS42" s="16" t="n">
        <v>513.803231523275</v>
      </c>
      <c r="BT42" s="16" t="n">
        <v>301.7195</v>
      </c>
      <c r="BU42" s="16" t="n">
        <v>1081.9108</v>
      </c>
      <c r="BV42" s="16" t="s">
        <v>3237</v>
      </c>
      <c r="BW42" s="16" t="n">
        <v>42.7692307692308</v>
      </c>
      <c r="BX42" s="16" t="n">
        <v>0.155994305554286</v>
      </c>
      <c r="BY42" s="16" t="n">
        <v>0.161741466184191</v>
      </c>
      <c r="BZ42" s="16" t="n">
        <v>13510.8578038903</v>
      </c>
      <c r="CA42" s="16" t="n">
        <v>19402.010477409</v>
      </c>
      <c r="CB42" s="16" t="n">
        <v>293.000152292258</v>
      </c>
      <c r="CC42" s="16" t="n">
        <v>0</v>
      </c>
      <c r="CD42" s="16" t="n">
        <v>950.69728</v>
      </c>
      <c r="CE42" s="16" t="n">
        <v>12000</v>
      </c>
      <c r="CF42" s="16" t="n">
        <v>24.8806822653582</v>
      </c>
      <c r="CG42" s="16" t="n">
        <v>28.1151709598547</v>
      </c>
      <c r="CH42" s="16" t="n">
        <v>2643.77364301215</v>
      </c>
      <c r="CI42" s="16" t="n">
        <v>-6.2083733271085</v>
      </c>
      <c r="CJ42" s="16" t="n">
        <v>3.00594144553374</v>
      </c>
      <c r="CK42" s="16" t="n">
        <v>40465.6097568513</v>
      </c>
      <c r="CL42" s="16" t="n">
        <v>171.809742023275</v>
      </c>
      <c r="CM42" s="16" t="n">
        <v>197.177310273275</v>
      </c>
      <c r="CN42" s="16" t="n">
        <v>1000</v>
      </c>
      <c r="CO42" s="16" t="n">
        <v>1.5535546875</v>
      </c>
      <c r="CP42" s="16" t="n">
        <v>1.09004417261298</v>
      </c>
      <c r="CQ42" s="16" t="n">
        <v>0</v>
      </c>
      <c r="CR42" s="16" t="n">
        <v>65.5160378393546</v>
      </c>
      <c r="CS42" s="16" t="n">
        <v>2.27124554328126</v>
      </c>
      <c r="CT42" s="16" t="n">
        <v>0</v>
      </c>
      <c r="CU42" s="16" t="n">
        <v>0.0113</v>
      </c>
      <c r="CV42" s="16" t="n">
        <v>4014713.41252401</v>
      </c>
      <c r="CW42" s="16" t="n">
        <v>797942.368891408</v>
      </c>
      <c r="CX42" s="16" t="n">
        <v>4812655.78141542</v>
      </c>
      <c r="CY42" s="16" t="n">
        <v>4014713.41252401</v>
      </c>
      <c r="CZ42" s="16" t="n">
        <v>14453.5901834909</v>
      </c>
      <c r="DA42" s="16" t="n">
        <v>24.8806822653582</v>
      </c>
      <c r="DB42" s="16" t="n">
        <v>16775.9595284851</v>
      </c>
      <c r="DC42" s="16" t="n">
        <v>12447.761970136</v>
      </c>
      <c r="DD42" s="16" t="n">
        <v>11144.3333333333</v>
      </c>
      <c r="DE42" s="16" t="n">
        <v>1921.25</v>
      </c>
      <c r="DF42" s="16" t="n">
        <v>4015028.33776901</v>
      </c>
      <c r="DG42" s="16" t="n">
        <v>197.177310273275</v>
      </c>
      <c r="DH42" s="16" t="n">
        <v>0</v>
      </c>
      <c r="DI42" s="16" t="n">
        <v>2.31687994124448</v>
      </c>
    </row>
    <row r="43" customFormat="false" ht="15" hidden="false" customHeight="false" outlineLevel="0" collapsed="false">
      <c r="A43" s="0" t="s">
        <v>3266</v>
      </c>
      <c r="B43" s="16" t="n">
        <v>2465.07954157611</v>
      </c>
      <c r="C43" s="16" t="n">
        <v>8209.24039226006</v>
      </c>
      <c r="D43" s="16" t="n">
        <v>19716.7966317894</v>
      </c>
      <c r="E43" s="16" t="n">
        <v>4213.14398474076</v>
      </c>
      <c r="F43" s="16" t="n">
        <v>-1135.49021845689</v>
      </c>
      <c r="G43" s="16" t="n">
        <v>5020.26458750724</v>
      </c>
      <c r="H43" s="16" t="n">
        <v>-898.814009603721</v>
      </c>
      <c r="I43" s="17" t="n">
        <v>0.01</v>
      </c>
      <c r="J43" s="17" t="n">
        <v>3.97046602096122</v>
      </c>
      <c r="K43" s="16" t="s">
        <v>116</v>
      </c>
      <c r="L43" s="16" t="n">
        <v>1000</v>
      </c>
      <c r="M43" s="16" t="n">
        <v>33779.4469253452</v>
      </c>
      <c r="N43" s="16" t="n">
        <v>11402.7039831813</v>
      </c>
      <c r="O43" s="16" t="n">
        <v>1000</v>
      </c>
      <c r="P43" s="16" t="n">
        <v>951.290832135856</v>
      </c>
      <c r="Q43" s="16" t="n">
        <v>-267.565775756198</v>
      </c>
      <c r="R43" s="16" t="n">
        <v>17617.7170533315</v>
      </c>
      <c r="S43" s="16" t="n">
        <v>26949.0428826358</v>
      </c>
      <c r="T43" s="16" t="n">
        <v>-955.692204749296</v>
      </c>
      <c r="U43" s="16" t="n">
        <v>-621.096213862173</v>
      </c>
      <c r="V43" s="16" t="n">
        <v>0.750319556751226</v>
      </c>
      <c r="W43" s="16" t="n">
        <v>46166.2147180189</v>
      </c>
      <c r="X43" s="16" t="n">
        <v>22149.4762774452</v>
      </c>
      <c r="Y43" s="16" t="n">
        <v>3.7351002431262</v>
      </c>
      <c r="Z43" s="16" t="n">
        <v>5.06988806216538</v>
      </c>
      <c r="AA43" s="16" t="n">
        <v>27.424347870838</v>
      </c>
      <c r="AB43" s="16" t="n">
        <v>25.224347870838</v>
      </c>
      <c r="AC43" s="16" t="n">
        <v>26.674347870838</v>
      </c>
      <c r="AD43" s="16" t="n">
        <v>27.2673434792775</v>
      </c>
      <c r="AE43" s="16" t="n">
        <v>674.686407680941</v>
      </c>
      <c r="AF43" s="16" t="n">
        <v>0.03</v>
      </c>
      <c r="AG43" s="16" t="n">
        <v>0.654405917289144</v>
      </c>
      <c r="AH43" s="16" t="n">
        <v>9819.91719809611</v>
      </c>
      <c r="AI43" s="16" t="n">
        <v>19716.7966317894</v>
      </c>
      <c r="AJ43" s="16" t="n">
        <v>16.69175</v>
      </c>
      <c r="AK43" s="16" t="n">
        <v>0</v>
      </c>
      <c r="AL43" s="16" t="n">
        <v>1000</v>
      </c>
      <c r="AM43" s="16" t="n">
        <v>812.6073</v>
      </c>
      <c r="AN43" s="16" t="n">
        <v>20079.98904</v>
      </c>
      <c r="AO43" s="16" t="n">
        <v>-5508.72242389994</v>
      </c>
      <c r="AP43" s="16" t="n">
        <v>0.414483496940676</v>
      </c>
      <c r="AQ43" s="16" t="n">
        <v>78.645426879892</v>
      </c>
      <c r="AR43" s="16" t="n">
        <v>506.474954430797</v>
      </c>
      <c r="AS43" s="16" t="n">
        <v>314.925245</v>
      </c>
      <c r="AT43" s="16" t="n">
        <v>1000</v>
      </c>
      <c r="AU43" s="16" t="n">
        <v>12.270507</v>
      </c>
      <c r="AV43" s="16" t="n">
        <v>0</v>
      </c>
      <c r="AW43" s="16" t="n">
        <v>2254.3125</v>
      </c>
      <c r="AX43" s="16" t="n">
        <v>314.925245</v>
      </c>
      <c r="AY43" s="16" t="n">
        <v>314.925245</v>
      </c>
      <c r="AZ43" s="16" t="n">
        <v>5631.62619515181</v>
      </c>
      <c r="BA43" s="16" t="n">
        <v>0</v>
      </c>
      <c r="BB43" s="16" t="n">
        <v>417.928966666667</v>
      </c>
      <c r="BC43" s="16" t="n">
        <v>111441.907179589</v>
      </c>
      <c r="BD43" s="16" t="n">
        <v>16.751694488301</v>
      </c>
      <c r="BE43" s="16" t="n">
        <v>25.4089871102374</v>
      </c>
      <c r="BF43" s="16" t="n">
        <v>39.6368423190398</v>
      </c>
      <c r="BG43" s="16" t="n">
        <v>-8.27711430924607</v>
      </c>
      <c r="BH43" s="16" t="n">
        <v>-7.28866183200638</v>
      </c>
      <c r="BI43" s="16" t="n">
        <v>1.09242813813745</v>
      </c>
      <c r="BJ43" s="16" t="n">
        <v>2.04083187529388</v>
      </c>
      <c r="BK43" s="16" t="n">
        <v>5.25403316350504</v>
      </c>
      <c r="BL43" s="16" t="n">
        <v>7.88491984612206</v>
      </c>
      <c r="BM43" s="16" t="n">
        <v>3.71992671744367</v>
      </c>
      <c r="BN43" s="16" t="n">
        <v>4.46573109600205</v>
      </c>
      <c r="BO43" s="16" t="n">
        <v>5.7791095890411</v>
      </c>
      <c r="BP43" s="16" t="n">
        <v>8712.70308277889</v>
      </c>
      <c r="BQ43" s="16" t="n">
        <v>8176.87365522983</v>
      </c>
      <c r="BR43" s="16" t="n">
        <v>8176.87365522983</v>
      </c>
      <c r="BS43" s="16" t="n">
        <v>506.474954430797</v>
      </c>
      <c r="BT43" s="16" t="n">
        <v>301.7195</v>
      </c>
      <c r="BU43" s="16" t="n">
        <v>1081.9108</v>
      </c>
      <c r="BV43" s="16" t="s">
        <v>3237</v>
      </c>
      <c r="BW43" s="16" t="n">
        <v>42.7692307692308</v>
      </c>
      <c r="BX43" s="16" t="n">
        <v>0.155994305554286</v>
      </c>
      <c r="BY43" s="16" t="n">
        <v>0.161741466184191</v>
      </c>
      <c r="BZ43" s="16" t="n">
        <v>13510.8578038903</v>
      </c>
      <c r="CA43" s="16" t="n">
        <v>19402.010477409</v>
      </c>
      <c r="CB43" s="16" t="n">
        <v>278.503097417438</v>
      </c>
      <c r="CC43" s="16" t="n">
        <v>0</v>
      </c>
      <c r="CD43" s="16" t="n">
        <v>950.69728</v>
      </c>
      <c r="CE43" s="16" t="n">
        <v>12000</v>
      </c>
      <c r="CF43" s="16" t="n">
        <v>24.2501640779233</v>
      </c>
      <c r="CG43" s="16" t="n">
        <v>27.4026854080534</v>
      </c>
      <c r="CH43" s="16" t="n">
        <v>2643.77364301215</v>
      </c>
      <c r="CI43" s="16" t="n">
        <v>-6.2083733271085</v>
      </c>
      <c r="CJ43" s="16" t="n">
        <v>3.00594144553374</v>
      </c>
      <c r="CK43" s="16" t="n">
        <v>38739.6121648513</v>
      </c>
      <c r="CL43" s="16" t="n">
        <v>164.481464930797</v>
      </c>
      <c r="CM43" s="16" t="n">
        <v>189.849033180797</v>
      </c>
      <c r="CN43" s="16" t="n">
        <v>1000</v>
      </c>
      <c r="CO43" s="16" t="n">
        <v>1.5535546875</v>
      </c>
      <c r="CP43" s="16" t="n">
        <v>1.09004417261298</v>
      </c>
      <c r="CQ43" s="16" t="n">
        <v>3.97046602096122</v>
      </c>
      <c r="CR43" s="16" t="n">
        <v>88.869332374278</v>
      </c>
      <c r="CS43" s="16" t="n">
        <v>30.251102221468</v>
      </c>
      <c r="CT43" s="16" t="n">
        <v>3.51368674421347</v>
      </c>
      <c r="CU43" s="16" t="n">
        <v>3.97046602096122</v>
      </c>
      <c r="CV43" s="16" t="n">
        <v>10991.2196047346</v>
      </c>
      <c r="CW43" s="16" t="n">
        <v>2270.95477479745</v>
      </c>
      <c r="CX43" s="16" t="n">
        <v>13262.174379532</v>
      </c>
      <c r="CY43" s="16" t="n">
        <v>10991.2196047346</v>
      </c>
      <c r="CZ43" s="16" t="n">
        <v>1169.00957579736</v>
      </c>
      <c r="DA43" s="16" t="n">
        <v>24.2501640779233</v>
      </c>
      <c r="DB43" s="16" t="n">
        <v>16775.9595284851</v>
      </c>
      <c r="DC43" s="16" t="n">
        <v>12447.761970136</v>
      </c>
      <c r="DD43" s="16" t="n">
        <v>11144.3333333333</v>
      </c>
      <c r="DE43" s="16" t="n">
        <v>1921.25</v>
      </c>
      <c r="DF43" s="16" t="n">
        <v>11306.1448497346</v>
      </c>
      <c r="DG43" s="16" t="n">
        <v>189.849033180797</v>
      </c>
      <c r="DH43" s="16" t="n">
        <v>0</v>
      </c>
      <c r="DI43" s="16" t="n">
        <v>30.2511309413356</v>
      </c>
    </row>
    <row r="44" customFormat="false" ht="15" hidden="false" customHeight="false" outlineLevel="0" collapsed="false">
      <c r="A44" s="0" t="s">
        <v>3267</v>
      </c>
      <c r="B44" s="16" t="n">
        <v>2465.07954157611</v>
      </c>
      <c r="C44" s="16" t="n">
        <v>8209.24039226006</v>
      </c>
      <c r="D44" s="16" t="n">
        <v>19716.7966317894</v>
      </c>
      <c r="E44" s="16" t="n">
        <v>4213.14398474076</v>
      </c>
      <c r="F44" s="16" t="n">
        <v>-377.360948602724</v>
      </c>
      <c r="G44" s="16" t="n">
        <v>4262.13531765308</v>
      </c>
      <c r="H44" s="16" t="n">
        <v>10533.9695033062</v>
      </c>
      <c r="I44" s="17" t="n">
        <v>34.3309641595985</v>
      </c>
      <c r="J44" s="17" t="n">
        <v>44.9727459822009</v>
      </c>
      <c r="K44" s="16" t="s">
        <v>116</v>
      </c>
      <c r="L44" s="16" t="n">
        <v>1000</v>
      </c>
      <c r="M44" s="16" t="n">
        <v>33779.4469253452</v>
      </c>
      <c r="N44" s="16" t="n">
        <v>11402.7039831813</v>
      </c>
      <c r="O44" s="16" t="n">
        <v>1000</v>
      </c>
      <c r="P44" s="16" t="n">
        <v>951.290832135856</v>
      </c>
      <c r="Q44" s="16" t="n">
        <v>1363.62661382714</v>
      </c>
      <c r="R44" s="16" t="n">
        <v>17617.7170533315</v>
      </c>
      <c r="S44" s="16" t="n">
        <v>26806.6428826358</v>
      </c>
      <c r="T44" s="16" t="n">
        <v>-779.933538082629</v>
      </c>
      <c r="U44" s="16" t="n">
        <v>10811.6872990478</v>
      </c>
      <c r="V44" s="16" t="n">
        <v>0.750319556751226</v>
      </c>
      <c r="W44" s="16" t="n">
        <v>56955.5131376879</v>
      </c>
      <c r="X44" s="16" t="n">
        <v>19124.4494999764</v>
      </c>
      <c r="Y44" s="16" t="n">
        <v>42.3068006539709</v>
      </c>
      <c r="Z44" s="16" t="n">
        <v>57.4256993446723</v>
      </c>
      <c r="AA44" s="16" t="n">
        <v>27.424347870838</v>
      </c>
      <c r="AB44" s="16" t="n">
        <v>25.224347870838</v>
      </c>
      <c r="AC44" s="16" t="n">
        <v>26.674347870838</v>
      </c>
      <c r="AD44" s="16" t="n">
        <v>27.2673434792775</v>
      </c>
      <c r="AE44" s="16" t="n">
        <v>674.686407680941</v>
      </c>
      <c r="AF44" s="16" t="n">
        <v>0.03</v>
      </c>
      <c r="AG44" s="16" t="n">
        <v>0.654405917289144</v>
      </c>
      <c r="AH44" s="16" t="n">
        <v>9819.91719809611</v>
      </c>
      <c r="AI44" s="16" t="n">
        <v>19716.7966317894</v>
      </c>
      <c r="AJ44" s="16" t="n">
        <v>16.69175</v>
      </c>
      <c r="AK44" s="16" t="n">
        <v>0</v>
      </c>
      <c r="AL44" s="16" t="n">
        <v>1000</v>
      </c>
      <c r="AM44" s="16" t="n">
        <v>812.6073</v>
      </c>
      <c r="AN44" s="16" t="n">
        <v>20079.98904</v>
      </c>
      <c r="AO44" s="16" t="n">
        <v>-5508.72242389994</v>
      </c>
      <c r="AP44" s="16" t="n">
        <v>0.414483496940676</v>
      </c>
      <c r="AQ44" s="16" t="n">
        <v>100.99886991692</v>
      </c>
      <c r="AR44" s="16" t="n">
        <v>507.090336318593</v>
      </c>
      <c r="AS44" s="16" t="n">
        <v>314.925245</v>
      </c>
      <c r="AT44" s="16" t="n">
        <v>1000</v>
      </c>
      <c r="AU44" s="16" t="n">
        <v>12.270507</v>
      </c>
      <c r="AV44" s="16" t="n">
        <v>0</v>
      </c>
      <c r="AW44" s="16" t="n">
        <v>2254.3125</v>
      </c>
      <c r="AX44" s="16" t="n">
        <v>314.925245</v>
      </c>
      <c r="AY44" s="16" t="n">
        <v>314.925245</v>
      </c>
      <c r="AZ44" s="16" t="n">
        <v>5631.62619515181</v>
      </c>
      <c r="BA44" s="16" t="n">
        <v>0</v>
      </c>
      <c r="BB44" s="16" t="n">
        <v>417.928966666667</v>
      </c>
      <c r="BC44" s="16" t="n">
        <v>108189.027179589</v>
      </c>
      <c r="BD44" s="16" t="n">
        <v>16.751694488301</v>
      </c>
      <c r="BE44" s="16" t="n">
        <v>25.4089871102374</v>
      </c>
      <c r="BF44" s="16" t="n">
        <v>39.6368423190398</v>
      </c>
      <c r="BG44" s="16" t="n">
        <v>-8.27711430924607</v>
      </c>
      <c r="BH44" s="16" t="n">
        <v>-7.28866183200638</v>
      </c>
      <c r="BI44" s="16" t="n">
        <v>1.09242813813745</v>
      </c>
      <c r="BJ44" s="16" t="n">
        <v>2.04083187529388</v>
      </c>
      <c r="BK44" s="16" t="n">
        <v>5.25403316350504</v>
      </c>
      <c r="BL44" s="16" t="n">
        <v>7.88491984612206</v>
      </c>
      <c r="BM44" s="16" t="n">
        <v>3.71992671744367</v>
      </c>
      <c r="BN44" s="16" t="n">
        <v>4.46573109600205</v>
      </c>
      <c r="BO44" s="16" t="n">
        <v>5.7791095890411</v>
      </c>
      <c r="BP44" s="16" t="n">
        <v>8712.70308277889</v>
      </c>
      <c r="BQ44" s="16" t="n">
        <v>8176.87365522983</v>
      </c>
      <c r="BR44" s="16" t="n">
        <v>8176.87365522983</v>
      </c>
      <c r="BS44" s="16" t="n">
        <v>507.090336318593</v>
      </c>
      <c r="BT44" s="16" t="n">
        <v>301.7195</v>
      </c>
      <c r="BU44" s="16" t="n">
        <v>1081.9108</v>
      </c>
      <c r="BV44" s="16" t="s">
        <v>3238</v>
      </c>
      <c r="BW44" s="16" t="n">
        <v>42.7692307692308</v>
      </c>
      <c r="BX44" s="16" t="n">
        <v>0.155994305554286</v>
      </c>
      <c r="BY44" s="16" t="n">
        <v>0.161741466184191</v>
      </c>
      <c r="BZ44" s="16" t="n">
        <v>13510.8578038903</v>
      </c>
      <c r="CA44" s="16" t="n">
        <v>19402.010477409</v>
      </c>
      <c r="CB44" s="16" t="n">
        <v>279.011439310824</v>
      </c>
      <c r="CC44" s="16" t="n">
        <v>0</v>
      </c>
      <c r="CD44" s="16" t="n">
        <v>950.69728</v>
      </c>
      <c r="CE44" s="16" t="n">
        <v>12000</v>
      </c>
      <c r="CF44" s="16" t="n">
        <v>24.232201373604</v>
      </c>
      <c r="CG44" s="16" t="n">
        <v>27.3823875521725</v>
      </c>
      <c r="CH44" s="16" t="n">
        <v>2643.77364301215</v>
      </c>
      <c r="CI44" s="16" t="n">
        <v>-6.2083733271085</v>
      </c>
      <c r="CJ44" s="16" t="n">
        <v>3.00594144553374</v>
      </c>
      <c r="CK44" s="16" t="n">
        <v>38690.4405707263</v>
      </c>
      <c r="CL44" s="16" t="n">
        <v>164.272691136153</v>
      </c>
      <c r="CM44" s="16" t="n">
        <v>189.640259386153</v>
      </c>
      <c r="CN44" s="16" t="n">
        <v>1000</v>
      </c>
      <c r="CO44" s="16" t="n">
        <v>1.5535546875</v>
      </c>
      <c r="CP44" s="16" t="n">
        <v>1.09004417261298</v>
      </c>
      <c r="CQ44" s="16" t="n">
        <v>44.9727459822009</v>
      </c>
      <c r="CR44" s="16" t="n">
        <v>114.12872300612</v>
      </c>
      <c r="CS44" s="16" t="n">
        <v>63.0908669376818</v>
      </c>
      <c r="CT44" s="16" t="n">
        <v>39.7988902497353</v>
      </c>
      <c r="CU44" s="16" t="n">
        <v>44.9727459822009</v>
      </c>
      <c r="CV44" s="16" t="n">
        <v>969.277979882497</v>
      </c>
      <c r="CW44" s="16" t="n">
        <v>200.493622783041</v>
      </c>
      <c r="CX44" s="16" t="n">
        <v>1169.77160266554</v>
      </c>
      <c r="CY44" s="16" t="n">
        <v>969.277979882497</v>
      </c>
      <c r="CZ44" s="16" t="n">
        <v>600.679155409504</v>
      </c>
      <c r="DA44" s="16" t="n">
        <v>24.232201373604</v>
      </c>
      <c r="DB44" s="16" t="n">
        <v>16775.9595284851</v>
      </c>
      <c r="DC44" s="16" t="n">
        <v>12447.761970136</v>
      </c>
      <c r="DD44" s="16" t="n">
        <v>11144.3333333333</v>
      </c>
      <c r="DE44" s="16" t="n">
        <v>1921.25</v>
      </c>
      <c r="DF44" s="16" t="n">
        <v>1284.2032248825</v>
      </c>
      <c r="DG44" s="16" t="n">
        <v>189.640259386153</v>
      </c>
      <c r="DH44" s="16" t="n">
        <v>0</v>
      </c>
      <c r="DI44" s="16" t="n">
        <v>63.0908669526381</v>
      </c>
    </row>
    <row r="45" customFormat="false" ht="15" hidden="false" customHeight="false" outlineLevel="0" collapsed="false">
      <c r="A45" s="0" t="s">
        <v>538</v>
      </c>
      <c r="B45" s="16" t="n">
        <v>4717.17351949597</v>
      </c>
      <c r="C45" s="16" t="n">
        <v>19284.0882301157</v>
      </c>
      <c r="D45" s="16" t="n">
        <v>35125.8461511529</v>
      </c>
      <c r="E45" s="16" t="n">
        <v>10382.0495496322</v>
      </c>
      <c r="F45" s="16" t="n">
        <v>1072.91538282347</v>
      </c>
      <c r="G45" s="16" t="n">
        <v>8537.77063760406</v>
      </c>
      <c r="H45" s="16" t="n">
        <v>23077.3176656432</v>
      </c>
      <c r="I45" s="17" t="n">
        <v>36.7207015652249</v>
      </c>
      <c r="J45" s="17" t="n">
        <v>71.9014780436428</v>
      </c>
      <c r="K45" s="16" t="s">
        <v>116</v>
      </c>
      <c r="L45" s="16" t="n">
        <v>1000</v>
      </c>
      <c r="M45" s="16" t="n">
        <v>44900.9272231481</v>
      </c>
      <c r="N45" s="16" t="n">
        <v>21049.8641217512</v>
      </c>
      <c r="O45" s="16" t="n">
        <v>1000</v>
      </c>
      <c r="P45" s="16" t="n">
        <v>1891.40289751754</v>
      </c>
      <c r="Q45" s="16" t="n">
        <v>2965.90924453427</v>
      </c>
      <c r="R45" s="16" t="n">
        <v>34553.7236206329</v>
      </c>
      <c r="S45" s="16" t="n">
        <v>48753.7032290738</v>
      </c>
      <c r="T45" s="16" t="n">
        <v>-106.163624720324</v>
      </c>
      <c r="U45" s="16" t="n">
        <v>11564.2759370003</v>
      </c>
      <c r="V45" s="16" t="n">
        <v>0.750319556751226</v>
      </c>
      <c r="W45" s="16" t="n">
        <v>89340.7954850554</v>
      </c>
      <c r="X45" s="16" t="n">
        <v>38684.8290200712</v>
      </c>
      <c r="Y45" s="16" t="n">
        <v>67.6392208632798</v>
      </c>
      <c r="Z45" s="16" t="n">
        <v>91.8109973139275</v>
      </c>
      <c r="AA45" s="16" t="n">
        <v>27.424347870838</v>
      </c>
      <c r="AB45" s="16" t="n">
        <v>25.224347870838</v>
      </c>
      <c r="AC45" s="16" t="n">
        <v>26.674347870838</v>
      </c>
      <c r="AD45" s="16" t="n">
        <v>27.2673434792775</v>
      </c>
      <c r="AE45" s="16" t="n">
        <v>1174.41264359986</v>
      </c>
      <c r="AF45" s="16" t="n">
        <v>0.03</v>
      </c>
      <c r="AG45" s="16" t="n">
        <v>0.663512298959558</v>
      </c>
      <c r="AH45" s="16" t="n">
        <v>1000</v>
      </c>
      <c r="AI45" s="16" t="n">
        <v>35125.8461511529</v>
      </c>
      <c r="AJ45" s="16" t="n">
        <v>16.69175</v>
      </c>
      <c r="AK45" s="16" t="n">
        <v>0</v>
      </c>
      <c r="AL45" s="16" t="n">
        <v>1000</v>
      </c>
      <c r="AM45" s="16" t="n">
        <v>1575</v>
      </c>
      <c r="AN45" s="16" t="n">
        <v>28078.6283953906</v>
      </c>
      <c r="AO45" s="16" t="n">
        <v>-9412.75917668273</v>
      </c>
      <c r="AP45" s="16" t="n">
        <v>0</v>
      </c>
      <c r="AQ45" s="16" t="n">
        <v>133.590329758024</v>
      </c>
      <c r="AR45" s="16" t="n">
        <v>631.39648106873</v>
      </c>
      <c r="AS45" s="16" t="n">
        <v>314.925245</v>
      </c>
      <c r="AT45" s="16" t="n">
        <v>1000</v>
      </c>
      <c r="AU45" s="16" t="n">
        <v>12.270507</v>
      </c>
      <c r="AV45" s="16" t="n">
        <v>0</v>
      </c>
      <c r="AW45" s="16" t="n">
        <v>2254.3125</v>
      </c>
      <c r="AX45" s="16" t="n">
        <v>314.925245</v>
      </c>
      <c r="AY45" s="16" t="n">
        <v>314.925245</v>
      </c>
      <c r="AZ45" s="16" t="n">
        <v>6061.94779606842</v>
      </c>
      <c r="BA45" s="16" t="n">
        <v>2256.49642475257</v>
      </c>
      <c r="BB45" s="16" t="n">
        <v>1180.32166666667</v>
      </c>
      <c r="BC45" s="16" t="n">
        <v>197924.685397762</v>
      </c>
      <c r="BD45" s="16" t="n">
        <v>0</v>
      </c>
      <c r="BE45" s="16" t="n">
        <v>0</v>
      </c>
      <c r="BF45" s="16" t="n">
        <v>3.5633991644024</v>
      </c>
      <c r="BG45" s="16" t="n">
        <v>-8.27711430924607</v>
      </c>
      <c r="BH45" s="16" t="n">
        <v>-7.28866183200638</v>
      </c>
      <c r="BI45" s="16" t="n">
        <v>1.09242813813745</v>
      </c>
      <c r="BJ45" s="16" t="n">
        <v>2.04083187529388</v>
      </c>
      <c r="BK45" s="16" t="n">
        <v>5.25403316350504</v>
      </c>
      <c r="BL45" s="16" t="n">
        <v>7.88491984612206</v>
      </c>
      <c r="BM45" s="16" t="n">
        <v>3.71992671744367</v>
      </c>
      <c r="BN45" s="16" t="n">
        <v>4.46573109600205</v>
      </c>
      <c r="BO45" s="16" t="n">
        <v>5.7791095890411</v>
      </c>
      <c r="BP45" s="16" t="n">
        <v>8712.70308277889</v>
      </c>
      <c r="BQ45" s="16" t="n">
        <v>19251.7214930855</v>
      </c>
      <c r="BR45" s="16" t="n">
        <v>19251.7214930855</v>
      </c>
      <c r="BS45" s="16" t="n">
        <v>631.39648106873</v>
      </c>
      <c r="BT45" s="16" t="n">
        <v>301.7195</v>
      </c>
      <c r="BU45" s="16" t="n">
        <v>1081.9108</v>
      </c>
      <c r="BV45" s="16" t="s">
        <v>3238</v>
      </c>
      <c r="BW45" s="16" t="n">
        <v>42.7692307692308</v>
      </c>
      <c r="BX45" s="16" t="n">
        <v>0.155994305554286</v>
      </c>
      <c r="BY45" s="16" t="n">
        <v>0.161741466184191</v>
      </c>
      <c r="BZ45" s="16" t="n">
        <v>13510.8578038903</v>
      </c>
      <c r="CA45" s="16" t="n">
        <v>19402.010477409</v>
      </c>
      <c r="CB45" s="16" t="n">
        <v>479.508481755629</v>
      </c>
      <c r="CC45" s="16" t="n">
        <v>0</v>
      </c>
      <c r="CD45" s="16" t="n">
        <v>950.69728</v>
      </c>
      <c r="CE45" s="16" t="n">
        <v>12000</v>
      </c>
      <c r="CF45" s="16" t="n">
        <v>9.66248495056581</v>
      </c>
      <c r="CG45" s="16" t="n">
        <v>10.9186079941394</v>
      </c>
      <c r="CH45" s="16" t="n">
        <v>2643.77364301215</v>
      </c>
      <c r="CI45" s="16" t="n">
        <v>-6.2083733271085</v>
      </c>
      <c r="CJ45" s="16" t="n">
        <v>3.00594144553374</v>
      </c>
      <c r="CK45" s="16" t="n">
        <v>71070.7651328328</v>
      </c>
      <c r="CL45" s="16" t="n">
        <v>301.753758221853</v>
      </c>
      <c r="CM45" s="16" t="n">
        <v>312.502994589154</v>
      </c>
      <c r="CN45" s="16" t="n">
        <v>1000</v>
      </c>
      <c r="CO45" s="16" t="n">
        <v>1.5535546875</v>
      </c>
      <c r="CP45" s="16" t="n">
        <v>1.09004417261298</v>
      </c>
      <c r="CQ45" s="16" t="n">
        <v>71.9014780436428</v>
      </c>
      <c r="CR45" s="16" t="n">
        <v>150.957072626567</v>
      </c>
      <c r="CS45" s="16" t="n">
        <v>107.818656210218</v>
      </c>
      <c r="CT45" s="16" t="n">
        <v>63.6296265872945</v>
      </c>
      <c r="CU45" s="16" t="n">
        <v>71.9014780436428</v>
      </c>
      <c r="CV45" s="16" t="n">
        <v>1008.99028362131</v>
      </c>
      <c r="CW45" s="16" t="n">
        <v>125.404219966103</v>
      </c>
      <c r="CX45" s="16" t="n">
        <v>1134.39450358741</v>
      </c>
      <c r="CY45" s="16" t="n">
        <v>1008.99028362131</v>
      </c>
      <c r="CZ45" s="16" t="n">
        <v>566.915402653761</v>
      </c>
      <c r="DA45" s="16" t="n">
        <v>9.66248495056581</v>
      </c>
      <c r="DB45" s="16" t="n">
        <v>17206.2811294018</v>
      </c>
      <c r="DC45" s="16" t="n">
        <v>12767.0605980161</v>
      </c>
      <c r="DD45" s="16" t="n">
        <v>11144.3333333333</v>
      </c>
      <c r="DE45" s="16" t="n">
        <v>1818.4375</v>
      </c>
      <c r="DF45" s="16" t="n">
        <v>1325.61620487131</v>
      </c>
      <c r="DG45" s="16" t="n">
        <v>312.502994589154</v>
      </c>
      <c r="DH45" s="16" t="n">
        <v>0</v>
      </c>
      <c r="DI45" s="16" t="n">
        <v>107.818656210229</v>
      </c>
    </row>
    <row r="46" customFormat="false" ht="15" hidden="false" customHeight="false" outlineLevel="0" collapsed="false">
      <c r="A46" s="0" t="s">
        <v>3268</v>
      </c>
      <c r="B46" s="16" t="n">
        <v>2455.86214474906</v>
      </c>
      <c r="C46" s="16" t="n">
        <v>6911.0703365358</v>
      </c>
      <c r="D46" s="16" t="n">
        <v>17325.2746870916</v>
      </c>
      <c r="E46" s="16" t="n">
        <v>3729.97793742081</v>
      </c>
      <c r="F46" s="16" t="n">
        <v>-629.939028627104</v>
      </c>
      <c r="G46" s="16" t="n">
        <v>4083.47415258648</v>
      </c>
      <c r="H46" s="16" t="n">
        <v>-5519.59714463056</v>
      </c>
      <c r="I46" s="17" t="n">
        <v>0.01</v>
      </c>
      <c r="J46" s="17" t="n">
        <v>0</v>
      </c>
      <c r="K46" s="16" t="s">
        <v>116</v>
      </c>
      <c r="L46" s="16" t="n">
        <v>1000</v>
      </c>
      <c r="M46" s="16" t="n">
        <v>34242.8677117307</v>
      </c>
      <c r="N46" s="16" t="n">
        <v>10041.3332211981</v>
      </c>
      <c r="O46" s="16" t="n">
        <v>1000</v>
      </c>
      <c r="P46" s="16" t="n">
        <v>964.542552581352</v>
      </c>
      <c r="Q46" s="16" t="n">
        <v>-610.833869705514</v>
      </c>
      <c r="R46" s="16" t="n">
        <v>12911.366797895</v>
      </c>
      <c r="S46" s="16" t="n">
        <v>28583.1493437418</v>
      </c>
      <c r="T46" s="16" t="n">
        <v>-942.075203303879</v>
      </c>
      <c r="U46" s="16" t="n">
        <v>-3195.68215372412</v>
      </c>
      <c r="V46" s="16" t="n">
        <v>0.750319556751226</v>
      </c>
      <c r="W46" s="16" t="n">
        <v>46176.3591270356</v>
      </c>
      <c r="X46" s="16" t="n">
        <v>22378.2687744779</v>
      </c>
      <c r="Y46" s="16" t="n">
        <v>0</v>
      </c>
      <c r="Z46" s="16" t="n">
        <v>0</v>
      </c>
      <c r="AA46" s="16" t="n">
        <v>27.424347870838</v>
      </c>
      <c r="AB46" s="16" t="n">
        <v>25.224347870838</v>
      </c>
      <c r="AC46" s="16" t="n">
        <v>26.674347870838</v>
      </c>
      <c r="AD46" s="16" t="n">
        <v>27.2673434792775</v>
      </c>
      <c r="AE46" s="16" t="n">
        <v>678.101280841781</v>
      </c>
      <c r="AF46" s="16" t="n">
        <v>0.03</v>
      </c>
      <c r="AG46" s="16" t="n">
        <v>0.653503304378528</v>
      </c>
      <c r="AH46" s="16" t="n">
        <v>14557.4233994358</v>
      </c>
      <c r="AI46" s="16" t="n">
        <v>17325.2746870916</v>
      </c>
      <c r="AJ46" s="16" t="n">
        <v>16.69175</v>
      </c>
      <c r="AK46" s="16" t="n">
        <v>0</v>
      </c>
      <c r="AL46" s="16" t="n">
        <v>1000</v>
      </c>
      <c r="AM46" s="16" t="n">
        <v>629.5368</v>
      </c>
      <c r="AN46" s="16" t="n">
        <v>20954.940915</v>
      </c>
      <c r="AO46" s="16" t="n">
        <v>-6110.62634870079</v>
      </c>
      <c r="AP46" s="16" t="n">
        <v>0.670331410920611</v>
      </c>
      <c r="AQ46" s="16" t="n">
        <v>74.2982266090295</v>
      </c>
      <c r="AR46" s="16" t="n">
        <v>508.787450390286</v>
      </c>
      <c r="AS46" s="16" t="n">
        <v>314.925245</v>
      </c>
      <c r="AT46" s="16" t="n">
        <v>1000</v>
      </c>
      <c r="AU46" s="16" t="n">
        <v>12.270507</v>
      </c>
      <c r="AV46" s="16" t="n">
        <v>0</v>
      </c>
      <c r="AW46" s="16" t="n">
        <v>2254.3125</v>
      </c>
      <c r="AX46" s="16" t="n">
        <v>314.925245</v>
      </c>
      <c r="AY46" s="16" t="n">
        <v>314.925245</v>
      </c>
      <c r="AZ46" s="16" t="n">
        <v>5812.36392665067</v>
      </c>
      <c r="BA46" s="16" t="n">
        <v>0</v>
      </c>
      <c r="BB46" s="16" t="n">
        <v>234.858466666667</v>
      </c>
      <c r="BC46" s="16" t="n">
        <v>112619.569823505</v>
      </c>
      <c r="BD46" s="16" t="n">
        <v>23.8230073221253</v>
      </c>
      <c r="BE46" s="16" t="n">
        <v>32.4802999440617</v>
      </c>
      <c r="BF46" s="16" t="n">
        <v>46.7081551528641</v>
      </c>
      <c r="BG46" s="16" t="n">
        <v>-8.27711430924607</v>
      </c>
      <c r="BH46" s="16" t="n">
        <v>-7.28866183200638</v>
      </c>
      <c r="BI46" s="16" t="n">
        <v>1.09242813813745</v>
      </c>
      <c r="BJ46" s="16" t="n">
        <v>2.04083187529388</v>
      </c>
      <c r="BK46" s="16" t="n">
        <v>5.25403316350504</v>
      </c>
      <c r="BL46" s="16" t="n">
        <v>7.88491984612206</v>
      </c>
      <c r="BM46" s="16" t="n">
        <v>3.71992671744367</v>
      </c>
      <c r="BN46" s="16" t="n">
        <v>4.46573109600205</v>
      </c>
      <c r="BO46" s="16" t="n">
        <v>5.7791095890411</v>
      </c>
      <c r="BP46" s="16" t="n">
        <v>8712.70308277889</v>
      </c>
      <c r="BQ46" s="16" t="n">
        <v>6878.70359950557</v>
      </c>
      <c r="BR46" s="16" t="n">
        <v>6878.70359950557</v>
      </c>
      <c r="BS46" s="16" t="n">
        <v>508.787450390286</v>
      </c>
      <c r="BT46" s="16" t="n">
        <v>301.7195</v>
      </c>
      <c r="BU46" s="16" t="n">
        <v>1081.9108</v>
      </c>
      <c r="BV46" s="16" t="s">
        <v>3237</v>
      </c>
      <c r="BW46" s="16" t="n">
        <v>42.7692307692308</v>
      </c>
      <c r="BX46" s="16" t="n">
        <v>0.155994305554286</v>
      </c>
      <c r="BY46" s="16" t="n">
        <v>0.161741466184191</v>
      </c>
      <c r="BZ46" s="16" t="n">
        <v>13510.8578038903</v>
      </c>
      <c r="CA46" s="16" t="n">
        <v>19402.010477409</v>
      </c>
      <c r="CB46" s="16" t="n">
        <v>282.677965070354</v>
      </c>
      <c r="CC46" s="16" t="n">
        <v>0</v>
      </c>
      <c r="CD46" s="16" t="n">
        <v>1086.26496</v>
      </c>
      <c r="CE46" s="16" t="n">
        <v>12000</v>
      </c>
      <c r="CF46" s="16" t="n">
        <v>31.5204419266382</v>
      </c>
      <c r="CG46" s="16" t="n">
        <v>35.6180993771012</v>
      </c>
      <c r="CH46" s="16" t="n">
        <v>2643.77364301215</v>
      </c>
      <c r="CI46" s="16" t="n">
        <v>-6.2083733271085</v>
      </c>
      <c r="CJ46" s="16" t="n">
        <v>3.00594144553374</v>
      </c>
      <c r="CK46" s="16" t="n">
        <v>39284.2643944572</v>
      </c>
      <c r="CL46" s="16" t="n">
        <v>166.793960890286</v>
      </c>
      <c r="CM46" s="16" t="n">
        <v>192.161529140286</v>
      </c>
      <c r="CN46" s="16" t="n">
        <v>1000</v>
      </c>
      <c r="CO46" s="16" t="n">
        <v>1.5535546875</v>
      </c>
      <c r="CP46" s="16" t="n">
        <v>1.09004417261298</v>
      </c>
      <c r="CQ46" s="16" t="n">
        <v>0</v>
      </c>
      <c r="CR46" s="16" t="n">
        <v>83.9569960682033</v>
      </c>
      <c r="CS46" s="16" t="n">
        <v>18.6421610745436</v>
      </c>
      <c r="CT46" s="16" t="n">
        <v>0</v>
      </c>
      <c r="CU46" s="16" t="n">
        <v>0.0113</v>
      </c>
      <c r="CV46" s="16" t="n">
        <v>3910169.575144</v>
      </c>
      <c r="CW46" s="16" t="n">
        <v>797942.368891408</v>
      </c>
      <c r="CX46" s="16" t="n">
        <v>4708111.94403541</v>
      </c>
      <c r="CY46" s="16" t="n">
        <v>3910169.575144</v>
      </c>
      <c r="CZ46" s="16" t="n">
        <v>1970.04797731137</v>
      </c>
      <c r="DA46" s="16" t="n">
        <v>31.5204419266382</v>
      </c>
      <c r="DB46" s="16" t="n">
        <v>16956.697259984</v>
      </c>
      <c r="DC46" s="16" t="n">
        <v>12581.8693669081</v>
      </c>
      <c r="DD46" s="16" t="n">
        <v>11144.3333333333</v>
      </c>
      <c r="DE46" s="16" t="n">
        <v>1921.25</v>
      </c>
      <c r="DF46" s="16" t="n">
        <v>3910484.500389</v>
      </c>
      <c r="DG46" s="16" t="n">
        <v>192.161529140286</v>
      </c>
      <c r="DH46" s="16" t="n">
        <v>0</v>
      </c>
      <c r="DI46" s="16" t="n">
        <v>18.6432835968441</v>
      </c>
    </row>
    <row r="47" customFormat="false" ht="15" hidden="false" customHeight="false" outlineLevel="0" collapsed="false">
      <c r="A47" s="0" t="s">
        <v>3269</v>
      </c>
      <c r="B47" s="16" t="n">
        <v>2465.07954157611</v>
      </c>
      <c r="C47" s="16" t="n">
        <v>8209.24039226006</v>
      </c>
      <c r="D47" s="16" t="n">
        <v>19716.7966317894</v>
      </c>
      <c r="E47" s="16" t="n">
        <v>4213.14398474076</v>
      </c>
      <c r="F47" s="16" t="n">
        <v>-693.607156231465</v>
      </c>
      <c r="G47" s="16" t="n">
        <v>4578.38152528182</v>
      </c>
      <c r="H47" s="16" t="n">
        <v>2550.25722304885</v>
      </c>
      <c r="I47" s="17" t="n">
        <v>8.97982954269162</v>
      </c>
      <c r="J47" s="17" t="n">
        <v>14.418505422454</v>
      </c>
      <c r="K47" s="16" t="s">
        <v>116</v>
      </c>
      <c r="L47" s="16" t="n">
        <v>1000</v>
      </c>
      <c r="M47" s="16" t="n">
        <v>29100</v>
      </c>
      <c r="N47" s="16" t="n">
        <v>11402.7039831813</v>
      </c>
      <c r="O47" s="16" t="n">
        <v>1000</v>
      </c>
      <c r="P47" s="16" t="n">
        <v>951.290832135856</v>
      </c>
      <c r="Q47" s="16" t="n">
        <v>668.323609312844</v>
      </c>
      <c r="R47" s="16" t="n">
        <v>17617.7170533315</v>
      </c>
      <c r="S47" s="16" t="n">
        <v>26949.0428826358</v>
      </c>
      <c r="T47" s="16" t="n">
        <v>-955.692204749296</v>
      </c>
      <c r="U47" s="16" t="n">
        <v>2827.9750187904</v>
      </c>
      <c r="V47" s="16" t="n">
        <v>0.750319556751226</v>
      </c>
      <c r="W47" s="16" t="n">
        <v>45787.4068150892</v>
      </c>
      <c r="X47" s="16" t="n">
        <v>21443.9545217035</v>
      </c>
      <c r="Y47" s="16" t="n">
        <v>13.5637889418045</v>
      </c>
      <c r="Z47" s="16" t="n">
        <v>18.4109895739315</v>
      </c>
      <c r="AA47" s="16" t="n">
        <v>27.424347870838</v>
      </c>
      <c r="AB47" s="16" t="n">
        <v>25.224347870838</v>
      </c>
      <c r="AC47" s="16" t="n">
        <v>26.674347870838</v>
      </c>
      <c r="AD47" s="16" t="n">
        <v>27.2673434792775</v>
      </c>
      <c r="AE47" s="16" t="n">
        <v>674.686407680941</v>
      </c>
      <c r="AF47" s="16" t="n">
        <v>0.03</v>
      </c>
      <c r="AG47" s="16" t="n">
        <v>0.654405917289144</v>
      </c>
      <c r="AH47" s="16" t="n">
        <v>9819.91719809611</v>
      </c>
      <c r="AI47" s="16" t="n">
        <v>19716.7966317894</v>
      </c>
      <c r="AJ47" s="16" t="n">
        <v>16.69175</v>
      </c>
      <c r="AK47" s="16" t="n">
        <v>0</v>
      </c>
      <c r="AL47" s="16" t="n">
        <v>1000</v>
      </c>
      <c r="AM47" s="16" t="n">
        <v>812.6073</v>
      </c>
      <c r="AN47" s="16" t="n">
        <v>20079.98904</v>
      </c>
      <c r="AO47" s="16" t="n">
        <v>-5508.72242389994</v>
      </c>
      <c r="AP47" s="16" t="n">
        <v>0.414483496940676</v>
      </c>
      <c r="AQ47" s="16" t="n">
        <v>79.3409126180933</v>
      </c>
      <c r="AR47" s="16" t="n">
        <v>486.646998219432</v>
      </c>
      <c r="AS47" s="16" t="n">
        <v>314.925245</v>
      </c>
      <c r="AT47" s="16" t="n">
        <v>1000</v>
      </c>
      <c r="AU47" s="16" t="n">
        <v>12.270507</v>
      </c>
      <c r="AV47" s="16" t="n">
        <v>0</v>
      </c>
      <c r="AW47" s="16" t="n">
        <v>2254.3125</v>
      </c>
      <c r="AX47" s="16" t="n">
        <v>314.925245</v>
      </c>
      <c r="AY47" s="16" t="n">
        <v>314.925245</v>
      </c>
      <c r="AZ47" s="16" t="n">
        <v>5631.62619515181</v>
      </c>
      <c r="BA47" s="16" t="n">
        <v>0</v>
      </c>
      <c r="BB47" s="16" t="n">
        <v>417.928966666667</v>
      </c>
      <c r="BC47" s="16" t="n">
        <v>106762.460254244</v>
      </c>
      <c r="BD47" s="16" t="n">
        <v>16.751694488301</v>
      </c>
      <c r="BE47" s="16" t="n">
        <v>25.4089871102374</v>
      </c>
      <c r="BF47" s="16" t="n">
        <v>39.6368423190398</v>
      </c>
      <c r="BG47" s="16" t="n">
        <v>-8.27711430924607</v>
      </c>
      <c r="BH47" s="16" t="n">
        <v>-7.28866183200638</v>
      </c>
      <c r="BI47" s="16" t="n">
        <v>1.09242813813745</v>
      </c>
      <c r="BJ47" s="16" t="n">
        <v>2.04083187529388</v>
      </c>
      <c r="BK47" s="16" t="n">
        <v>5.25403316350504</v>
      </c>
      <c r="BL47" s="16" t="n">
        <v>7.88491984612206</v>
      </c>
      <c r="BM47" s="16" t="n">
        <v>3.71992671744367</v>
      </c>
      <c r="BN47" s="16" t="n">
        <v>4.46573109600205</v>
      </c>
      <c r="BO47" s="16" t="n">
        <v>5.7791095890411</v>
      </c>
      <c r="BP47" s="16" t="n">
        <v>8712.70308277889</v>
      </c>
      <c r="BQ47" s="16" t="n">
        <v>8176.87365522983</v>
      </c>
      <c r="BR47" s="16" t="n">
        <v>8176.87365522983</v>
      </c>
      <c r="BS47" s="16" t="n">
        <v>486.646998219432</v>
      </c>
      <c r="BT47" s="16" t="n">
        <v>301.7195</v>
      </c>
      <c r="BU47" s="16" t="n">
        <v>1081.9108</v>
      </c>
      <c r="BV47" s="16" t="s">
        <v>3237</v>
      </c>
      <c r="BW47" s="16" t="n">
        <v>42.7692307692308</v>
      </c>
      <c r="BX47" s="16" t="n">
        <v>0.155994305554286</v>
      </c>
      <c r="BY47" s="16" t="n">
        <v>0.161741466184191</v>
      </c>
      <c r="BZ47" s="16" t="n">
        <v>13510.8578038903</v>
      </c>
      <c r="CA47" s="16" t="n">
        <v>19402.010477409</v>
      </c>
      <c r="CB47" s="16" t="n">
        <v>248.072766312605</v>
      </c>
      <c r="CC47" s="16" t="n">
        <v>0</v>
      </c>
      <c r="CD47" s="16" t="n">
        <v>950.69728</v>
      </c>
      <c r="CE47" s="16" t="n">
        <v>12000</v>
      </c>
      <c r="CF47" s="16" t="n">
        <v>22.5441850526818</v>
      </c>
      <c r="CG47" s="16" t="n">
        <v>25.4749291095304</v>
      </c>
      <c r="CH47" s="16" t="n">
        <v>2643.77364301215</v>
      </c>
      <c r="CI47" s="16" t="n">
        <v>-6.2083733271085</v>
      </c>
      <c r="CJ47" s="16" t="n">
        <v>3.00594144553374</v>
      </c>
      <c r="CK47" s="16" t="n">
        <v>34069.6188986003</v>
      </c>
      <c r="CL47" s="16" t="n">
        <v>144.653508719432</v>
      </c>
      <c r="CM47" s="16" t="n">
        <v>170.021076969432</v>
      </c>
      <c r="CN47" s="16" t="n">
        <v>1000</v>
      </c>
      <c r="CO47" s="16" t="n">
        <v>1.5535546875</v>
      </c>
      <c r="CP47" s="16" t="n">
        <v>1.09004417261298</v>
      </c>
      <c r="CQ47" s="16" t="n">
        <v>14.418505422454</v>
      </c>
      <c r="CR47" s="16" t="n">
        <v>89.6552312584455</v>
      </c>
      <c r="CS47" s="16" t="n">
        <v>29.7084370115361</v>
      </c>
      <c r="CT47" s="16" t="n">
        <v>12.7597393119062</v>
      </c>
      <c r="CU47" s="16" t="n">
        <v>14.418505422454</v>
      </c>
      <c r="CV47" s="16" t="n">
        <v>2702.79543971192</v>
      </c>
      <c r="CW47" s="16" t="n">
        <v>625.359460241357</v>
      </c>
      <c r="CX47" s="16" t="n">
        <v>3328.15489995328</v>
      </c>
      <c r="CY47" s="16" t="n">
        <v>2702.79543971192</v>
      </c>
      <c r="CZ47" s="16" t="n">
        <v>1149.67627675204</v>
      </c>
      <c r="DA47" s="16" t="n">
        <v>22.5441850526818</v>
      </c>
      <c r="DB47" s="16" t="n">
        <v>16775.9595284851</v>
      </c>
      <c r="DC47" s="16" t="n">
        <v>12447.761970136</v>
      </c>
      <c r="DD47" s="16" t="n">
        <v>11144.3333333333</v>
      </c>
      <c r="DE47" s="16" t="n">
        <v>1921.25</v>
      </c>
      <c r="DF47" s="16" t="n">
        <v>3017.72068471192</v>
      </c>
      <c r="DG47" s="16" t="n">
        <v>170.021076969432</v>
      </c>
      <c r="DH47" s="16" t="n">
        <v>0</v>
      </c>
      <c r="DI47" s="16" t="n">
        <v>29.7085094118831</v>
      </c>
    </row>
    <row r="48" customFormat="false" ht="15" hidden="false" customHeight="false" outlineLevel="0" collapsed="false">
      <c r="A48" s="0" t="s">
        <v>506</v>
      </c>
      <c r="B48" s="16" t="n">
        <v>2465.07954157611</v>
      </c>
      <c r="C48" s="16" t="n">
        <v>8433.79211689627</v>
      </c>
      <c r="D48" s="16" t="n">
        <v>19849.6355905026</v>
      </c>
      <c r="E48" s="16" t="n">
        <v>4372.57570923247</v>
      </c>
      <c r="F48" s="16" t="n">
        <v>-985.271974690286</v>
      </c>
      <c r="G48" s="16" t="n">
        <v>5020.4959992469</v>
      </c>
      <c r="H48" s="16" t="n">
        <v>-498.973187406275</v>
      </c>
      <c r="I48" s="17" t="n">
        <v>0.01</v>
      </c>
      <c r="J48" s="17" t="n">
        <v>5.27172885136379</v>
      </c>
      <c r="K48" s="16" t="s">
        <v>116</v>
      </c>
      <c r="L48" s="16" t="n">
        <v>1000</v>
      </c>
      <c r="M48" s="16" t="n">
        <v>33783.9379598379</v>
      </c>
      <c r="N48" s="16" t="n">
        <v>11503.6615918033</v>
      </c>
      <c r="O48" s="16" t="n">
        <v>1000</v>
      </c>
      <c r="P48" s="16" t="n">
        <v>951.290832135856</v>
      </c>
      <c r="Q48" s="16" t="n">
        <v>-173.022724630933</v>
      </c>
      <c r="R48" s="16" t="n">
        <v>17617.7170533315</v>
      </c>
      <c r="S48" s="16" t="n">
        <v>26951.6996618101</v>
      </c>
      <c r="T48" s="16" t="n">
        <v>-955.692204749296</v>
      </c>
      <c r="U48" s="16" t="n">
        <v>-221.255391664727</v>
      </c>
      <c r="V48" s="16" t="n">
        <v>0.750319556751226</v>
      </c>
      <c r="W48" s="16" t="n">
        <v>46262.224404473</v>
      </c>
      <c r="X48" s="16" t="n">
        <v>22151.7589011042</v>
      </c>
      <c r="Y48" s="16" t="n">
        <v>4.95922534293781</v>
      </c>
      <c r="Z48" s="16" t="n">
        <v>6.73147057030642</v>
      </c>
      <c r="AA48" s="16" t="n">
        <v>27.424347870838</v>
      </c>
      <c r="AB48" s="16" t="n">
        <v>25.224347870838</v>
      </c>
      <c r="AC48" s="16" t="n">
        <v>26.674347870838</v>
      </c>
      <c r="AD48" s="16" t="n">
        <v>27.2673434792775</v>
      </c>
      <c r="AE48" s="16" t="n">
        <v>674.686407680941</v>
      </c>
      <c r="AF48" s="16" t="n">
        <v>0.03</v>
      </c>
      <c r="AG48" s="16" t="n">
        <v>0.654796941633311</v>
      </c>
      <c r="AH48" s="16" t="n">
        <v>9819.91719809611</v>
      </c>
      <c r="AI48" s="16" t="n">
        <v>19849.6355905026</v>
      </c>
      <c r="AJ48" s="16" t="n">
        <v>16.99296875</v>
      </c>
      <c r="AK48" s="16" t="n">
        <v>0</v>
      </c>
      <c r="AL48" s="16" t="n">
        <v>1000</v>
      </c>
      <c r="AM48" s="16" t="n">
        <v>812.6073</v>
      </c>
      <c r="AN48" s="16" t="n">
        <v>20079.98904</v>
      </c>
      <c r="AO48" s="16" t="n">
        <v>-5508.72242389994</v>
      </c>
      <c r="AP48" s="16" t="n">
        <v>0.390023595236087</v>
      </c>
      <c r="AQ48" s="16" t="n">
        <v>79.0107852297933</v>
      </c>
      <c r="AR48" s="16" t="n">
        <v>505.102587018428</v>
      </c>
      <c r="AS48" s="16" t="n">
        <v>314.925245</v>
      </c>
      <c r="AT48" s="16" t="n">
        <v>1000</v>
      </c>
      <c r="AU48" s="16" t="n">
        <v>12.270507</v>
      </c>
      <c r="AV48" s="16" t="n">
        <v>0</v>
      </c>
      <c r="AW48" s="16" t="n">
        <v>2254.3125</v>
      </c>
      <c r="AX48" s="16" t="n">
        <v>314.925245</v>
      </c>
      <c r="AY48" s="16" t="n">
        <v>314.925245</v>
      </c>
      <c r="AZ48" s="16" t="n">
        <v>5678.56648429146</v>
      </c>
      <c r="BA48" s="16" t="n">
        <v>0</v>
      </c>
      <c r="BB48" s="16" t="n">
        <v>417.928966666667</v>
      </c>
      <c r="BC48" s="16" t="n">
        <v>111453.492241721</v>
      </c>
      <c r="BD48" s="16" t="n">
        <v>16.9007466519015</v>
      </c>
      <c r="BE48" s="16" t="n">
        <v>25.5580392738379</v>
      </c>
      <c r="BF48" s="16" t="n">
        <v>39.7858944826403</v>
      </c>
      <c r="BG48" s="16" t="n">
        <v>-8.27711430924607</v>
      </c>
      <c r="BH48" s="16" t="n">
        <v>-7.28866183200638</v>
      </c>
      <c r="BI48" s="16" t="n">
        <v>1.09242813813745</v>
      </c>
      <c r="BJ48" s="16" t="n">
        <v>2.04083187529388</v>
      </c>
      <c r="BK48" s="16" t="n">
        <v>5.25403316350504</v>
      </c>
      <c r="BL48" s="16" t="n">
        <v>7.88491984612206</v>
      </c>
      <c r="BM48" s="16" t="n">
        <v>3.71992671744367</v>
      </c>
      <c r="BN48" s="16" t="n">
        <v>4.46573109600205</v>
      </c>
      <c r="BO48" s="16" t="n">
        <v>5.7791095890411</v>
      </c>
      <c r="BP48" s="16" t="n">
        <v>8712.70308277889</v>
      </c>
      <c r="BQ48" s="16" t="n">
        <v>8401.42537986604</v>
      </c>
      <c r="BR48" s="16" t="n">
        <v>8401.42537986604</v>
      </c>
      <c r="BS48" s="16" t="n">
        <v>505.102587018428</v>
      </c>
      <c r="BT48" s="16" t="n">
        <v>301.7195</v>
      </c>
      <c r="BU48" s="16" t="n">
        <v>1081.9108</v>
      </c>
      <c r="BV48" s="16" t="s">
        <v>3237</v>
      </c>
      <c r="BW48" s="16" t="n">
        <v>42.7692307692308</v>
      </c>
      <c r="BX48" s="16" t="n">
        <v>0.155994305554286</v>
      </c>
      <c r="BY48" s="16" t="n">
        <v>0.161741466184191</v>
      </c>
      <c r="BZ48" s="16" t="n">
        <v>13510.8578038903</v>
      </c>
      <c r="CA48" s="16" t="n">
        <v>19402.010477409</v>
      </c>
      <c r="CB48" s="16" t="n">
        <v>276.41220982372</v>
      </c>
      <c r="CC48" s="16" t="n">
        <v>0</v>
      </c>
      <c r="CD48" s="16" t="n">
        <v>950.69728</v>
      </c>
      <c r="CE48" s="16" t="n">
        <v>12000</v>
      </c>
      <c r="CF48" s="16" t="n">
        <v>24.2811390178569</v>
      </c>
      <c r="CG48" s="16" t="n">
        <v>27.4376870901783</v>
      </c>
      <c r="CH48" s="16" t="n">
        <v>2643.77364301215</v>
      </c>
      <c r="CI48" s="16" t="n">
        <v>-6.2083733271085</v>
      </c>
      <c r="CJ48" s="16" t="n">
        <v>3.00594144553374</v>
      </c>
      <c r="CK48" s="16" t="n">
        <v>38416.384369396</v>
      </c>
      <c r="CL48" s="16" t="n">
        <v>163.109097518428</v>
      </c>
      <c r="CM48" s="16" t="n">
        <v>188.476665768428</v>
      </c>
      <c r="CN48" s="16" t="n">
        <v>1000</v>
      </c>
      <c r="CO48" s="16" t="n">
        <v>1.5535546875</v>
      </c>
      <c r="CP48" s="16" t="n">
        <v>1.09004417261298</v>
      </c>
      <c r="CQ48" s="16" t="n">
        <v>5.27172885136379</v>
      </c>
      <c r="CR48" s="16" t="n">
        <v>89.2821873096664</v>
      </c>
      <c r="CS48" s="16" t="n">
        <v>30.9120296169389</v>
      </c>
      <c r="CT48" s="16" t="n">
        <v>4.6652467711184</v>
      </c>
      <c r="CU48" s="16" t="n">
        <v>5.27172885136379</v>
      </c>
      <c r="CV48" s="16" t="n">
        <v>8216.85587316577</v>
      </c>
      <c r="CW48" s="16" t="n">
        <v>1710.39691583157</v>
      </c>
      <c r="CX48" s="16" t="n">
        <v>9927.25278899734</v>
      </c>
      <c r="CY48" s="16" t="n">
        <v>8216.85587316577</v>
      </c>
      <c r="CZ48" s="16" t="n">
        <v>1140.0823113304</v>
      </c>
      <c r="DA48" s="16" t="n">
        <v>24.2811390178569</v>
      </c>
      <c r="DB48" s="16" t="n">
        <v>16822.8998176248</v>
      </c>
      <c r="DC48" s="16" t="n">
        <v>12482.5916646776</v>
      </c>
      <c r="DD48" s="16" t="n">
        <v>11144.3333333333</v>
      </c>
      <c r="DE48" s="16" t="n">
        <v>1921.25</v>
      </c>
      <c r="DF48" s="16" t="n">
        <v>8531.78111816577</v>
      </c>
      <c r="DG48" s="16" t="n">
        <v>188.476665768428</v>
      </c>
      <c r="DH48" s="16" t="n">
        <v>0</v>
      </c>
      <c r="DI48" s="16" t="n">
        <v>30.9120537056066</v>
      </c>
    </row>
    <row r="49" customFormat="false" ht="15" hidden="false" customHeight="false" outlineLevel="0" collapsed="false">
      <c r="A49" s="0" t="s">
        <v>507</v>
      </c>
      <c r="B49" s="16" t="n">
        <v>2465.07954157611</v>
      </c>
      <c r="C49" s="16" t="n">
        <v>8209.24039226006</v>
      </c>
      <c r="D49" s="16" t="n">
        <v>19716.7966317894</v>
      </c>
      <c r="E49" s="16" t="n">
        <v>4213.14398474076</v>
      </c>
      <c r="F49" s="16" t="n">
        <v>-1135.49021845689</v>
      </c>
      <c r="G49" s="16" t="n">
        <v>5020.26458750724</v>
      </c>
      <c r="H49" s="16" t="n">
        <v>-898.814009603721</v>
      </c>
      <c r="I49" s="17" t="n">
        <v>0.01</v>
      </c>
      <c r="J49" s="17" t="n">
        <v>3.97046602096122</v>
      </c>
      <c r="K49" s="16" t="s">
        <v>116</v>
      </c>
      <c r="L49" s="16" t="n">
        <v>1000</v>
      </c>
      <c r="M49" s="16" t="n">
        <v>33779.4469253452</v>
      </c>
      <c r="N49" s="16" t="n">
        <v>11402.7039831813</v>
      </c>
      <c r="O49" s="16" t="n">
        <v>1000</v>
      </c>
      <c r="P49" s="16" t="n">
        <v>951.290832135856</v>
      </c>
      <c r="Q49" s="16" t="n">
        <v>-267.565775756198</v>
      </c>
      <c r="R49" s="16" t="n">
        <v>17617.7170533315</v>
      </c>
      <c r="S49" s="16" t="n">
        <v>26949.0428826358</v>
      </c>
      <c r="T49" s="16" t="n">
        <v>-955.692204749296</v>
      </c>
      <c r="U49" s="16" t="n">
        <v>-621.096213862173</v>
      </c>
      <c r="V49" s="16" t="n">
        <v>0.750319556751226</v>
      </c>
      <c r="W49" s="16" t="n">
        <v>46166.2147180189</v>
      </c>
      <c r="X49" s="16" t="n">
        <v>22149.4762774452</v>
      </c>
      <c r="Y49" s="16" t="n">
        <v>3.7351002431262</v>
      </c>
      <c r="Z49" s="16" t="n">
        <v>5.06988806216538</v>
      </c>
      <c r="AA49" s="16" t="n">
        <v>27.424347870838</v>
      </c>
      <c r="AB49" s="16" t="n">
        <v>25.224347870838</v>
      </c>
      <c r="AC49" s="16" t="n">
        <v>26.674347870838</v>
      </c>
      <c r="AD49" s="16" t="n">
        <v>27.2673434792775</v>
      </c>
      <c r="AE49" s="16" t="n">
        <v>674.686407680941</v>
      </c>
      <c r="AF49" s="16" t="n">
        <v>0.03</v>
      </c>
      <c r="AG49" s="16" t="n">
        <v>0.654405917289144</v>
      </c>
      <c r="AH49" s="16" t="n">
        <v>9819.91719809611</v>
      </c>
      <c r="AI49" s="16" t="n">
        <v>19716.7966317894</v>
      </c>
      <c r="AJ49" s="16" t="n">
        <v>16.69175</v>
      </c>
      <c r="AK49" s="16" t="n">
        <v>0</v>
      </c>
      <c r="AL49" s="16" t="n">
        <v>1000</v>
      </c>
      <c r="AM49" s="16" t="n">
        <v>812.6073</v>
      </c>
      <c r="AN49" s="16" t="n">
        <v>20079.98904</v>
      </c>
      <c r="AO49" s="16" t="n">
        <v>-5508.72242389994</v>
      </c>
      <c r="AP49" s="16" t="n">
        <v>0.414483496940676</v>
      </c>
      <c r="AQ49" s="16" t="n">
        <v>78.645426879892</v>
      </c>
      <c r="AR49" s="16" t="n">
        <v>506.474954430797</v>
      </c>
      <c r="AS49" s="16" t="n">
        <v>314.925245</v>
      </c>
      <c r="AT49" s="16" t="n">
        <v>1000</v>
      </c>
      <c r="AU49" s="16" t="n">
        <v>12.270507</v>
      </c>
      <c r="AV49" s="16" t="n">
        <v>0</v>
      </c>
      <c r="AW49" s="16" t="n">
        <v>2254.3125</v>
      </c>
      <c r="AX49" s="16" t="n">
        <v>314.925245</v>
      </c>
      <c r="AY49" s="16" t="n">
        <v>314.925245</v>
      </c>
      <c r="AZ49" s="16" t="n">
        <v>5631.62619515181</v>
      </c>
      <c r="BA49" s="16" t="n">
        <v>0</v>
      </c>
      <c r="BB49" s="16" t="n">
        <v>417.928966666667</v>
      </c>
      <c r="BC49" s="16" t="n">
        <v>111441.907179589</v>
      </c>
      <c r="BD49" s="16" t="n">
        <v>16.751694488301</v>
      </c>
      <c r="BE49" s="16" t="n">
        <v>25.4089871102374</v>
      </c>
      <c r="BF49" s="16" t="n">
        <v>39.6368423190398</v>
      </c>
      <c r="BG49" s="16" t="n">
        <v>-8.27711430924607</v>
      </c>
      <c r="BH49" s="16" t="n">
        <v>-7.28866183200638</v>
      </c>
      <c r="BI49" s="16" t="n">
        <v>1.09242813813745</v>
      </c>
      <c r="BJ49" s="16" t="n">
        <v>2.04083187529388</v>
      </c>
      <c r="BK49" s="16" t="n">
        <v>5.25403316350504</v>
      </c>
      <c r="BL49" s="16" t="n">
        <v>7.88491984612206</v>
      </c>
      <c r="BM49" s="16" t="n">
        <v>3.71992671744367</v>
      </c>
      <c r="BN49" s="16" t="n">
        <v>4.46573109600205</v>
      </c>
      <c r="BO49" s="16" t="n">
        <v>5.7791095890411</v>
      </c>
      <c r="BP49" s="16" t="n">
        <v>8712.70308277889</v>
      </c>
      <c r="BQ49" s="16" t="n">
        <v>8176.87365522983</v>
      </c>
      <c r="BR49" s="16" t="n">
        <v>8176.87365522983</v>
      </c>
      <c r="BS49" s="16" t="n">
        <v>506.474954430797</v>
      </c>
      <c r="BT49" s="16" t="n">
        <v>301.7195</v>
      </c>
      <c r="BU49" s="16" t="n">
        <v>1081.9108</v>
      </c>
      <c r="BV49" s="16" t="s">
        <v>3237</v>
      </c>
      <c r="BW49" s="16" t="n">
        <v>42.7692307692308</v>
      </c>
      <c r="BX49" s="16" t="n">
        <v>0.155994305554286</v>
      </c>
      <c r="BY49" s="16" t="n">
        <v>0.161741466184191</v>
      </c>
      <c r="BZ49" s="16" t="n">
        <v>13510.8578038903</v>
      </c>
      <c r="CA49" s="16" t="n">
        <v>19402.010477409</v>
      </c>
      <c r="CB49" s="16" t="n">
        <v>278.503097417438</v>
      </c>
      <c r="CC49" s="16" t="n">
        <v>0</v>
      </c>
      <c r="CD49" s="16" t="n">
        <v>950.69728</v>
      </c>
      <c r="CE49" s="16" t="n">
        <v>12000</v>
      </c>
      <c r="CF49" s="16" t="n">
        <v>24.2501640779233</v>
      </c>
      <c r="CG49" s="16" t="n">
        <v>27.4026854080534</v>
      </c>
      <c r="CH49" s="16" t="n">
        <v>2643.77364301215</v>
      </c>
      <c r="CI49" s="16" t="n">
        <v>-6.2083733271085</v>
      </c>
      <c r="CJ49" s="16" t="n">
        <v>3.00594144553374</v>
      </c>
      <c r="CK49" s="16" t="n">
        <v>38739.6121648513</v>
      </c>
      <c r="CL49" s="16" t="n">
        <v>164.481464930797</v>
      </c>
      <c r="CM49" s="16" t="n">
        <v>189.849033180797</v>
      </c>
      <c r="CN49" s="16" t="n">
        <v>1000</v>
      </c>
      <c r="CO49" s="16" t="n">
        <v>1.5535546875</v>
      </c>
      <c r="CP49" s="16" t="n">
        <v>1.09004417261298</v>
      </c>
      <c r="CQ49" s="16" t="n">
        <v>3.97046602096122</v>
      </c>
      <c r="CR49" s="16" t="n">
        <v>88.869332374278</v>
      </c>
      <c r="CS49" s="16" t="n">
        <v>30.251102221468</v>
      </c>
      <c r="CT49" s="16" t="n">
        <v>3.51368674421347</v>
      </c>
      <c r="CU49" s="16" t="n">
        <v>3.97046602096122</v>
      </c>
      <c r="CV49" s="16" t="n">
        <v>10991.2196047346</v>
      </c>
      <c r="CW49" s="16" t="n">
        <v>2270.95477479745</v>
      </c>
      <c r="CX49" s="16" t="n">
        <v>13262.174379532</v>
      </c>
      <c r="CY49" s="16" t="n">
        <v>10991.2196047346</v>
      </c>
      <c r="CZ49" s="16" t="n">
        <v>1169.00957579736</v>
      </c>
      <c r="DA49" s="16" t="n">
        <v>24.2501640779233</v>
      </c>
      <c r="DB49" s="16" t="n">
        <v>16775.9595284851</v>
      </c>
      <c r="DC49" s="16" t="n">
        <v>12447.761970136</v>
      </c>
      <c r="DD49" s="16" t="n">
        <v>11144.3333333333</v>
      </c>
      <c r="DE49" s="16" t="n">
        <v>1921.25</v>
      </c>
      <c r="DF49" s="16" t="n">
        <v>11306.1448497346</v>
      </c>
      <c r="DG49" s="16" t="n">
        <v>189.849033180797</v>
      </c>
      <c r="DH49" s="16" t="n">
        <v>0</v>
      </c>
      <c r="DI49" s="16" t="n">
        <v>30.2511309413356</v>
      </c>
    </row>
    <row r="50" customFormat="false" ht="15" hidden="false" customHeight="false" outlineLevel="0" collapsed="false">
      <c r="A50" s="0" t="s">
        <v>508</v>
      </c>
      <c r="B50" s="16" t="n">
        <v>2465.07954157611</v>
      </c>
      <c r="C50" s="16" t="n">
        <v>8080.92512103937</v>
      </c>
      <c r="D50" s="16" t="n">
        <v>19640.8886553818</v>
      </c>
      <c r="E50" s="16" t="n">
        <v>4122.04014217406</v>
      </c>
      <c r="F50" s="16" t="n">
        <v>-1221.32921489495</v>
      </c>
      <c r="G50" s="16" t="n">
        <v>5020.13235222744</v>
      </c>
      <c r="H50" s="16" t="n">
        <v>-1129.98425523</v>
      </c>
      <c r="I50" s="17" t="n">
        <v>0.01</v>
      </c>
      <c r="J50" s="17" t="n">
        <v>3.21723593330883</v>
      </c>
      <c r="K50" s="16" t="s">
        <v>116</v>
      </c>
      <c r="L50" s="16" t="n">
        <v>1000</v>
      </c>
      <c r="M50" s="16" t="n">
        <v>33776.8806199208</v>
      </c>
      <c r="N50" s="16" t="n">
        <v>11345.0139211116</v>
      </c>
      <c r="O50" s="16" t="n">
        <v>1000</v>
      </c>
      <c r="P50" s="16" t="n">
        <v>951.290832135856</v>
      </c>
      <c r="Q50" s="16" t="n">
        <v>-321.590376399206</v>
      </c>
      <c r="R50" s="16" t="n">
        <v>17617.7170533315</v>
      </c>
      <c r="S50" s="16" t="n">
        <v>26947.5247231076</v>
      </c>
      <c r="T50" s="16" t="n">
        <v>-955.692204749296</v>
      </c>
      <c r="U50" s="16" t="n">
        <v>-852.266459488452</v>
      </c>
      <c r="V50" s="16" t="n">
        <v>0.750319556751226</v>
      </c>
      <c r="W50" s="16" t="n">
        <v>46111.3520400452</v>
      </c>
      <c r="X50" s="16" t="n">
        <v>22148.1719210687</v>
      </c>
      <c r="Y50" s="16" t="n">
        <v>3.02652098097719</v>
      </c>
      <c r="Z50" s="16" t="n">
        <v>4.10808856324204</v>
      </c>
      <c r="AA50" s="16" t="n">
        <v>27.424347870838</v>
      </c>
      <c r="AB50" s="16" t="n">
        <v>25.224347870838</v>
      </c>
      <c r="AC50" s="16" t="n">
        <v>26.674347870838</v>
      </c>
      <c r="AD50" s="16" t="n">
        <v>27.2673434792775</v>
      </c>
      <c r="AE50" s="16" t="n">
        <v>674.686407680941</v>
      </c>
      <c r="AF50" s="16" t="n">
        <v>0.03</v>
      </c>
      <c r="AG50" s="16" t="n">
        <v>0.654181588896754</v>
      </c>
      <c r="AH50" s="16" t="n">
        <v>9819.91719809611</v>
      </c>
      <c r="AI50" s="16" t="n">
        <v>19640.8886553818</v>
      </c>
      <c r="AJ50" s="16" t="n">
        <v>16.519625</v>
      </c>
      <c r="AK50" s="16" t="n">
        <v>0</v>
      </c>
      <c r="AL50" s="16" t="n">
        <v>1000</v>
      </c>
      <c r="AM50" s="16" t="n">
        <v>812.6073</v>
      </c>
      <c r="AN50" s="16" t="n">
        <v>20079.98904</v>
      </c>
      <c r="AO50" s="16" t="n">
        <v>-5508.72242389994</v>
      </c>
      <c r="AP50" s="16" t="n">
        <v>0.428460583629013</v>
      </c>
      <c r="AQ50" s="16" t="n">
        <v>78.4322357103829</v>
      </c>
      <c r="AR50" s="16" t="n">
        <v>507.259164380722</v>
      </c>
      <c r="AS50" s="16" t="n">
        <v>314.925245</v>
      </c>
      <c r="AT50" s="16" t="n">
        <v>1000</v>
      </c>
      <c r="AU50" s="16" t="n">
        <v>12.270507</v>
      </c>
      <c r="AV50" s="16" t="n">
        <v>0</v>
      </c>
      <c r="AW50" s="16" t="n">
        <v>2254.3125</v>
      </c>
      <c r="AX50" s="16" t="n">
        <v>314.925245</v>
      </c>
      <c r="AY50" s="16" t="n">
        <v>314.925245</v>
      </c>
      <c r="AZ50" s="16" t="n">
        <v>5603.94038461782</v>
      </c>
      <c r="BA50" s="16" t="n">
        <v>0</v>
      </c>
      <c r="BB50" s="16" t="n">
        <v>417.928966666667</v>
      </c>
      <c r="BC50" s="16" t="n">
        <v>111435.287144085</v>
      </c>
      <c r="BD50" s="16" t="n">
        <v>16.6637821631587</v>
      </c>
      <c r="BE50" s="16" t="n">
        <v>25.321074785095</v>
      </c>
      <c r="BF50" s="16" t="n">
        <v>39.5489299938975</v>
      </c>
      <c r="BG50" s="16" t="n">
        <v>-8.27711430924607</v>
      </c>
      <c r="BH50" s="16" t="n">
        <v>-7.28866183200638</v>
      </c>
      <c r="BI50" s="16" t="n">
        <v>1.09242813813745</v>
      </c>
      <c r="BJ50" s="16" t="n">
        <v>2.04083187529388</v>
      </c>
      <c r="BK50" s="16" t="n">
        <v>5.25403316350504</v>
      </c>
      <c r="BL50" s="16" t="n">
        <v>7.88491984612206</v>
      </c>
      <c r="BM50" s="16" t="n">
        <v>3.71992671744367</v>
      </c>
      <c r="BN50" s="16" t="n">
        <v>4.46573109600205</v>
      </c>
      <c r="BO50" s="16" t="n">
        <v>5.7791095890411</v>
      </c>
      <c r="BP50" s="16" t="n">
        <v>8712.70308277889</v>
      </c>
      <c r="BQ50" s="16" t="n">
        <v>8048.55838400914</v>
      </c>
      <c r="BR50" s="16" t="n">
        <v>8048.55838400914</v>
      </c>
      <c r="BS50" s="16" t="n">
        <v>507.259164380722</v>
      </c>
      <c r="BT50" s="16" t="n">
        <v>301.7195</v>
      </c>
      <c r="BU50" s="16" t="n">
        <v>1081.9108</v>
      </c>
      <c r="BV50" s="16" t="s">
        <v>3237</v>
      </c>
      <c r="BW50" s="16" t="n">
        <v>42.7692307692308</v>
      </c>
      <c r="BX50" s="16" t="n">
        <v>0.155994305554286</v>
      </c>
      <c r="BY50" s="16" t="n">
        <v>0.161741466184191</v>
      </c>
      <c r="BZ50" s="16" t="n">
        <v>13510.8578038903</v>
      </c>
      <c r="CA50" s="16" t="n">
        <v>19402.010477409</v>
      </c>
      <c r="CB50" s="16" t="n">
        <v>279.697890328135</v>
      </c>
      <c r="CC50" s="16" t="n">
        <v>0</v>
      </c>
      <c r="CD50" s="16" t="n">
        <v>950.69728</v>
      </c>
      <c r="CE50" s="16" t="n">
        <v>12000</v>
      </c>
      <c r="CF50" s="16" t="n">
        <v>24.2297244520192</v>
      </c>
      <c r="CG50" s="16" t="n">
        <v>27.3795886307816</v>
      </c>
      <c r="CH50" s="16" t="n">
        <v>2643.77364301215</v>
      </c>
      <c r="CI50" s="16" t="n">
        <v>-6.2083733271085</v>
      </c>
      <c r="CJ50" s="16" t="n">
        <v>3.00594144553374</v>
      </c>
      <c r="CK50" s="16" t="n">
        <v>38924.3137622544</v>
      </c>
      <c r="CL50" s="16" t="n">
        <v>165.265674880722</v>
      </c>
      <c r="CM50" s="16" t="n">
        <v>190.633243130722</v>
      </c>
      <c r="CN50" s="16" t="n">
        <v>1000</v>
      </c>
      <c r="CO50" s="16" t="n">
        <v>1.5535546875</v>
      </c>
      <c r="CP50" s="16" t="n">
        <v>1.09004417261298</v>
      </c>
      <c r="CQ50" s="16" t="n">
        <v>3.21723593330883</v>
      </c>
      <c r="CR50" s="16" t="n">
        <v>88.6284263527327</v>
      </c>
      <c r="CS50" s="16" t="n">
        <v>29.8689269199605</v>
      </c>
      <c r="CT50" s="16" t="n">
        <v>2.84711144540604</v>
      </c>
      <c r="CU50" s="16" t="n">
        <v>3.21723593330883</v>
      </c>
      <c r="CV50" s="16" t="n">
        <v>13621.9308982577</v>
      </c>
      <c r="CW50" s="16" t="n">
        <v>2802.63833781051</v>
      </c>
      <c r="CX50" s="16" t="n">
        <v>16424.5692360682</v>
      </c>
      <c r="CY50" s="16" t="n">
        <v>13621.9308982577</v>
      </c>
      <c r="CZ50" s="16" t="n">
        <v>1186.23864018399</v>
      </c>
      <c r="DA50" s="16" t="n">
        <v>24.2297244520192</v>
      </c>
      <c r="DB50" s="16" t="n">
        <v>16748.2737179512</v>
      </c>
      <c r="DC50" s="16" t="n">
        <v>12427.2190987198</v>
      </c>
      <c r="DD50" s="16" t="n">
        <v>11144.3333333333</v>
      </c>
      <c r="DE50" s="16" t="n">
        <v>1921.25</v>
      </c>
      <c r="DF50" s="16" t="n">
        <v>13936.8561432577</v>
      </c>
      <c r="DG50" s="16" t="n">
        <v>190.633243130722</v>
      </c>
      <c r="DH50" s="16" t="n">
        <v>0</v>
      </c>
      <c r="DI50" s="16" t="n">
        <v>29.8689587157218</v>
      </c>
    </row>
    <row r="51" customFormat="false" ht="15" hidden="false" customHeight="false" outlineLevel="0" collapsed="false">
      <c r="A51" s="0" t="s">
        <v>3270</v>
      </c>
      <c r="B51" s="16" t="n">
        <v>2465.07954157611</v>
      </c>
      <c r="C51" s="16" t="n">
        <v>8209.24039226006</v>
      </c>
      <c r="D51" s="16" t="n">
        <v>19716.7966317894</v>
      </c>
      <c r="E51" s="16" t="n">
        <v>4213.14398474076</v>
      </c>
      <c r="F51" s="16" t="n">
        <v>-2737.87225836094</v>
      </c>
      <c r="G51" s="16" t="n">
        <v>6622.64662741129</v>
      </c>
      <c r="H51" s="16" t="n">
        <v>-609.186274954712</v>
      </c>
      <c r="I51" s="17" t="n">
        <v>0.01</v>
      </c>
      <c r="J51" s="17" t="n">
        <v>5.0096946803003</v>
      </c>
      <c r="K51" s="16" t="s">
        <v>116</v>
      </c>
      <c r="L51" s="16" t="n">
        <v>1000</v>
      </c>
      <c r="M51" s="16" t="n">
        <v>33779.4469253452</v>
      </c>
      <c r="N51" s="16" t="n">
        <v>11402.7039831813</v>
      </c>
      <c r="O51" s="16" t="n">
        <v>1000</v>
      </c>
      <c r="P51" s="16" t="n">
        <v>951.290832135856</v>
      </c>
      <c r="Q51" s="16" t="n">
        <v>-1563.37865777048</v>
      </c>
      <c r="R51" s="16" t="n">
        <v>17617.7170533315</v>
      </c>
      <c r="S51" s="16" t="n">
        <v>26949.0428826358</v>
      </c>
      <c r="T51" s="16" t="n">
        <v>-1124.39126738847</v>
      </c>
      <c r="U51" s="16" t="n">
        <v>-331.468479213163</v>
      </c>
      <c r="V51" s="16" t="n">
        <v>0.750319556751226</v>
      </c>
      <c r="W51" s="16" t="n">
        <v>46183.320420217</v>
      </c>
      <c r="X51" s="16" t="n">
        <v>22193.0057717804</v>
      </c>
      <c r="Y51" s="16" t="n">
        <v>4.71272432998878</v>
      </c>
      <c r="Z51" s="16" t="n">
        <v>6.39687913727545</v>
      </c>
      <c r="AA51" s="16" t="n">
        <v>27.424347870838</v>
      </c>
      <c r="AB51" s="16" t="n">
        <v>25.224347870838</v>
      </c>
      <c r="AC51" s="16" t="n">
        <v>26.674347870838</v>
      </c>
      <c r="AD51" s="16" t="n">
        <v>27.2673434792775</v>
      </c>
      <c r="AE51" s="16" t="n">
        <v>674.686407680941</v>
      </c>
      <c r="AF51" s="16" t="n">
        <v>0.03</v>
      </c>
      <c r="AG51" s="16" t="n">
        <v>0.654405917289144</v>
      </c>
      <c r="AH51" s="16" t="n">
        <v>9819.91719809611</v>
      </c>
      <c r="AI51" s="16" t="n">
        <v>19716.7966317894</v>
      </c>
      <c r="AJ51" s="16" t="n">
        <v>16.69175</v>
      </c>
      <c r="AK51" s="16" t="n">
        <v>0</v>
      </c>
      <c r="AL51" s="16" t="n">
        <v>1000</v>
      </c>
      <c r="AM51" s="16" t="n">
        <v>812.6073</v>
      </c>
      <c r="AN51" s="16" t="n">
        <v>20079.98904</v>
      </c>
      <c r="AO51" s="16" t="n">
        <v>-5508.72242389994</v>
      </c>
      <c r="AP51" s="16" t="n">
        <v>0.414483496940676</v>
      </c>
      <c r="AQ51" s="16" t="n">
        <v>79.2172769429904</v>
      </c>
      <c r="AR51" s="16" t="n">
        <v>506.474954430797</v>
      </c>
      <c r="AS51" s="16" t="n">
        <v>314.925245</v>
      </c>
      <c r="AT51" s="16" t="n">
        <v>1000</v>
      </c>
      <c r="AU51" s="16" t="n">
        <v>12.270507</v>
      </c>
      <c r="AV51" s="16" t="n">
        <v>0</v>
      </c>
      <c r="AW51" s="16" t="n">
        <v>2254.3125</v>
      </c>
      <c r="AX51" s="16" t="n">
        <v>314.925245</v>
      </c>
      <c r="AY51" s="16" t="n">
        <v>314.925245</v>
      </c>
      <c r="AZ51" s="16" t="n">
        <v>5631.62619515181</v>
      </c>
      <c r="BA51" s="16" t="n">
        <v>0</v>
      </c>
      <c r="BB51" s="16" t="n">
        <v>417.928966666667</v>
      </c>
      <c r="BC51" s="16" t="n">
        <v>111441.907179589</v>
      </c>
      <c r="BD51" s="16" t="n">
        <v>16.751694488301</v>
      </c>
      <c r="BE51" s="16" t="n">
        <v>25.4089871102374</v>
      </c>
      <c r="BF51" s="16" t="n">
        <v>39.6368423190398</v>
      </c>
      <c r="BG51" s="16" t="n">
        <v>-8.27711430924607</v>
      </c>
      <c r="BH51" s="16" t="n">
        <v>-7.28866183200638</v>
      </c>
      <c r="BI51" s="16" t="n">
        <v>1.09242813813745</v>
      </c>
      <c r="BJ51" s="16" t="n">
        <v>2.04083187529388</v>
      </c>
      <c r="BK51" s="16" t="n">
        <v>5.25403316350504</v>
      </c>
      <c r="BL51" s="16" t="n">
        <v>7.88491984612206</v>
      </c>
      <c r="BM51" s="16" t="n">
        <v>3.71992671744367</v>
      </c>
      <c r="BN51" s="16" t="n">
        <v>4.46573109600205</v>
      </c>
      <c r="BO51" s="16" t="n">
        <v>5.7791095890411</v>
      </c>
      <c r="BP51" s="16" t="n">
        <v>8712.70308277889</v>
      </c>
      <c r="BQ51" s="16" t="n">
        <v>8176.87365522983</v>
      </c>
      <c r="BR51" s="16" t="n">
        <v>8176.87365522983</v>
      </c>
      <c r="BS51" s="16" t="n">
        <v>506.474954430797</v>
      </c>
      <c r="BT51" s="16" t="n">
        <v>301.7195</v>
      </c>
      <c r="BU51" s="16" t="n">
        <v>1081.9108</v>
      </c>
      <c r="BV51" s="16" t="s">
        <v>3237</v>
      </c>
      <c r="BW51" s="16" t="n">
        <v>42.7692307692308</v>
      </c>
      <c r="BX51" s="16" t="n">
        <v>0.155994305554286</v>
      </c>
      <c r="BY51" s="16" t="n">
        <v>0.161741466184191</v>
      </c>
      <c r="BZ51" s="16" t="n">
        <v>13510.8578038903</v>
      </c>
      <c r="CA51" s="16" t="n">
        <v>19402.010477409</v>
      </c>
      <c r="CB51" s="16" t="n">
        <v>278.503097417438</v>
      </c>
      <c r="CC51" s="16" t="n">
        <v>0</v>
      </c>
      <c r="CD51" s="16" t="n">
        <v>950.69728</v>
      </c>
      <c r="CE51" s="16" t="n">
        <v>12000</v>
      </c>
      <c r="CF51" s="16" t="n">
        <v>24.2501640779233</v>
      </c>
      <c r="CG51" s="16" t="n">
        <v>27.4026854080534</v>
      </c>
      <c r="CH51" s="16" t="n">
        <v>2643.77364301215</v>
      </c>
      <c r="CI51" s="16" t="n">
        <v>-6.2083733271085</v>
      </c>
      <c r="CJ51" s="16" t="n">
        <v>3.00594144553374</v>
      </c>
      <c r="CK51" s="16" t="n">
        <v>38739.6121648513</v>
      </c>
      <c r="CL51" s="16" t="n">
        <v>164.481464930797</v>
      </c>
      <c r="CM51" s="16" t="n">
        <v>189.849033180797</v>
      </c>
      <c r="CN51" s="16" t="n">
        <v>1000</v>
      </c>
      <c r="CO51" s="16" t="n">
        <v>1.5535546875</v>
      </c>
      <c r="CP51" s="16" t="n">
        <v>1.09004417261298</v>
      </c>
      <c r="CQ51" s="16" t="n">
        <v>5.0096946803003</v>
      </c>
      <c r="CR51" s="16" t="n">
        <v>89.5155229455792</v>
      </c>
      <c r="CS51" s="16" t="n">
        <v>31.0500909530457</v>
      </c>
      <c r="CT51" s="16" t="n">
        <v>4.43335812415955</v>
      </c>
      <c r="CU51" s="16" t="n">
        <v>5.0096946803003</v>
      </c>
      <c r="CV51" s="16" t="n">
        <v>8711.16240698833</v>
      </c>
      <c r="CW51" s="16" t="n">
        <v>1799.85994035317</v>
      </c>
      <c r="CX51" s="16" t="n">
        <v>10511.0223473415</v>
      </c>
      <c r="CY51" s="16" t="n">
        <v>8711.16240698833</v>
      </c>
      <c r="CZ51" s="16" t="n">
        <v>1141.36495918875</v>
      </c>
      <c r="DA51" s="16" t="n">
        <v>24.2501640779233</v>
      </c>
      <c r="DB51" s="16" t="n">
        <v>16775.9595284851</v>
      </c>
      <c r="DC51" s="16" t="n">
        <v>12447.761970136</v>
      </c>
      <c r="DD51" s="16" t="n">
        <v>11144.3333333333</v>
      </c>
      <c r="DE51" s="16" t="n">
        <v>1921.25</v>
      </c>
      <c r="DF51" s="16" t="n">
        <v>9026.08765198833</v>
      </c>
      <c r="DG51" s="16" t="n">
        <v>189.849033180797</v>
      </c>
      <c r="DH51" s="16" t="n">
        <v>0</v>
      </c>
      <c r="DI51" s="16" t="n">
        <v>31.0501143186938</v>
      </c>
    </row>
    <row r="52" customFormat="false" ht="15" hidden="false" customHeight="false" outlineLevel="0" collapsed="false">
      <c r="A52" s="0" t="s">
        <v>3271</v>
      </c>
      <c r="B52" s="16" t="n">
        <v>2465.07954157611</v>
      </c>
      <c r="C52" s="16" t="n">
        <v>8209.24039226006</v>
      </c>
      <c r="D52" s="16" t="n">
        <v>19716.7966317894</v>
      </c>
      <c r="E52" s="16" t="n">
        <v>4213.14398474076</v>
      </c>
      <c r="F52" s="16" t="n">
        <v>-1135.49021845689</v>
      </c>
      <c r="G52" s="16" t="n">
        <v>5020.26458750724</v>
      </c>
      <c r="H52" s="16" t="n">
        <v>-898.814009603721</v>
      </c>
      <c r="I52" s="17" t="n">
        <v>0.01</v>
      </c>
      <c r="J52" s="17" t="n">
        <v>3.97046602096122</v>
      </c>
      <c r="K52" s="16" t="s">
        <v>116</v>
      </c>
      <c r="L52" s="16" t="n">
        <v>1000</v>
      </c>
      <c r="M52" s="16" t="n">
        <v>33779.4469253452</v>
      </c>
      <c r="N52" s="16" t="n">
        <v>11402.7039831813</v>
      </c>
      <c r="O52" s="16" t="n">
        <v>1000</v>
      </c>
      <c r="P52" s="16" t="n">
        <v>951.290832135856</v>
      </c>
      <c r="Q52" s="16" t="n">
        <v>-267.565775756198</v>
      </c>
      <c r="R52" s="16" t="n">
        <v>17617.7170533315</v>
      </c>
      <c r="S52" s="16" t="n">
        <v>26949.0428826358</v>
      </c>
      <c r="T52" s="16" t="n">
        <v>-955.692204749296</v>
      </c>
      <c r="U52" s="16" t="n">
        <v>-621.096213862173</v>
      </c>
      <c r="V52" s="16" t="n">
        <v>0.750319556751226</v>
      </c>
      <c r="W52" s="16" t="n">
        <v>46166.2147180189</v>
      </c>
      <c r="X52" s="16" t="n">
        <v>22149.4762774452</v>
      </c>
      <c r="Y52" s="16" t="n">
        <v>3.7351002431262</v>
      </c>
      <c r="Z52" s="16" t="n">
        <v>5.06988806216538</v>
      </c>
      <c r="AA52" s="16" t="n">
        <v>27.424347870838</v>
      </c>
      <c r="AB52" s="16" t="n">
        <v>25.224347870838</v>
      </c>
      <c r="AC52" s="16" t="n">
        <v>26.674347870838</v>
      </c>
      <c r="AD52" s="16" t="n">
        <v>27.2673434792775</v>
      </c>
      <c r="AE52" s="16" t="n">
        <v>674.686407680941</v>
      </c>
      <c r="AF52" s="16" t="n">
        <v>0.03</v>
      </c>
      <c r="AG52" s="16" t="n">
        <v>0.654405917289144</v>
      </c>
      <c r="AH52" s="16" t="n">
        <v>9819.91719809611</v>
      </c>
      <c r="AI52" s="16" t="n">
        <v>19716.7966317894</v>
      </c>
      <c r="AJ52" s="16" t="n">
        <v>16.69175</v>
      </c>
      <c r="AK52" s="16" t="n">
        <v>0</v>
      </c>
      <c r="AL52" s="16" t="n">
        <v>1000</v>
      </c>
      <c r="AM52" s="16" t="n">
        <v>812.6073</v>
      </c>
      <c r="AN52" s="16" t="n">
        <v>20079.98904</v>
      </c>
      <c r="AO52" s="16" t="n">
        <v>-5508.72242389994</v>
      </c>
      <c r="AP52" s="16" t="n">
        <v>0.414483496940676</v>
      </c>
      <c r="AQ52" s="16" t="n">
        <v>78.645426879892</v>
      </c>
      <c r="AR52" s="16" t="n">
        <v>506.474954430797</v>
      </c>
      <c r="AS52" s="16" t="n">
        <v>314.925245</v>
      </c>
      <c r="AT52" s="16" t="n">
        <v>1000</v>
      </c>
      <c r="AU52" s="16" t="n">
        <v>12.270507</v>
      </c>
      <c r="AV52" s="16" t="n">
        <v>0</v>
      </c>
      <c r="AW52" s="16" t="n">
        <v>2254.3125</v>
      </c>
      <c r="AX52" s="16" t="n">
        <v>314.925245</v>
      </c>
      <c r="AY52" s="16" t="n">
        <v>314.925245</v>
      </c>
      <c r="AZ52" s="16" t="n">
        <v>5631.62619515181</v>
      </c>
      <c r="BA52" s="16" t="n">
        <v>0</v>
      </c>
      <c r="BB52" s="16" t="n">
        <v>417.928966666667</v>
      </c>
      <c r="BC52" s="16" t="n">
        <v>111441.907179589</v>
      </c>
      <c r="BD52" s="16" t="n">
        <v>16.751694488301</v>
      </c>
      <c r="BE52" s="16" t="n">
        <v>25.4089871102374</v>
      </c>
      <c r="BF52" s="16" t="n">
        <v>39.6368423190398</v>
      </c>
      <c r="BG52" s="16" t="n">
        <v>-8.27711430924607</v>
      </c>
      <c r="BH52" s="16" t="n">
        <v>-7.28866183200638</v>
      </c>
      <c r="BI52" s="16" t="n">
        <v>1.09242813813745</v>
      </c>
      <c r="BJ52" s="16" t="n">
        <v>2.04083187529388</v>
      </c>
      <c r="BK52" s="16" t="n">
        <v>5.25403316350504</v>
      </c>
      <c r="BL52" s="16" t="n">
        <v>7.88491984612206</v>
      </c>
      <c r="BM52" s="16" t="n">
        <v>3.71992671744367</v>
      </c>
      <c r="BN52" s="16" t="n">
        <v>4.46573109600205</v>
      </c>
      <c r="BO52" s="16" t="n">
        <v>5.7791095890411</v>
      </c>
      <c r="BP52" s="16" t="n">
        <v>8712.70308277889</v>
      </c>
      <c r="BQ52" s="16" t="n">
        <v>8176.87365522983</v>
      </c>
      <c r="BR52" s="16" t="n">
        <v>8176.87365522983</v>
      </c>
      <c r="BS52" s="16" t="n">
        <v>506.474954430797</v>
      </c>
      <c r="BT52" s="16" t="n">
        <v>301.7195</v>
      </c>
      <c r="BU52" s="16" t="n">
        <v>1081.9108</v>
      </c>
      <c r="BV52" s="16" t="s">
        <v>3237</v>
      </c>
      <c r="BW52" s="16" t="n">
        <v>42.7692307692308</v>
      </c>
      <c r="BX52" s="16" t="n">
        <v>0.155994305554286</v>
      </c>
      <c r="BY52" s="16" t="n">
        <v>0.161741466184191</v>
      </c>
      <c r="BZ52" s="16" t="n">
        <v>13510.8578038903</v>
      </c>
      <c r="CA52" s="16" t="n">
        <v>19402.010477409</v>
      </c>
      <c r="CB52" s="16" t="n">
        <v>278.503097417438</v>
      </c>
      <c r="CC52" s="16" t="n">
        <v>0</v>
      </c>
      <c r="CD52" s="16" t="n">
        <v>950.69728</v>
      </c>
      <c r="CE52" s="16" t="n">
        <v>12000</v>
      </c>
      <c r="CF52" s="16" t="n">
        <v>24.2501640779233</v>
      </c>
      <c r="CG52" s="16" t="n">
        <v>27.4026854080534</v>
      </c>
      <c r="CH52" s="16" t="n">
        <v>2643.77364301215</v>
      </c>
      <c r="CI52" s="16" t="n">
        <v>-6.2083733271085</v>
      </c>
      <c r="CJ52" s="16" t="n">
        <v>3.00594144553374</v>
      </c>
      <c r="CK52" s="16" t="n">
        <v>38739.6121648513</v>
      </c>
      <c r="CL52" s="16" t="n">
        <v>164.481464930797</v>
      </c>
      <c r="CM52" s="16" t="n">
        <v>189.849033180797</v>
      </c>
      <c r="CN52" s="16" t="n">
        <v>1000</v>
      </c>
      <c r="CO52" s="16" t="n">
        <v>1.5535546875</v>
      </c>
      <c r="CP52" s="16" t="n">
        <v>1.09004417261298</v>
      </c>
      <c r="CQ52" s="16" t="n">
        <v>3.97046602096122</v>
      </c>
      <c r="CR52" s="16" t="n">
        <v>88.869332374278</v>
      </c>
      <c r="CS52" s="16" t="n">
        <v>30.251102221468</v>
      </c>
      <c r="CT52" s="16" t="n">
        <v>3.51368674421347</v>
      </c>
      <c r="CU52" s="16" t="n">
        <v>3.97046602096122</v>
      </c>
      <c r="CV52" s="16" t="n">
        <v>10991.2196047346</v>
      </c>
      <c r="CW52" s="16" t="n">
        <v>2270.95477479745</v>
      </c>
      <c r="CX52" s="16" t="n">
        <v>13262.174379532</v>
      </c>
      <c r="CY52" s="16" t="n">
        <v>10991.2196047346</v>
      </c>
      <c r="CZ52" s="16" t="n">
        <v>1169.00957579736</v>
      </c>
      <c r="DA52" s="16" t="n">
        <v>24.2501640779233</v>
      </c>
      <c r="DB52" s="16" t="n">
        <v>16775.9595284851</v>
      </c>
      <c r="DC52" s="16" t="n">
        <v>12447.761970136</v>
      </c>
      <c r="DD52" s="16" t="n">
        <v>11144.3333333333</v>
      </c>
      <c r="DE52" s="16" t="n">
        <v>1921.25</v>
      </c>
      <c r="DF52" s="16" t="n">
        <v>11306.1448497346</v>
      </c>
      <c r="DG52" s="16" t="n">
        <v>189.849033180797</v>
      </c>
      <c r="DH52" s="16" t="n">
        <v>0</v>
      </c>
      <c r="DI52" s="16" t="n">
        <v>30.2511309413356</v>
      </c>
    </row>
    <row r="53" customFormat="false" ht="15" hidden="false" customHeight="false" outlineLevel="0" collapsed="false">
      <c r="A53" s="0" t="s">
        <v>3272</v>
      </c>
      <c r="B53" s="16" t="n">
        <v>2465.07954157611</v>
      </c>
      <c r="C53" s="16" t="n">
        <v>8209.24039226006</v>
      </c>
      <c r="D53" s="16" t="n">
        <v>19716.7966317894</v>
      </c>
      <c r="E53" s="16" t="n">
        <v>4213.14398474076</v>
      </c>
      <c r="F53" s="16" t="n">
        <v>-548.948245807946</v>
      </c>
      <c r="G53" s="16" t="n">
        <v>4433.7226148583</v>
      </c>
      <c r="H53" s="16" t="n">
        <v>33922.808730986</v>
      </c>
      <c r="I53" s="17" t="n">
        <v>109.264071782208</v>
      </c>
      <c r="J53" s="17" t="n">
        <v>120.123314421584</v>
      </c>
      <c r="K53" s="16" t="s">
        <v>116</v>
      </c>
      <c r="L53" s="16" t="n">
        <v>6387.327944396</v>
      </c>
      <c r="M53" s="16" t="n">
        <v>24783.8522979494</v>
      </c>
      <c r="N53" s="16" t="n">
        <v>11402.7039831813</v>
      </c>
      <c r="O53" s="16" t="n">
        <v>1891.38974948227</v>
      </c>
      <c r="P53" s="16" t="n">
        <v>951.290832135856</v>
      </c>
      <c r="Q53" s="16" t="n">
        <v>1722.51911986838</v>
      </c>
      <c r="R53" s="16" t="n">
        <v>15947.4386013214</v>
      </c>
      <c r="S53" s="16" t="n">
        <v>19845.8407163402</v>
      </c>
      <c r="T53" s="16" t="n">
        <v>-955.692204749296</v>
      </c>
      <c r="U53" s="16" t="n">
        <v>34920.6114116811</v>
      </c>
      <c r="V53" s="16" t="n">
        <v>0.750319556751226</v>
      </c>
      <c r="W53" s="16" t="n">
        <v>61774.5797457244</v>
      </c>
      <c r="X53" s="16" t="n">
        <v>18216.4621423268</v>
      </c>
      <c r="Y53" s="16" t="n">
        <v>113.002508655789</v>
      </c>
      <c r="Z53" s="16" t="n">
        <v>153.385460184921</v>
      </c>
      <c r="AA53" s="16" t="n">
        <v>27.424347870838</v>
      </c>
      <c r="AB53" s="16" t="n">
        <v>25.224347870838</v>
      </c>
      <c r="AC53" s="16" t="n">
        <v>26.674347870838</v>
      </c>
      <c r="AD53" s="16" t="n">
        <v>27.2673434792775</v>
      </c>
      <c r="AE53" s="16" t="n">
        <v>674.686407680941</v>
      </c>
      <c r="AF53" s="16" t="n">
        <v>0.03</v>
      </c>
      <c r="AG53" s="16" t="n">
        <v>0.654405917289144</v>
      </c>
      <c r="AH53" s="16" t="n">
        <v>11494.9047062872</v>
      </c>
      <c r="AI53" s="16" t="n">
        <v>19716.7966317894</v>
      </c>
      <c r="AJ53" s="16" t="n">
        <v>16.69175</v>
      </c>
      <c r="AK53" s="16" t="n">
        <v>0</v>
      </c>
      <c r="AL53" s="16" t="n">
        <v>1000</v>
      </c>
      <c r="AM53" s="16" t="n">
        <v>812.6073</v>
      </c>
      <c r="AN53" s="16" t="n">
        <v>18256.4062149317</v>
      </c>
      <c r="AO53" s="16" t="n">
        <v>-4779.81899680391</v>
      </c>
      <c r="AP53" s="16" t="n">
        <v>0.414483496940676</v>
      </c>
      <c r="AQ53" s="16" t="n">
        <v>126.462886060813</v>
      </c>
      <c r="AR53" s="16" t="n">
        <v>408.671120985242</v>
      </c>
      <c r="AS53" s="16" t="n">
        <v>319.59829834355</v>
      </c>
      <c r="AT53" s="16" t="n">
        <v>6387.327944396</v>
      </c>
      <c r="AU53" s="16" t="n">
        <v>12.270507</v>
      </c>
      <c r="AV53" s="16" t="n">
        <v>0</v>
      </c>
      <c r="AW53" s="16" t="n">
        <v>2254.3125</v>
      </c>
      <c r="AX53" s="16" t="n">
        <v>319.59829834355</v>
      </c>
      <c r="AY53" s="16" t="n">
        <v>317.933459822176</v>
      </c>
      <c r="AZ53" s="16" t="n">
        <v>5631.62619515181</v>
      </c>
      <c r="BA53" s="16" t="n">
        <v>0</v>
      </c>
      <c r="BB53" s="16" t="n">
        <v>417.928966666667</v>
      </c>
      <c r="BC53" s="16" t="n">
        <v>85568.0193780282</v>
      </c>
      <c r="BD53" s="16" t="n">
        <v>18.4606011504151</v>
      </c>
      <c r="BE53" s="16" t="n">
        <v>27.1178937723515</v>
      </c>
      <c r="BF53" s="16" t="n">
        <v>41.3457489811539</v>
      </c>
      <c r="BG53" s="16" t="n">
        <v>-8.27711430924607</v>
      </c>
      <c r="BH53" s="16" t="n">
        <v>-7.28866183200638</v>
      </c>
      <c r="BI53" s="16" t="n">
        <v>1.09242813813745</v>
      </c>
      <c r="BJ53" s="16" t="n">
        <v>2.04083187529388</v>
      </c>
      <c r="BK53" s="16" t="n">
        <v>5.25403316350504</v>
      </c>
      <c r="BL53" s="16" t="n">
        <v>7.88491984612206</v>
      </c>
      <c r="BM53" s="16" t="n">
        <v>3.71992671744367</v>
      </c>
      <c r="BN53" s="16" t="n">
        <v>4.46573109600205</v>
      </c>
      <c r="BO53" s="16" t="n">
        <v>5.7791095890411</v>
      </c>
      <c r="BP53" s="16" t="n">
        <v>8712.70308277889</v>
      </c>
      <c r="BQ53" s="16" t="n">
        <v>8176.87365522983</v>
      </c>
      <c r="BR53" s="16" t="n">
        <v>8176.87365522983</v>
      </c>
      <c r="BS53" s="16" t="n">
        <v>408.671120985242</v>
      </c>
      <c r="BT53" s="16" t="n">
        <v>301.7195</v>
      </c>
      <c r="BU53" s="16" t="n">
        <v>1081.9108</v>
      </c>
      <c r="BV53" s="16" t="s">
        <v>3238</v>
      </c>
      <c r="BW53" s="16" t="n">
        <v>42.7692307692308</v>
      </c>
      <c r="BX53" s="16" t="n">
        <v>0.155994305554286</v>
      </c>
      <c r="BY53" s="16" t="n">
        <v>0.161741466184191</v>
      </c>
      <c r="BZ53" s="16" t="n">
        <v>13328.9507681851</v>
      </c>
      <c r="CA53" s="16" t="n">
        <v>19402.010477409</v>
      </c>
      <c r="CB53" s="16" t="n">
        <v>124.145580431744</v>
      </c>
      <c r="CC53" s="16" t="n">
        <v>0</v>
      </c>
      <c r="CD53" s="16" t="n">
        <v>950.69728</v>
      </c>
      <c r="CE53" s="16" t="n">
        <v>12000</v>
      </c>
      <c r="CF53" s="16" t="n">
        <v>17.3707105527751</v>
      </c>
      <c r="CG53" s="16" t="n">
        <v>19.6289029246359</v>
      </c>
      <c r="CH53" s="16" t="n">
        <v>2643.77364301215</v>
      </c>
      <c r="CI53" s="16" t="n">
        <v>-6.2083733271085</v>
      </c>
      <c r="CJ53" s="16" t="n">
        <v>3.00594144553374</v>
      </c>
      <c r="CK53" s="16" t="n">
        <v>15229.6019893308</v>
      </c>
      <c r="CL53" s="16" t="n">
        <v>64.6621663339959</v>
      </c>
      <c r="CM53" s="16" t="n">
        <v>90.0297345839959</v>
      </c>
      <c r="CN53" s="16" t="n">
        <v>1000</v>
      </c>
      <c r="CO53" s="16" t="n">
        <v>1.5535546875</v>
      </c>
      <c r="CP53" s="16" t="n">
        <v>1.09004417261298</v>
      </c>
      <c r="CQ53" s="16" t="n">
        <v>120.123314421584</v>
      </c>
      <c r="CR53" s="16" t="n">
        <v>142.903061248719</v>
      </c>
      <c r="CS53" s="16" t="n">
        <v>122.728832332317</v>
      </c>
      <c r="CT53" s="16" t="n">
        <v>106.303818072199</v>
      </c>
      <c r="CU53" s="16" t="n">
        <v>120.123314421584</v>
      </c>
      <c r="CV53" s="16" t="n">
        <v>168.424691404232</v>
      </c>
      <c r="CW53" s="16" t="n">
        <v>75.06243739519</v>
      </c>
      <c r="CX53" s="16" t="n">
        <v>243.487128799422</v>
      </c>
      <c r="CY53" s="16" t="n">
        <v>168.424691404232</v>
      </c>
      <c r="CZ53" s="16" t="n">
        <v>157.984024866789</v>
      </c>
      <c r="DA53" s="16" t="n">
        <v>17.3707105527751</v>
      </c>
      <c r="DB53" s="16" t="n">
        <v>16775.9595284851</v>
      </c>
      <c r="DC53" s="16" t="n">
        <v>12447.761970136</v>
      </c>
      <c r="DD53" s="16" t="n">
        <v>11144.3333333333</v>
      </c>
      <c r="DE53" s="16" t="n">
        <v>1818.4375</v>
      </c>
      <c r="DF53" s="16" t="n">
        <v>486.170020482243</v>
      </c>
      <c r="DG53" s="16" t="n">
        <v>90.0297345839959</v>
      </c>
      <c r="DH53" s="16" t="n">
        <v>0</v>
      </c>
      <c r="DI53" s="16" t="n">
        <v>122.728832332317</v>
      </c>
    </row>
    <row r="54" customFormat="false" ht="15" hidden="false" customHeight="false" outlineLevel="0" collapsed="false">
      <c r="A54" s="0" t="s">
        <v>3273</v>
      </c>
      <c r="B54" s="16" t="n">
        <v>2465.07954157611</v>
      </c>
      <c r="C54" s="16" t="n">
        <v>8209.24039226006</v>
      </c>
      <c r="D54" s="16" t="n">
        <v>19716.7966317894</v>
      </c>
      <c r="E54" s="16" t="n">
        <v>4213.14398474076</v>
      </c>
      <c r="F54" s="16" t="n">
        <v>-1135.49021845689</v>
      </c>
      <c r="G54" s="16" t="n">
        <v>5020.26458750724</v>
      </c>
      <c r="H54" s="16" t="n">
        <v>101535.179410894</v>
      </c>
      <c r="I54" s="17" t="n">
        <v>296.360234067625</v>
      </c>
      <c r="J54" s="17" t="n">
        <v>342.816003742346</v>
      </c>
      <c r="K54" s="16" t="s">
        <v>116</v>
      </c>
      <c r="L54" s="16" t="n">
        <v>1000</v>
      </c>
      <c r="M54" s="16" t="n">
        <v>33779.4469253452</v>
      </c>
      <c r="N54" s="16" t="n">
        <v>11402.7039831813</v>
      </c>
      <c r="O54" s="16" t="n">
        <v>1000</v>
      </c>
      <c r="P54" s="16" t="n">
        <v>951.290832135856</v>
      </c>
      <c r="Q54" s="16" t="n">
        <v>-267.565775756198</v>
      </c>
      <c r="R54" s="16" t="n">
        <v>17617.7170533315</v>
      </c>
      <c r="S54" s="16" t="n">
        <v>26949.0428826358</v>
      </c>
      <c r="T54" s="16" t="n">
        <v>-955.692204749296</v>
      </c>
      <c r="U54" s="16" t="n">
        <v>109555.924402227</v>
      </c>
      <c r="V54" s="16" t="n">
        <v>0.750319556751226</v>
      </c>
      <c r="W54" s="16" t="n">
        <v>148600.208138517</v>
      </c>
      <c r="X54" s="16" t="n">
        <v>22149.4762774452</v>
      </c>
      <c r="Y54" s="16" t="n">
        <v>322.494168736294</v>
      </c>
      <c r="Z54" s="16" t="n">
        <v>437.741755178601</v>
      </c>
      <c r="AA54" s="16" t="n">
        <v>27.424347870838</v>
      </c>
      <c r="AB54" s="16" t="n">
        <v>25.224347870838</v>
      </c>
      <c r="AC54" s="16" t="n">
        <v>26.674347870838</v>
      </c>
      <c r="AD54" s="16" t="n">
        <v>27.2673434792775</v>
      </c>
      <c r="AE54" s="16" t="n">
        <v>674.686407680941</v>
      </c>
      <c r="AF54" s="16" t="n">
        <v>0.03</v>
      </c>
      <c r="AG54" s="16" t="n">
        <v>0.654405917289144</v>
      </c>
      <c r="AH54" s="16" t="n">
        <v>9819.91719809611</v>
      </c>
      <c r="AI54" s="16" t="n">
        <v>19716.7966317894</v>
      </c>
      <c r="AJ54" s="16" t="n">
        <v>16.69175</v>
      </c>
      <c r="AK54" s="16" t="n">
        <v>0</v>
      </c>
      <c r="AL54" s="16" t="n">
        <v>1000</v>
      </c>
      <c r="AM54" s="16" t="n">
        <v>812.6073</v>
      </c>
      <c r="AN54" s="16" t="n">
        <v>20079.98904</v>
      </c>
      <c r="AO54" s="16" t="n">
        <v>-5508.72242389994</v>
      </c>
      <c r="AP54" s="16" t="n">
        <v>0.414483496940676</v>
      </c>
      <c r="AQ54" s="16" t="n">
        <v>272.921506055964</v>
      </c>
      <c r="AR54" s="16" t="n">
        <v>546.250282968897</v>
      </c>
      <c r="AS54" s="16" t="n">
        <v>369.671473458304</v>
      </c>
      <c r="AT54" s="16" t="n">
        <v>1000</v>
      </c>
      <c r="AU54" s="16" t="n">
        <v>12.270507</v>
      </c>
      <c r="AV54" s="16" t="n">
        <v>0</v>
      </c>
      <c r="AW54" s="16" t="n">
        <v>2254.3125</v>
      </c>
      <c r="AX54" s="16" t="n">
        <v>369.671473458304</v>
      </c>
      <c r="AY54" s="16" t="n">
        <v>343.544394634954</v>
      </c>
      <c r="AZ54" s="16" t="n">
        <v>5631.62619515181</v>
      </c>
      <c r="BA54" s="16" t="n">
        <v>0</v>
      </c>
      <c r="BB54" s="16" t="n">
        <v>417.928966666667</v>
      </c>
      <c r="BC54" s="16" t="n">
        <v>111441.907179589</v>
      </c>
      <c r="BD54" s="16" t="n">
        <v>16.751694488301</v>
      </c>
      <c r="BE54" s="16" t="n">
        <v>25.4089871102374</v>
      </c>
      <c r="BF54" s="16" t="n">
        <v>39.6368423190398</v>
      </c>
      <c r="BG54" s="16" t="n">
        <v>-8.27711430924607</v>
      </c>
      <c r="BH54" s="16" t="n">
        <v>-7.28866183200638</v>
      </c>
      <c r="BI54" s="16" t="n">
        <v>1.09242813813745</v>
      </c>
      <c r="BJ54" s="16" t="n">
        <v>2.04083187529388</v>
      </c>
      <c r="BK54" s="16" t="n">
        <v>5.25403316350504</v>
      </c>
      <c r="BL54" s="16" t="n">
        <v>7.88491984612206</v>
      </c>
      <c r="BM54" s="16" t="n">
        <v>3.71992671744367</v>
      </c>
      <c r="BN54" s="16" t="n">
        <v>4.46573109600205</v>
      </c>
      <c r="BO54" s="16" t="n">
        <v>5.7791095890411</v>
      </c>
      <c r="BP54" s="16" t="n">
        <v>8712.70308277889</v>
      </c>
      <c r="BQ54" s="16" t="n">
        <v>8176.87365522983</v>
      </c>
      <c r="BR54" s="16" t="n">
        <v>8176.87365522983</v>
      </c>
      <c r="BS54" s="16" t="n">
        <v>546.250282968897</v>
      </c>
      <c r="BT54" s="16" t="n">
        <v>301.7195</v>
      </c>
      <c r="BU54" s="16" t="n">
        <v>1081.9108</v>
      </c>
      <c r="BV54" s="16" t="s">
        <v>3238</v>
      </c>
      <c r="BW54" s="16" t="n">
        <v>42.7692307692308</v>
      </c>
      <c r="BX54" s="16" t="n">
        <v>0.155994305554286</v>
      </c>
      <c r="BY54" s="16" t="n">
        <v>0.161741466184191</v>
      </c>
      <c r="BZ54" s="16" t="n">
        <v>5767.83060829888</v>
      </c>
      <c r="CA54" s="16" t="n">
        <v>12584.4929817229</v>
      </c>
      <c r="CB54" s="16" t="n">
        <v>263.532197497235</v>
      </c>
      <c r="CC54" s="16" t="n">
        <v>0</v>
      </c>
      <c r="CD54" s="16" t="n">
        <v>950.69728</v>
      </c>
      <c r="CE54" s="16" t="n">
        <v>12000</v>
      </c>
      <c r="CF54" s="16" t="n">
        <v>24.2501640779233</v>
      </c>
      <c r="CG54" s="16" t="n">
        <v>27.4026854080534</v>
      </c>
      <c r="CH54" s="16" t="n">
        <v>2643.77364301215</v>
      </c>
      <c r="CI54" s="16" t="n">
        <v>-6.2083733271085</v>
      </c>
      <c r="CJ54" s="16" t="n">
        <v>3.00594144553374</v>
      </c>
      <c r="CK54" s="16" t="n">
        <v>38739.6121648513</v>
      </c>
      <c r="CL54" s="16" t="n">
        <v>164.481464930797</v>
      </c>
      <c r="CM54" s="16" t="n">
        <v>189.849033180797</v>
      </c>
      <c r="CN54" s="16" t="n">
        <v>1000</v>
      </c>
      <c r="CO54" s="16" t="n">
        <v>1.5535546875</v>
      </c>
      <c r="CP54" s="16" t="n">
        <v>1.09004417261298</v>
      </c>
      <c r="CQ54" s="16" t="n">
        <v>342.816003742346</v>
      </c>
      <c r="CR54" s="16" t="n">
        <v>308.401301843239</v>
      </c>
      <c r="CS54" s="16" t="n">
        <v>334.295459128792</v>
      </c>
      <c r="CT54" s="16" t="n">
        <v>303.376994462253</v>
      </c>
      <c r="CU54" s="16" t="n">
        <v>342.816003742346</v>
      </c>
      <c r="CV54" s="16" t="n">
        <v>134.79212073992</v>
      </c>
      <c r="CW54" s="16" t="n">
        <v>26.3020065284051</v>
      </c>
      <c r="CX54" s="16" t="n">
        <v>161.094127268325</v>
      </c>
      <c r="CY54" s="16" t="n">
        <v>134.79212073992</v>
      </c>
      <c r="CZ54" s="16" t="n">
        <v>147.367495046061</v>
      </c>
      <c r="DA54" s="16" t="n">
        <v>24.2501640779233</v>
      </c>
      <c r="DB54" s="16" t="n">
        <v>16775.9595284851</v>
      </c>
      <c r="DC54" s="16" t="n">
        <v>12447.761970136</v>
      </c>
      <c r="DD54" s="16" t="n">
        <v>11144.3333333333</v>
      </c>
      <c r="DE54" s="16" t="n">
        <v>0</v>
      </c>
      <c r="DF54" s="16" t="n">
        <v>491.413167882501</v>
      </c>
      <c r="DG54" s="16" t="n">
        <v>189.849033180797</v>
      </c>
      <c r="DH54" s="16" t="n">
        <v>0</v>
      </c>
      <c r="DI54" s="16" t="n">
        <v>334.295459128792</v>
      </c>
    </row>
    <row r="55" customFormat="false" ht="15" hidden="false" customHeight="false" outlineLevel="0" collapsed="false">
      <c r="A55" s="0" t="s">
        <v>537</v>
      </c>
      <c r="B55" s="16" t="n">
        <v>2465.07954157611</v>
      </c>
      <c r="C55" s="16" t="n">
        <v>8209.24039226006</v>
      </c>
      <c r="D55" s="16" t="n">
        <v>19716.7966317894</v>
      </c>
      <c r="E55" s="16" t="n">
        <v>4213.14398474076</v>
      </c>
      <c r="F55" s="16" t="n">
        <v>-1135.49021845689</v>
      </c>
      <c r="G55" s="16" t="n">
        <v>5020.26458750724</v>
      </c>
      <c r="H55" s="16" t="n">
        <v>-6992.16341447011</v>
      </c>
      <c r="I55" s="17" t="n">
        <v>0.01</v>
      </c>
      <c r="J55" s="17" t="n">
        <v>0</v>
      </c>
      <c r="K55" s="16" t="s">
        <v>116</v>
      </c>
      <c r="L55" s="16" t="n">
        <v>1000</v>
      </c>
      <c r="M55" s="16" t="n">
        <v>33779.4469253452</v>
      </c>
      <c r="N55" s="16" t="n">
        <v>11402.7039831813</v>
      </c>
      <c r="O55" s="16" t="n">
        <v>1000</v>
      </c>
      <c r="P55" s="16" t="n">
        <v>951.290832135856</v>
      </c>
      <c r="Q55" s="16" t="n">
        <v>-267.565775756198</v>
      </c>
      <c r="R55" s="16" t="n">
        <v>17617.7170533315</v>
      </c>
      <c r="S55" s="16" t="n">
        <v>26949.0428826358</v>
      </c>
      <c r="T55" s="16" t="n">
        <v>-955.692204749296</v>
      </c>
      <c r="U55" s="16" t="n">
        <v>-6714.44561872856</v>
      </c>
      <c r="V55" s="16" t="n">
        <v>0.750319556751226</v>
      </c>
      <c r="W55" s="16" t="n">
        <v>54662.1681575145</v>
      </c>
      <c r="X55" s="16" t="n">
        <v>26675.2321686415</v>
      </c>
      <c r="Y55" s="16" t="n">
        <v>0</v>
      </c>
      <c r="Z55" s="16" t="n">
        <v>0</v>
      </c>
      <c r="AA55" s="16" t="n">
        <v>27.424347870838</v>
      </c>
      <c r="AB55" s="16" t="n">
        <v>25.224347870838</v>
      </c>
      <c r="AC55" s="16" t="n">
        <v>26.674347870838</v>
      </c>
      <c r="AD55" s="16" t="n">
        <v>27.2673434792775</v>
      </c>
      <c r="AE55" s="16" t="n">
        <v>674.686407680941</v>
      </c>
      <c r="AF55" s="16" t="n">
        <v>0.03</v>
      </c>
      <c r="AG55" s="16" t="n">
        <v>0.654405917289144</v>
      </c>
      <c r="AH55" s="16" t="n">
        <v>9819.91719809611</v>
      </c>
      <c r="AI55" s="16" t="n">
        <v>19716.7966317894</v>
      </c>
      <c r="AJ55" s="16" t="n">
        <v>16.69175</v>
      </c>
      <c r="AK55" s="16" t="n">
        <v>0</v>
      </c>
      <c r="AL55" s="16" t="n">
        <v>1000</v>
      </c>
      <c r="AM55" s="16" t="n">
        <v>812.6073</v>
      </c>
      <c r="AN55" s="16" t="n">
        <v>25189.194045</v>
      </c>
      <c r="AO55" s="16" t="n">
        <v>-8388.97292415448</v>
      </c>
      <c r="AP55" s="16" t="n">
        <v>0.414483496940676</v>
      </c>
      <c r="AQ55" s="16" t="n">
        <v>79.0494562497289</v>
      </c>
      <c r="AR55" s="16" t="n">
        <v>546.723748820279</v>
      </c>
      <c r="AS55" s="16" t="n">
        <v>314.925245</v>
      </c>
      <c r="AT55" s="16" t="n">
        <v>1000</v>
      </c>
      <c r="AU55" s="16" t="n">
        <v>12.270507</v>
      </c>
      <c r="AV55" s="16" t="n">
        <v>0</v>
      </c>
      <c r="AW55" s="16" t="n">
        <v>2254.3125</v>
      </c>
      <c r="AX55" s="16" t="n">
        <v>314.925245</v>
      </c>
      <c r="AY55" s="16" t="n">
        <v>314.925245</v>
      </c>
      <c r="AZ55" s="16" t="n">
        <v>5631.62619515181</v>
      </c>
      <c r="BA55" s="16" t="n">
        <v>0</v>
      </c>
      <c r="BB55" s="16" t="n">
        <v>417.928966666667</v>
      </c>
      <c r="BC55" s="16" t="n">
        <v>134149.484979589</v>
      </c>
      <c r="BD55" s="16" t="n">
        <v>16.751694488301</v>
      </c>
      <c r="BE55" s="16" t="n">
        <v>25.4089871102374</v>
      </c>
      <c r="BF55" s="16" t="n">
        <v>39.6368423190398</v>
      </c>
      <c r="BG55" s="16" t="n">
        <v>-8.27711430924607</v>
      </c>
      <c r="BH55" s="16" t="n">
        <v>-7.28866183200638</v>
      </c>
      <c r="BI55" s="16" t="n">
        <v>1.09242813813745</v>
      </c>
      <c r="BJ55" s="16" t="n">
        <v>2.04083187529388</v>
      </c>
      <c r="BK55" s="16" t="n">
        <v>5.25403316350504</v>
      </c>
      <c r="BL55" s="16" t="n">
        <v>7.88491984612206</v>
      </c>
      <c r="BM55" s="16" t="n">
        <v>3.71992671744367</v>
      </c>
      <c r="BN55" s="16" t="n">
        <v>4.46573109600205</v>
      </c>
      <c r="BO55" s="16" t="n">
        <v>5.7791095890411</v>
      </c>
      <c r="BP55" s="16" t="n">
        <v>8712.70308277889</v>
      </c>
      <c r="BQ55" s="16" t="n">
        <v>8176.87365522983</v>
      </c>
      <c r="BR55" s="16" t="n">
        <v>8176.87365522983</v>
      </c>
      <c r="BS55" s="16" t="n">
        <v>546.723748820279</v>
      </c>
      <c r="BT55" s="16" t="n">
        <v>301.7195</v>
      </c>
      <c r="BU55" s="16" t="n">
        <v>1081.9108</v>
      </c>
      <c r="BV55" s="16" t="s">
        <v>3237</v>
      </c>
      <c r="BW55" s="16" t="n">
        <v>42.7692307692308</v>
      </c>
      <c r="BX55" s="16" t="n">
        <v>0.155994305554286</v>
      </c>
      <c r="BY55" s="16" t="n">
        <v>0.161741466184191</v>
      </c>
      <c r="BZ55" s="16" t="n">
        <v>13510.8578038903</v>
      </c>
      <c r="CA55" s="16" t="n">
        <v>19402.010477409</v>
      </c>
      <c r="CB55" s="16" t="n">
        <v>341.919657581195</v>
      </c>
      <c r="CC55" s="16" t="n">
        <v>0</v>
      </c>
      <c r="CD55" s="16" t="n">
        <v>950.69728</v>
      </c>
      <c r="CE55" s="16" t="n">
        <v>12000</v>
      </c>
      <c r="CF55" s="16" t="n">
        <v>27.713133144819</v>
      </c>
      <c r="CG55" s="16" t="n">
        <v>31.3158404536454</v>
      </c>
      <c r="CH55" s="16" t="n">
        <v>2643.77364301215</v>
      </c>
      <c r="CI55" s="16" t="n">
        <v>-6.2083733271085</v>
      </c>
      <c r="CJ55" s="16" t="n">
        <v>3.00594144553374</v>
      </c>
      <c r="CK55" s="16" t="n">
        <v>48219.2376375903</v>
      </c>
      <c r="CL55" s="16" t="n">
        <v>204.730259320279</v>
      </c>
      <c r="CM55" s="16" t="n">
        <v>230.097827570279</v>
      </c>
      <c r="CN55" s="16" t="n">
        <v>1000</v>
      </c>
      <c r="CO55" s="16" t="n">
        <v>1.5535546875</v>
      </c>
      <c r="CP55" s="16" t="n">
        <v>1.09004417261298</v>
      </c>
      <c r="CQ55" s="16" t="n">
        <v>0</v>
      </c>
      <c r="CR55" s="16" t="n">
        <v>89.3258855621936</v>
      </c>
      <c r="CS55" s="16" t="n">
        <v>16.1486252414404</v>
      </c>
      <c r="CT55" s="16" t="n">
        <v>0</v>
      </c>
      <c r="CU55" s="16" t="n">
        <v>0.0113</v>
      </c>
      <c r="CV55" s="16" t="n">
        <v>4700875.17188144</v>
      </c>
      <c r="CW55" s="16" t="n">
        <v>797942.368891408</v>
      </c>
      <c r="CX55" s="16" t="n">
        <v>5498817.54077285</v>
      </c>
      <c r="CY55" s="16" t="n">
        <v>4700875.17188144</v>
      </c>
      <c r="CZ55" s="16" t="n">
        <v>2701.87371975741</v>
      </c>
      <c r="DA55" s="16" t="n">
        <v>27.713133144819</v>
      </c>
      <c r="DB55" s="16" t="n">
        <v>16775.9595284851</v>
      </c>
      <c r="DC55" s="16" t="n">
        <v>12447.761970136</v>
      </c>
      <c r="DD55" s="16" t="n">
        <v>11144.3333333333</v>
      </c>
      <c r="DE55" s="16" t="n">
        <v>1921.25</v>
      </c>
      <c r="DF55" s="16" t="n">
        <v>4701190.09712644</v>
      </c>
      <c r="DG55" s="16" t="n">
        <v>230.097827570279</v>
      </c>
      <c r="DH55" s="16" t="n">
        <v>0</v>
      </c>
      <c r="DI55" s="16" t="n">
        <v>16.1545110906824</v>
      </c>
    </row>
    <row r="56" customFormat="false" ht="15" hidden="false" customHeight="false" outlineLevel="0" collapsed="false">
      <c r="A56" s="0" t="s">
        <v>3274</v>
      </c>
      <c r="B56" s="16" t="n">
        <v>2465.07954157611</v>
      </c>
      <c r="C56" s="16" t="n">
        <v>8209.24039226006</v>
      </c>
      <c r="D56" s="16" t="n">
        <v>19716.7966317894</v>
      </c>
      <c r="E56" s="16" t="n">
        <v>4213.14398474076</v>
      </c>
      <c r="F56" s="16" t="n">
        <v>-1135.49021845689</v>
      </c>
      <c r="G56" s="16" t="n">
        <v>5020.26458750724</v>
      </c>
      <c r="H56" s="16" t="n">
        <v>-4885.77519012557</v>
      </c>
      <c r="I56" s="17" t="n">
        <v>0.01</v>
      </c>
      <c r="J56" s="17" t="n">
        <v>0</v>
      </c>
      <c r="K56" s="16" t="s">
        <v>116</v>
      </c>
      <c r="L56" s="16" t="n">
        <v>1000</v>
      </c>
      <c r="M56" s="16" t="n">
        <v>33779.4469253452</v>
      </c>
      <c r="N56" s="16" t="n">
        <v>11402.7039831813</v>
      </c>
      <c r="O56" s="16" t="n">
        <v>1000</v>
      </c>
      <c r="P56" s="16" t="n">
        <v>951.290832135856</v>
      </c>
      <c r="Q56" s="16" t="n">
        <v>-267.565775756198</v>
      </c>
      <c r="R56" s="16" t="n">
        <v>17617.7170533315</v>
      </c>
      <c r="S56" s="16" t="n">
        <v>26949.0428826358</v>
      </c>
      <c r="T56" s="16" t="n">
        <v>-955.692204749296</v>
      </c>
      <c r="U56" s="16" t="n">
        <v>-4608.05739438402</v>
      </c>
      <c r="V56" s="16" t="n">
        <v>0.750319556751226</v>
      </c>
      <c r="W56" s="16" t="n">
        <v>43706.4412624025</v>
      </c>
      <c r="X56" s="16" t="n">
        <v>22149.4762774452</v>
      </c>
      <c r="Y56" s="16" t="n">
        <v>0</v>
      </c>
      <c r="Z56" s="16" t="n">
        <v>0</v>
      </c>
      <c r="AA56" s="16" t="n">
        <v>27.424347870838</v>
      </c>
      <c r="AB56" s="16" t="n">
        <v>25.224347870838</v>
      </c>
      <c r="AC56" s="16" t="n">
        <v>26.674347870838</v>
      </c>
      <c r="AD56" s="16" t="n">
        <v>27.2673434792775</v>
      </c>
      <c r="AE56" s="16" t="n">
        <v>674.686407680941</v>
      </c>
      <c r="AF56" s="16" t="n">
        <v>0.03</v>
      </c>
      <c r="AG56" s="16" t="n">
        <v>0.604405917289145</v>
      </c>
      <c r="AH56" s="16" t="n">
        <v>9819.91719809611</v>
      </c>
      <c r="AI56" s="16" t="n">
        <v>19716.7966317894</v>
      </c>
      <c r="AJ56" s="16" t="n">
        <v>16.69175</v>
      </c>
      <c r="AK56" s="16" t="n">
        <v>0</v>
      </c>
      <c r="AL56" s="16" t="n">
        <v>1000</v>
      </c>
      <c r="AM56" s="16" t="n">
        <v>812.6073</v>
      </c>
      <c r="AN56" s="16" t="n">
        <v>20079.98904</v>
      </c>
      <c r="AO56" s="16" t="n">
        <v>-5508.72242389994</v>
      </c>
      <c r="AP56" s="16" t="n">
        <v>0.414483496940676</v>
      </c>
      <c r="AQ56" s="16" t="n">
        <v>71.6506782620037</v>
      </c>
      <c r="AR56" s="16" t="n">
        <v>509.186143654816</v>
      </c>
      <c r="AS56" s="16" t="n">
        <v>314.925245</v>
      </c>
      <c r="AT56" s="16" t="n">
        <v>1000</v>
      </c>
      <c r="AU56" s="16" t="n">
        <v>12.270507</v>
      </c>
      <c r="AV56" s="16" t="n">
        <v>0</v>
      </c>
      <c r="AW56" s="16" t="n">
        <v>2254.3125</v>
      </c>
      <c r="AX56" s="16" t="n">
        <v>314.925245</v>
      </c>
      <c r="AY56" s="16" t="n">
        <v>314.925245</v>
      </c>
      <c r="AZ56" s="16" t="n">
        <v>5062.76562257924</v>
      </c>
      <c r="BA56" s="16" t="n">
        <v>0</v>
      </c>
      <c r="BB56" s="16" t="n">
        <v>417.928966666667</v>
      </c>
      <c r="BC56" s="16" t="n">
        <v>111441.907179589</v>
      </c>
      <c r="BD56" s="16" t="n">
        <v>14.9453592338105</v>
      </c>
      <c r="BE56" s="16" t="n">
        <v>23.6026518557469</v>
      </c>
      <c r="BF56" s="16" t="n">
        <v>37.8305070645493</v>
      </c>
      <c r="BG56" s="16" t="n">
        <v>-8.27711430924607</v>
      </c>
      <c r="BH56" s="16" t="n">
        <v>-7.28866183200638</v>
      </c>
      <c r="BI56" s="16" t="n">
        <v>1.09242813813745</v>
      </c>
      <c r="BJ56" s="16" t="n">
        <v>2.04083187529388</v>
      </c>
      <c r="BK56" s="16" t="n">
        <v>5.25403316350504</v>
      </c>
      <c r="BL56" s="16" t="n">
        <v>7.88491984612206</v>
      </c>
      <c r="BM56" s="16" t="n">
        <v>3.71992671744367</v>
      </c>
      <c r="BN56" s="16" t="n">
        <v>4.46573109600205</v>
      </c>
      <c r="BO56" s="16" t="n">
        <v>5.7791095890411</v>
      </c>
      <c r="BP56" s="16" t="n">
        <v>8712.70308277889</v>
      </c>
      <c r="BQ56" s="16" t="n">
        <v>8176.87365522983</v>
      </c>
      <c r="BR56" s="16" t="n">
        <v>8176.87365522983</v>
      </c>
      <c r="BS56" s="16" t="n">
        <v>509.186143654816</v>
      </c>
      <c r="BT56" s="16" t="n">
        <v>301.7195</v>
      </c>
      <c r="BU56" s="16" t="n">
        <v>1081.9108</v>
      </c>
      <c r="BV56" s="16" t="s">
        <v>3237</v>
      </c>
      <c r="BW56" s="16" t="n">
        <v>42.7692307692308</v>
      </c>
      <c r="BX56" s="16" t="n">
        <v>0.155994305554286</v>
      </c>
      <c r="BY56" s="16" t="n">
        <v>0.161741466184191</v>
      </c>
      <c r="BZ56" s="16" t="n">
        <v>13510.8578038903</v>
      </c>
      <c r="CA56" s="16" t="n">
        <v>19402.010477409</v>
      </c>
      <c r="CB56" s="16" t="n">
        <v>282.580981607207</v>
      </c>
      <c r="CC56" s="16" t="n">
        <v>0</v>
      </c>
      <c r="CD56" s="16" t="n">
        <v>950.69728</v>
      </c>
      <c r="CE56" s="16" t="n">
        <v>12000</v>
      </c>
      <c r="CF56" s="16" t="n">
        <v>22.6770970382873</v>
      </c>
      <c r="CG56" s="16" t="n">
        <v>25.6251196532647</v>
      </c>
      <c r="CH56" s="16" t="n">
        <v>2643.77364301215</v>
      </c>
      <c r="CI56" s="16" t="n">
        <v>-6.2083733271085</v>
      </c>
      <c r="CJ56" s="16" t="n">
        <v>3.00594144553374</v>
      </c>
      <c r="CK56" s="16" t="n">
        <v>39378.166904671</v>
      </c>
      <c r="CL56" s="16" t="n">
        <v>167.192654154816</v>
      </c>
      <c r="CM56" s="16" t="n">
        <v>192.560222404816</v>
      </c>
      <c r="CN56" s="16" t="n">
        <v>1000</v>
      </c>
      <c r="CO56" s="16" t="n">
        <v>1.5535546875</v>
      </c>
      <c r="CP56" s="16" t="n">
        <v>1.09004417261298</v>
      </c>
      <c r="CQ56" s="16" t="n">
        <v>0</v>
      </c>
      <c r="CR56" s="16" t="n">
        <v>80.9652664360642</v>
      </c>
      <c r="CS56" s="16" t="n">
        <v>19.6192432486785</v>
      </c>
      <c r="CT56" s="16" t="n">
        <v>0</v>
      </c>
      <c r="CU56" s="16" t="n">
        <v>0.0113</v>
      </c>
      <c r="CV56" s="16" t="n">
        <v>3918479.53180009</v>
      </c>
      <c r="CW56" s="16" t="n">
        <v>797942.368891408</v>
      </c>
      <c r="CX56" s="16" t="n">
        <v>4716421.90069149</v>
      </c>
      <c r="CY56" s="16" t="n">
        <v>3918479.53180009</v>
      </c>
      <c r="CZ56" s="16" t="n">
        <v>1780.31177076573</v>
      </c>
      <c r="DA56" s="16" t="n">
        <v>22.6770970382873</v>
      </c>
      <c r="DB56" s="16" t="n">
        <v>16207.0989559126</v>
      </c>
      <c r="DC56" s="16" t="n">
        <v>12025.6674252871</v>
      </c>
      <c r="DD56" s="16" t="n">
        <v>11144.3333333333</v>
      </c>
      <c r="DE56" s="16" t="n">
        <v>1921.25</v>
      </c>
      <c r="DF56" s="16" t="n">
        <v>3918794.45704509</v>
      </c>
      <c r="DG56" s="16" t="n">
        <v>192.560222404816</v>
      </c>
      <c r="DH56" s="16" t="n">
        <v>0</v>
      </c>
      <c r="DI56" s="16" t="n">
        <v>19.6198401179646</v>
      </c>
    </row>
    <row r="57" customFormat="false" ht="15" hidden="false" customHeight="false" outlineLevel="0" collapsed="false">
      <c r="A57" s="0" t="s">
        <v>3275</v>
      </c>
      <c r="B57" s="16" t="n">
        <v>2465.07954157611</v>
      </c>
      <c r="C57" s="16" t="n">
        <v>8209.24039226006</v>
      </c>
      <c r="D57" s="16" t="n">
        <v>19716.7966317894</v>
      </c>
      <c r="E57" s="16" t="n">
        <v>4213.14398474076</v>
      </c>
      <c r="F57" s="16" t="n">
        <v>-1135.49021845689</v>
      </c>
      <c r="G57" s="16" t="n">
        <v>5020.26458750724</v>
      </c>
      <c r="H57" s="16" t="n">
        <v>19169.3085971917</v>
      </c>
      <c r="I57" s="17" t="n">
        <v>61.6628757470962</v>
      </c>
      <c r="J57" s="17" t="n">
        <v>75.7725540691749</v>
      </c>
      <c r="K57" s="16" t="s">
        <v>116</v>
      </c>
      <c r="L57" s="16" t="n">
        <v>1000</v>
      </c>
      <c r="M57" s="16" t="n">
        <v>33779.4469253452</v>
      </c>
      <c r="N57" s="16" t="n">
        <v>11402.7039831813</v>
      </c>
      <c r="O57" s="16" t="n">
        <v>1000</v>
      </c>
      <c r="P57" s="16" t="n">
        <v>951.290832135856</v>
      </c>
      <c r="Q57" s="16" t="n">
        <v>-267.565775756198</v>
      </c>
      <c r="R57" s="16" t="n">
        <v>17617.7170533315</v>
      </c>
      <c r="S57" s="16" t="n">
        <v>26869.8265191358</v>
      </c>
      <c r="T57" s="16" t="n">
        <v>-955.692204749296</v>
      </c>
      <c r="U57" s="16" t="n">
        <v>19628.9334286384</v>
      </c>
      <c r="V57" s="16" t="n">
        <v>0.750319556751226</v>
      </c>
      <c r="W57" s="16" t="n">
        <v>65140.0014222805</v>
      </c>
      <c r="X57" s="16" t="n">
        <v>17514.4829806118</v>
      </c>
      <c r="Y57" s="16" t="n">
        <v>71.2808228635973</v>
      </c>
      <c r="Z57" s="16" t="n">
        <v>96.7539742909295</v>
      </c>
      <c r="AA57" s="16" t="n">
        <v>27.424347870838</v>
      </c>
      <c r="AB57" s="16" t="n">
        <v>25.224347870838</v>
      </c>
      <c r="AC57" s="16" t="n">
        <v>26.674347870838</v>
      </c>
      <c r="AD57" s="16" t="n">
        <v>27.2673434792775</v>
      </c>
      <c r="AE57" s="16" t="n">
        <v>674.686407680941</v>
      </c>
      <c r="AF57" s="16" t="n">
        <v>0.03</v>
      </c>
      <c r="AG57" s="16" t="n">
        <v>0.654405917289144</v>
      </c>
      <c r="AH57" s="16" t="n">
        <v>9819.91719809611</v>
      </c>
      <c r="AI57" s="16" t="n">
        <v>19716.7966317894</v>
      </c>
      <c r="AJ57" s="16" t="n">
        <v>16.69175</v>
      </c>
      <c r="AK57" s="16" t="n">
        <v>0</v>
      </c>
      <c r="AL57" s="16" t="n">
        <v>1000</v>
      </c>
      <c r="AM57" s="16" t="n">
        <v>812.6073</v>
      </c>
      <c r="AN57" s="16" t="n">
        <v>20079.98904</v>
      </c>
      <c r="AO57" s="16" t="n">
        <v>-5508.72242389994</v>
      </c>
      <c r="AP57" s="16" t="n">
        <v>0.414483496940676</v>
      </c>
      <c r="AQ57" s="16" t="n">
        <v>117.660531802473</v>
      </c>
      <c r="AR57" s="16" t="n">
        <v>507.183287209227</v>
      </c>
      <c r="AS57" s="16" t="n">
        <v>318.3265975</v>
      </c>
      <c r="AT57" s="16" t="n">
        <v>1000</v>
      </c>
      <c r="AU57" s="16" t="n">
        <v>12.270507</v>
      </c>
      <c r="AV57" s="16" t="n">
        <v>0</v>
      </c>
      <c r="AW57" s="16" t="n">
        <v>2254.3125</v>
      </c>
      <c r="AX57" s="16" t="n">
        <v>318.3265975</v>
      </c>
      <c r="AY57" s="16" t="n">
        <v>315.37657232681</v>
      </c>
      <c r="AZ57" s="16" t="n">
        <v>5631.62619515181</v>
      </c>
      <c r="BA57" s="16" t="n">
        <v>0</v>
      </c>
      <c r="BB57" s="16" t="n">
        <v>417.928966666667</v>
      </c>
      <c r="BC57" s="16" t="n">
        <v>109571.357216673</v>
      </c>
      <c r="BD57" s="16" t="n">
        <v>16.751694488301</v>
      </c>
      <c r="BE57" s="16" t="n">
        <v>25.4089871102374</v>
      </c>
      <c r="BF57" s="16" t="n">
        <v>39.6368423190398</v>
      </c>
      <c r="BG57" s="16" t="n">
        <v>-8.27711430924607</v>
      </c>
      <c r="BH57" s="16" t="n">
        <v>-7.28866183200638</v>
      </c>
      <c r="BI57" s="16" t="n">
        <v>1.09242813813745</v>
      </c>
      <c r="BJ57" s="16" t="n">
        <v>2.04083187529388</v>
      </c>
      <c r="BK57" s="16" t="n">
        <v>5.25403316350504</v>
      </c>
      <c r="BL57" s="16" t="n">
        <v>7.88491984612206</v>
      </c>
      <c r="BM57" s="16" t="n">
        <v>3.71992671744367</v>
      </c>
      <c r="BN57" s="16" t="n">
        <v>4.46573109600205</v>
      </c>
      <c r="BO57" s="16" t="n">
        <v>5.7791095890411</v>
      </c>
      <c r="BP57" s="16" t="n">
        <v>8712.70308277889</v>
      </c>
      <c r="BQ57" s="16" t="n">
        <v>8176.87365522983</v>
      </c>
      <c r="BR57" s="16" t="n">
        <v>8176.87365522983</v>
      </c>
      <c r="BS57" s="16" t="n">
        <v>507.183287209227</v>
      </c>
      <c r="BT57" s="16" t="n">
        <v>301.7195</v>
      </c>
      <c r="BU57" s="16" t="n">
        <v>1081.9108</v>
      </c>
      <c r="BV57" s="16" t="s">
        <v>3238</v>
      </c>
      <c r="BW57" s="16" t="n">
        <v>42.7692307692308</v>
      </c>
      <c r="BX57" s="16" t="n">
        <v>0.155994305554286</v>
      </c>
      <c r="BY57" s="16" t="n">
        <v>0.161741466184191</v>
      </c>
      <c r="BZ57" s="16" t="n">
        <v>13328.9507681851</v>
      </c>
      <c r="CA57" s="16" t="n">
        <v>19402.010477409</v>
      </c>
      <c r="CB57" s="16" t="n">
        <v>275.326427493107</v>
      </c>
      <c r="CC57" s="16" t="n">
        <v>0</v>
      </c>
      <c r="CD57" s="16" t="n">
        <v>950.69728</v>
      </c>
      <c r="CE57" s="16" t="n">
        <v>12000</v>
      </c>
      <c r="CF57" s="16" t="n">
        <v>24.1681139275522</v>
      </c>
      <c r="CG57" s="16" t="n">
        <v>27.3099687381339</v>
      </c>
      <c r="CH57" s="16" t="n">
        <v>2643.77364301215</v>
      </c>
      <c r="CI57" s="16" t="n">
        <v>-6.2083733271085</v>
      </c>
      <c r="CJ57" s="16" t="n">
        <v>3.00594144553374</v>
      </c>
      <c r="CK57" s="16" t="n">
        <v>38515.0058572363</v>
      </c>
      <c r="CL57" s="16" t="n">
        <v>163.527826718003</v>
      </c>
      <c r="CM57" s="16" t="n">
        <v>188.895394968003</v>
      </c>
      <c r="CN57" s="16" t="n">
        <v>1000</v>
      </c>
      <c r="CO57" s="16" t="n">
        <v>1.5535546875</v>
      </c>
      <c r="CP57" s="16" t="n">
        <v>1.09004417261298</v>
      </c>
      <c r="CQ57" s="16" t="n">
        <v>75.7725540691749</v>
      </c>
      <c r="CR57" s="16" t="n">
        <v>132.956400936795</v>
      </c>
      <c r="CS57" s="16" t="n">
        <v>88.8903797797196</v>
      </c>
      <c r="CT57" s="16" t="n">
        <v>67.0553575833407</v>
      </c>
      <c r="CU57" s="16" t="n">
        <v>75.7725540691749</v>
      </c>
      <c r="CV57" s="16" t="n">
        <v>573.317215958622</v>
      </c>
      <c r="CW57" s="16" t="n">
        <v>118.997556295136</v>
      </c>
      <c r="CX57" s="16" t="n">
        <v>692.314772253759</v>
      </c>
      <c r="CY57" s="16" t="n">
        <v>573.317215958622</v>
      </c>
      <c r="CZ57" s="16" t="n">
        <v>441.985580351621</v>
      </c>
      <c r="DA57" s="16" t="n">
        <v>24.1681139275522</v>
      </c>
      <c r="DB57" s="16" t="n">
        <v>16775.9595284851</v>
      </c>
      <c r="DC57" s="16" t="n">
        <v>12447.761970136</v>
      </c>
      <c r="DD57" s="16" t="n">
        <v>11144.3333333333</v>
      </c>
      <c r="DE57" s="16" t="n">
        <v>1818.4375</v>
      </c>
      <c r="DF57" s="16" t="n">
        <v>889.943137208622</v>
      </c>
      <c r="DG57" s="16" t="n">
        <v>188.895394968003</v>
      </c>
      <c r="DH57" s="16" t="n">
        <v>0</v>
      </c>
      <c r="DI57" s="16" t="n">
        <v>88.8903797798526</v>
      </c>
    </row>
    <row r="58" customFormat="false" ht="15" hidden="false" customHeight="false" outlineLevel="0" collapsed="false">
      <c r="A58" s="0" t="s">
        <v>3276</v>
      </c>
      <c r="B58" s="16" t="n">
        <v>2465.07954157611</v>
      </c>
      <c r="C58" s="16" t="n">
        <v>8209.24039226006</v>
      </c>
      <c r="D58" s="16" t="n">
        <v>19716.7966317894</v>
      </c>
      <c r="E58" s="16" t="n">
        <v>4213.14398474076</v>
      </c>
      <c r="F58" s="16" t="n">
        <v>-524.788498456891</v>
      </c>
      <c r="G58" s="16" t="n">
        <v>4409.56286750724</v>
      </c>
      <c r="H58" s="16" t="n">
        <v>1927.89389682562</v>
      </c>
      <c r="I58" s="17" t="n">
        <v>0.01</v>
      </c>
      <c r="J58" s="17" t="n">
        <v>6.2433450599991</v>
      </c>
      <c r="K58" s="16" t="s">
        <v>116</v>
      </c>
      <c r="L58" s="16" t="n">
        <v>1000</v>
      </c>
      <c r="M58" s="16" t="n">
        <v>33386.8910078452</v>
      </c>
      <c r="N58" s="16" t="n">
        <v>11402.7039831813</v>
      </c>
      <c r="O58" s="16" t="n">
        <v>1000</v>
      </c>
      <c r="P58" s="16" t="n">
        <v>951.290832135856</v>
      </c>
      <c r="Q58" s="16" t="n">
        <v>343.135944243801</v>
      </c>
      <c r="R58" s="16" t="n">
        <v>21110.4903208315</v>
      </c>
      <c r="S58" s="16" t="n">
        <v>33270.1863326358</v>
      </c>
      <c r="T58" s="16" t="n">
        <v>-955.692204749296</v>
      </c>
      <c r="U58" s="16" t="n">
        <v>-252.887939932836</v>
      </c>
      <c r="V58" s="16" t="n">
        <v>0.750319556751226</v>
      </c>
      <c r="W58" s="16" t="n">
        <v>45757.6552187002</v>
      </c>
      <c r="X58" s="16" t="n">
        <v>21520.4535058452</v>
      </c>
      <c r="Y58" s="16" t="n">
        <v>5.8732449864608</v>
      </c>
      <c r="Z58" s="16" t="n">
        <v>7.97212730711285</v>
      </c>
      <c r="AA58" s="16" t="n">
        <v>27.424347870838</v>
      </c>
      <c r="AB58" s="16" t="n">
        <v>25.224347870838</v>
      </c>
      <c r="AC58" s="16" t="n">
        <v>26.674347870838</v>
      </c>
      <c r="AD58" s="16" t="n">
        <v>27.2673434792775</v>
      </c>
      <c r="AE58" s="16" t="n">
        <v>674.686407680941</v>
      </c>
      <c r="AF58" s="16" t="n">
        <v>0.03</v>
      </c>
      <c r="AG58" s="16" t="n">
        <v>0.654405917289144</v>
      </c>
      <c r="AH58" s="16" t="n">
        <v>6305.63205881174</v>
      </c>
      <c r="AI58" s="16" t="n">
        <v>19716.7966317894</v>
      </c>
      <c r="AJ58" s="16" t="n">
        <v>16.69175</v>
      </c>
      <c r="AK58" s="16" t="n">
        <v>0</v>
      </c>
      <c r="AL58" s="16" t="n">
        <v>1000</v>
      </c>
      <c r="AM58" s="16" t="n">
        <v>812.6073</v>
      </c>
      <c r="AN58" s="16" t="n">
        <v>17273.143425</v>
      </c>
      <c r="AO58" s="16" t="n">
        <v>-4978.8550612797</v>
      </c>
      <c r="AP58" s="16" t="n">
        <v>0.414483496940676</v>
      </c>
      <c r="AQ58" s="16" t="n">
        <v>82.3331775104102</v>
      </c>
      <c r="AR58" s="16" t="n">
        <v>516.263585326384</v>
      </c>
      <c r="AS58" s="16" t="n">
        <v>314.925245</v>
      </c>
      <c r="AT58" s="16" t="n">
        <v>1000</v>
      </c>
      <c r="AU58" s="16" t="n">
        <v>12.270507</v>
      </c>
      <c r="AV58" s="16" t="n">
        <v>0</v>
      </c>
      <c r="AW58" s="16" t="n">
        <v>2254.3125</v>
      </c>
      <c r="AX58" s="16" t="n">
        <v>314.925245</v>
      </c>
      <c r="AY58" s="16" t="n">
        <v>314.925245</v>
      </c>
      <c r="AZ58" s="16" t="n">
        <v>5631.62619515181</v>
      </c>
      <c r="BA58" s="16" t="n">
        <v>0</v>
      </c>
      <c r="BB58" s="16" t="n">
        <v>417.928966666667</v>
      </c>
      <c r="BC58" s="16" t="n">
        <v>108388.398579589</v>
      </c>
      <c r="BD58" s="16" t="n">
        <v>8.94508110454388</v>
      </c>
      <c r="BE58" s="16" t="n">
        <v>17.6023737264802</v>
      </c>
      <c r="BF58" s="16" t="n">
        <v>31.8302289352827</v>
      </c>
      <c r="BG58" s="16" t="n">
        <v>-8.27711430924607</v>
      </c>
      <c r="BH58" s="16" t="n">
        <v>-7.28866183200638</v>
      </c>
      <c r="BI58" s="16" t="n">
        <v>1.09242813813745</v>
      </c>
      <c r="BJ58" s="16" t="n">
        <v>2.04083187529388</v>
      </c>
      <c r="BK58" s="16" t="n">
        <v>5.25403316350504</v>
      </c>
      <c r="BL58" s="16" t="n">
        <v>7.88491984612206</v>
      </c>
      <c r="BM58" s="16" t="n">
        <v>3.71992671744367</v>
      </c>
      <c r="BN58" s="16" t="n">
        <v>4.46573109600205</v>
      </c>
      <c r="BO58" s="16" t="n">
        <v>5.7791095890411</v>
      </c>
      <c r="BP58" s="16" t="n">
        <v>8712.70308277889</v>
      </c>
      <c r="BQ58" s="16" t="n">
        <v>8176.87365522983</v>
      </c>
      <c r="BR58" s="16" t="n">
        <v>8176.87365522983</v>
      </c>
      <c r="BS58" s="16" t="n">
        <v>516.263585326384</v>
      </c>
      <c r="BT58" s="16" t="n">
        <v>301.7195</v>
      </c>
      <c r="BU58" s="16" t="n">
        <v>1081.9108</v>
      </c>
      <c r="BV58" s="16" t="s">
        <v>3237</v>
      </c>
      <c r="BW58" s="16" t="n">
        <v>42.7692307692308</v>
      </c>
      <c r="BX58" s="16" t="n">
        <v>0.155994305554286</v>
      </c>
      <c r="BY58" s="16" t="n">
        <v>0.161741466184191</v>
      </c>
      <c r="BZ58" s="16" t="n">
        <v>13510.8578038903</v>
      </c>
      <c r="CA58" s="16" t="n">
        <v>19402.010477409</v>
      </c>
      <c r="CB58" s="16" t="n">
        <v>293.236327468565</v>
      </c>
      <c r="CC58" s="16" t="n">
        <v>0</v>
      </c>
      <c r="CD58" s="16" t="n">
        <v>950.69728</v>
      </c>
      <c r="CE58" s="16" t="n">
        <v>12000</v>
      </c>
      <c r="CF58" s="16" t="n">
        <v>17.2857554486901</v>
      </c>
      <c r="CG58" s="16" t="n">
        <v>19.5329036570198</v>
      </c>
      <c r="CH58" s="16" t="n">
        <v>2643.77364301215</v>
      </c>
      <c r="CI58" s="16" t="n">
        <v>-6.2083733271085</v>
      </c>
      <c r="CJ58" s="16" t="n">
        <v>3.00594144553374</v>
      </c>
      <c r="CK58" s="16" t="n">
        <v>41045.0863085761</v>
      </c>
      <c r="CL58" s="16" t="n">
        <v>174.270095826384</v>
      </c>
      <c r="CM58" s="16" t="n">
        <v>199.637664076384</v>
      </c>
      <c r="CN58" s="16" t="n">
        <v>1000</v>
      </c>
      <c r="CO58" s="16" t="n">
        <v>1.5535546875</v>
      </c>
      <c r="CP58" s="16" t="n">
        <v>1.09004417261298</v>
      </c>
      <c r="CQ58" s="16" t="n">
        <v>6.2433450599991</v>
      </c>
      <c r="CR58" s="16" t="n">
        <v>93.0364905867635</v>
      </c>
      <c r="CS58" s="16" t="n">
        <v>42.115021139849</v>
      </c>
      <c r="CT58" s="16" t="n">
        <v>5.52508412389301</v>
      </c>
      <c r="CU58" s="16" t="n">
        <v>6.2433450599991</v>
      </c>
      <c r="CV58" s="16" t="n">
        <v>7359.15405471001</v>
      </c>
      <c r="CW58" s="16" t="n">
        <v>1444.21759198333</v>
      </c>
      <c r="CX58" s="16" t="n">
        <v>8803.37164669334</v>
      </c>
      <c r="CY58" s="16" t="n">
        <v>7359.15405471001</v>
      </c>
      <c r="CZ58" s="16" t="n">
        <v>822.719324304318</v>
      </c>
      <c r="DA58" s="16" t="n">
        <v>17.2857554486901</v>
      </c>
      <c r="DB58" s="16" t="n">
        <v>16775.9595284851</v>
      </c>
      <c r="DC58" s="16" t="n">
        <v>12447.761970136</v>
      </c>
      <c r="DD58" s="16" t="n">
        <v>11144.3333333333</v>
      </c>
      <c r="DE58" s="16" t="n">
        <v>1921.25</v>
      </c>
      <c r="DF58" s="16" t="n">
        <v>7674.07929971001</v>
      </c>
      <c r="DG58" s="16" t="n">
        <v>199.637664076384</v>
      </c>
      <c r="DH58" s="16" t="n">
        <v>0</v>
      </c>
      <c r="DI58" s="16" t="n">
        <v>42.1150211919386</v>
      </c>
    </row>
    <row r="59" customFormat="false" ht="15" hidden="false" customHeight="false" outlineLevel="0" collapsed="false">
      <c r="A59" s="0" t="s">
        <v>3277</v>
      </c>
      <c r="B59" s="16" t="n">
        <v>2465.07954157611</v>
      </c>
      <c r="C59" s="16" t="n">
        <v>8209.24039226006</v>
      </c>
      <c r="D59" s="16" t="n">
        <v>19716.7966317894</v>
      </c>
      <c r="E59" s="16" t="n">
        <v>4213.14398474076</v>
      </c>
      <c r="F59" s="16" t="n">
        <v>-1379.14271845689</v>
      </c>
      <c r="G59" s="16" t="n">
        <v>5263.91708750724</v>
      </c>
      <c r="H59" s="16" t="n">
        <v>-2191.86709050978</v>
      </c>
      <c r="I59" s="17" t="n">
        <v>0.01</v>
      </c>
      <c r="J59" s="17" t="n">
        <v>5.21111274874868</v>
      </c>
      <c r="K59" s="16" t="s">
        <v>116</v>
      </c>
      <c r="L59" s="16" t="n">
        <v>1000</v>
      </c>
      <c r="M59" s="16" t="n">
        <v>35639.0870078452</v>
      </c>
      <c r="N59" s="16" t="n">
        <v>11402.7039831813</v>
      </c>
      <c r="O59" s="16" t="n">
        <v>1000</v>
      </c>
      <c r="P59" s="16" t="n">
        <v>951.290832135856</v>
      </c>
      <c r="Q59" s="16" t="n">
        <v>-511.218275756198</v>
      </c>
      <c r="R59" s="16" t="n">
        <v>13323.9713208315</v>
      </c>
      <c r="S59" s="16" t="n">
        <v>30601.4110326358</v>
      </c>
      <c r="T59" s="16" t="n">
        <v>-1016.6053297493</v>
      </c>
      <c r="U59" s="16" t="n">
        <v>-78.9031947682288</v>
      </c>
      <c r="V59" s="16" t="n">
        <v>0.750319556751226</v>
      </c>
      <c r="W59" s="16" t="n">
        <v>46329.2182599244</v>
      </c>
      <c r="X59" s="16" t="n">
        <v>22400.4383524452</v>
      </c>
      <c r="Y59" s="16" t="n">
        <v>4.90220251024769</v>
      </c>
      <c r="Z59" s="16" t="n">
        <v>6.65406986887718</v>
      </c>
      <c r="AA59" s="16" t="n">
        <v>27.424347870838</v>
      </c>
      <c r="AB59" s="16" t="n">
        <v>25.224347870838</v>
      </c>
      <c r="AC59" s="16" t="n">
        <v>26.674347870838</v>
      </c>
      <c r="AD59" s="16" t="n">
        <v>27.2673434792775</v>
      </c>
      <c r="AE59" s="16" t="n">
        <v>674.686407680941</v>
      </c>
      <c r="AF59" s="16" t="n">
        <v>0.03</v>
      </c>
      <c r="AG59" s="16" t="n">
        <v>0.654405917289144</v>
      </c>
      <c r="AH59" s="16" t="n">
        <v>14054.7213339711</v>
      </c>
      <c r="AI59" s="16" t="n">
        <v>19716.7966317894</v>
      </c>
      <c r="AJ59" s="16" t="n">
        <v>16.69175</v>
      </c>
      <c r="AK59" s="16" t="n">
        <v>0</v>
      </c>
      <c r="AL59" s="16" t="n">
        <v>999.999999999999</v>
      </c>
      <c r="AM59" s="16" t="n">
        <v>812.6073</v>
      </c>
      <c r="AN59" s="16" t="n">
        <v>20079.98904</v>
      </c>
      <c r="AO59" s="16" t="n">
        <v>-5077.64491446433</v>
      </c>
      <c r="AP59" s="16" t="n">
        <v>0.414483496940676</v>
      </c>
      <c r="AQ59" s="16" t="n">
        <v>77.4533646583856</v>
      </c>
      <c r="AR59" s="16" t="n">
        <v>499.225471616909</v>
      </c>
      <c r="AS59" s="16" t="n">
        <v>314.925245</v>
      </c>
      <c r="AT59" s="16" t="n">
        <v>1000</v>
      </c>
      <c r="AU59" s="16" t="n">
        <v>12.270507</v>
      </c>
      <c r="AV59" s="16" t="n">
        <v>0</v>
      </c>
      <c r="AW59" s="16" t="n">
        <v>2254.3125</v>
      </c>
      <c r="AX59" s="16" t="n">
        <v>314.925245</v>
      </c>
      <c r="AY59" s="16" t="n">
        <v>314.925245</v>
      </c>
      <c r="AZ59" s="16" t="n">
        <v>5631.62619515181</v>
      </c>
      <c r="BA59" s="16" t="n">
        <v>0</v>
      </c>
      <c r="BB59" s="16" t="n">
        <v>417.928966666667</v>
      </c>
      <c r="BC59" s="16" t="n">
        <v>112660.169679589</v>
      </c>
      <c r="BD59" s="16" t="n">
        <v>22.5792555655338</v>
      </c>
      <c r="BE59" s="16" t="n">
        <v>31.2365481874702</v>
      </c>
      <c r="BF59" s="16" t="n">
        <v>45.4644033962726</v>
      </c>
      <c r="BG59" s="16" t="n">
        <v>-8.27711430924607</v>
      </c>
      <c r="BH59" s="16" t="n">
        <v>-7.28866183200638</v>
      </c>
      <c r="BI59" s="16" t="n">
        <v>1.09242813813745</v>
      </c>
      <c r="BJ59" s="16" t="n">
        <v>2.04083187529388</v>
      </c>
      <c r="BK59" s="16" t="n">
        <v>5.25403316350504</v>
      </c>
      <c r="BL59" s="16" t="n">
        <v>7.88491984612206</v>
      </c>
      <c r="BM59" s="16" t="n">
        <v>3.71992671744367</v>
      </c>
      <c r="BN59" s="16" t="n">
        <v>4.46573109600205</v>
      </c>
      <c r="BO59" s="16" t="n">
        <v>5.7791095890411</v>
      </c>
      <c r="BP59" s="16" t="n">
        <v>8712.70308277889</v>
      </c>
      <c r="BQ59" s="16" t="n">
        <v>8176.87365522983</v>
      </c>
      <c r="BR59" s="16" t="n">
        <v>8176.87365522983</v>
      </c>
      <c r="BS59" s="16" t="n">
        <v>499.225471616909</v>
      </c>
      <c r="BT59" s="16" t="n">
        <v>301.7195</v>
      </c>
      <c r="BU59" s="16" t="n">
        <v>1081.9108</v>
      </c>
      <c r="BV59" s="16" t="s">
        <v>3237</v>
      </c>
      <c r="BW59" s="16" t="n">
        <v>42.7692307692308</v>
      </c>
      <c r="BX59" s="16" t="n">
        <v>0.155994305554286</v>
      </c>
      <c r="BY59" s="16" t="n">
        <v>0.161741466184191</v>
      </c>
      <c r="BZ59" s="16" t="n">
        <v>13510.8578038903</v>
      </c>
      <c r="CA59" s="16" t="n">
        <v>19402.010477409</v>
      </c>
      <c r="CB59" s="16" t="n">
        <v>268.254733251195</v>
      </c>
      <c r="CC59" s="16" t="n">
        <v>0</v>
      </c>
      <c r="CD59" s="16" t="n">
        <v>950.69728</v>
      </c>
      <c r="CE59" s="16" t="n">
        <v>12000</v>
      </c>
      <c r="CF59" s="16" t="n">
        <v>29.4539863546209</v>
      </c>
      <c r="CG59" s="16" t="n">
        <v>33.2830045807216</v>
      </c>
      <c r="CH59" s="16" t="n">
        <v>2643.77364301215</v>
      </c>
      <c r="CI59" s="16" t="n">
        <v>-6.2083733271085</v>
      </c>
      <c r="CJ59" s="16" t="n">
        <v>3.00594144553374</v>
      </c>
      <c r="CK59" s="16" t="n">
        <v>37032.1726504725</v>
      </c>
      <c r="CL59" s="16" t="n">
        <v>157.231982116909</v>
      </c>
      <c r="CM59" s="16" t="n">
        <v>182.599550366909</v>
      </c>
      <c r="CN59" s="16" t="n">
        <v>999.999999999999</v>
      </c>
      <c r="CO59" s="16" t="n">
        <v>1.5535546875</v>
      </c>
      <c r="CP59" s="16" t="n">
        <v>1.09004417261298</v>
      </c>
      <c r="CQ59" s="16" t="n">
        <v>5.21111274874868</v>
      </c>
      <c r="CR59" s="16" t="n">
        <v>87.5223020639757</v>
      </c>
      <c r="CS59" s="16" t="n">
        <v>29.8278632251347</v>
      </c>
      <c r="CT59" s="16" t="n">
        <v>4.61160420243246</v>
      </c>
      <c r="CU59" s="16" t="n">
        <v>5.21111274874868</v>
      </c>
      <c r="CV59" s="16" t="n">
        <v>8046.80813425341</v>
      </c>
      <c r="CW59" s="16" t="n">
        <v>1730.2923968855</v>
      </c>
      <c r="CX59" s="16" t="n">
        <v>9777.10053113891</v>
      </c>
      <c r="CY59" s="16" t="n">
        <v>8046.80813425341</v>
      </c>
      <c r="CZ59" s="16" t="n">
        <v>1145.92145009772</v>
      </c>
      <c r="DA59" s="16" t="n">
        <v>29.4539863546209</v>
      </c>
      <c r="DB59" s="16" t="n">
        <v>16775.9595284851</v>
      </c>
      <c r="DC59" s="16" t="n">
        <v>12447.761970136</v>
      </c>
      <c r="DD59" s="16" t="n">
        <v>11144.3333333333</v>
      </c>
      <c r="DE59" s="16" t="n">
        <v>1921.25</v>
      </c>
      <c r="DF59" s="16" t="n">
        <v>8361.73337925341</v>
      </c>
      <c r="DG59" s="16" t="n">
        <v>182.599550366909</v>
      </c>
      <c r="DH59" s="16" t="n">
        <v>0</v>
      </c>
      <c r="DI59" s="16" t="n">
        <v>29.8278757819179</v>
      </c>
    </row>
    <row r="60" customFormat="false" ht="15" hidden="false" customHeight="false" outlineLevel="0" collapsed="false">
      <c r="A60" s="0" t="s">
        <v>3278</v>
      </c>
      <c r="B60" s="16" t="n">
        <v>2465.07954157611</v>
      </c>
      <c r="C60" s="16" t="n">
        <v>8200.88139486423</v>
      </c>
      <c r="D60" s="16" t="n">
        <v>19210.2548479352</v>
      </c>
      <c r="E60" s="16" t="n">
        <v>4207.20909658971</v>
      </c>
      <c r="F60" s="16" t="n">
        <v>-1141.08409679022</v>
      </c>
      <c r="G60" s="16" t="n">
        <v>5020.25793758537</v>
      </c>
      <c r="H60" s="16" t="n">
        <v>-5361.74469370765</v>
      </c>
      <c r="I60" s="17" t="n">
        <v>0.01</v>
      </c>
      <c r="J60" s="17" t="n">
        <v>0</v>
      </c>
      <c r="K60" s="16" t="s">
        <v>116</v>
      </c>
      <c r="L60" s="16" t="n">
        <v>1000</v>
      </c>
      <c r="M60" s="16" t="n">
        <v>33779.2797453973</v>
      </c>
      <c r="N60" s="16" t="n">
        <v>11017.7322274521</v>
      </c>
      <c r="O60" s="16" t="n">
        <v>1000</v>
      </c>
      <c r="P60" s="16" t="n">
        <v>951.290832135856</v>
      </c>
      <c r="Q60" s="16" t="n">
        <v>-631.736134258802</v>
      </c>
      <c r="R60" s="16" t="n">
        <v>17617.7170533315</v>
      </c>
      <c r="S60" s="16" t="n">
        <v>26938.9120469587</v>
      </c>
      <c r="T60" s="16" t="n">
        <v>-955.692204749296</v>
      </c>
      <c r="U60" s="16" t="n">
        <v>-5084.0268979661</v>
      </c>
      <c r="V60" s="16" t="n">
        <v>0.750319556751226</v>
      </c>
      <c r="W60" s="16" t="n">
        <v>43648.228242376</v>
      </c>
      <c r="X60" s="16" t="n">
        <v>22133.5796283458</v>
      </c>
      <c r="Y60" s="16" t="n">
        <v>0</v>
      </c>
      <c r="Z60" s="16" t="n">
        <v>0</v>
      </c>
      <c r="AA60" s="16" t="n">
        <v>27.424347870838</v>
      </c>
      <c r="AB60" s="16" t="n">
        <v>25.224347870838</v>
      </c>
      <c r="AC60" s="16" t="n">
        <v>26.674347870838</v>
      </c>
      <c r="AD60" s="16" t="n">
        <v>24.4059555833039</v>
      </c>
      <c r="AE60" s="16" t="n">
        <v>674.686407680941</v>
      </c>
      <c r="AF60" s="16" t="n">
        <v>0.03</v>
      </c>
      <c r="AG60" s="16" t="n">
        <v>0.644021288976966</v>
      </c>
      <c r="AH60" s="16" t="n">
        <v>9819.91719809611</v>
      </c>
      <c r="AI60" s="16" t="n">
        <v>19210.2548479352</v>
      </c>
      <c r="AJ60" s="16" t="n">
        <v>16.69175</v>
      </c>
      <c r="AK60" s="16" t="n">
        <v>0</v>
      </c>
      <c r="AL60" s="16" t="n">
        <v>1000</v>
      </c>
      <c r="AM60" s="16" t="n">
        <v>812.6073</v>
      </c>
      <c r="AN60" s="16" t="n">
        <v>20079.98904</v>
      </c>
      <c r="AO60" s="16" t="n">
        <v>-5508.72242389994</v>
      </c>
      <c r="AP60" s="16" t="n">
        <v>0.424325968088744</v>
      </c>
      <c r="AQ60" s="16" t="n">
        <v>71.3932144126073</v>
      </c>
      <c r="AR60" s="16" t="n">
        <v>511.287327206282</v>
      </c>
      <c r="AS60" s="16" t="n">
        <v>314.925245</v>
      </c>
      <c r="AT60" s="16" t="n">
        <v>1000</v>
      </c>
      <c r="AU60" s="16" t="n">
        <v>12.270507</v>
      </c>
      <c r="AV60" s="16" t="n">
        <v>0</v>
      </c>
      <c r="AW60" s="16" t="n">
        <v>2254.3125</v>
      </c>
      <c r="AX60" s="16" t="n">
        <v>314.925245</v>
      </c>
      <c r="AY60" s="16" t="n">
        <v>314.925245</v>
      </c>
      <c r="AZ60" s="16" t="n">
        <v>5472.29009780111</v>
      </c>
      <c r="BA60" s="16" t="n">
        <v>0</v>
      </c>
      <c r="BB60" s="16" t="n">
        <v>417.928966666667</v>
      </c>
      <c r="BC60" s="16" t="n">
        <v>111351.419695767</v>
      </c>
      <c r="BD60" s="16" t="n">
        <v>16.2457455373025</v>
      </c>
      <c r="BE60" s="16" t="n">
        <v>24.9030381592389</v>
      </c>
      <c r="BF60" s="16" t="n">
        <v>39.1308933680413</v>
      </c>
      <c r="BG60" s="16" t="n">
        <v>-8.27711430924607</v>
      </c>
      <c r="BH60" s="16" t="n">
        <v>-7.28866183200638</v>
      </c>
      <c r="BI60" s="16" t="n">
        <v>1.09242813813745</v>
      </c>
      <c r="BJ60" s="16" t="n">
        <v>2.04083187529388</v>
      </c>
      <c r="BK60" s="16" t="n">
        <v>5.25403316350504</v>
      </c>
      <c r="BL60" s="16" t="n">
        <v>7.88491984612206</v>
      </c>
      <c r="BM60" s="16" t="n">
        <v>3.71992671744367</v>
      </c>
      <c r="BN60" s="16" t="n">
        <v>4.46573109600205</v>
      </c>
      <c r="BO60" s="16" t="n">
        <v>5.1726598173516</v>
      </c>
      <c r="BP60" s="16" t="n">
        <v>8712.70308277889</v>
      </c>
      <c r="BQ60" s="16" t="n">
        <v>8168.51465783399</v>
      </c>
      <c r="BR60" s="16" t="n">
        <v>8168.51465783399</v>
      </c>
      <c r="BS60" s="16" t="n">
        <v>511.287327206282</v>
      </c>
      <c r="BT60" s="16" t="n">
        <v>301.7195</v>
      </c>
      <c r="BU60" s="16" t="n">
        <v>1081.9108</v>
      </c>
      <c r="BV60" s="16" t="s">
        <v>3237</v>
      </c>
      <c r="BW60" s="16" t="n">
        <v>42.7692307692308</v>
      </c>
      <c r="BX60" s="16" t="n">
        <v>0.155994305554286</v>
      </c>
      <c r="BY60" s="16" t="n">
        <v>0.161741466184191</v>
      </c>
      <c r="BZ60" s="16" t="n">
        <v>13510.8578038903</v>
      </c>
      <c r="CA60" s="16" t="n">
        <v>19402.010477409</v>
      </c>
      <c r="CB60" s="16" t="n">
        <v>285.762835750159</v>
      </c>
      <c r="CC60" s="16" t="n">
        <v>0</v>
      </c>
      <c r="CD60" s="16" t="n">
        <v>950.69728</v>
      </c>
      <c r="CE60" s="16" t="n">
        <v>12000</v>
      </c>
      <c r="CF60" s="16" t="n">
        <v>24.1582672324018</v>
      </c>
      <c r="CG60" s="16" t="n">
        <v>27.298841972614</v>
      </c>
      <c r="CH60" s="16" t="n">
        <v>2643.77364301215</v>
      </c>
      <c r="CI60" s="16" t="n">
        <v>-6.2083733271085</v>
      </c>
      <c r="CJ60" s="16" t="n">
        <v>3.00594144553374</v>
      </c>
      <c r="CK60" s="16" t="n">
        <v>39873.0496314583</v>
      </c>
      <c r="CL60" s="16" t="n">
        <v>169.293837706282</v>
      </c>
      <c r="CM60" s="16" t="n">
        <v>194.661405956282</v>
      </c>
      <c r="CN60" s="16" t="n">
        <v>1000</v>
      </c>
      <c r="CO60" s="16" t="n">
        <v>1.39052734375</v>
      </c>
      <c r="CP60" s="16" t="n">
        <v>1.09004417261298</v>
      </c>
      <c r="CQ60" s="16" t="n">
        <v>0</v>
      </c>
      <c r="CR60" s="16" t="n">
        <v>80.6743322862462</v>
      </c>
      <c r="CS60" s="16" t="n">
        <v>18.660962275589</v>
      </c>
      <c r="CT60" s="16" t="n">
        <v>0</v>
      </c>
      <c r="CU60" s="16" t="n">
        <v>0.0113</v>
      </c>
      <c r="CV60" s="16" t="n">
        <v>3962274.46337419</v>
      </c>
      <c r="CW60" s="16" t="n">
        <v>797942.368891408</v>
      </c>
      <c r="CX60" s="16" t="n">
        <v>4760216.8322656</v>
      </c>
      <c r="CY60" s="16" t="n">
        <v>3962274.46337419</v>
      </c>
      <c r="CZ60" s="16" t="n">
        <v>1889.05202105806</v>
      </c>
      <c r="DA60" s="16" t="n">
        <v>24.1582672324018</v>
      </c>
      <c r="DB60" s="16" t="n">
        <v>16616.6234311344</v>
      </c>
      <c r="DC60" s="16" t="n">
        <v>12329.5345859018</v>
      </c>
      <c r="DD60" s="16" t="n">
        <v>11144.3333333333</v>
      </c>
      <c r="DE60" s="16" t="n">
        <v>1921.25</v>
      </c>
      <c r="DF60" s="16" t="n">
        <v>3962589.38861919</v>
      </c>
      <c r="DG60" s="16" t="n">
        <v>194.661405956282</v>
      </c>
      <c r="DH60" s="16" t="n">
        <v>0</v>
      </c>
      <c r="DI60" s="16" t="n">
        <v>18.661789931824</v>
      </c>
    </row>
    <row r="61" customFormat="false" ht="15" hidden="false" customHeight="false" outlineLevel="0" collapsed="false">
      <c r="A61" s="0" t="s">
        <v>3279</v>
      </c>
      <c r="B61" s="16" t="n">
        <v>2465.07954157611</v>
      </c>
      <c r="C61" s="16" t="n">
        <v>8209.24039226006</v>
      </c>
      <c r="D61" s="16" t="n">
        <v>19716.7966317894</v>
      </c>
      <c r="E61" s="16" t="n">
        <v>4213.14398474076</v>
      </c>
      <c r="F61" s="16" t="n">
        <v>-1135.49021845689</v>
      </c>
      <c r="G61" s="16" t="n">
        <v>5020.26458750724</v>
      </c>
      <c r="H61" s="16" t="n">
        <v>-898.814009603721</v>
      </c>
      <c r="I61" s="17" t="n">
        <v>0.01</v>
      </c>
      <c r="J61" s="17" t="n">
        <v>3.97046602096122</v>
      </c>
      <c r="K61" s="16" t="s">
        <v>116</v>
      </c>
      <c r="L61" s="16" t="n">
        <v>1000</v>
      </c>
      <c r="M61" s="16" t="n">
        <v>33779.4469253452</v>
      </c>
      <c r="N61" s="16" t="n">
        <v>11402.7039831813</v>
      </c>
      <c r="O61" s="16" t="n">
        <v>1000</v>
      </c>
      <c r="P61" s="16" t="n">
        <v>951.290832135856</v>
      </c>
      <c r="Q61" s="16" t="n">
        <v>-267.565775756198</v>
      </c>
      <c r="R61" s="16" t="n">
        <v>17617.7170533315</v>
      </c>
      <c r="S61" s="16" t="n">
        <v>26949.0428826358</v>
      </c>
      <c r="T61" s="16" t="n">
        <v>-955.692204749296</v>
      </c>
      <c r="U61" s="16" t="n">
        <v>-621.096213862173</v>
      </c>
      <c r="V61" s="16" t="n">
        <v>0.750319556751226</v>
      </c>
      <c r="W61" s="16" t="n">
        <v>46166.2147180189</v>
      </c>
      <c r="X61" s="16" t="n">
        <v>22149.4762774452</v>
      </c>
      <c r="Y61" s="16" t="n">
        <v>3.7351002431262</v>
      </c>
      <c r="Z61" s="16" t="n">
        <v>5.06988806216538</v>
      </c>
      <c r="AA61" s="16" t="n">
        <v>27.424347870838</v>
      </c>
      <c r="AB61" s="16" t="n">
        <v>25.224347870838</v>
      </c>
      <c r="AC61" s="16" t="n">
        <v>26.674347870838</v>
      </c>
      <c r="AD61" s="16" t="n">
        <v>27.2673434792775</v>
      </c>
      <c r="AE61" s="16" t="n">
        <v>674.686407680941</v>
      </c>
      <c r="AF61" s="16" t="n">
        <v>0.03</v>
      </c>
      <c r="AG61" s="16" t="n">
        <v>0.654405917289144</v>
      </c>
      <c r="AH61" s="16" t="n">
        <v>9819.91719809611</v>
      </c>
      <c r="AI61" s="16" t="n">
        <v>19716.7966317894</v>
      </c>
      <c r="AJ61" s="16" t="n">
        <v>16.69175</v>
      </c>
      <c r="AK61" s="16" t="n">
        <v>0</v>
      </c>
      <c r="AL61" s="16" t="n">
        <v>1000</v>
      </c>
      <c r="AM61" s="16" t="n">
        <v>812.6073</v>
      </c>
      <c r="AN61" s="16" t="n">
        <v>20079.98904</v>
      </c>
      <c r="AO61" s="16" t="n">
        <v>-5508.72242389994</v>
      </c>
      <c r="AP61" s="16" t="n">
        <v>0.414483496940676</v>
      </c>
      <c r="AQ61" s="16" t="n">
        <v>78.645426879892</v>
      </c>
      <c r="AR61" s="16" t="n">
        <v>506.474954430797</v>
      </c>
      <c r="AS61" s="16" t="n">
        <v>314.925245</v>
      </c>
      <c r="AT61" s="16" t="n">
        <v>1000</v>
      </c>
      <c r="AU61" s="16" t="n">
        <v>12.270507</v>
      </c>
      <c r="AV61" s="16" t="n">
        <v>0</v>
      </c>
      <c r="AW61" s="16" t="n">
        <v>2254.3125</v>
      </c>
      <c r="AX61" s="16" t="n">
        <v>314.925245</v>
      </c>
      <c r="AY61" s="16" t="n">
        <v>314.925245</v>
      </c>
      <c r="AZ61" s="16" t="n">
        <v>5631.62619515181</v>
      </c>
      <c r="BA61" s="16" t="n">
        <v>0</v>
      </c>
      <c r="BB61" s="16" t="n">
        <v>417.928966666667</v>
      </c>
      <c r="BC61" s="16" t="n">
        <v>111441.907179589</v>
      </c>
      <c r="BD61" s="16" t="n">
        <v>16.751694488301</v>
      </c>
      <c r="BE61" s="16" t="n">
        <v>25.4089871102374</v>
      </c>
      <c r="BF61" s="16" t="n">
        <v>39.6368423190398</v>
      </c>
      <c r="BG61" s="16" t="n">
        <v>-8.27711430924607</v>
      </c>
      <c r="BH61" s="16" t="n">
        <v>-7.28866183200638</v>
      </c>
      <c r="BI61" s="16" t="n">
        <v>1.09242813813745</v>
      </c>
      <c r="BJ61" s="16" t="n">
        <v>2.04083187529388</v>
      </c>
      <c r="BK61" s="16" t="n">
        <v>5.25403316350504</v>
      </c>
      <c r="BL61" s="16" t="n">
        <v>7.88491984612206</v>
      </c>
      <c r="BM61" s="16" t="n">
        <v>3.71992671744367</v>
      </c>
      <c r="BN61" s="16" t="n">
        <v>4.46573109600205</v>
      </c>
      <c r="BO61" s="16" t="n">
        <v>5.7791095890411</v>
      </c>
      <c r="BP61" s="16" t="n">
        <v>8712.70308277889</v>
      </c>
      <c r="BQ61" s="16" t="n">
        <v>8176.87365522983</v>
      </c>
      <c r="BR61" s="16" t="n">
        <v>8176.87365522983</v>
      </c>
      <c r="BS61" s="16" t="n">
        <v>506.474954430797</v>
      </c>
      <c r="BT61" s="16" t="n">
        <v>301.7195</v>
      </c>
      <c r="BU61" s="16" t="n">
        <v>1081.9108</v>
      </c>
      <c r="BV61" s="16" t="s">
        <v>3237</v>
      </c>
      <c r="BW61" s="16" t="n">
        <v>42.7692307692308</v>
      </c>
      <c r="BX61" s="16" t="n">
        <v>0.155994305554286</v>
      </c>
      <c r="BY61" s="16" t="n">
        <v>0.161741466184191</v>
      </c>
      <c r="BZ61" s="16" t="n">
        <v>13510.8578038903</v>
      </c>
      <c r="CA61" s="16" t="n">
        <v>19402.010477409</v>
      </c>
      <c r="CB61" s="16" t="n">
        <v>278.503097417438</v>
      </c>
      <c r="CC61" s="16" t="n">
        <v>0</v>
      </c>
      <c r="CD61" s="16" t="n">
        <v>950.69728</v>
      </c>
      <c r="CE61" s="16" t="n">
        <v>12000</v>
      </c>
      <c r="CF61" s="16" t="n">
        <v>24.2501640779233</v>
      </c>
      <c r="CG61" s="16" t="n">
        <v>27.4026854080534</v>
      </c>
      <c r="CH61" s="16" t="n">
        <v>2643.77364301215</v>
      </c>
      <c r="CI61" s="16" t="n">
        <v>-6.2083733271085</v>
      </c>
      <c r="CJ61" s="16" t="n">
        <v>3.00594144553374</v>
      </c>
      <c r="CK61" s="16" t="n">
        <v>38739.6121648513</v>
      </c>
      <c r="CL61" s="16" t="n">
        <v>164.481464930797</v>
      </c>
      <c r="CM61" s="16" t="n">
        <v>189.849033180797</v>
      </c>
      <c r="CN61" s="16" t="n">
        <v>1000</v>
      </c>
      <c r="CO61" s="16" t="n">
        <v>1.5535546875</v>
      </c>
      <c r="CP61" s="16" t="n">
        <v>1.09004417261298</v>
      </c>
      <c r="CQ61" s="16" t="n">
        <v>3.97046602096122</v>
      </c>
      <c r="CR61" s="16" t="n">
        <v>88.869332374278</v>
      </c>
      <c r="CS61" s="16" t="n">
        <v>30.251102221468</v>
      </c>
      <c r="CT61" s="16" t="n">
        <v>3.51368674421347</v>
      </c>
      <c r="CU61" s="16" t="n">
        <v>3.97046602096122</v>
      </c>
      <c r="CV61" s="16" t="n">
        <v>10991.2196047346</v>
      </c>
      <c r="CW61" s="16" t="n">
        <v>2270.95477479745</v>
      </c>
      <c r="CX61" s="16" t="n">
        <v>13262.174379532</v>
      </c>
      <c r="CY61" s="16" t="n">
        <v>10991.2196047346</v>
      </c>
      <c r="CZ61" s="16" t="n">
        <v>1169.00957579736</v>
      </c>
      <c r="DA61" s="16" t="n">
        <v>24.2501640779233</v>
      </c>
      <c r="DB61" s="16" t="n">
        <v>16775.9595284851</v>
      </c>
      <c r="DC61" s="16" t="n">
        <v>12447.761970136</v>
      </c>
      <c r="DD61" s="16" t="n">
        <v>11144.3333333333</v>
      </c>
      <c r="DE61" s="16" t="n">
        <v>1921.25</v>
      </c>
      <c r="DF61" s="16" t="n">
        <v>11306.1448497346</v>
      </c>
      <c r="DG61" s="16" t="n">
        <v>189.849033180797</v>
      </c>
      <c r="DH61" s="16" t="n">
        <v>0</v>
      </c>
      <c r="DI61" s="16" t="n">
        <v>30.2511309413356</v>
      </c>
    </row>
    <row r="62" customFormat="false" ht="15" hidden="false" customHeight="false" outlineLevel="0" collapsed="false">
      <c r="A62" s="0" t="s">
        <v>3280</v>
      </c>
      <c r="B62" s="16" t="n">
        <v>2465.07954157611</v>
      </c>
      <c r="C62" s="16" t="n">
        <v>8218.09109538506</v>
      </c>
      <c r="D62" s="16" t="n">
        <v>20253.1349911644</v>
      </c>
      <c r="E62" s="16" t="n">
        <v>4219.42798395951</v>
      </c>
      <c r="F62" s="16" t="n">
        <v>-1129.56728845689</v>
      </c>
      <c r="G62" s="16" t="n">
        <v>5020.27162860099</v>
      </c>
      <c r="H62" s="16" t="n">
        <v>8420.04692719871</v>
      </c>
      <c r="I62" s="17" t="n">
        <v>27.6185058550649</v>
      </c>
      <c r="J62" s="17" t="n">
        <v>36.9405699930524</v>
      </c>
      <c r="K62" s="16" t="s">
        <v>116</v>
      </c>
      <c r="L62" s="16" t="n">
        <v>1000</v>
      </c>
      <c r="M62" s="16" t="n">
        <v>33779.6239394077</v>
      </c>
      <c r="N62" s="16" t="n">
        <v>11810.3211363063</v>
      </c>
      <c r="O62" s="16" t="n">
        <v>1000</v>
      </c>
      <c r="P62" s="16" t="n">
        <v>951.290832135856</v>
      </c>
      <c r="Q62" s="16" t="n">
        <v>118.026368540677</v>
      </c>
      <c r="R62" s="16" t="n">
        <v>17617.7170533315</v>
      </c>
      <c r="S62" s="16" t="n">
        <v>26959.7696498233</v>
      </c>
      <c r="T62" s="16" t="n">
        <v>-955.692204749296</v>
      </c>
      <c r="U62" s="16" t="n">
        <v>8697.76472294026</v>
      </c>
      <c r="V62" s="16" t="n">
        <v>0.750319556751226</v>
      </c>
      <c r="W62" s="16" t="n">
        <v>53499.9657145401</v>
      </c>
      <c r="X62" s="16" t="n">
        <v>22166.3080235505</v>
      </c>
      <c r="Y62" s="16" t="n">
        <v>34.7507650824493</v>
      </c>
      <c r="Z62" s="16" t="n">
        <v>47.1694138241286</v>
      </c>
      <c r="AA62" s="16" t="n">
        <v>27.424347870838</v>
      </c>
      <c r="AB62" s="16" t="n">
        <v>25.224347870838</v>
      </c>
      <c r="AC62" s="16" t="n">
        <v>26.674347870838</v>
      </c>
      <c r="AD62" s="16" t="n">
        <v>30.2970483103083</v>
      </c>
      <c r="AE62" s="16" t="n">
        <v>674.686407680941</v>
      </c>
      <c r="AF62" s="16" t="n">
        <v>0.03</v>
      </c>
      <c r="AG62" s="16" t="n">
        <v>0.664073049535931</v>
      </c>
      <c r="AH62" s="16" t="n">
        <v>9819.91719809611</v>
      </c>
      <c r="AI62" s="16" t="n">
        <v>20253.1349911644</v>
      </c>
      <c r="AJ62" s="16" t="n">
        <v>16.69175</v>
      </c>
      <c r="AK62" s="16" t="n">
        <v>0</v>
      </c>
      <c r="AL62" s="16" t="n">
        <v>1000</v>
      </c>
      <c r="AM62" s="16" t="n">
        <v>812.6073</v>
      </c>
      <c r="AN62" s="16" t="n">
        <v>20079.98904</v>
      </c>
      <c r="AO62" s="16" t="n">
        <v>-5508.72242389994</v>
      </c>
      <c r="AP62" s="16" t="n">
        <v>0.404547808240018</v>
      </c>
      <c r="AQ62" s="16" t="n">
        <v>95.6241292524689</v>
      </c>
      <c r="AR62" s="16" t="n">
        <v>502.159159107732</v>
      </c>
      <c r="AS62" s="16" t="n">
        <v>314.925245</v>
      </c>
      <c r="AT62" s="16" t="n">
        <v>1000</v>
      </c>
      <c r="AU62" s="16" t="n">
        <v>12.270507</v>
      </c>
      <c r="AV62" s="16" t="n">
        <v>0</v>
      </c>
      <c r="AW62" s="16" t="n">
        <v>2254.3125</v>
      </c>
      <c r="AX62" s="16" t="n">
        <v>314.925245</v>
      </c>
      <c r="AY62" s="16" t="n">
        <v>314.925245</v>
      </c>
      <c r="AZ62" s="16" t="n">
        <v>5783.39898785772</v>
      </c>
      <c r="BA62" s="16" t="n">
        <v>0</v>
      </c>
      <c r="BB62" s="16" t="n">
        <v>417.928966666667</v>
      </c>
      <c r="BC62" s="16" t="n">
        <v>111537.717456578</v>
      </c>
      <c r="BD62" s="16" t="n">
        <v>17.2336272489024</v>
      </c>
      <c r="BE62" s="16" t="n">
        <v>25.8909198708388</v>
      </c>
      <c r="BF62" s="16" t="n">
        <v>40.1187750796412</v>
      </c>
      <c r="BG62" s="16" t="n">
        <v>-8.27711430924607</v>
      </c>
      <c r="BH62" s="16" t="n">
        <v>-7.28866183200638</v>
      </c>
      <c r="BI62" s="16" t="n">
        <v>1.09242813813745</v>
      </c>
      <c r="BJ62" s="16" t="n">
        <v>2.04083187529388</v>
      </c>
      <c r="BK62" s="16" t="n">
        <v>5.25403316350504</v>
      </c>
      <c r="BL62" s="16" t="n">
        <v>7.88491984612206</v>
      </c>
      <c r="BM62" s="16" t="n">
        <v>3.71992671744367</v>
      </c>
      <c r="BN62" s="16" t="n">
        <v>4.46573109600205</v>
      </c>
      <c r="BO62" s="16" t="n">
        <v>6.42123287671233</v>
      </c>
      <c r="BP62" s="16" t="n">
        <v>8712.70308277889</v>
      </c>
      <c r="BQ62" s="16" t="n">
        <v>8185.72435835483</v>
      </c>
      <c r="BR62" s="16" t="n">
        <v>8185.72435835483</v>
      </c>
      <c r="BS62" s="16" t="n">
        <v>502.159159107732</v>
      </c>
      <c r="BT62" s="16" t="n">
        <v>301.7195</v>
      </c>
      <c r="BU62" s="16" t="n">
        <v>1081.9108</v>
      </c>
      <c r="BV62" s="16" t="s">
        <v>3238</v>
      </c>
      <c r="BW62" s="16" t="n">
        <v>42.7692307692308</v>
      </c>
      <c r="BX62" s="16" t="n">
        <v>0.155994305554286</v>
      </c>
      <c r="BY62" s="16" t="n">
        <v>0.161741466184191</v>
      </c>
      <c r="BZ62" s="16" t="n">
        <v>13510.8578038903</v>
      </c>
      <c r="CA62" s="16" t="n">
        <v>19402.010477409</v>
      </c>
      <c r="CB62" s="16" t="n">
        <v>271.741041240888</v>
      </c>
      <c r="CC62" s="16" t="n">
        <v>0</v>
      </c>
      <c r="CD62" s="16" t="n">
        <v>950.69728</v>
      </c>
      <c r="CE62" s="16" t="n">
        <v>12000</v>
      </c>
      <c r="CF62" s="16" t="n">
        <v>24.3184720943597</v>
      </c>
      <c r="CG62" s="16" t="n">
        <v>27.4798734666265</v>
      </c>
      <c r="CH62" s="16" t="n">
        <v>2643.77364301215</v>
      </c>
      <c r="CI62" s="16" t="n">
        <v>-6.2083733271085</v>
      </c>
      <c r="CJ62" s="16" t="n">
        <v>3.00594144553374</v>
      </c>
      <c r="CK62" s="16" t="n">
        <v>37607.3445686939</v>
      </c>
      <c r="CL62" s="16" t="n">
        <v>159.674059216017</v>
      </c>
      <c r="CM62" s="16" t="n">
        <v>185.041627466017</v>
      </c>
      <c r="CN62" s="16" t="n">
        <v>1000</v>
      </c>
      <c r="CO62" s="16" t="n">
        <v>1.726171875</v>
      </c>
      <c r="CP62" s="16" t="n">
        <v>1.09004417261298</v>
      </c>
      <c r="CQ62" s="16" t="n">
        <v>36.9405699930524</v>
      </c>
      <c r="CR62" s="16" t="n">
        <v>108.05526605529</v>
      </c>
      <c r="CS62" s="16" t="n">
        <v>56.4160201859305</v>
      </c>
      <c r="CT62" s="16" t="n">
        <v>32.6907699053561</v>
      </c>
      <c r="CU62" s="16" t="n">
        <v>36.9405699930524</v>
      </c>
      <c r="CV62" s="16" t="n">
        <v>1150.7130610426</v>
      </c>
      <c r="CW62" s="16" t="n">
        <v>244.087970764088</v>
      </c>
      <c r="CX62" s="16" t="n">
        <v>1394.80103180669</v>
      </c>
      <c r="CY62" s="16" t="n">
        <v>1150.7130610426</v>
      </c>
      <c r="CZ62" s="16" t="n">
        <v>644.758090521207</v>
      </c>
      <c r="DA62" s="16" t="n">
        <v>24.3184720943597</v>
      </c>
      <c r="DB62" s="16" t="n">
        <v>16927.7323211911</v>
      </c>
      <c r="DC62" s="16" t="n">
        <v>12560.3773823238</v>
      </c>
      <c r="DD62" s="16" t="n">
        <v>11144.3333333333</v>
      </c>
      <c r="DE62" s="16" t="n">
        <v>1921.25</v>
      </c>
      <c r="DF62" s="16" t="n">
        <v>1465.6383060426</v>
      </c>
      <c r="DG62" s="16" t="n">
        <v>185.041627466017</v>
      </c>
      <c r="DH62" s="16" t="n">
        <v>0</v>
      </c>
      <c r="DI62" s="16" t="n">
        <v>56.4160202310123</v>
      </c>
    </row>
    <row r="63" customFormat="false" ht="15" hidden="false" customHeight="false" outlineLevel="0" collapsed="false">
      <c r="A63" s="0" t="s">
        <v>3281</v>
      </c>
      <c r="B63" s="16" t="n">
        <v>2465.07954157611</v>
      </c>
      <c r="C63" s="16" t="n">
        <v>8227.92520996839</v>
      </c>
      <c r="D63" s="16" t="n">
        <v>20849.066501581</v>
      </c>
      <c r="E63" s="16" t="n">
        <v>4226.41020531367</v>
      </c>
      <c r="F63" s="16" t="n">
        <v>-1122.98625512356</v>
      </c>
      <c r="G63" s="16" t="n">
        <v>5020.27945203849</v>
      </c>
      <c r="H63" s="16" t="n">
        <v>23954.9624371609</v>
      </c>
      <c r="I63" s="17" t="n">
        <v>76.6966614173912</v>
      </c>
      <c r="J63" s="17" t="n">
        <v>91.9251175103823</v>
      </c>
      <c r="K63" s="16" t="s">
        <v>116</v>
      </c>
      <c r="L63" s="16" t="n">
        <v>1000</v>
      </c>
      <c r="M63" s="16" t="n">
        <v>33779.8206216994</v>
      </c>
      <c r="N63" s="16" t="n">
        <v>12263.2290842229</v>
      </c>
      <c r="O63" s="16" t="n">
        <v>1000</v>
      </c>
      <c r="P63" s="16" t="n">
        <v>951.290832135856</v>
      </c>
      <c r="Q63" s="16" t="n">
        <v>546.462084426092</v>
      </c>
      <c r="R63" s="16" t="n">
        <v>17617.7170533315</v>
      </c>
      <c r="S63" s="16" t="n">
        <v>26971.6882800316</v>
      </c>
      <c r="T63" s="16" t="n">
        <v>-955.692204749296</v>
      </c>
      <c r="U63" s="16" t="n">
        <v>24414.5872686077</v>
      </c>
      <c r="V63" s="16" t="n">
        <v>0.750319556751226</v>
      </c>
      <c r="W63" s="16" t="n">
        <v>66835.1511048611</v>
      </c>
      <c r="X63" s="16" t="n">
        <v>22461.6816673021</v>
      </c>
      <c r="Y63" s="16" t="n">
        <v>86.4758763706311</v>
      </c>
      <c r="Z63" s="16" t="n">
        <v>117.379182549007</v>
      </c>
      <c r="AA63" s="16" t="n">
        <v>27.424347870838</v>
      </c>
      <c r="AB63" s="16" t="n">
        <v>25.224347870838</v>
      </c>
      <c r="AC63" s="16" t="n">
        <v>26.674347870838</v>
      </c>
      <c r="AD63" s="16" t="n">
        <v>33.6633870114537</v>
      </c>
      <c r="AE63" s="16" t="n">
        <v>674.686407680941</v>
      </c>
      <c r="AF63" s="16" t="n">
        <v>0.03</v>
      </c>
      <c r="AG63" s="16" t="n">
        <v>0.673496416960347</v>
      </c>
      <c r="AH63" s="16" t="n">
        <v>9819.91719809611</v>
      </c>
      <c r="AI63" s="16" t="n">
        <v>20849.066501581</v>
      </c>
      <c r="AJ63" s="16" t="n">
        <v>16.69175</v>
      </c>
      <c r="AK63" s="16" t="n">
        <v>0</v>
      </c>
      <c r="AL63" s="16" t="n">
        <v>1000</v>
      </c>
      <c r="AM63" s="16" t="n">
        <v>812.6073</v>
      </c>
      <c r="AN63" s="16" t="n">
        <v>20079.98904</v>
      </c>
      <c r="AO63" s="16" t="n">
        <v>-5508.72242389994</v>
      </c>
      <c r="AP63" s="16" t="n">
        <v>0.394052332579935</v>
      </c>
      <c r="AQ63" s="16" t="n">
        <v>125.130520102195</v>
      </c>
      <c r="AR63" s="16" t="n">
        <v>498.798921983089</v>
      </c>
      <c r="AS63" s="16" t="n">
        <v>318.3265975</v>
      </c>
      <c r="AT63" s="16" t="n">
        <v>1000</v>
      </c>
      <c r="AU63" s="16" t="n">
        <v>12.270507</v>
      </c>
      <c r="AV63" s="16" t="n">
        <v>0</v>
      </c>
      <c r="AW63" s="16" t="n">
        <v>2254.3125</v>
      </c>
      <c r="AX63" s="16" t="n">
        <v>318.3265975</v>
      </c>
      <c r="AY63" s="16" t="n">
        <v>315.954824956796</v>
      </c>
      <c r="AZ63" s="16" t="n">
        <v>5934.84722225547</v>
      </c>
      <c r="BA63" s="16" t="n">
        <v>0</v>
      </c>
      <c r="BB63" s="16" t="n">
        <v>417.928966666667</v>
      </c>
      <c r="BC63" s="16" t="n">
        <v>111644.173319898</v>
      </c>
      <c r="BD63" s="16" t="n">
        <v>17.7145294210917</v>
      </c>
      <c r="BE63" s="16" t="n">
        <v>26.3718220430281</v>
      </c>
      <c r="BF63" s="16" t="n">
        <v>40.5996772518305</v>
      </c>
      <c r="BG63" s="16" t="n">
        <v>-8.27711430924607</v>
      </c>
      <c r="BH63" s="16" t="n">
        <v>-7.28866183200638</v>
      </c>
      <c r="BI63" s="16" t="n">
        <v>1.09242813813745</v>
      </c>
      <c r="BJ63" s="16" t="n">
        <v>2.04083187529388</v>
      </c>
      <c r="BK63" s="16" t="n">
        <v>5.25403316350504</v>
      </c>
      <c r="BL63" s="16" t="n">
        <v>7.88491984612206</v>
      </c>
      <c r="BM63" s="16" t="n">
        <v>3.71992671744367</v>
      </c>
      <c r="BN63" s="16" t="n">
        <v>4.46573109600205</v>
      </c>
      <c r="BO63" s="16" t="n">
        <v>7.13470319634703</v>
      </c>
      <c r="BP63" s="16" t="n">
        <v>8712.70308277889</v>
      </c>
      <c r="BQ63" s="16" t="n">
        <v>8195.55847293816</v>
      </c>
      <c r="BR63" s="16" t="n">
        <v>8195.55847293816</v>
      </c>
      <c r="BS63" s="16" t="n">
        <v>498.798921983089</v>
      </c>
      <c r="BT63" s="16" t="n">
        <v>301.7195</v>
      </c>
      <c r="BU63" s="16" t="n">
        <v>1081.9108</v>
      </c>
      <c r="BV63" s="16" t="s">
        <v>3238</v>
      </c>
      <c r="BW63" s="16" t="n">
        <v>42.7692307692308</v>
      </c>
      <c r="BX63" s="16" t="n">
        <v>0.155994305554286</v>
      </c>
      <c r="BY63" s="16" t="n">
        <v>0.161741466184191</v>
      </c>
      <c r="BZ63" s="16" t="n">
        <v>13328.9507681851</v>
      </c>
      <c r="CA63" s="16" t="n">
        <v>19402.010477409</v>
      </c>
      <c r="CB63" s="16" t="n">
        <v>262.516655536179</v>
      </c>
      <c r="CC63" s="16" t="n">
        <v>0</v>
      </c>
      <c r="CD63" s="16" t="n">
        <v>950.69728</v>
      </c>
      <c r="CE63" s="16" t="n">
        <v>12000</v>
      </c>
      <c r="CF63" s="16" t="n">
        <v>24.3834803421716</v>
      </c>
      <c r="CG63" s="16" t="n">
        <v>27.5533327866539</v>
      </c>
      <c r="CH63" s="16" t="n">
        <v>2643.77364301215</v>
      </c>
      <c r="CI63" s="16" t="n">
        <v>-6.2083733271085</v>
      </c>
      <c r="CJ63" s="16" t="n">
        <v>3.00594144553374</v>
      </c>
      <c r="CK63" s="16" t="n">
        <v>36468.8652570608</v>
      </c>
      <c r="CL63" s="16" t="n">
        <v>154.840279668252</v>
      </c>
      <c r="CM63" s="16" t="n">
        <v>180.207847918252</v>
      </c>
      <c r="CN63" s="16" t="n">
        <v>1000</v>
      </c>
      <c r="CO63" s="16" t="n">
        <v>1.91796875</v>
      </c>
      <c r="CP63" s="16" t="n">
        <v>1.09004417261298</v>
      </c>
      <c r="CQ63" s="16" t="n">
        <v>91.9251175103823</v>
      </c>
      <c r="CR63" s="16" t="n">
        <v>141.39748771548</v>
      </c>
      <c r="CS63" s="16" t="n">
        <v>102.818501754383</v>
      </c>
      <c r="CT63" s="16" t="n">
        <v>81.3496615136127</v>
      </c>
      <c r="CU63" s="16" t="n">
        <v>91.9251175103823</v>
      </c>
      <c r="CV63" s="16" t="n">
        <v>450.617203956043</v>
      </c>
      <c r="CW63" s="16" t="n">
        <v>98.0879765256164</v>
      </c>
      <c r="CX63" s="16" t="n">
        <v>548.70518048166</v>
      </c>
      <c r="CY63" s="16" t="n">
        <v>450.617203956043</v>
      </c>
      <c r="CZ63" s="16" t="n">
        <v>369.156219923508</v>
      </c>
      <c r="DA63" s="16" t="n">
        <v>24.3834803421716</v>
      </c>
      <c r="DB63" s="16" t="n">
        <v>17079.1805555888</v>
      </c>
      <c r="DC63" s="16" t="n">
        <v>12672.7519722469</v>
      </c>
      <c r="DD63" s="16" t="n">
        <v>11144.3333333333</v>
      </c>
      <c r="DE63" s="16" t="n">
        <v>1818.4375</v>
      </c>
      <c r="DF63" s="16" t="n">
        <v>767.243125206043</v>
      </c>
      <c r="DG63" s="16" t="n">
        <v>180.207847918252</v>
      </c>
      <c r="DH63" s="16" t="n">
        <v>0</v>
      </c>
      <c r="DI63" s="16" t="n">
        <v>102.818501754385</v>
      </c>
    </row>
    <row r="64" customFormat="false" ht="15" hidden="false" customHeight="false" outlineLevel="0" collapsed="false">
      <c r="A64" s="0" t="s">
        <v>3282</v>
      </c>
      <c r="B64" s="16" t="n">
        <v>2465.07954157611</v>
      </c>
      <c r="C64" s="16" t="n">
        <v>8209.24039226006</v>
      </c>
      <c r="D64" s="16" t="n">
        <v>19716.7966317894</v>
      </c>
      <c r="E64" s="16" t="n">
        <v>4213.14398474076</v>
      </c>
      <c r="F64" s="16" t="n">
        <v>-1131.24021845689</v>
      </c>
      <c r="G64" s="16" t="n">
        <v>5016.01458750724</v>
      </c>
      <c r="H64" s="16" t="n">
        <v>-673.157821492231</v>
      </c>
      <c r="I64" s="17" t="n">
        <v>0.01</v>
      </c>
      <c r="J64" s="17" t="n">
        <v>4.63949719077417</v>
      </c>
      <c r="K64" s="16" t="s">
        <v>116</v>
      </c>
      <c r="L64" s="16" t="n">
        <v>1000</v>
      </c>
      <c r="M64" s="16" t="n">
        <v>33524.4469253452</v>
      </c>
      <c r="N64" s="16" t="n">
        <v>11402.7039831813</v>
      </c>
      <c r="O64" s="16" t="n">
        <v>1000</v>
      </c>
      <c r="P64" s="16" t="n">
        <v>951.290832135856</v>
      </c>
      <c r="Q64" s="16" t="n">
        <v>-216.565775756198</v>
      </c>
      <c r="R64" s="16" t="n">
        <v>17617.7170533315</v>
      </c>
      <c r="S64" s="16" t="n">
        <v>26864.0428826358</v>
      </c>
      <c r="T64" s="16" t="n">
        <v>-955.692204749296</v>
      </c>
      <c r="U64" s="16" t="n">
        <v>-395.440025750682</v>
      </c>
      <c r="V64" s="16" t="n">
        <v>0.750319556751226</v>
      </c>
      <c r="W64" s="16" t="n">
        <v>46120.7227126032</v>
      </c>
      <c r="X64" s="16" t="n">
        <v>22079.4362774452</v>
      </c>
      <c r="Y64" s="16" t="n">
        <v>4.36447182616834</v>
      </c>
      <c r="Z64" s="16" t="n">
        <v>5.92417396289954</v>
      </c>
      <c r="AA64" s="16" t="n">
        <v>27.424347870838</v>
      </c>
      <c r="AB64" s="16" t="n">
        <v>25.224347870838</v>
      </c>
      <c r="AC64" s="16" t="n">
        <v>26.674347870838</v>
      </c>
      <c r="AD64" s="16" t="n">
        <v>27.2673434792775</v>
      </c>
      <c r="AE64" s="16" t="n">
        <v>674.686407680941</v>
      </c>
      <c r="AF64" s="16" t="n">
        <v>0.03</v>
      </c>
      <c r="AG64" s="16" t="n">
        <v>0.654405917289144</v>
      </c>
      <c r="AH64" s="16" t="n">
        <v>9819.91719809611</v>
      </c>
      <c r="AI64" s="16" t="n">
        <v>19716.7966317894</v>
      </c>
      <c r="AJ64" s="16" t="n">
        <v>16.69175</v>
      </c>
      <c r="AK64" s="16" t="n">
        <v>0</v>
      </c>
      <c r="AL64" s="16" t="n">
        <v>1000</v>
      </c>
      <c r="AM64" s="16" t="n">
        <v>812.6073</v>
      </c>
      <c r="AN64" s="16" t="n">
        <v>20079.98904</v>
      </c>
      <c r="AO64" s="16" t="n">
        <v>-5508.72242389994</v>
      </c>
      <c r="AP64" s="16" t="n">
        <v>0.414483496940676</v>
      </c>
      <c r="AQ64" s="16" t="n">
        <v>78.6428363094922</v>
      </c>
      <c r="AR64" s="16" t="n">
        <v>505.028217408043</v>
      </c>
      <c r="AS64" s="16" t="n">
        <v>314.925245</v>
      </c>
      <c r="AT64" s="16" t="n">
        <v>1000</v>
      </c>
      <c r="AU64" s="16" t="n">
        <v>12.270507</v>
      </c>
      <c r="AV64" s="16" t="n">
        <v>0</v>
      </c>
      <c r="AW64" s="16" t="n">
        <v>2254.3125</v>
      </c>
      <c r="AX64" s="16" t="n">
        <v>314.925245</v>
      </c>
      <c r="AY64" s="16" t="n">
        <v>314.925245</v>
      </c>
      <c r="AZ64" s="16" t="n">
        <v>6356.95952848514</v>
      </c>
      <c r="BA64" s="16" t="n">
        <v>0</v>
      </c>
      <c r="BB64" s="16" t="n">
        <v>417.928966666667</v>
      </c>
      <c r="BC64" s="16" t="n">
        <v>111101.907179589</v>
      </c>
      <c r="BD64" s="16" t="n">
        <v>19.0548865786441</v>
      </c>
      <c r="BE64" s="16" t="n">
        <v>27.7121792005804</v>
      </c>
      <c r="BF64" s="16" t="n">
        <v>41.9400344093829</v>
      </c>
      <c r="BG64" s="16" t="n">
        <v>-8.27711430924607</v>
      </c>
      <c r="BH64" s="16" t="n">
        <v>-7.28866183200638</v>
      </c>
      <c r="BI64" s="16" t="n">
        <v>1.09242813813745</v>
      </c>
      <c r="BJ64" s="16" t="n">
        <v>2.04083187529388</v>
      </c>
      <c r="BK64" s="16" t="n">
        <v>5.25403316350504</v>
      </c>
      <c r="BL64" s="16" t="n">
        <v>7.88491984612206</v>
      </c>
      <c r="BM64" s="16" t="n">
        <v>3.71992671744367</v>
      </c>
      <c r="BN64" s="16" t="n">
        <v>4.46573109600205</v>
      </c>
      <c r="BO64" s="16" t="n">
        <v>5.7791095890411</v>
      </c>
      <c r="BP64" s="16" t="n">
        <v>8712.70308277889</v>
      </c>
      <c r="BQ64" s="16" t="n">
        <v>8176.87365522983</v>
      </c>
      <c r="BR64" s="16" t="n">
        <v>8176.87365522983</v>
      </c>
      <c r="BS64" s="16" t="n">
        <v>505.028217408043</v>
      </c>
      <c r="BT64" s="16" t="n">
        <v>301.7195</v>
      </c>
      <c r="BU64" s="16" t="n">
        <v>1081.9108</v>
      </c>
      <c r="BV64" s="16" t="s">
        <v>3237</v>
      </c>
      <c r="BW64" s="16" t="n">
        <v>42.7692307692308</v>
      </c>
      <c r="BX64" s="16" t="n">
        <v>0.155994305554286</v>
      </c>
      <c r="BY64" s="16" t="n">
        <v>0.161741466184191</v>
      </c>
      <c r="BZ64" s="16" t="n">
        <v>13510.8578038903</v>
      </c>
      <c r="CA64" s="16" t="n">
        <v>19402.010477409</v>
      </c>
      <c r="CB64" s="16" t="n">
        <v>276.28744718226</v>
      </c>
      <c r="CC64" s="16" t="n">
        <v>0</v>
      </c>
      <c r="CD64" s="16" t="n">
        <v>950.69728</v>
      </c>
      <c r="CE64" s="16" t="n">
        <v>12000</v>
      </c>
      <c r="CF64" s="16" t="n">
        <v>26.4288802520625</v>
      </c>
      <c r="CG64" s="16" t="n">
        <v>29.8646346848307</v>
      </c>
      <c r="CH64" s="16" t="n">
        <v>2643.77364301215</v>
      </c>
      <c r="CI64" s="16" t="n">
        <v>-6.2083733271085</v>
      </c>
      <c r="CJ64" s="16" t="n">
        <v>3.00594144553374</v>
      </c>
      <c r="CK64" s="16" t="n">
        <v>38398.8684148513</v>
      </c>
      <c r="CL64" s="16" t="n">
        <v>163.034727908043</v>
      </c>
      <c r="CM64" s="16" t="n">
        <v>188.402296158043</v>
      </c>
      <c r="CN64" s="16" t="n">
        <v>1000</v>
      </c>
      <c r="CO64" s="16" t="n">
        <v>1.5535546875</v>
      </c>
      <c r="CP64" s="16" t="n">
        <v>0.90519877675841</v>
      </c>
      <c r="CQ64" s="16" t="n">
        <v>4.63949719077417</v>
      </c>
      <c r="CR64" s="16" t="n">
        <v>88.8664050297262</v>
      </c>
      <c r="CS64" s="16" t="n">
        <v>30.2013264842702</v>
      </c>
      <c r="CT64" s="16" t="n">
        <v>4.10574972634883</v>
      </c>
      <c r="CU64" s="16" t="n">
        <v>4.63949719077417</v>
      </c>
      <c r="CV64" s="16" t="n">
        <v>9332.80449131949</v>
      </c>
      <c r="CW64" s="16" t="n">
        <v>1943.47542367373</v>
      </c>
      <c r="CX64" s="16" t="n">
        <v>11276.2799149932</v>
      </c>
      <c r="CY64" s="16" t="n">
        <v>9332.80449131949</v>
      </c>
      <c r="CZ64" s="16" t="n">
        <v>1167.14922720292</v>
      </c>
      <c r="DA64" s="16" t="n">
        <v>26.4288802520625</v>
      </c>
      <c r="DB64" s="16" t="n">
        <v>16775.9595284851</v>
      </c>
      <c r="DC64" s="16" t="n">
        <v>12447.761970136</v>
      </c>
      <c r="DD64" s="16" t="n">
        <v>10419</v>
      </c>
      <c r="DE64" s="16" t="n">
        <v>1921.25</v>
      </c>
      <c r="DF64" s="16" t="n">
        <v>9647.72973631949</v>
      </c>
      <c r="DG64" s="16" t="n">
        <v>188.402296158043</v>
      </c>
      <c r="DH64" s="16" t="n">
        <v>0</v>
      </c>
      <c r="DI64" s="16" t="n">
        <v>30.2013571292582</v>
      </c>
    </row>
    <row r="65" customFormat="false" ht="15" hidden="false" customHeight="false" outlineLevel="0" collapsed="false">
      <c r="A65" s="0" t="s">
        <v>3283</v>
      </c>
      <c r="B65" s="16" t="n">
        <v>2465.07954157611</v>
      </c>
      <c r="C65" s="16" t="n">
        <v>8209.24039226006</v>
      </c>
      <c r="D65" s="16" t="n">
        <v>19716.7966317894</v>
      </c>
      <c r="E65" s="16" t="n">
        <v>4213.14398474076</v>
      </c>
      <c r="F65" s="16" t="n">
        <v>-1136.11521845689</v>
      </c>
      <c r="G65" s="16" t="n">
        <v>5020.88958750724</v>
      </c>
      <c r="H65" s="16" t="n">
        <v>-932.233367100952</v>
      </c>
      <c r="I65" s="17" t="n">
        <v>0.01</v>
      </c>
      <c r="J65" s="17" t="n">
        <v>3.87123721756101</v>
      </c>
      <c r="K65" s="16" t="s">
        <v>116</v>
      </c>
      <c r="L65" s="16" t="n">
        <v>1000</v>
      </c>
      <c r="M65" s="16" t="n">
        <v>33816.9469253452</v>
      </c>
      <c r="N65" s="16" t="n">
        <v>11402.7039831813</v>
      </c>
      <c r="O65" s="16" t="n">
        <v>1000</v>
      </c>
      <c r="P65" s="16" t="n">
        <v>951.290832135856</v>
      </c>
      <c r="Q65" s="16" t="n">
        <v>-275.065775756199</v>
      </c>
      <c r="R65" s="16" t="n">
        <v>17617.7170533315</v>
      </c>
      <c r="S65" s="16" t="n">
        <v>26961.5428826358</v>
      </c>
      <c r="T65" s="16" t="n">
        <v>-955.692204749296</v>
      </c>
      <c r="U65" s="16" t="n">
        <v>-654.515571359403</v>
      </c>
      <c r="V65" s="16" t="n">
        <v>0.750319556751226</v>
      </c>
      <c r="W65" s="16" t="n">
        <v>46172.9047188154</v>
      </c>
      <c r="X65" s="16" t="n">
        <v>22159.7762774452</v>
      </c>
      <c r="Y65" s="16" t="n">
        <v>3.64175363702289</v>
      </c>
      <c r="Z65" s="16" t="n">
        <v>4.94318280310365</v>
      </c>
      <c r="AA65" s="16" t="n">
        <v>27.424347870838</v>
      </c>
      <c r="AB65" s="16" t="n">
        <v>25.224347870838</v>
      </c>
      <c r="AC65" s="16" t="n">
        <v>26.674347870838</v>
      </c>
      <c r="AD65" s="16" t="n">
        <v>27.2673434792775</v>
      </c>
      <c r="AE65" s="16" t="n">
        <v>674.686407680941</v>
      </c>
      <c r="AF65" s="16" t="n">
        <v>0.03</v>
      </c>
      <c r="AG65" s="16" t="n">
        <v>0.654405917289144</v>
      </c>
      <c r="AH65" s="16" t="n">
        <v>9819.91719809611</v>
      </c>
      <c r="AI65" s="16" t="n">
        <v>19716.7966317894</v>
      </c>
      <c r="AJ65" s="16" t="n">
        <v>16.69175</v>
      </c>
      <c r="AK65" s="16" t="n">
        <v>0</v>
      </c>
      <c r="AL65" s="16" t="n">
        <v>1000</v>
      </c>
      <c r="AM65" s="16" t="n">
        <v>812.6073</v>
      </c>
      <c r="AN65" s="16" t="n">
        <v>20079.98904</v>
      </c>
      <c r="AO65" s="16" t="n">
        <v>-5508.72242389994</v>
      </c>
      <c r="AP65" s="16" t="n">
        <v>0.414483496940676</v>
      </c>
      <c r="AQ65" s="16" t="n">
        <v>78.6453435440386</v>
      </c>
      <c r="AR65" s="16" t="n">
        <v>506.687709875319</v>
      </c>
      <c r="AS65" s="16" t="n">
        <v>314.925245</v>
      </c>
      <c r="AT65" s="16" t="n">
        <v>1000</v>
      </c>
      <c r="AU65" s="16" t="n">
        <v>12.270507</v>
      </c>
      <c r="AV65" s="16" t="n">
        <v>0</v>
      </c>
      <c r="AW65" s="16" t="n">
        <v>2254.3125</v>
      </c>
      <c r="AX65" s="16" t="n">
        <v>314.925245</v>
      </c>
      <c r="AY65" s="16" t="n">
        <v>314.925245</v>
      </c>
      <c r="AZ65" s="16" t="n">
        <v>5524.95952848514</v>
      </c>
      <c r="BA65" s="16" t="n">
        <v>0</v>
      </c>
      <c r="BB65" s="16" t="n">
        <v>417.928966666667</v>
      </c>
      <c r="BC65" s="16" t="n">
        <v>111491.907179589</v>
      </c>
      <c r="BD65" s="16" t="n">
        <v>16.412989769133</v>
      </c>
      <c r="BE65" s="16" t="n">
        <v>25.0702823910693</v>
      </c>
      <c r="BF65" s="16" t="n">
        <v>39.2981375998718</v>
      </c>
      <c r="BG65" s="16" t="n">
        <v>-8.27711430924607</v>
      </c>
      <c r="BH65" s="16" t="n">
        <v>-7.28866183200638</v>
      </c>
      <c r="BI65" s="16" t="n">
        <v>1.09242813813745</v>
      </c>
      <c r="BJ65" s="16" t="n">
        <v>2.04083187529388</v>
      </c>
      <c r="BK65" s="16" t="n">
        <v>5.25403316350504</v>
      </c>
      <c r="BL65" s="16" t="n">
        <v>7.88491984612206</v>
      </c>
      <c r="BM65" s="16" t="n">
        <v>3.71992671744367</v>
      </c>
      <c r="BN65" s="16" t="n">
        <v>4.46573109600205</v>
      </c>
      <c r="BO65" s="16" t="n">
        <v>5.7791095890411</v>
      </c>
      <c r="BP65" s="16" t="n">
        <v>8712.70308277889</v>
      </c>
      <c r="BQ65" s="16" t="n">
        <v>8176.87365522983</v>
      </c>
      <c r="BR65" s="16" t="n">
        <v>8176.87365522983</v>
      </c>
      <c r="BS65" s="16" t="n">
        <v>506.687709875319</v>
      </c>
      <c r="BT65" s="16" t="n">
        <v>301.7195</v>
      </c>
      <c r="BU65" s="16" t="n">
        <v>1081.9108</v>
      </c>
      <c r="BV65" s="16" t="s">
        <v>3237</v>
      </c>
      <c r="BW65" s="16" t="n">
        <v>42.7692307692308</v>
      </c>
      <c r="BX65" s="16" t="n">
        <v>0.155994305554286</v>
      </c>
      <c r="BY65" s="16" t="n">
        <v>0.161741466184191</v>
      </c>
      <c r="BZ65" s="16" t="n">
        <v>13510.8578038903</v>
      </c>
      <c r="CA65" s="16" t="n">
        <v>19402.010477409</v>
      </c>
      <c r="CB65" s="16" t="n">
        <v>278.828928334376</v>
      </c>
      <c r="CC65" s="16" t="n">
        <v>0</v>
      </c>
      <c r="CD65" s="16" t="n">
        <v>950.69728</v>
      </c>
      <c r="CE65" s="16" t="n">
        <v>12000</v>
      </c>
      <c r="CF65" s="16" t="n">
        <v>23.9297646405499</v>
      </c>
      <c r="CG65" s="16" t="n">
        <v>27.0406340438214</v>
      </c>
      <c r="CH65" s="16" t="n">
        <v>2643.77364301215</v>
      </c>
      <c r="CI65" s="16" t="n">
        <v>-6.2083733271085</v>
      </c>
      <c r="CJ65" s="16" t="n">
        <v>3.00594144553374</v>
      </c>
      <c r="CK65" s="16" t="n">
        <v>38789.7215398513</v>
      </c>
      <c r="CL65" s="16" t="n">
        <v>164.694220375319</v>
      </c>
      <c r="CM65" s="16" t="n">
        <v>190.061788625319</v>
      </c>
      <c r="CN65" s="16" t="n">
        <v>1000</v>
      </c>
      <c r="CO65" s="16" t="n">
        <v>1.5535546875</v>
      </c>
      <c r="CP65" s="16" t="n">
        <v>1.11722731906218</v>
      </c>
      <c r="CQ65" s="16" t="n">
        <v>3.87123721756101</v>
      </c>
      <c r="CR65" s="16" t="n">
        <v>88.8692382047636</v>
      </c>
      <c r="CS65" s="16" t="n">
        <v>30.257723203783</v>
      </c>
      <c r="CT65" s="16" t="n">
        <v>3.4258736438593</v>
      </c>
      <c r="CU65" s="16" t="n">
        <v>3.87123721756101</v>
      </c>
      <c r="CV65" s="16" t="n">
        <v>11285.8941183789</v>
      </c>
      <c r="CW65" s="16" t="n">
        <v>2329.16462147306</v>
      </c>
      <c r="CX65" s="16" t="n">
        <v>13615.058739852</v>
      </c>
      <c r="CY65" s="16" t="n">
        <v>11285.8941183789</v>
      </c>
      <c r="CZ65" s="16" t="n">
        <v>1169.30816447544</v>
      </c>
      <c r="DA65" s="16" t="n">
        <v>23.9297646405499</v>
      </c>
      <c r="DB65" s="16" t="n">
        <v>16775.9595284851</v>
      </c>
      <c r="DC65" s="16" t="n">
        <v>12447.761970136</v>
      </c>
      <c r="DD65" s="16" t="n">
        <v>11251</v>
      </c>
      <c r="DE65" s="16" t="n">
        <v>1921.25</v>
      </c>
      <c r="DF65" s="16" t="n">
        <v>11600.8193633789</v>
      </c>
      <c r="DG65" s="16" t="n">
        <v>190.061788625319</v>
      </c>
      <c r="DH65" s="16" t="n">
        <v>0</v>
      </c>
      <c r="DI65" s="16" t="n">
        <v>30.2577516564278</v>
      </c>
    </row>
    <row r="66" customFormat="false" ht="15" hidden="false" customHeight="false" outlineLevel="0" collapsed="false">
      <c r="A66" s="0" t="s">
        <v>3284</v>
      </c>
      <c r="B66" s="16" t="n">
        <v>2465.07954157611</v>
      </c>
      <c r="C66" s="16" t="n">
        <v>8209.24039226006</v>
      </c>
      <c r="D66" s="16" t="n">
        <v>19716.7966317894</v>
      </c>
      <c r="E66" s="16" t="n">
        <v>4213.14398474076</v>
      </c>
      <c r="F66" s="16" t="n">
        <v>-1140.55271845689</v>
      </c>
      <c r="G66" s="16" t="n">
        <v>5025.32708750724</v>
      </c>
      <c r="H66" s="16" t="n">
        <v>-1169.51080533136</v>
      </c>
      <c r="I66" s="17" t="n">
        <v>0.01</v>
      </c>
      <c r="J66" s="17" t="n">
        <v>3.16671271341921</v>
      </c>
      <c r="K66" s="16" t="s">
        <v>116</v>
      </c>
      <c r="L66" s="16" t="n">
        <v>1000</v>
      </c>
      <c r="M66" s="16" t="n">
        <v>34083.1969253452</v>
      </c>
      <c r="N66" s="16" t="n">
        <v>11402.7039831813</v>
      </c>
      <c r="O66" s="16" t="n">
        <v>1000</v>
      </c>
      <c r="P66" s="16" t="n">
        <v>951.290832135856</v>
      </c>
      <c r="Q66" s="16" t="n">
        <v>-328.315775756199</v>
      </c>
      <c r="R66" s="16" t="n">
        <v>17617.7170533315</v>
      </c>
      <c r="S66" s="16" t="n">
        <v>27050.2928826358</v>
      </c>
      <c r="T66" s="16" t="n">
        <v>-955.692204749296</v>
      </c>
      <c r="U66" s="16" t="n">
        <v>-891.793009589808</v>
      </c>
      <c r="V66" s="16" t="n">
        <v>0.750319556751226</v>
      </c>
      <c r="W66" s="16" t="n">
        <v>46220.4037244701</v>
      </c>
      <c r="X66" s="16" t="n">
        <v>22232.9062774452</v>
      </c>
      <c r="Y66" s="16" t="n">
        <v>2.9789927336891</v>
      </c>
      <c r="Z66" s="16" t="n">
        <v>4.04357546376499</v>
      </c>
      <c r="AA66" s="16" t="n">
        <v>27.424347870838</v>
      </c>
      <c r="AB66" s="16" t="n">
        <v>25.224347870838</v>
      </c>
      <c r="AC66" s="16" t="n">
        <v>26.674347870838</v>
      </c>
      <c r="AD66" s="16" t="n">
        <v>27.2673434792775</v>
      </c>
      <c r="AE66" s="16" t="n">
        <v>674.686407680941</v>
      </c>
      <c r="AF66" s="16" t="n">
        <v>0.03</v>
      </c>
      <c r="AG66" s="16" t="n">
        <v>0.654405917289144</v>
      </c>
      <c r="AH66" s="16" t="n">
        <v>9819.91719809611</v>
      </c>
      <c r="AI66" s="16" t="n">
        <v>19716.7966317894</v>
      </c>
      <c r="AJ66" s="16" t="n">
        <v>16.69175</v>
      </c>
      <c r="AK66" s="16" t="n">
        <v>0</v>
      </c>
      <c r="AL66" s="16" t="n">
        <v>1000</v>
      </c>
      <c r="AM66" s="16" t="n">
        <v>812.6073</v>
      </c>
      <c r="AN66" s="16" t="n">
        <v>20079.98904</v>
      </c>
      <c r="AO66" s="16" t="n">
        <v>-5508.72242389994</v>
      </c>
      <c r="AP66" s="16" t="n">
        <v>0.414483496940676</v>
      </c>
      <c r="AQ66" s="16" t="n">
        <v>78.6447538659032</v>
      </c>
      <c r="AR66" s="16" t="n">
        <v>508.19827353143</v>
      </c>
      <c r="AS66" s="16" t="n">
        <v>314.925245</v>
      </c>
      <c r="AT66" s="16" t="n">
        <v>1000</v>
      </c>
      <c r="AU66" s="16" t="n">
        <v>12.270507</v>
      </c>
      <c r="AV66" s="16" t="n">
        <v>0</v>
      </c>
      <c r="AW66" s="16" t="n">
        <v>2254.3125</v>
      </c>
      <c r="AX66" s="16" t="n">
        <v>314.925245</v>
      </c>
      <c r="AY66" s="16" t="n">
        <v>314.925245</v>
      </c>
      <c r="AZ66" s="16" t="n">
        <v>4767.62619515181</v>
      </c>
      <c r="BA66" s="16" t="n">
        <v>0</v>
      </c>
      <c r="BB66" s="16" t="n">
        <v>417.928966666667</v>
      </c>
      <c r="BC66" s="16" t="n">
        <v>111846.907179589</v>
      </c>
      <c r="BD66" s="16" t="n">
        <v>14.0081862630395</v>
      </c>
      <c r="BE66" s="16" t="n">
        <v>22.6654788849759</v>
      </c>
      <c r="BF66" s="16" t="n">
        <v>36.8933340937783</v>
      </c>
      <c r="BG66" s="16" t="n">
        <v>-8.27711430924607</v>
      </c>
      <c r="BH66" s="16" t="n">
        <v>-7.28866183200638</v>
      </c>
      <c r="BI66" s="16" t="n">
        <v>1.09242813813745</v>
      </c>
      <c r="BJ66" s="16" t="n">
        <v>2.04083187529388</v>
      </c>
      <c r="BK66" s="16" t="n">
        <v>5.25403316350504</v>
      </c>
      <c r="BL66" s="16" t="n">
        <v>7.88491984612206</v>
      </c>
      <c r="BM66" s="16" t="n">
        <v>3.71992671744367</v>
      </c>
      <c r="BN66" s="16" t="n">
        <v>4.46573109600205</v>
      </c>
      <c r="BO66" s="16" t="n">
        <v>5.7791095890411</v>
      </c>
      <c r="BP66" s="16" t="n">
        <v>8712.70308277889</v>
      </c>
      <c r="BQ66" s="16" t="n">
        <v>8176.87365522983</v>
      </c>
      <c r="BR66" s="16" t="n">
        <v>8176.87365522983</v>
      </c>
      <c r="BS66" s="16" t="n">
        <v>508.19827353143</v>
      </c>
      <c r="BT66" s="16" t="n">
        <v>301.7195</v>
      </c>
      <c r="BU66" s="16" t="n">
        <v>1081.9108</v>
      </c>
      <c r="BV66" s="16" t="s">
        <v>3237</v>
      </c>
      <c r="BW66" s="16" t="n">
        <v>42.7692307692308</v>
      </c>
      <c r="BX66" s="16" t="n">
        <v>0.155994305554286</v>
      </c>
      <c r="BY66" s="16" t="n">
        <v>0.161741466184191</v>
      </c>
      <c r="BZ66" s="16" t="n">
        <v>13510.8578038903</v>
      </c>
      <c r="CA66" s="16" t="n">
        <v>19402.010477409</v>
      </c>
      <c r="CB66" s="16" t="n">
        <v>281.142327844636</v>
      </c>
      <c r="CC66" s="16" t="n">
        <v>0</v>
      </c>
      <c r="CD66" s="16" t="n">
        <v>950.69728</v>
      </c>
      <c r="CE66" s="16" t="n">
        <v>12000</v>
      </c>
      <c r="CF66" s="16" t="n">
        <v>21.6549286351987</v>
      </c>
      <c r="CG66" s="16" t="n">
        <v>24.4700693577745</v>
      </c>
      <c r="CH66" s="16" t="n">
        <v>2643.77364301215</v>
      </c>
      <c r="CI66" s="16" t="n">
        <v>-6.2083733271085</v>
      </c>
      <c r="CJ66" s="16" t="n">
        <v>3.00594144553374</v>
      </c>
      <c r="CK66" s="16" t="n">
        <v>39145.4981023513</v>
      </c>
      <c r="CL66" s="16" t="n">
        <v>166.20478403143</v>
      </c>
      <c r="CM66" s="16" t="n">
        <v>191.57235228143</v>
      </c>
      <c r="CN66" s="16" t="n">
        <v>1000</v>
      </c>
      <c r="CO66" s="16" t="n">
        <v>1.5535546875</v>
      </c>
      <c r="CP66" s="16" t="n">
        <v>1.31022765885151</v>
      </c>
      <c r="CQ66" s="16" t="n">
        <v>3.16671271341921</v>
      </c>
      <c r="CR66" s="16" t="n">
        <v>88.8685718684706</v>
      </c>
      <c r="CS66" s="16" t="n">
        <v>30.3043800272284</v>
      </c>
      <c r="CT66" s="16" t="n">
        <v>2.80240063134444</v>
      </c>
      <c r="CU66" s="16" t="n">
        <v>3.16671271341921</v>
      </c>
      <c r="CV66" s="16" t="n">
        <v>13909.1082435019</v>
      </c>
      <c r="CW66" s="16" t="n">
        <v>2847.35294435257</v>
      </c>
      <c r="CX66" s="16" t="n">
        <v>16756.4611878544</v>
      </c>
      <c r="CY66" s="16" t="n">
        <v>13909.1082435019</v>
      </c>
      <c r="CZ66" s="16" t="n">
        <v>1171.4416644589</v>
      </c>
      <c r="DA66" s="16" t="n">
        <v>21.6549286351987</v>
      </c>
      <c r="DB66" s="16" t="n">
        <v>16775.9595284851</v>
      </c>
      <c r="DC66" s="16" t="n">
        <v>12447.761970136</v>
      </c>
      <c r="DD66" s="16" t="n">
        <v>12008.3333333333</v>
      </c>
      <c r="DE66" s="16" t="n">
        <v>1921.25</v>
      </c>
      <c r="DF66" s="16" t="n">
        <v>14224.0334885019</v>
      </c>
      <c r="DG66" s="16" t="n">
        <v>191.57235228143</v>
      </c>
      <c r="DH66" s="16" t="n">
        <v>0</v>
      </c>
      <c r="DI66" s="16" t="n">
        <v>30.3044066575414</v>
      </c>
    </row>
    <row r="67" customFormat="false" ht="15" hidden="false" customHeight="false" outlineLevel="0" collapsed="false">
      <c r="A67" s="0" t="s">
        <v>3285</v>
      </c>
      <c r="B67" s="16" t="n">
        <v>2465.07954157611</v>
      </c>
      <c r="C67" s="16" t="n">
        <v>8209.24039226006</v>
      </c>
      <c r="D67" s="16" t="n">
        <v>19716.7966317894</v>
      </c>
      <c r="E67" s="16" t="n">
        <v>4213.14398474076</v>
      </c>
      <c r="F67" s="16" t="n">
        <v>-1138.78726220689</v>
      </c>
      <c r="G67" s="16" t="n">
        <v>5023.56163125724</v>
      </c>
      <c r="H67" s="16" t="n">
        <v>-898.814009603721</v>
      </c>
      <c r="I67" s="17" t="n">
        <v>0.01</v>
      </c>
      <c r="J67" s="17" t="n">
        <v>3.66205698970405</v>
      </c>
      <c r="K67" s="16" t="s">
        <v>116</v>
      </c>
      <c r="L67" s="16" t="n">
        <v>1000</v>
      </c>
      <c r="M67" s="16" t="n">
        <v>33779.4469253452</v>
      </c>
      <c r="N67" s="16" t="n">
        <v>11402.7039831813</v>
      </c>
      <c r="O67" s="16" t="n">
        <v>1000</v>
      </c>
      <c r="P67" s="16" t="n">
        <v>951.290832135856</v>
      </c>
      <c r="Q67" s="16" t="n">
        <v>-274.630869506197</v>
      </c>
      <c r="R67" s="16" t="n">
        <v>17617.7170533315</v>
      </c>
      <c r="S67" s="16" t="n">
        <v>26949.0428826358</v>
      </c>
      <c r="T67" s="16" t="n">
        <v>-955.927707874296</v>
      </c>
      <c r="U67" s="16" t="n">
        <v>-633.689963862173</v>
      </c>
      <c r="V67" s="16" t="n">
        <v>0.750319556751226</v>
      </c>
      <c r="W67" s="16" t="n">
        <v>46166.2147180189</v>
      </c>
      <c r="X67" s="16" t="n">
        <v>22149.4762774452</v>
      </c>
      <c r="Y67" s="16" t="n">
        <v>3.44497343142462</v>
      </c>
      <c r="Z67" s="16" t="n">
        <v>4.6760805701531</v>
      </c>
      <c r="AA67" s="16" t="n">
        <v>27.424347870838</v>
      </c>
      <c r="AB67" s="16" t="n">
        <v>25.224347870838</v>
      </c>
      <c r="AC67" s="16" t="n">
        <v>26.674347870838</v>
      </c>
      <c r="AD67" s="16" t="n">
        <v>27.2673434792775</v>
      </c>
      <c r="AE67" s="16" t="n">
        <v>674.686407680941</v>
      </c>
      <c r="AF67" s="16" t="n">
        <v>0.03</v>
      </c>
      <c r="AG67" s="16" t="n">
        <v>0.654405917289144</v>
      </c>
      <c r="AH67" s="16" t="n">
        <v>10576.4007527836</v>
      </c>
      <c r="AI67" s="16" t="n">
        <v>19716.7966317894</v>
      </c>
      <c r="AJ67" s="16" t="n">
        <v>16.69175</v>
      </c>
      <c r="AK67" s="16" t="n">
        <v>0</v>
      </c>
      <c r="AL67" s="16" t="n">
        <v>1000</v>
      </c>
      <c r="AM67" s="16" t="n">
        <v>812.6073</v>
      </c>
      <c r="AN67" s="16" t="n">
        <v>20079.98904</v>
      </c>
      <c r="AO67" s="16" t="n">
        <v>-5508.72242389994</v>
      </c>
      <c r="AP67" s="16" t="n">
        <v>0.414483496940676</v>
      </c>
      <c r="AQ67" s="16" t="n">
        <v>77.7773181908756</v>
      </c>
      <c r="AR67" s="16" t="n">
        <v>503.767595066392</v>
      </c>
      <c r="AS67" s="16" t="n">
        <v>314.925245</v>
      </c>
      <c r="AT67" s="16" t="n">
        <v>1000</v>
      </c>
      <c r="AU67" s="16" t="n">
        <v>12.270507</v>
      </c>
      <c r="AV67" s="16" t="n">
        <v>0</v>
      </c>
      <c r="AW67" s="16" t="n">
        <v>2254.3125</v>
      </c>
      <c r="AX67" s="16" t="n">
        <v>314.925245</v>
      </c>
      <c r="AY67" s="16" t="n">
        <v>314.925245</v>
      </c>
      <c r="AZ67" s="16" t="n">
        <v>5631.62619515181</v>
      </c>
      <c r="BA67" s="16" t="n">
        <v>775</v>
      </c>
      <c r="BB67" s="16" t="n">
        <v>417.928966666667</v>
      </c>
      <c r="BC67" s="16" t="n">
        <v>111441.907179589</v>
      </c>
      <c r="BD67" s="16" t="n">
        <v>16.711704839329</v>
      </c>
      <c r="BE67" s="16" t="n">
        <v>25.3689974612653</v>
      </c>
      <c r="BF67" s="16" t="n">
        <v>39.5968526700678</v>
      </c>
      <c r="BG67" s="16" t="n">
        <v>-8.27711430924607</v>
      </c>
      <c r="BH67" s="16" t="n">
        <v>-7.28866183200638</v>
      </c>
      <c r="BI67" s="16" t="n">
        <v>1.09242813813745</v>
      </c>
      <c r="BJ67" s="16" t="n">
        <v>2.04083187529388</v>
      </c>
      <c r="BK67" s="16" t="n">
        <v>5.25403316350504</v>
      </c>
      <c r="BL67" s="16" t="n">
        <v>7.88491984612206</v>
      </c>
      <c r="BM67" s="16" t="n">
        <v>3.71992671744367</v>
      </c>
      <c r="BN67" s="16" t="n">
        <v>4.46573109600205</v>
      </c>
      <c r="BO67" s="16" t="n">
        <v>5.7791095890411</v>
      </c>
      <c r="BP67" s="16" t="n">
        <v>8712.70308277889</v>
      </c>
      <c r="BQ67" s="16" t="n">
        <v>8176.87365522983</v>
      </c>
      <c r="BR67" s="16" t="n">
        <v>8176.87365522983</v>
      </c>
      <c r="BS67" s="16" t="n">
        <v>503.767595066392</v>
      </c>
      <c r="BT67" s="16" t="n">
        <v>301.7195</v>
      </c>
      <c r="BU67" s="16" t="n">
        <v>1081.9108</v>
      </c>
      <c r="BV67" s="16" t="s">
        <v>3237</v>
      </c>
      <c r="BW67" s="16" t="n">
        <v>42.7692307692308</v>
      </c>
      <c r="BX67" s="16" t="n">
        <v>0.155994305554286</v>
      </c>
      <c r="BY67" s="16" t="n">
        <v>0.161741466184191</v>
      </c>
      <c r="BZ67" s="16" t="n">
        <v>13510.8578038903</v>
      </c>
      <c r="CA67" s="16" t="n">
        <v>19402.010477409</v>
      </c>
      <c r="CB67" s="16" t="n">
        <v>274.335575112226</v>
      </c>
      <c r="CC67" s="16" t="n">
        <v>0</v>
      </c>
      <c r="CD67" s="16" t="n">
        <v>950.69728</v>
      </c>
      <c r="CE67" s="16" t="n">
        <v>12000</v>
      </c>
      <c r="CF67" s="16" t="n">
        <v>23.9772357316781</v>
      </c>
      <c r="CG67" s="16" t="n">
        <v>27.0942763767962</v>
      </c>
      <c r="CH67" s="16" t="n">
        <v>2643.77364301215</v>
      </c>
      <c r="CI67" s="16" t="n">
        <v>-6.2083733271085</v>
      </c>
      <c r="CJ67" s="16" t="n">
        <v>3.00594144553374</v>
      </c>
      <c r="CK67" s="16" t="n">
        <v>38101.9594553984</v>
      </c>
      <c r="CL67" s="16" t="n">
        <v>161.774105566392</v>
      </c>
      <c r="CM67" s="16" t="n">
        <v>187.141673816392</v>
      </c>
      <c r="CN67" s="16" t="n">
        <v>1000</v>
      </c>
      <c r="CO67" s="16" t="n">
        <v>1.5535546875</v>
      </c>
      <c r="CP67" s="16" t="n">
        <v>1.09004417261298</v>
      </c>
      <c r="CQ67" s="16" t="n">
        <v>3.66205698970405</v>
      </c>
      <c r="CR67" s="16" t="n">
        <v>87.8883695556894</v>
      </c>
      <c r="CS67" s="16" t="n">
        <v>28.6614799558511</v>
      </c>
      <c r="CT67" s="16" t="n">
        <v>3.24075839796819</v>
      </c>
      <c r="CU67" s="16" t="n">
        <v>3.66205698970405</v>
      </c>
      <c r="CV67" s="16" t="n">
        <v>11742.7476909756</v>
      </c>
      <c r="CW67" s="16" t="n">
        <v>2462.20875148139</v>
      </c>
      <c r="CX67" s="16" t="n">
        <v>14204.956442457</v>
      </c>
      <c r="CY67" s="16" t="n">
        <v>11742.7476909756</v>
      </c>
      <c r="CZ67" s="16" t="n">
        <v>1225.67508417947</v>
      </c>
      <c r="DA67" s="16" t="n">
        <v>23.9772357316781</v>
      </c>
      <c r="DB67" s="16" t="n">
        <v>16775.9595284851</v>
      </c>
      <c r="DC67" s="16" t="n">
        <v>12447.761970136</v>
      </c>
      <c r="DD67" s="16" t="n">
        <v>11144.3333333333</v>
      </c>
      <c r="DE67" s="16" t="n">
        <v>1921.25</v>
      </c>
      <c r="DF67" s="16" t="n">
        <v>12057.6729359756</v>
      </c>
      <c r="DG67" s="16" t="n">
        <v>187.141673816392</v>
      </c>
      <c r="DH67" s="16" t="n">
        <v>0</v>
      </c>
      <c r="DI67" s="16" t="n">
        <v>28.6615290978609</v>
      </c>
    </row>
    <row r="68" customFormat="false" ht="15" hidden="false" customHeight="false" outlineLevel="0" collapsed="false">
      <c r="A68" s="0" t="s">
        <v>3286</v>
      </c>
      <c r="B68" s="16" t="n">
        <v>2465.07954157611</v>
      </c>
      <c r="C68" s="16" t="n">
        <v>8209.24039226006</v>
      </c>
      <c r="D68" s="16" t="n">
        <v>19716.7966317894</v>
      </c>
      <c r="E68" s="16" t="n">
        <v>4213.14398474076</v>
      </c>
      <c r="F68" s="16" t="n">
        <v>-1085.34013345689</v>
      </c>
      <c r="G68" s="16" t="n">
        <v>4970.11450250724</v>
      </c>
      <c r="H68" s="16" t="n">
        <v>12511.0592565234</v>
      </c>
      <c r="I68" s="17" t="n">
        <v>40.6089294374129</v>
      </c>
      <c r="J68" s="17" t="n">
        <v>48.346090256204</v>
      </c>
      <c r="K68" s="16" t="s">
        <v>116</v>
      </c>
      <c r="L68" s="16" t="n">
        <v>1000</v>
      </c>
      <c r="M68" s="16" t="n">
        <v>31559.3812253452</v>
      </c>
      <c r="N68" s="16" t="n">
        <v>11402.7039831813</v>
      </c>
      <c r="O68" s="16" t="n">
        <v>1000</v>
      </c>
      <c r="P68" s="16" t="n">
        <v>951.290832135856</v>
      </c>
      <c r="Q68" s="16" t="n">
        <v>266.674014243801</v>
      </c>
      <c r="R68" s="16" t="n">
        <v>17554.7575533315</v>
      </c>
      <c r="S68" s="16" t="n">
        <v>24085.6784826358</v>
      </c>
      <c r="T68" s="16" t="n">
        <v>-955.692204749296</v>
      </c>
      <c r="U68" s="16" t="n">
        <v>12788.777052265</v>
      </c>
      <c r="V68" s="16" t="n">
        <v>0.750319556751226</v>
      </c>
      <c r="W68" s="16" t="n">
        <v>52130.3018824236</v>
      </c>
      <c r="X68" s="16" t="n">
        <v>20029.4061006452</v>
      </c>
      <c r="Y68" s="16" t="n">
        <v>45.480176008768</v>
      </c>
      <c r="Z68" s="16" t="n">
        <v>61.7331226481469</v>
      </c>
      <c r="AA68" s="16" t="n">
        <v>27.424347870838</v>
      </c>
      <c r="AB68" s="16" t="n">
        <v>25.224347870838</v>
      </c>
      <c r="AC68" s="16" t="n">
        <v>26.674347870838</v>
      </c>
      <c r="AD68" s="16" t="n">
        <v>27.2673434792775</v>
      </c>
      <c r="AE68" s="16" t="n">
        <v>674.686407680941</v>
      </c>
      <c r="AF68" s="16" t="n">
        <v>0.03</v>
      </c>
      <c r="AG68" s="16" t="n">
        <v>0.654405917289144</v>
      </c>
      <c r="AH68" s="16" t="n">
        <v>9882.87669809611</v>
      </c>
      <c r="AI68" s="16" t="n">
        <v>19716.7966317894</v>
      </c>
      <c r="AJ68" s="16" t="n">
        <v>16.69175</v>
      </c>
      <c r="AK68" s="16" t="n">
        <v>0</v>
      </c>
      <c r="AL68" s="16" t="n">
        <v>1000</v>
      </c>
      <c r="AM68" s="16" t="n">
        <v>812.6073</v>
      </c>
      <c r="AN68" s="16" t="n">
        <v>18922.31607</v>
      </c>
      <c r="AO68" s="16" t="n">
        <v>-5045.92137660767</v>
      </c>
      <c r="AP68" s="16" t="n">
        <v>0.414483496940676</v>
      </c>
      <c r="AQ68" s="16" t="n">
        <v>94.3188846729309</v>
      </c>
      <c r="AR68" s="16" t="n">
        <v>468.40143637557</v>
      </c>
      <c r="AS68" s="16" t="n">
        <v>314.925245</v>
      </c>
      <c r="AT68" s="16" t="n">
        <v>1000</v>
      </c>
      <c r="AU68" s="16" t="n">
        <v>12.270507</v>
      </c>
      <c r="AV68" s="16" t="n">
        <v>0</v>
      </c>
      <c r="AW68" s="16" t="n">
        <v>2254.3125</v>
      </c>
      <c r="AX68" s="16" t="n">
        <v>314.925245</v>
      </c>
      <c r="AY68" s="16" t="n">
        <v>314.925245</v>
      </c>
      <c r="AZ68" s="16" t="n">
        <v>5631.62619515181</v>
      </c>
      <c r="BA68" s="16" t="n">
        <v>0</v>
      </c>
      <c r="BB68" s="16" t="n">
        <v>417.928966666667</v>
      </c>
      <c r="BC68" s="16" t="n">
        <v>101150.304379589</v>
      </c>
      <c r="BD68" s="16" t="n">
        <v>16.751694488301</v>
      </c>
      <c r="BE68" s="16" t="n">
        <v>25.4089871102374</v>
      </c>
      <c r="BF68" s="16" t="n">
        <v>39.6368423190398</v>
      </c>
      <c r="BG68" s="16" t="n">
        <v>-8.27711430924607</v>
      </c>
      <c r="BH68" s="16" t="n">
        <v>-2.23462588068707</v>
      </c>
      <c r="BI68" s="16" t="n">
        <v>1.09242813813745</v>
      </c>
      <c r="BJ68" s="16" t="n">
        <v>7.09486782661321</v>
      </c>
      <c r="BK68" s="16" t="n">
        <v>5.25403316350504</v>
      </c>
      <c r="BL68" s="16" t="n">
        <v>14.0795994915023</v>
      </c>
      <c r="BM68" s="16" t="n">
        <v>3.71992671744367</v>
      </c>
      <c r="BN68" s="16" t="n">
        <v>4.46573109600205</v>
      </c>
      <c r="BO68" s="16" t="n">
        <v>5.7791095890411</v>
      </c>
      <c r="BP68" s="16" t="n">
        <v>8712.70308277889</v>
      </c>
      <c r="BQ68" s="16" t="n">
        <v>8176.87365522983</v>
      </c>
      <c r="BR68" s="16" t="n">
        <v>8176.87365522983</v>
      </c>
      <c r="BS68" s="16" t="n">
        <v>468.40143637557</v>
      </c>
      <c r="BT68" s="16" t="n">
        <v>301.7195</v>
      </c>
      <c r="BU68" s="16" t="n">
        <v>1081.9108</v>
      </c>
      <c r="BV68" s="16" t="s">
        <v>3238</v>
      </c>
      <c r="BW68" s="16" t="n">
        <v>42.7692307692308</v>
      </c>
      <c r="BX68" s="16" t="n">
        <v>0.155994305554286</v>
      </c>
      <c r="BY68" s="16" t="n">
        <v>0.213851354521278</v>
      </c>
      <c r="BZ68" s="16" t="n">
        <v>13510.8578038903</v>
      </c>
      <c r="CA68" s="16" t="n">
        <v>19402.010477409</v>
      </c>
      <c r="CB68" s="16" t="n">
        <v>220.533882231368</v>
      </c>
      <c r="CC68" s="16" t="n">
        <v>0</v>
      </c>
      <c r="CD68" s="16" t="n">
        <v>950.69728</v>
      </c>
      <c r="CE68" s="16" t="n">
        <v>12000</v>
      </c>
      <c r="CF68" s="16" t="n">
        <v>20.9394965152614</v>
      </c>
      <c r="CG68" s="16" t="n">
        <v>23.6616310622454</v>
      </c>
      <c r="CH68" s="16" t="n">
        <v>2643.77364301215</v>
      </c>
      <c r="CI68" s="16" t="n">
        <v>-6.2083733271085</v>
      </c>
      <c r="CJ68" s="16" t="n">
        <v>3.00594144553374</v>
      </c>
      <c r="CK68" s="16" t="n">
        <v>29676.9009616829</v>
      </c>
      <c r="CL68" s="16" t="n">
        <v>126.002813967575</v>
      </c>
      <c r="CM68" s="16" t="n">
        <v>151.370382217575</v>
      </c>
      <c r="CN68" s="16" t="n">
        <v>1000</v>
      </c>
      <c r="CO68" s="16" t="n">
        <v>1.5535546875</v>
      </c>
      <c r="CP68" s="16" t="n">
        <v>1.09004417261298</v>
      </c>
      <c r="CQ68" s="16" t="n">
        <v>48.346090256204</v>
      </c>
      <c r="CR68" s="16" t="n">
        <v>106.580339680412</v>
      </c>
      <c r="CS68" s="16" t="n">
        <v>61.8364775916169</v>
      </c>
      <c r="CT68" s="16" t="n">
        <v>42.7841506692071</v>
      </c>
      <c r="CU68" s="16" t="n">
        <v>48.346090256204</v>
      </c>
      <c r="CV68" s="16" t="n">
        <v>715.208873832682</v>
      </c>
      <c r="CW68" s="16" t="n">
        <v>186.504197561577</v>
      </c>
      <c r="CX68" s="16" t="n">
        <v>901.713071394259</v>
      </c>
      <c r="CY68" s="16" t="n">
        <v>715.208873832682</v>
      </c>
      <c r="CZ68" s="16" t="n">
        <v>490.703120442843</v>
      </c>
      <c r="DA68" s="16" t="n">
        <v>20.9394965152614</v>
      </c>
      <c r="DB68" s="16" t="n">
        <v>16775.9595284851</v>
      </c>
      <c r="DC68" s="16" t="n">
        <v>12447.761970136</v>
      </c>
      <c r="DD68" s="16" t="n">
        <v>11144.3333333333</v>
      </c>
      <c r="DE68" s="16" t="n">
        <v>1921.25</v>
      </c>
      <c r="DF68" s="16" t="n">
        <v>1030.13411883268</v>
      </c>
      <c r="DG68" s="16" t="n">
        <v>151.370382217575</v>
      </c>
      <c r="DH68" s="16" t="n">
        <v>0</v>
      </c>
      <c r="DI68" s="16" t="n">
        <v>61.8364775929876</v>
      </c>
    </row>
    <row r="69" customFormat="false" ht="15" hidden="false" customHeight="false" outlineLevel="0" collapsed="false">
      <c r="A69" s="0" t="s">
        <v>3287</v>
      </c>
      <c r="B69" s="16" t="n">
        <v>2465.07954157611</v>
      </c>
      <c r="C69" s="16" t="n">
        <v>8209.24039226006</v>
      </c>
      <c r="D69" s="16" t="n">
        <v>19716.7966317894</v>
      </c>
      <c r="E69" s="16" t="n">
        <v>4213.14398474076</v>
      </c>
      <c r="F69" s="16" t="n">
        <v>-1160.56526095689</v>
      </c>
      <c r="G69" s="16" t="n">
        <v>5045.33963000724</v>
      </c>
      <c r="H69" s="16" t="n">
        <v>-3968.41932447527</v>
      </c>
      <c r="I69" s="17" t="n">
        <v>0.01</v>
      </c>
      <c r="J69" s="17" t="n">
        <v>0</v>
      </c>
      <c r="K69" s="16" t="s">
        <v>116</v>
      </c>
      <c r="L69" s="16" t="n">
        <v>1000</v>
      </c>
      <c r="M69" s="16" t="n">
        <v>34889.4797753452</v>
      </c>
      <c r="N69" s="16" t="n">
        <v>11402.7039831813</v>
      </c>
      <c r="O69" s="16" t="n">
        <v>1000</v>
      </c>
      <c r="P69" s="16" t="n">
        <v>951.290832135856</v>
      </c>
      <c r="Q69" s="16" t="n">
        <v>-534.6856707562</v>
      </c>
      <c r="R69" s="16" t="n">
        <v>17649.1968033315</v>
      </c>
      <c r="S69" s="16" t="n">
        <v>28380.7250826358</v>
      </c>
      <c r="T69" s="16" t="n">
        <v>-955.692204749296</v>
      </c>
      <c r="U69" s="16" t="n">
        <v>-3690.70152873372</v>
      </c>
      <c r="V69" s="16" t="n">
        <v>0.750319556751226</v>
      </c>
      <c r="W69" s="16" t="n">
        <v>46854.7230273054</v>
      </c>
      <c r="X69" s="16" t="n">
        <v>23209.5113658452</v>
      </c>
      <c r="Y69" s="16" t="n">
        <v>0</v>
      </c>
      <c r="Z69" s="16" t="n">
        <v>0</v>
      </c>
      <c r="AA69" s="16" t="n">
        <v>27.424347870838</v>
      </c>
      <c r="AB69" s="16" t="n">
        <v>25.224347870838</v>
      </c>
      <c r="AC69" s="16" t="n">
        <v>26.674347870838</v>
      </c>
      <c r="AD69" s="16" t="n">
        <v>27.2673434792775</v>
      </c>
      <c r="AE69" s="16" t="n">
        <v>674.686407680941</v>
      </c>
      <c r="AF69" s="16" t="n">
        <v>0.03</v>
      </c>
      <c r="AG69" s="16" t="n">
        <v>0.654405917289144</v>
      </c>
      <c r="AH69" s="16" t="n">
        <v>9788.43744809611</v>
      </c>
      <c r="AI69" s="16" t="n">
        <v>19716.7966317894</v>
      </c>
      <c r="AJ69" s="16" t="n">
        <v>16.69175</v>
      </c>
      <c r="AK69" s="16" t="n">
        <v>0</v>
      </c>
      <c r="AL69" s="16" t="n">
        <v>1000</v>
      </c>
      <c r="AM69" s="16" t="n">
        <v>812.6073</v>
      </c>
      <c r="AN69" s="16" t="n">
        <v>20658.825525</v>
      </c>
      <c r="AO69" s="16" t="n">
        <v>-5740.12294754607</v>
      </c>
      <c r="AP69" s="16" t="n">
        <v>0.414483496940676</v>
      </c>
      <c r="AQ69" s="16" t="n">
        <v>78.6173003712186</v>
      </c>
      <c r="AR69" s="16" t="n">
        <v>525.947206712391</v>
      </c>
      <c r="AS69" s="16" t="n">
        <v>314.925245</v>
      </c>
      <c r="AT69" s="16" t="n">
        <v>1000</v>
      </c>
      <c r="AU69" s="16" t="n">
        <v>12.270507</v>
      </c>
      <c r="AV69" s="16" t="n">
        <v>0</v>
      </c>
      <c r="AW69" s="16" t="n">
        <v>2254.3125</v>
      </c>
      <c r="AX69" s="16" t="n">
        <v>314.925245</v>
      </c>
      <c r="AY69" s="16" t="n">
        <v>314.925245</v>
      </c>
      <c r="AZ69" s="16" t="n">
        <v>5631.62619515181</v>
      </c>
      <c r="BA69" s="16" t="n">
        <v>0</v>
      </c>
      <c r="BB69" s="16" t="n">
        <v>417.928966666667</v>
      </c>
      <c r="BC69" s="16" t="n">
        <v>116587.708579589</v>
      </c>
      <c r="BD69" s="16" t="n">
        <v>16.751694488301</v>
      </c>
      <c r="BE69" s="16" t="n">
        <v>25.4089871102374</v>
      </c>
      <c r="BF69" s="16" t="n">
        <v>39.6368423190398</v>
      </c>
      <c r="BG69" s="16" t="n">
        <v>-8.27711430924607</v>
      </c>
      <c r="BH69" s="16" t="n">
        <v>-9.81567980766605</v>
      </c>
      <c r="BI69" s="16" t="n">
        <v>1.09242813813745</v>
      </c>
      <c r="BJ69" s="16" t="n">
        <v>-0.486186100365767</v>
      </c>
      <c r="BK69" s="16" t="n">
        <v>5.25403316350504</v>
      </c>
      <c r="BL69" s="16" t="n">
        <v>4.78758002343192</v>
      </c>
      <c r="BM69" s="16" t="n">
        <v>3.71992671744367</v>
      </c>
      <c r="BN69" s="16" t="n">
        <v>4.46573109600205</v>
      </c>
      <c r="BO69" s="16" t="n">
        <v>5.7791095890411</v>
      </c>
      <c r="BP69" s="16" t="n">
        <v>8712.70308277889</v>
      </c>
      <c r="BQ69" s="16" t="n">
        <v>8176.87365522983</v>
      </c>
      <c r="BR69" s="16" t="n">
        <v>8176.87365522983</v>
      </c>
      <c r="BS69" s="16" t="n">
        <v>525.947206712391</v>
      </c>
      <c r="BT69" s="16" t="n">
        <v>301.7195</v>
      </c>
      <c r="BU69" s="16" t="n">
        <v>1081.9108</v>
      </c>
      <c r="BV69" s="16" t="s">
        <v>3237</v>
      </c>
      <c r="BW69" s="16" t="n">
        <v>42.7692307692308</v>
      </c>
      <c r="BX69" s="16" t="n">
        <v>0.155994305554286</v>
      </c>
      <c r="BY69" s="16" t="n">
        <v>0.139794847683292</v>
      </c>
      <c r="BZ69" s="16" t="n">
        <v>13510.8578038903</v>
      </c>
      <c r="CA69" s="16" t="n">
        <v>19402.010477409</v>
      </c>
      <c r="CB69" s="16" t="n">
        <v>308.040375632589</v>
      </c>
      <c r="CC69" s="16" t="n">
        <v>0</v>
      </c>
      <c r="CD69" s="16" t="n">
        <v>950.69728</v>
      </c>
      <c r="CE69" s="16" t="n">
        <v>12000</v>
      </c>
      <c r="CF69" s="16" t="n">
        <v>25.9255386658283</v>
      </c>
      <c r="CG69" s="16" t="n">
        <v>29.2958586923859</v>
      </c>
      <c r="CH69" s="16" t="n">
        <v>2643.77364301215</v>
      </c>
      <c r="CI69" s="16" t="n">
        <v>-6.2083733271085</v>
      </c>
      <c r="CJ69" s="16" t="n">
        <v>3.00594144553374</v>
      </c>
      <c r="CK69" s="16" t="n">
        <v>43325.8280140505</v>
      </c>
      <c r="CL69" s="16" t="n">
        <v>183.953717212391</v>
      </c>
      <c r="CM69" s="16" t="n">
        <v>209.321285462391</v>
      </c>
      <c r="CN69" s="16" t="n">
        <v>1000</v>
      </c>
      <c r="CO69" s="16" t="n">
        <v>1.5535546875</v>
      </c>
      <c r="CP69" s="16" t="n">
        <v>1.09004417261298</v>
      </c>
      <c r="CQ69" s="16" t="n">
        <v>0</v>
      </c>
      <c r="CR69" s="16" t="n">
        <v>88.837549419477</v>
      </c>
      <c r="CS69" s="16" t="n">
        <v>26.1032435239359</v>
      </c>
      <c r="CT69" s="16" t="n">
        <v>0</v>
      </c>
      <c r="CU69" s="16" t="n">
        <v>0.0113</v>
      </c>
      <c r="CV69" s="16" t="n">
        <v>4267830.07245314</v>
      </c>
      <c r="CW69" s="16" t="n">
        <v>797942.368891408</v>
      </c>
      <c r="CX69" s="16" t="n">
        <v>5065772.44134455</v>
      </c>
      <c r="CY69" s="16" t="n">
        <v>4267830.07245314</v>
      </c>
      <c r="CZ69" s="16" t="n">
        <v>1470.46337212691</v>
      </c>
      <c r="DA69" s="16" t="n">
        <v>25.9255386658283</v>
      </c>
      <c r="DB69" s="16" t="n">
        <v>16775.9595284851</v>
      </c>
      <c r="DC69" s="16" t="n">
        <v>12447.761970136</v>
      </c>
      <c r="DD69" s="16" t="n">
        <v>11144.3333333333</v>
      </c>
      <c r="DE69" s="16" t="n">
        <v>1921.25</v>
      </c>
      <c r="DF69" s="16" t="n">
        <v>4268144.99769814</v>
      </c>
      <c r="DG69" s="16" t="n">
        <v>209.321285462391</v>
      </c>
      <c r="DH69" s="16" t="n">
        <v>0</v>
      </c>
      <c r="DI69" s="16" t="n">
        <v>26.1033893221575</v>
      </c>
    </row>
    <row r="70" customFormat="false" ht="15" hidden="false" customHeight="false" outlineLevel="0" collapsed="false">
      <c r="A70" s="0" t="s">
        <v>3288</v>
      </c>
      <c r="B70" s="16" t="n">
        <v>2465.07954157611</v>
      </c>
      <c r="C70" s="16" t="n">
        <v>8209.24039226006</v>
      </c>
      <c r="D70" s="16" t="n">
        <v>19716.7966317894</v>
      </c>
      <c r="E70" s="16" t="n">
        <v>4213.14398474076</v>
      </c>
      <c r="F70" s="16" t="n">
        <v>-1195.22781970689</v>
      </c>
      <c r="G70" s="16" t="n">
        <v>5080.00218875724</v>
      </c>
      <c r="H70" s="16" t="n">
        <v>-8311.88609649389</v>
      </c>
      <c r="I70" s="17" t="n">
        <v>0.01</v>
      </c>
      <c r="J70" s="17" t="n">
        <v>0</v>
      </c>
      <c r="K70" s="16" t="s">
        <v>116</v>
      </c>
      <c r="L70" s="16" t="n">
        <v>1000</v>
      </c>
      <c r="M70" s="16" t="n">
        <v>36423.9369503452</v>
      </c>
      <c r="N70" s="16" t="n">
        <v>11402.7039831813</v>
      </c>
      <c r="O70" s="16" t="n">
        <v>1000</v>
      </c>
      <c r="P70" s="16" t="n">
        <v>951.290832135856</v>
      </c>
      <c r="Q70" s="16" t="n">
        <v>-903.939643256199</v>
      </c>
      <c r="R70" s="16" t="n">
        <v>17692.7129283315</v>
      </c>
      <c r="S70" s="16" t="n">
        <v>30359.8151826358</v>
      </c>
      <c r="T70" s="16" t="n">
        <v>-955.692204749296</v>
      </c>
      <c r="U70" s="16" t="n">
        <v>-8034.16830075234</v>
      </c>
      <c r="V70" s="16" t="n">
        <v>0.750319556751226</v>
      </c>
      <c r="W70" s="16" t="n">
        <v>47806.4845136719</v>
      </c>
      <c r="X70" s="16" t="n">
        <v>24674.8539880452</v>
      </c>
      <c r="Y70" s="16" t="n">
        <v>0</v>
      </c>
      <c r="Z70" s="16" t="n">
        <v>0</v>
      </c>
      <c r="AA70" s="16" t="n">
        <v>27.424347870838</v>
      </c>
      <c r="AB70" s="16" t="n">
        <v>25.224347870838</v>
      </c>
      <c r="AC70" s="16" t="n">
        <v>26.674347870838</v>
      </c>
      <c r="AD70" s="16" t="n">
        <v>27.2673434792775</v>
      </c>
      <c r="AE70" s="16" t="n">
        <v>674.686407680941</v>
      </c>
      <c r="AF70" s="16" t="n">
        <v>0.03</v>
      </c>
      <c r="AG70" s="16" t="n">
        <v>0.654405917289144</v>
      </c>
      <c r="AH70" s="16" t="n">
        <v>9744.92132309611</v>
      </c>
      <c r="AI70" s="16" t="n">
        <v>19716.7966317894</v>
      </c>
      <c r="AJ70" s="16" t="n">
        <v>16.69175</v>
      </c>
      <c r="AK70" s="16" t="n">
        <v>0</v>
      </c>
      <c r="AL70" s="16" t="n">
        <v>1000</v>
      </c>
      <c r="AM70" s="16" t="n">
        <v>812.6073</v>
      </c>
      <c r="AN70" s="16" t="n">
        <v>21458.9818425</v>
      </c>
      <c r="AO70" s="16" t="n">
        <v>-6060.00014199808</v>
      </c>
      <c r="AP70" s="16" t="n">
        <v>0.414483496940676</v>
      </c>
      <c r="AQ70" s="16" t="n">
        <v>78.3953011787023</v>
      </c>
      <c r="AR70" s="16" t="n">
        <v>552.846565133986</v>
      </c>
      <c r="AS70" s="16" t="n">
        <v>314.925245</v>
      </c>
      <c r="AT70" s="16" t="n">
        <v>1000</v>
      </c>
      <c r="AU70" s="16" t="n">
        <v>12.270507</v>
      </c>
      <c r="AV70" s="16" t="n">
        <v>0</v>
      </c>
      <c r="AW70" s="16" t="n">
        <v>2254.3125</v>
      </c>
      <c r="AX70" s="16" t="n">
        <v>314.925245</v>
      </c>
      <c r="AY70" s="16" t="n">
        <v>314.925245</v>
      </c>
      <c r="AZ70" s="16" t="n">
        <v>5631.62619515181</v>
      </c>
      <c r="BA70" s="16" t="n">
        <v>0</v>
      </c>
      <c r="BB70" s="16" t="n">
        <v>417.928966666667</v>
      </c>
      <c r="BC70" s="16" t="n">
        <v>123701.022279589</v>
      </c>
      <c r="BD70" s="16" t="n">
        <v>16.751694488301</v>
      </c>
      <c r="BE70" s="16" t="n">
        <v>25.4089871102374</v>
      </c>
      <c r="BF70" s="16" t="n">
        <v>39.6368423190398</v>
      </c>
      <c r="BG70" s="16" t="n">
        <v>-8.27711430924607</v>
      </c>
      <c r="BH70" s="16" t="n">
        <v>-13.4562326897455</v>
      </c>
      <c r="BI70" s="16" t="n">
        <v>1.09242813813745</v>
      </c>
      <c r="BJ70" s="16" t="n">
        <v>-3.9794168314247</v>
      </c>
      <c r="BK70" s="16" t="n">
        <v>5.25403316350504</v>
      </c>
      <c r="BL70" s="16" t="n">
        <v>0.505963209713203</v>
      </c>
      <c r="BM70" s="16" t="n">
        <v>3.71992671744367</v>
      </c>
      <c r="BN70" s="16" t="n">
        <v>4.46573109600205</v>
      </c>
      <c r="BO70" s="16" t="n">
        <v>5.7791095890411</v>
      </c>
      <c r="BP70" s="16" t="n">
        <v>8712.70308277889</v>
      </c>
      <c r="BQ70" s="16" t="n">
        <v>8176.87365522983</v>
      </c>
      <c r="BR70" s="16" t="n">
        <v>8176.87365522983</v>
      </c>
      <c r="BS70" s="16" t="n">
        <v>552.846565133986</v>
      </c>
      <c r="BT70" s="16" t="n">
        <v>301.7195</v>
      </c>
      <c r="BU70" s="16" t="n">
        <v>1081.9108</v>
      </c>
      <c r="BV70" s="16" t="s">
        <v>3237</v>
      </c>
      <c r="BW70" s="16" t="n">
        <v>42.7692307692308</v>
      </c>
      <c r="BX70" s="16" t="n">
        <v>0.155994305554286</v>
      </c>
      <c r="BY70" s="16" t="n">
        <v>0.11294089108571</v>
      </c>
      <c r="BZ70" s="16" t="n">
        <v>13510.8578038903</v>
      </c>
      <c r="CA70" s="16" t="n">
        <v>19402.010477409</v>
      </c>
      <c r="CB70" s="16" t="n">
        <v>348.853152256453</v>
      </c>
      <c r="CC70" s="16" t="n">
        <v>0</v>
      </c>
      <c r="CD70" s="16" t="n">
        <v>950.69728</v>
      </c>
      <c r="CE70" s="16" t="n">
        <v>12000</v>
      </c>
      <c r="CF70" s="16" t="n">
        <v>28.2399346010681</v>
      </c>
      <c r="CG70" s="16" t="n">
        <v>31.9111260992069</v>
      </c>
      <c r="CH70" s="16" t="n">
        <v>2643.77364301215</v>
      </c>
      <c r="CI70" s="16" t="n">
        <v>-6.2083733271085</v>
      </c>
      <c r="CJ70" s="16" t="n">
        <v>3.00594144553374</v>
      </c>
      <c r="CK70" s="16" t="n">
        <v>49661.3182358475</v>
      </c>
      <c r="CL70" s="16" t="n">
        <v>210.853075633986</v>
      </c>
      <c r="CM70" s="16" t="n">
        <v>236.220643883986</v>
      </c>
      <c r="CN70" s="16" t="n">
        <v>1000</v>
      </c>
      <c r="CO70" s="16" t="n">
        <v>1.5535546875</v>
      </c>
      <c r="CP70" s="16" t="n">
        <v>1.09004417261298</v>
      </c>
      <c r="CQ70" s="16" t="n">
        <v>0</v>
      </c>
      <c r="CR70" s="16" t="n">
        <v>88.5866903319335</v>
      </c>
      <c r="CS70" s="16" t="n">
        <v>20.6192945135773</v>
      </c>
      <c r="CT70" s="16" t="n">
        <v>0</v>
      </c>
      <c r="CU70" s="16" t="n">
        <v>0.0113</v>
      </c>
      <c r="CV70" s="16" t="n">
        <v>4828492.9239396</v>
      </c>
      <c r="CW70" s="16" t="n">
        <v>797942.368891408</v>
      </c>
      <c r="CX70" s="16" t="n">
        <v>5626435.29283101</v>
      </c>
      <c r="CY70" s="16" t="n">
        <v>4828492.9239396</v>
      </c>
      <c r="CZ70" s="16" t="n">
        <v>2054.4778557611</v>
      </c>
      <c r="DA70" s="16" t="n">
        <v>28.2399346010681</v>
      </c>
      <c r="DB70" s="16" t="n">
        <v>16775.9595284851</v>
      </c>
      <c r="DC70" s="16" t="n">
        <v>12447.761970136</v>
      </c>
      <c r="DD70" s="16" t="n">
        <v>11144.3333333333</v>
      </c>
      <c r="DE70" s="16" t="n">
        <v>1921.25</v>
      </c>
      <c r="DF70" s="16" t="n">
        <v>4828807.8491846</v>
      </c>
      <c r="DG70" s="16" t="n">
        <v>236.220643883986</v>
      </c>
      <c r="DH70" s="16" t="n">
        <v>0</v>
      </c>
      <c r="DI70" s="16" t="n">
        <v>20.6202712789124</v>
      </c>
    </row>
    <row r="71" customFormat="false" ht="15" hidden="false" customHeight="false" outlineLevel="0" collapsed="false">
      <c r="A71" s="0" t="s">
        <v>3289</v>
      </c>
      <c r="B71" s="16" t="n">
        <v>2465.07954157611</v>
      </c>
      <c r="C71" s="16" t="n">
        <v>8209.24039226006</v>
      </c>
      <c r="D71" s="16" t="n">
        <v>19716.7966317894</v>
      </c>
      <c r="E71" s="16" t="n">
        <v>4213.14398474076</v>
      </c>
      <c r="F71" s="16" t="n">
        <v>-1081.09013345689</v>
      </c>
      <c r="G71" s="16" t="n">
        <v>4965.86450250724</v>
      </c>
      <c r="H71" s="16" t="n">
        <v>13195.6867535589</v>
      </c>
      <c r="I71" s="17" t="n">
        <v>42.7828659760205</v>
      </c>
      <c r="J71" s="17" t="n">
        <v>50.6662632705658</v>
      </c>
      <c r="K71" s="16" t="s">
        <v>116</v>
      </c>
      <c r="L71" s="16" t="n">
        <v>1000</v>
      </c>
      <c r="M71" s="16" t="n">
        <v>31304.3812253452</v>
      </c>
      <c r="N71" s="16" t="n">
        <v>11402.7039831813</v>
      </c>
      <c r="O71" s="16" t="n">
        <v>1000</v>
      </c>
      <c r="P71" s="16" t="n">
        <v>951.290832135856</v>
      </c>
      <c r="Q71" s="16" t="n">
        <v>317.674014243801</v>
      </c>
      <c r="R71" s="16" t="n">
        <v>17554.7575533315</v>
      </c>
      <c r="S71" s="16" t="n">
        <v>24000.6784826358</v>
      </c>
      <c r="T71" s="16" t="n">
        <v>-955.692204749296</v>
      </c>
      <c r="U71" s="16" t="n">
        <v>13473.4045493004</v>
      </c>
      <c r="V71" s="16" t="n">
        <v>0.750319556751226</v>
      </c>
      <c r="W71" s="16" t="n">
        <v>52547.6019315848</v>
      </c>
      <c r="X71" s="16" t="n">
        <v>19959.3661006452</v>
      </c>
      <c r="Y71" s="16" t="n">
        <v>47.6628111816387</v>
      </c>
      <c r="Z71" s="16" t="n">
        <v>64.6957515701855</v>
      </c>
      <c r="AA71" s="16" t="n">
        <v>27.424347870838</v>
      </c>
      <c r="AB71" s="16" t="n">
        <v>25.224347870838</v>
      </c>
      <c r="AC71" s="16" t="n">
        <v>26.674347870838</v>
      </c>
      <c r="AD71" s="16" t="n">
        <v>27.2673434792775</v>
      </c>
      <c r="AE71" s="16" t="n">
        <v>674.686407680941</v>
      </c>
      <c r="AF71" s="16" t="n">
        <v>0.03</v>
      </c>
      <c r="AG71" s="16" t="n">
        <v>0.654405917289144</v>
      </c>
      <c r="AH71" s="16" t="n">
        <v>9882.87669809611</v>
      </c>
      <c r="AI71" s="16" t="n">
        <v>19716.7966317894</v>
      </c>
      <c r="AJ71" s="16" t="n">
        <v>16.69175</v>
      </c>
      <c r="AK71" s="16" t="n">
        <v>0</v>
      </c>
      <c r="AL71" s="16" t="n">
        <v>1000</v>
      </c>
      <c r="AM71" s="16" t="n">
        <v>812.6073</v>
      </c>
      <c r="AN71" s="16" t="n">
        <v>18922.31607</v>
      </c>
      <c r="AO71" s="16" t="n">
        <v>-5045.92137660767</v>
      </c>
      <c r="AP71" s="16" t="n">
        <v>0.414483496940676</v>
      </c>
      <c r="AQ71" s="16" t="n">
        <v>95.3468226618483</v>
      </c>
      <c r="AR71" s="16" t="n">
        <v>467.067050091394</v>
      </c>
      <c r="AS71" s="16" t="n">
        <v>314.925245</v>
      </c>
      <c r="AT71" s="16" t="n">
        <v>1000</v>
      </c>
      <c r="AU71" s="16" t="n">
        <v>12.270507</v>
      </c>
      <c r="AV71" s="16" t="n">
        <v>0</v>
      </c>
      <c r="AW71" s="16" t="n">
        <v>2254.3125</v>
      </c>
      <c r="AX71" s="16" t="n">
        <v>314.925245</v>
      </c>
      <c r="AY71" s="16" t="n">
        <v>314.925245</v>
      </c>
      <c r="AZ71" s="16" t="n">
        <v>6356.95952848514</v>
      </c>
      <c r="BA71" s="16" t="n">
        <v>0</v>
      </c>
      <c r="BB71" s="16" t="n">
        <v>417.928966666667</v>
      </c>
      <c r="BC71" s="16" t="n">
        <v>100810.304379589</v>
      </c>
      <c r="BD71" s="16" t="n">
        <v>19.0548865786441</v>
      </c>
      <c r="BE71" s="16" t="n">
        <v>27.7121792005804</v>
      </c>
      <c r="BF71" s="16" t="n">
        <v>41.9400344093829</v>
      </c>
      <c r="BG71" s="16" t="n">
        <v>-8.27711430924607</v>
      </c>
      <c r="BH71" s="16" t="n">
        <v>-2.23462588068707</v>
      </c>
      <c r="BI71" s="16" t="n">
        <v>1.09242813813745</v>
      </c>
      <c r="BJ71" s="16" t="n">
        <v>7.09486782661321</v>
      </c>
      <c r="BK71" s="16" t="n">
        <v>5.25403316350504</v>
      </c>
      <c r="BL71" s="16" t="n">
        <v>14.0795994915023</v>
      </c>
      <c r="BM71" s="16" t="n">
        <v>3.71992671744367</v>
      </c>
      <c r="BN71" s="16" t="n">
        <v>4.46573109600205</v>
      </c>
      <c r="BO71" s="16" t="n">
        <v>5.7791095890411</v>
      </c>
      <c r="BP71" s="16" t="n">
        <v>8712.70308277889</v>
      </c>
      <c r="BQ71" s="16" t="n">
        <v>8176.87365522983</v>
      </c>
      <c r="BR71" s="16" t="n">
        <v>8176.87365522983</v>
      </c>
      <c r="BS71" s="16" t="n">
        <v>467.067050091394</v>
      </c>
      <c r="BT71" s="16" t="n">
        <v>301.7195</v>
      </c>
      <c r="BU71" s="16" t="n">
        <v>1081.9108</v>
      </c>
      <c r="BV71" s="16" t="s">
        <v>3238</v>
      </c>
      <c r="BW71" s="16" t="n">
        <v>42.7692307692308</v>
      </c>
      <c r="BX71" s="16" t="n">
        <v>0.155994305554286</v>
      </c>
      <c r="BY71" s="16" t="n">
        <v>0.213851354521278</v>
      </c>
      <c r="BZ71" s="16" t="n">
        <v>13510.8578038903</v>
      </c>
      <c r="CA71" s="16" t="n">
        <v>19402.010477409</v>
      </c>
      <c r="CB71" s="16" t="n">
        <v>218.452703037424</v>
      </c>
      <c r="CC71" s="16" t="n">
        <v>0</v>
      </c>
      <c r="CD71" s="16" t="n">
        <v>950.69728</v>
      </c>
      <c r="CE71" s="16" t="n">
        <v>12000</v>
      </c>
      <c r="CF71" s="16" t="n">
        <v>23.1220025221843</v>
      </c>
      <c r="CG71" s="16" t="n">
        <v>26.1278628500683</v>
      </c>
      <c r="CH71" s="16" t="n">
        <v>2643.77364301215</v>
      </c>
      <c r="CI71" s="16" t="n">
        <v>-6.2083733271085</v>
      </c>
      <c r="CJ71" s="16" t="n">
        <v>3.00594144553374</v>
      </c>
      <c r="CK71" s="16" t="n">
        <v>29346.5316027617</v>
      </c>
      <c r="CL71" s="16" t="n">
        <v>124.600124753951</v>
      </c>
      <c r="CM71" s="16" t="n">
        <v>149.967693003951</v>
      </c>
      <c r="CN71" s="16" t="n">
        <v>1000</v>
      </c>
      <c r="CO71" s="16" t="n">
        <v>1.5535546875</v>
      </c>
      <c r="CP71" s="16" t="n">
        <v>0.90519877675841</v>
      </c>
      <c r="CQ71" s="16" t="n">
        <v>50.6662632705658</v>
      </c>
      <c r="CR71" s="16" t="n">
        <v>107.741909607889</v>
      </c>
      <c r="CS71" s="16" t="n">
        <v>63.403739133522</v>
      </c>
      <c r="CT71" s="16" t="n">
        <v>44.8374011243946</v>
      </c>
      <c r="CU71" s="16" t="n">
        <v>50.6662632705658</v>
      </c>
      <c r="CV71" s="16" t="n">
        <v>675.936633111195</v>
      </c>
      <c r="CW71" s="16" t="n">
        <v>177.963563650274</v>
      </c>
      <c r="CX71" s="16" t="n">
        <v>853.90019676147</v>
      </c>
      <c r="CY71" s="16" t="n">
        <v>675.936633111195</v>
      </c>
      <c r="CZ71" s="16" t="n">
        <v>477.06064328834</v>
      </c>
      <c r="DA71" s="16" t="n">
        <v>23.1220025221843</v>
      </c>
      <c r="DB71" s="16" t="n">
        <v>16775.9595284851</v>
      </c>
      <c r="DC71" s="16" t="n">
        <v>12447.761970136</v>
      </c>
      <c r="DD71" s="16" t="n">
        <v>10419</v>
      </c>
      <c r="DE71" s="16" t="n">
        <v>1921.25</v>
      </c>
      <c r="DF71" s="16" t="n">
        <v>990.861878111195</v>
      </c>
      <c r="DG71" s="16" t="n">
        <v>149.967693003951</v>
      </c>
      <c r="DH71" s="16" t="n">
        <v>0</v>
      </c>
      <c r="DI71" s="16" t="n">
        <v>63.4037391345227</v>
      </c>
    </row>
    <row r="72" customFormat="false" ht="15" hidden="false" customHeight="false" outlineLevel="0" collapsed="false">
      <c r="A72" s="0" t="s">
        <v>3290</v>
      </c>
      <c r="B72" s="16" t="n">
        <v>2465.07954157611</v>
      </c>
      <c r="C72" s="16" t="n">
        <v>8209.24039226006</v>
      </c>
      <c r="D72" s="16" t="n">
        <v>19716.7966317894</v>
      </c>
      <c r="E72" s="16" t="n">
        <v>4213.14398474076</v>
      </c>
      <c r="F72" s="16" t="n">
        <v>-1200.29031970689</v>
      </c>
      <c r="G72" s="16" t="n">
        <v>5085.06468875724</v>
      </c>
      <c r="H72" s="16" t="n">
        <v>-8598.20144405223</v>
      </c>
      <c r="I72" s="17" t="n">
        <v>0.01</v>
      </c>
      <c r="J72" s="17" t="n">
        <v>0</v>
      </c>
      <c r="K72" s="16" t="s">
        <v>116</v>
      </c>
      <c r="L72" s="16" t="n">
        <v>1000</v>
      </c>
      <c r="M72" s="16" t="n">
        <v>36727.6869503452</v>
      </c>
      <c r="N72" s="16" t="n">
        <v>11402.7039831813</v>
      </c>
      <c r="O72" s="16" t="n">
        <v>1000</v>
      </c>
      <c r="P72" s="16" t="n">
        <v>951.290832135856</v>
      </c>
      <c r="Q72" s="16" t="n">
        <v>-964.689643256198</v>
      </c>
      <c r="R72" s="16" t="n">
        <v>17692.7129283315</v>
      </c>
      <c r="S72" s="16" t="n">
        <v>30461.0651826358</v>
      </c>
      <c r="T72" s="16" t="n">
        <v>-955.692204749296</v>
      </c>
      <c r="U72" s="16" t="n">
        <v>-8320.48364831068</v>
      </c>
      <c r="V72" s="16" t="n">
        <v>0.750319556751226</v>
      </c>
      <c r="W72" s="16" t="n">
        <v>47860.673520123</v>
      </c>
      <c r="X72" s="16" t="n">
        <v>24758.2839880452</v>
      </c>
      <c r="Y72" s="16" t="n">
        <v>0</v>
      </c>
      <c r="Z72" s="16" t="n">
        <v>0</v>
      </c>
      <c r="AA72" s="16" t="n">
        <v>27.424347870838</v>
      </c>
      <c r="AB72" s="16" t="n">
        <v>25.224347870838</v>
      </c>
      <c r="AC72" s="16" t="n">
        <v>26.674347870838</v>
      </c>
      <c r="AD72" s="16" t="n">
        <v>27.2673434792775</v>
      </c>
      <c r="AE72" s="16" t="n">
        <v>674.686407680941</v>
      </c>
      <c r="AF72" s="16" t="n">
        <v>0.03</v>
      </c>
      <c r="AG72" s="16" t="n">
        <v>0.654405917289144</v>
      </c>
      <c r="AH72" s="16" t="n">
        <v>9744.92132309611</v>
      </c>
      <c r="AI72" s="16" t="n">
        <v>19716.7966317894</v>
      </c>
      <c r="AJ72" s="16" t="n">
        <v>16.69175</v>
      </c>
      <c r="AK72" s="16" t="n">
        <v>0</v>
      </c>
      <c r="AL72" s="16" t="n">
        <v>1000</v>
      </c>
      <c r="AM72" s="16" t="n">
        <v>812.6073</v>
      </c>
      <c r="AN72" s="16" t="n">
        <v>21458.9818425</v>
      </c>
      <c r="AO72" s="16" t="n">
        <v>-6060.00014199808</v>
      </c>
      <c r="AP72" s="16" t="n">
        <v>0.414483496940676</v>
      </c>
      <c r="AQ72" s="16" t="n">
        <v>78.3662323618897</v>
      </c>
      <c r="AR72" s="16" t="n">
        <v>554.566122702438</v>
      </c>
      <c r="AS72" s="16" t="n">
        <v>314.925245</v>
      </c>
      <c r="AT72" s="16" t="n">
        <v>1000</v>
      </c>
      <c r="AU72" s="16" t="n">
        <v>12.270507</v>
      </c>
      <c r="AV72" s="16" t="n">
        <v>0</v>
      </c>
      <c r="AW72" s="16" t="n">
        <v>2254.3125</v>
      </c>
      <c r="AX72" s="16" t="n">
        <v>314.925245</v>
      </c>
      <c r="AY72" s="16" t="n">
        <v>314.925245</v>
      </c>
      <c r="AZ72" s="16" t="n">
        <v>4767.62619515181</v>
      </c>
      <c r="BA72" s="16" t="n">
        <v>0</v>
      </c>
      <c r="BB72" s="16" t="n">
        <v>417.928966666667</v>
      </c>
      <c r="BC72" s="16" t="n">
        <v>124106.022279589</v>
      </c>
      <c r="BD72" s="16" t="n">
        <v>14.0081862630395</v>
      </c>
      <c r="BE72" s="16" t="n">
        <v>22.6654788849759</v>
      </c>
      <c r="BF72" s="16" t="n">
        <v>36.8933340937783</v>
      </c>
      <c r="BG72" s="16" t="n">
        <v>-8.27711430924607</v>
      </c>
      <c r="BH72" s="16" t="n">
        <v>-13.4562326897455</v>
      </c>
      <c r="BI72" s="16" t="n">
        <v>1.09242813813745</v>
      </c>
      <c r="BJ72" s="16" t="n">
        <v>-3.9794168314247</v>
      </c>
      <c r="BK72" s="16" t="n">
        <v>5.25403316350504</v>
      </c>
      <c r="BL72" s="16" t="n">
        <v>0.505963209713203</v>
      </c>
      <c r="BM72" s="16" t="n">
        <v>3.71992671744367</v>
      </c>
      <c r="BN72" s="16" t="n">
        <v>4.46573109600205</v>
      </c>
      <c r="BO72" s="16" t="n">
        <v>5.7791095890411</v>
      </c>
      <c r="BP72" s="16" t="n">
        <v>8712.70308277889</v>
      </c>
      <c r="BQ72" s="16" t="n">
        <v>8176.87365522983</v>
      </c>
      <c r="BR72" s="16" t="n">
        <v>8176.87365522983</v>
      </c>
      <c r="BS72" s="16" t="n">
        <v>554.566122702438</v>
      </c>
      <c r="BT72" s="16" t="n">
        <v>301.7195</v>
      </c>
      <c r="BU72" s="16" t="n">
        <v>1081.9108</v>
      </c>
      <c r="BV72" s="16" t="s">
        <v>3237</v>
      </c>
      <c r="BW72" s="16" t="n">
        <v>42.7692307692308</v>
      </c>
      <c r="BX72" s="16" t="n">
        <v>0.155994305554286</v>
      </c>
      <c r="BY72" s="16" t="n">
        <v>0.11294089108571</v>
      </c>
      <c r="BZ72" s="16" t="n">
        <v>13510.8578038903</v>
      </c>
      <c r="CA72" s="16" t="n">
        <v>19402.010477409</v>
      </c>
      <c r="CB72" s="16" t="n">
        <v>351.488621151469</v>
      </c>
      <c r="CC72" s="16" t="n">
        <v>0</v>
      </c>
      <c r="CD72" s="16" t="n">
        <v>950.69728</v>
      </c>
      <c r="CE72" s="16" t="n">
        <v>12000</v>
      </c>
      <c r="CF72" s="16" t="n">
        <v>25.6443755195914</v>
      </c>
      <c r="CG72" s="16" t="n">
        <v>28.9781443371383</v>
      </c>
      <c r="CH72" s="16" t="n">
        <v>2643.77364301215</v>
      </c>
      <c r="CI72" s="16" t="n">
        <v>-6.2083733271085</v>
      </c>
      <c r="CJ72" s="16" t="n">
        <v>3.00594144553374</v>
      </c>
      <c r="CK72" s="16" t="n">
        <v>50066.3182358475</v>
      </c>
      <c r="CL72" s="16" t="n">
        <v>212.572633202438</v>
      </c>
      <c r="CM72" s="16" t="n">
        <v>237.940201452438</v>
      </c>
      <c r="CN72" s="16" t="n">
        <v>1000</v>
      </c>
      <c r="CO72" s="16" t="n">
        <v>1.5535546875</v>
      </c>
      <c r="CP72" s="16" t="n">
        <v>1.31022765885151</v>
      </c>
      <c r="CQ72" s="16" t="n">
        <v>0</v>
      </c>
      <c r="CR72" s="16" t="n">
        <v>88.5538425689354</v>
      </c>
      <c r="CS72" s="16" t="n">
        <v>20.6974851334914</v>
      </c>
      <c r="CT72" s="16" t="n">
        <v>0</v>
      </c>
      <c r="CU72" s="16" t="n">
        <v>0.0113</v>
      </c>
      <c r="CV72" s="16" t="n">
        <v>4864333.63190421</v>
      </c>
      <c r="CW72" s="16" t="n">
        <v>797942.368891408</v>
      </c>
      <c r="CX72" s="16" t="n">
        <v>5662276.00079561</v>
      </c>
      <c r="CY72" s="16" t="n">
        <v>4864333.63190421</v>
      </c>
      <c r="CZ72" s="16" t="n">
        <v>2052.00647145108</v>
      </c>
      <c r="DA72" s="16" t="n">
        <v>25.6443755195914</v>
      </c>
      <c r="DB72" s="16" t="n">
        <v>16775.9595284851</v>
      </c>
      <c r="DC72" s="16" t="n">
        <v>12447.761970136</v>
      </c>
      <c r="DD72" s="16" t="n">
        <v>12008.3333333333</v>
      </c>
      <c r="DE72" s="16" t="n">
        <v>1921.25</v>
      </c>
      <c r="DF72" s="16" t="n">
        <v>4864648.55714921</v>
      </c>
      <c r="DG72" s="16" t="n">
        <v>237.940201452438</v>
      </c>
      <c r="DH72" s="16" t="n">
        <v>0</v>
      </c>
      <c r="DI72" s="16" t="n">
        <v>20.6983992925378</v>
      </c>
    </row>
    <row r="73" customFormat="false" ht="15" hidden="false" customHeight="false" outlineLevel="0" collapsed="false">
      <c r="A73" s="0" t="s">
        <v>3291</v>
      </c>
      <c r="B73" s="16" t="n">
        <v>2465.07954157611</v>
      </c>
      <c r="C73" s="16" t="n">
        <v>8209.24039226006</v>
      </c>
      <c r="D73" s="16" t="n">
        <v>19716.7966317894</v>
      </c>
      <c r="E73" s="16" t="n">
        <v>4213.14398474076</v>
      </c>
      <c r="F73" s="16" t="n">
        <v>-1059.62759845689</v>
      </c>
      <c r="G73" s="16" t="n">
        <v>4944.40196750724</v>
      </c>
      <c r="H73" s="16" t="n">
        <v>19924.6981599706</v>
      </c>
      <c r="I73" s="17" t="n">
        <v>64.0358774651789</v>
      </c>
      <c r="J73" s="17" t="n">
        <v>73.186753502695</v>
      </c>
      <c r="K73" s="16" t="s">
        <v>116</v>
      </c>
      <c r="L73" s="16" t="n">
        <v>1000</v>
      </c>
      <c r="M73" s="16" t="n">
        <v>30341.4865253452</v>
      </c>
      <c r="N73" s="16" t="n">
        <v>11402.7039831813</v>
      </c>
      <c r="O73" s="16" t="n">
        <v>1000</v>
      </c>
      <c r="P73" s="16" t="n">
        <v>951.290832135856</v>
      </c>
      <c r="Q73" s="16" t="n">
        <v>547.405104243802</v>
      </c>
      <c r="R73" s="16" t="n">
        <v>17528.8330533315</v>
      </c>
      <c r="S73" s="16" t="n">
        <v>22805.3960826358</v>
      </c>
      <c r="T73" s="16" t="n">
        <v>-955.692204749296</v>
      </c>
      <c r="U73" s="16" t="n">
        <v>20384.3229914173</v>
      </c>
      <c r="V73" s="16" t="n">
        <v>0.750319556751226</v>
      </c>
      <c r="W73" s="16" t="n">
        <v>56161.7988033248</v>
      </c>
      <c r="X73" s="16" t="n">
        <v>19280.5806421848</v>
      </c>
      <c r="Y73" s="16" t="n">
        <v>68.8483063092315</v>
      </c>
      <c r="Z73" s="16" t="n">
        <v>93.4521655475912</v>
      </c>
      <c r="AA73" s="16" t="n">
        <v>27.424347870838</v>
      </c>
      <c r="AB73" s="16" t="n">
        <v>25.224347870838</v>
      </c>
      <c r="AC73" s="16" t="n">
        <v>26.674347870838</v>
      </c>
      <c r="AD73" s="16" t="n">
        <v>27.2673434792775</v>
      </c>
      <c r="AE73" s="16" t="n">
        <v>674.686407680941</v>
      </c>
      <c r="AF73" s="16" t="n">
        <v>0.03</v>
      </c>
      <c r="AG73" s="16" t="n">
        <v>0.654405917289144</v>
      </c>
      <c r="AH73" s="16" t="n">
        <v>9908.80119809611</v>
      </c>
      <c r="AI73" s="16" t="n">
        <v>19716.7966317894</v>
      </c>
      <c r="AJ73" s="16" t="n">
        <v>16.69175</v>
      </c>
      <c r="AK73" s="16" t="n">
        <v>0</v>
      </c>
      <c r="AL73" s="16" t="n">
        <v>1000</v>
      </c>
      <c r="AM73" s="16" t="n">
        <v>812.6073</v>
      </c>
      <c r="AN73" s="16" t="n">
        <v>18445.6272</v>
      </c>
      <c r="AO73" s="16" t="n">
        <v>-4855.35623948733</v>
      </c>
      <c r="AP73" s="16" t="n">
        <v>0.414483496940676</v>
      </c>
      <c r="AQ73" s="16" t="n">
        <v>105.20340812109</v>
      </c>
      <c r="AR73" s="16" t="n">
        <v>451.820002040156</v>
      </c>
      <c r="AS73" s="16" t="n">
        <v>318.3265975</v>
      </c>
      <c r="AT73" s="16" t="n">
        <v>1000</v>
      </c>
      <c r="AU73" s="16" t="n">
        <v>12.270507</v>
      </c>
      <c r="AV73" s="16" t="n">
        <v>0</v>
      </c>
      <c r="AW73" s="16" t="n">
        <v>2254.3125</v>
      </c>
      <c r="AX73" s="16" t="n">
        <v>318.3265975</v>
      </c>
      <c r="AY73" s="16" t="n">
        <v>315.485892524822</v>
      </c>
      <c r="AZ73" s="16" t="n">
        <v>6495.62619515181</v>
      </c>
      <c r="BA73" s="16" t="n">
        <v>0</v>
      </c>
      <c r="BB73" s="16" t="n">
        <v>417.928966666667</v>
      </c>
      <c r="BC73" s="16" t="n">
        <v>96507.5855795891</v>
      </c>
      <c r="BD73" s="16" t="n">
        <v>19.4952027135626</v>
      </c>
      <c r="BE73" s="16" t="n">
        <v>28.1524953354989</v>
      </c>
      <c r="BF73" s="16" t="n">
        <v>42.3803505443014</v>
      </c>
      <c r="BG73" s="16" t="n">
        <v>-8.27711430924607</v>
      </c>
      <c r="BH73" s="16" t="n">
        <v>-0.153552253673234</v>
      </c>
      <c r="BI73" s="16" t="n">
        <v>1.09242813813745</v>
      </c>
      <c r="BJ73" s="16" t="n">
        <v>9.17594145362704</v>
      </c>
      <c r="BK73" s="16" t="n">
        <v>5.25403316350504</v>
      </c>
      <c r="BL73" s="16" t="n">
        <v>16.6303499337177</v>
      </c>
      <c r="BM73" s="16" t="n">
        <v>3.71992671744367</v>
      </c>
      <c r="BN73" s="16" t="n">
        <v>4.46573109600205</v>
      </c>
      <c r="BO73" s="16" t="n">
        <v>5.7791095890411</v>
      </c>
      <c r="BP73" s="16" t="n">
        <v>8712.70308277889</v>
      </c>
      <c r="BQ73" s="16" t="n">
        <v>8176.87365522983</v>
      </c>
      <c r="BR73" s="16" t="n">
        <v>8176.87365522983</v>
      </c>
      <c r="BS73" s="16" t="n">
        <v>451.820002040156</v>
      </c>
      <c r="BT73" s="16" t="n">
        <v>301.7195</v>
      </c>
      <c r="BU73" s="16" t="n">
        <v>1081.9108</v>
      </c>
      <c r="BV73" s="16" t="s">
        <v>3238</v>
      </c>
      <c r="BW73" s="16" t="n">
        <v>42.7692307692308</v>
      </c>
      <c r="BX73" s="16" t="n">
        <v>0.155994305554286</v>
      </c>
      <c r="BY73" s="16" t="n">
        <v>0.239371535298329</v>
      </c>
      <c r="BZ73" s="16" t="n">
        <v>13328.9507681851</v>
      </c>
      <c r="CA73" s="16" t="n">
        <v>19402.010477409</v>
      </c>
      <c r="CB73" s="16" t="n">
        <v>191.609599930912</v>
      </c>
      <c r="CC73" s="16" t="n">
        <v>0</v>
      </c>
      <c r="CD73" s="16" t="n">
        <v>950.69728</v>
      </c>
      <c r="CE73" s="16" t="n">
        <v>12000</v>
      </c>
      <c r="CF73" s="16" t="n">
        <v>22.1999567186171</v>
      </c>
      <c r="CG73" s="16" t="n">
        <v>25.0859510920373</v>
      </c>
      <c r="CH73" s="16" t="n">
        <v>2643.77364301215</v>
      </c>
      <c r="CI73" s="16" t="n">
        <v>-6.2083733271085</v>
      </c>
      <c r="CJ73" s="16" t="n">
        <v>3.00594144553374</v>
      </c>
      <c r="CK73" s="16" t="n">
        <v>25617.1650719955</v>
      </c>
      <c r="CL73" s="16" t="n">
        <v>108.765901436639</v>
      </c>
      <c r="CM73" s="16" t="n">
        <v>134.133469686639</v>
      </c>
      <c r="CN73" s="16" t="n">
        <v>1000</v>
      </c>
      <c r="CO73" s="16" t="n">
        <v>1.5535546875</v>
      </c>
      <c r="CP73" s="16" t="n">
        <v>0.869860686374448</v>
      </c>
      <c r="CQ73" s="16" t="n">
        <v>73.186753502695</v>
      </c>
      <c r="CR73" s="16" t="n">
        <v>118.879851176832</v>
      </c>
      <c r="CS73" s="16" t="n">
        <v>81.8316912587718</v>
      </c>
      <c r="CT73" s="16" t="n">
        <v>64.7670384979602</v>
      </c>
      <c r="CU73" s="16" t="n">
        <v>73.186753502695</v>
      </c>
      <c r="CV73" s="16" t="n">
        <v>417.281405289245</v>
      </c>
      <c r="CW73" s="16" t="n">
        <v>123.201922983794</v>
      </c>
      <c r="CX73" s="16" t="n">
        <v>540.483328273038</v>
      </c>
      <c r="CY73" s="16" t="n">
        <v>417.281405289245</v>
      </c>
      <c r="CZ73" s="16" t="n">
        <v>339.749301784291</v>
      </c>
      <c r="DA73" s="16" t="n">
        <v>22.1999567186171</v>
      </c>
      <c r="DB73" s="16" t="n">
        <v>16775.9595284851</v>
      </c>
      <c r="DC73" s="16" t="n">
        <v>12447.761970136</v>
      </c>
      <c r="DD73" s="16" t="n">
        <v>10280.3333333333</v>
      </c>
      <c r="DE73" s="16" t="n">
        <v>1818.4375</v>
      </c>
      <c r="DF73" s="16" t="n">
        <v>733.907326539245</v>
      </c>
      <c r="DG73" s="16" t="n">
        <v>134.133469686639</v>
      </c>
      <c r="DH73" s="16" t="n">
        <v>0</v>
      </c>
      <c r="DI73" s="16" t="n">
        <v>81.8316912587755</v>
      </c>
    </row>
    <row r="74" customFormat="false" ht="15" hidden="false" customHeight="false" outlineLevel="0" collapsed="false">
      <c r="A74" s="0" t="s">
        <v>3292</v>
      </c>
      <c r="B74" s="16" t="n">
        <v>2465.07954157611</v>
      </c>
      <c r="C74" s="16" t="n">
        <v>8209.24039226006</v>
      </c>
      <c r="D74" s="16" t="n">
        <v>19716.7966317894</v>
      </c>
      <c r="E74" s="16" t="n">
        <v>4213.14398474076</v>
      </c>
      <c r="F74" s="16" t="n">
        <v>-1135.49021845689</v>
      </c>
      <c r="G74" s="16" t="n">
        <v>5020.26458750724</v>
      </c>
      <c r="H74" s="16" t="n">
        <v>-6279.41638295433</v>
      </c>
      <c r="I74" s="17" t="n">
        <v>0.01</v>
      </c>
      <c r="J74" s="17" t="n">
        <v>0</v>
      </c>
      <c r="K74" s="16" t="s">
        <v>116</v>
      </c>
      <c r="L74" s="16" t="n">
        <v>1000</v>
      </c>
      <c r="M74" s="16" t="n">
        <v>33779.4469253452</v>
      </c>
      <c r="N74" s="16" t="n">
        <v>11402.7039831813</v>
      </c>
      <c r="O74" s="16" t="n">
        <v>1000</v>
      </c>
      <c r="P74" s="16" t="n">
        <v>951.290832135856</v>
      </c>
      <c r="Q74" s="16" t="n">
        <v>-267.565775756198</v>
      </c>
      <c r="R74" s="16" t="n">
        <v>17617.7170533315</v>
      </c>
      <c r="S74" s="16" t="n">
        <v>26949.0428826358</v>
      </c>
      <c r="T74" s="16" t="n">
        <v>-955.692204749296</v>
      </c>
      <c r="U74" s="16" t="n">
        <v>-6001.69858721278</v>
      </c>
      <c r="V74" s="16" t="n">
        <v>0.750319556751226</v>
      </c>
      <c r="W74" s="16" t="n">
        <v>41088.9023061858</v>
      </c>
      <c r="X74" s="16" t="n">
        <v>23646.6926524051</v>
      </c>
      <c r="Y74" s="16" t="n">
        <v>0</v>
      </c>
      <c r="Z74" s="16" t="n">
        <v>0</v>
      </c>
      <c r="AA74" s="16" t="n">
        <v>27.424347870838</v>
      </c>
      <c r="AB74" s="16" t="n">
        <v>25.224347870838</v>
      </c>
      <c r="AC74" s="16" t="n">
        <v>26.674347870838</v>
      </c>
      <c r="AD74" s="16" t="n">
        <v>27.2673434792775</v>
      </c>
      <c r="AE74" s="16" t="n">
        <v>674.686407680941</v>
      </c>
      <c r="AF74" s="16" t="n">
        <v>0.03</v>
      </c>
      <c r="AG74" s="16" t="n">
        <v>0.654405917289144</v>
      </c>
      <c r="AH74" s="16" t="n">
        <v>9819.91719809611</v>
      </c>
      <c r="AI74" s="16" t="n">
        <v>19716.7966317894</v>
      </c>
      <c r="AJ74" s="16" t="n">
        <v>16.69175</v>
      </c>
      <c r="AK74" s="16" t="n">
        <v>0</v>
      </c>
      <c r="AL74" s="16" t="n">
        <v>1000</v>
      </c>
      <c r="AM74" s="16" t="n">
        <v>812.6073</v>
      </c>
      <c r="AN74" s="16" t="n">
        <v>20079.98904</v>
      </c>
      <c r="AO74" s="16" t="n">
        <v>-5508.72242389994</v>
      </c>
      <c r="AP74" s="16" t="n">
        <v>0.414483496940676</v>
      </c>
      <c r="AQ74" s="16" t="n">
        <v>68.0927715511174</v>
      </c>
      <c r="AR74" s="16" t="n">
        <v>506.689647842174</v>
      </c>
      <c r="AS74" s="16" t="n">
        <v>314.925245</v>
      </c>
      <c r="AT74" s="16" t="n">
        <v>1000</v>
      </c>
      <c r="AU74" s="16" t="n">
        <v>12.270507</v>
      </c>
      <c r="AV74" s="16" t="n">
        <v>0</v>
      </c>
      <c r="AW74" s="16" t="n">
        <v>2254.3125</v>
      </c>
      <c r="AX74" s="16" t="n">
        <v>314.925245</v>
      </c>
      <c r="AY74" s="16" t="n">
        <v>314.925245</v>
      </c>
      <c r="AZ74" s="16" t="n">
        <v>5631.62619515181</v>
      </c>
      <c r="BA74" s="16" t="n">
        <v>0</v>
      </c>
      <c r="BB74" s="16" t="n">
        <v>417.928966666667</v>
      </c>
      <c r="BC74" s="16" t="n">
        <v>111441.907179589</v>
      </c>
      <c r="BD74" s="16" t="n">
        <v>16.751694488301</v>
      </c>
      <c r="BE74" s="16" t="n">
        <v>25.4089871102374</v>
      </c>
      <c r="BF74" s="16" t="n">
        <v>39.6368423190398</v>
      </c>
      <c r="BG74" s="16" t="n">
        <v>-11.0314465475447</v>
      </c>
      <c r="BH74" s="16" t="n">
        <v>-9.93731225780438</v>
      </c>
      <c r="BI74" s="16" t="n">
        <v>-1.66190410016121</v>
      </c>
      <c r="BJ74" s="16" t="n">
        <v>-0.60781855050411</v>
      </c>
      <c r="BK74" s="16" t="n">
        <v>1.54199510649876</v>
      </c>
      <c r="BL74" s="16" t="n">
        <v>4.31531010784983</v>
      </c>
      <c r="BM74" s="16" t="n">
        <v>3.71992671744367</v>
      </c>
      <c r="BN74" s="16" t="n">
        <v>4.46573109600205</v>
      </c>
      <c r="BO74" s="16" t="n">
        <v>5.7791095890411</v>
      </c>
      <c r="BP74" s="16" t="n">
        <v>8712.70308277889</v>
      </c>
      <c r="BQ74" s="16" t="n">
        <v>8176.87365522983</v>
      </c>
      <c r="BR74" s="16" t="n">
        <v>8176.87365522983</v>
      </c>
      <c r="BS74" s="16" t="n">
        <v>506.689647842174</v>
      </c>
      <c r="BT74" s="16" t="n">
        <v>301.7195</v>
      </c>
      <c r="BU74" s="16" t="n">
        <v>1081.9108</v>
      </c>
      <c r="BV74" s="16" t="s">
        <v>3237</v>
      </c>
      <c r="BW74" s="16" t="n">
        <v>42.7692307692308</v>
      </c>
      <c r="BX74" s="16" t="n">
        <v>0.124596585374074</v>
      </c>
      <c r="BY74" s="16" t="n">
        <v>0.139854277891968</v>
      </c>
      <c r="BZ74" s="16" t="n">
        <v>13510.8578038903</v>
      </c>
      <c r="CA74" s="16" t="n">
        <v>19402.010477409</v>
      </c>
      <c r="CB74" s="16" t="n">
        <v>278.82667542525</v>
      </c>
      <c r="CC74" s="16" t="n">
        <v>0</v>
      </c>
      <c r="CD74" s="16" t="n">
        <v>950.69728</v>
      </c>
      <c r="CE74" s="16" t="n">
        <v>12000</v>
      </c>
      <c r="CF74" s="16" t="n">
        <v>24.2686361005949</v>
      </c>
      <c r="CG74" s="16" t="n">
        <v>27.4235587936722</v>
      </c>
      <c r="CH74" s="16" t="n">
        <v>2643.77364301215</v>
      </c>
      <c r="CI74" s="16" t="n">
        <v>-8.74391118796437</v>
      </c>
      <c r="CJ74" s="16" t="n">
        <v>0.470403584677868</v>
      </c>
      <c r="CK74" s="16" t="n">
        <v>38790.1779808513</v>
      </c>
      <c r="CL74" s="16" t="n">
        <v>164.696158342174</v>
      </c>
      <c r="CM74" s="16" t="n">
        <v>190.063726592174</v>
      </c>
      <c r="CN74" s="16" t="n">
        <v>1000</v>
      </c>
      <c r="CO74" s="16" t="n">
        <v>1.5535546875</v>
      </c>
      <c r="CP74" s="16" t="n">
        <v>1.09004417261298</v>
      </c>
      <c r="CQ74" s="16" t="n">
        <v>0</v>
      </c>
      <c r="CR74" s="16" t="n">
        <v>76.9448318527626</v>
      </c>
      <c r="CS74" s="16" t="n">
        <v>15.8233620322548</v>
      </c>
      <c r="CT74" s="16" t="n">
        <v>0</v>
      </c>
      <c r="CU74" s="16" t="n">
        <v>0.0113</v>
      </c>
      <c r="CV74" s="16" t="n">
        <v>3866445.11376295</v>
      </c>
      <c r="CW74" s="16" t="n">
        <v>797942.368891408</v>
      </c>
      <c r="CX74" s="16" t="n">
        <v>4664387.48265436</v>
      </c>
      <c r="CY74" s="16" t="n">
        <v>3866445.11376295</v>
      </c>
      <c r="CZ74" s="16" t="n">
        <v>2141.42521736707</v>
      </c>
      <c r="DA74" s="16" t="n">
        <v>24.2686361005949</v>
      </c>
      <c r="DB74" s="16" t="n">
        <v>16775.9595284851</v>
      </c>
      <c r="DC74" s="16" t="n">
        <v>12447.761970136</v>
      </c>
      <c r="DD74" s="16" t="n">
        <v>11144.3333333333</v>
      </c>
      <c r="DE74" s="16" t="n">
        <v>1921.25</v>
      </c>
      <c r="DF74" s="16" t="n">
        <v>3866760.03900795</v>
      </c>
      <c r="DG74" s="16" t="n">
        <v>190.063726592174</v>
      </c>
      <c r="DH74" s="16" t="n">
        <v>0</v>
      </c>
      <c r="DI74" s="16" t="n">
        <v>15.8249068003881</v>
      </c>
    </row>
    <row r="75" customFormat="false" ht="15" hidden="false" customHeight="false" outlineLevel="0" collapsed="false">
      <c r="A75" s="0" t="s">
        <v>3293</v>
      </c>
      <c r="B75" s="16" t="n">
        <v>2465.07954157611</v>
      </c>
      <c r="C75" s="16" t="n">
        <v>8209.24039226006</v>
      </c>
      <c r="D75" s="16" t="n">
        <v>19716.7966317894</v>
      </c>
      <c r="E75" s="16" t="n">
        <v>4213.14398474076</v>
      </c>
      <c r="F75" s="16" t="n">
        <v>-1135.49021845689</v>
      </c>
      <c r="G75" s="16" t="n">
        <v>5020.26458750724</v>
      </c>
      <c r="H75" s="16" t="n">
        <v>-2692.34813405393</v>
      </c>
      <c r="I75" s="17" t="n">
        <v>0.01</v>
      </c>
      <c r="J75" s="17" t="n">
        <v>0</v>
      </c>
      <c r="K75" s="16" t="s">
        <v>116</v>
      </c>
      <c r="L75" s="16" t="n">
        <v>1000</v>
      </c>
      <c r="M75" s="16" t="n">
        <v>33779.4469253452</v>
      </c>
      <c r="N75" s="16" t="n">
        <v>11402.7039831813</v>
      </c>
      <c r="O75" s="16" t="n">
        <v>1000</v>
      </c>
      <c r="P75" s="16" t="n">
        <v>951.290832135856</v>
      </c>
      <c r="Q75" s="16" t="n">
        <v>-267.565775756198</v>
      </c>
      <c r="R75" s="16" t="n">
        <v>17617.7170533315</v>
      </c>
      <c r="S75" s="16" t="n">
        <v>26949.0428826358</v>
      </c>
      <c r="T75" s="16" t="n">
        <v>-955.692204749296</v>
      </c>
      <c r="U75" s="16" t="n">
        <v>-2414.63033831239</v>
      </c>
      <c r="V75" s="16" t="n">
        <v>0.750319556751226</v>
      </c>
      <c r="W75" s="16" t="n">
        <v>44473.7772474079</v>
      </c>
      <c r="X75" s="16" t="n">
        <v>22178.2005652707</v>
      </c>
      <c r="Y75" s="16" t="n">
        <v>0</v>
      </c>
      <c r="Z75" s="16" t="n">
        <v>0</v>
      </c>
      <c r="AA75" s="16" t="n">
        <v>27.424347870838</v>
      </c>
      <c r="AB75" s="16" t="n">
        <v>25.224347870838</v>
      </c>
      <c r="AC75" s="16" t="n">
        <v>26.674347870838</v>
      </c>
      <c r="AD75" s="16" t="n">
        <v>27.2673434792775</v>
      </c>
      <c r="AE75" s="16" t="n">
        <v>674.686407680941</v>
      </c>
      <c r="AF75" s="16" t="n">
        <v>0.03</v>
      </c>
      <c r="AG75" s="16" t="n">
        <v>0.654405917289144</v>
      </c>
      <c r="AH75" s="16" t="n">
        <v>9819.91719809611</v>
      </c>
      <c r="AI75" s="16" t="n">
        <v>19716.7966317894</v>
      </c>
      <c r="AJ75" s="16" t="n">
        <v>16.69175</v>
      </c>
      <c r="AK75" s="16" t="n">
        <v>0</v>
      </c>
      <c r="AL75" s="16" t="n">
        <v>1000</v>
      </c>
      <c r="AM75" s="16" t="n">
        <v>812.6073</v>
      </c>
      <c r="AN75" s="16" t="n">
        <v>20079.98904</v>
      </c>
      <c r="AO75" s="16" t="n">
        <v>-5508.72242389994</v>
      </c>
      <c r="AP75" s="16" t="n">
        <v>0.414483496940676</v>
      </c>
      <c r="AQ75" s="16" t="n">
        <v>75.126881190061</v>
      </c>
      <c r="AR75" s="16" t="n">
        <v>506.546518901256</v>
      </c>
      <c r="AS75" s="16" t="n">
        <v>314.925245</v>
      </c>
      <c r="AT75" s="16" t="n">
        <v>1000</v>
      </c>
      <c r="AU75" s="16" t="n">
        <v>12.270507</v>
      </c>
      <c r="AV75" s="16" t="n">
        <v>0</v>
      </c>
      <c r="AW75" s="16" t="n">
        <v>2254.3125</v>
      </c>
      <c r="AX75" s="16" t="n">
        <v>314.925245</v>
      </c>
      <c r="AY75" s="16" t="n">
        <v>314.925245</v>
      </c>
      <c r="AZ75" s="16" t="n">
        <v>5631.62619515181</v>
      </c>
      <c r="BA75" s="16" t="n">
        <v>0</v>
      </c>
      <c r="BB75" s="16" t="n">
        <v>417.928966666667</v>
      </c>
      <c r="BC75" s="16" t="n">
        <v>111441.907179589</v>
      </c>
      <c r="BD75" s="16" t="n">
        <v>16.751694488301</v>
      </c>
      <c r="BE75" s="16" t="n">
        <v>25.4089871102374</v>
      </c>
      <c r="BF75" s="16" t="n">
        <v>39.6368423190398</v>
      </c>
      <c r="BG75" s="16" t="n">
        <v>-9.19522505534562</v>
      </c>
      <c r="BH75" s="16" t="n">
        <v>-8.17154530727238</v>
      </c>
      <c r="BI75" s="16" t="n">
        <v>0.1743173920379</v>
      </c>
      <c r="BJ75" s="16" t="n">
        <v>1.15794840002789</v>
      </c>
      <c r="BK75" s="16" t="n">
        <v>4.01668714450295</v>
      </c>
      <c r="BL75" s="16" t="n">
        <v>6.69504993336465</v>
      </c>
      <c r="BM75" s="16" t="n">
        <v>3.71992671744367</v>
      </c>
      <c r="BN75" s="16" t="n">
        <v>4.46573109600205</v>
      </c>
      <c r="BO75" s="16" t="n">
        <v>5.7791095890411</v>
      </c>
      <c r="BP75" s="16" t="n">
        <v>8712.70308277889</v>
      </c>
      <c r="BQ75" s="16" t="n">
        <v>8176.87365522983</v>
      </c>
      <c r="BR75" s="16" t="n">
        <v>8176.87365522983</v>
      </c>
      <c r="BS75" s="16" t="n">
        <v>506.546518901256</v>
      </c>
      <c r="BT75" s="16" t="n">
        <v>301.7195</v>
      </c>
      <c r="BU75" s="16" t="n">
        <v>1081.9108</v>
      </c>
      <c r="BV75" s="16" t="s">
        <v>3237</v>
      </c>
      <c r="BW75" s="16" t="n">
        <v>42.7692307692308</v>
      </c>
      <c r="BX75" s="16" t="n">
        <v>0.14604063039113</v>
      </c>
      <c r="BY75" s="16" t="n">
        <v>0.154686056899463</v>
      </c>
      <c r="BZ75" s="16" t="n">
        <v>13510.8578038903</v>
      </c>
      <c r="CA75" s="16" t="n">
        <v>19402.010477409</v>
      </c>
      <c r="CB75" s="16" t="n">
        <v>278.610956753376</v>
      </c>
      <c r="CC75" s="16" t="n">
        <v>0</v>
      </c>
      <c r="CD75" s="16" t="n">
        <v>950.69728</v>
      </c>
      <c r="CE75" s="16" t="n">
        <v>12000</v>
      </c>
      <c r="CF75" s="16" t="n">
        <v>24.2563214188139</v>
      </c>
      <c r="CG75" s="16" t="n">
        <v>27.4096432032596</v>
      </c>
      <c r="CH75" s="16" t="n">
        <v>2643.77364301215</v>
      </c>
      <c r="CI75" s="16" t="n">
        <v>-7.05355261406045</v>
      </c>
      <c r="CJ75" s="16" t="n">
        <v>2.16076215858178</v>
      </c>
      <c r="CK75" s="16" t="n">
        <v>38756.4674368513</v>
      </c>
      <c r="CL75" s="16" t="n">
        <v>164.553029401256</v>
      </c>
      <c r="CM75" s="16" t="n">
        <v>189.920597651256</v>
      </c>
      <c r="CN75" s="16" t="n">
        <v>1000</v>
      </c>
      <c r="CO75" s="16" t="n">
        <v>1.5535546875</v>
      </c>
      <c r="CP75" s="16" t="n">
        <v>1.09004417261298</v>
      </c>
      <c r="CQ75" s="16" t="n">
        <v>0</v>
      </c>
      <c r="CR75" s="16" t="n">
        <v>84.893375744769</v>
      </c>
      <c r="CS75" s="16" t="n">
        <v>25.3531210525165</v>
      </c>
      <c r="CT75" s="16" t="n">
        <v>0</v>
      </c>
      <c r="CU75" s="16" t="n">
        <v>0.0113</v>
      </c>
      <c r="CV75" s="16" t="n">
        <v>3863461.87978065</v>
      </c>
      <c r="CW75" s="16" t="n">
        <v>797942.368891408</v>
      </c>
      <c r="CX75" s="16" t="n">
        <v>4661404.24867206</v>
      </c>
      <c r="CY75" s="16" t="n">
        <v>3863461.87978065</v>
      </c>
      <c r="CZ75" s="16" t="n">
        <v>1376.50425442297</v>
      </c>
      <c r="DA75" s="16" t="n">
        <v>24.2563214188139</v>
      </c>
      <c r="DB75" s="16" t="n">
        <v>16775.9595284851</v>
      </c>
      <c r="DC75" s="16" t="n">
        <v>12447.761970136</v>
      </c>
      <c r="DD75" s="16" t="n">
        <v>11144.3333333333</v>
      </c>
      <c r="DE75" s="16" t="n">
        <v>1921.25</v>
      </c>
      <c r="DF75" s="16" t="n">
        <v>3863776.80502565</v>
      </c>
      <c r="DG75" s="16" t="n">
        <v>189.920597651256</v>
      </c>
      <c r="DH75" s="16" t="n">
        <v>0</v>
      </c>
      <c r="DI75" s="16" t="n">
        <v>25.3532268168877</v>
      </c>
    </row>
    <row r="76" customFormat="false" ht="15" hidden="false" customHeight="false" outlineLevel="0" collapsed="false">
      <c r="A76" s="0" t="s">
        <v>3294</v>
      </c>
      <c r="B76" s="16" t="n">
        <v>2465.07954157611</v>
      </c>
      <c r="C76" s="16" t="n">
        <v>8209.24039226006</v>
      </c>
      <c r="D76" s="16" t="n">
        <v>19716.7966317894</v>
      </c>
      <c r="E76" s="16" t="n">
        <v>4213.14398474076</v>
      </c>
      <c r="F76" s="16" t="n">
        <v>-1135.49021845689</v>
      </c>
      <c r="G76" s="16" t="n">
        <v>5020.26458750724</v>
      </c>
      <c r="H76" s="16" t="n">
        <v>2688.25423929668</v>
      </c>
      <c r="I76" s="17" t="n">
        <v>9.41801929863778</v>
      </c>
      <c r="J76" s="17" t="n">
        <v>16.8275005547836</v>
      </c>
      <c r="K76" s="16" t="s">
        <v>116</v>
      </c>
      <c r="L76" s="16" t="n">
        <v>1000</v>
      </c>
      <c r="M76" s="16" t="n">
        <v>33779.4469253452</v>
      </c>
      <c r="N76" s="16" t="n">
        <v>11402.7039831813</v>
      </c>
      <c r="O76" s="16" t="n">
        <v>1000</v>
      </c>
      <c r="P76" s="16" t="n">
        <v>951.290832135856</v>
      </c>
      <c r="Q76" s="16" t="n">
        <v>-267.565775756198</v>
      </c>
      <c r="R76" s="16" t="n">
        <v>17617.7170533315</v>
      </c>
      <c r="S76" s="16" t="n">
        <v>26949.0428826358</v>
      </c>
      <c r="T76" s="16" t="n">
        <v>-955.692204749296</v>
      </c>
      <c r="U76" s="16" t="n">
        <v>2965.97203503823</v>
      </c>
      <c r="V76" s="16" t="n">
        <v>0.750319556751226</v>
      </c>
      <c r="W76" s="16" t="n">
        <v>49551.0896592411</v>
      </c>
      <c r="X76" s="16" t="n">
        <v>22149.4762774452</v>
      </c>
      <c r="Y76" s="16" t="n">
        <v>15.8299809346214</v>
      </c>
      <c r="Z76" s="16" t="n">
        <v>21.4870354584031</v>
      </c>
      <c r="AA76" s="16" t="n">
        <v>27.424347870838</v>
      </c>
      <c r="AB76" s="16" t="n">
        <v>25.224347870838</v>
      </c>
      <c r="AC76" s="16" t="n">
        <v>26.674347870838</v>
      </c>
      <c r="AD76" s="16" t="n">
        <v>27.2673434792775</v>
      </c>
      <c r="AE76" s="16" t="n">
        <v>674.686407680941</v>
      </c>
      <c r="AF76" s="16" t="n">
        <v>0.03</v>
      </c>
      <c r="AG76" s="16" t="n">
        <v>0.654405917289144</v>
      </c>
      <c r="AH76" s="16" t="n">
        <v>9819.91719809611</v>
      </c>
      <c r="AI76" s="16" t="n">
        <v>19716.7966317894</v>
      </c>
      <c r="AJ76" s="16" t="n">
        <v>16.69175</v>
      </c>
      <c r="AK76" s="16" t="n">
        <v>0</v>
      </c>
      <c r="AL76" s="16" t="n">
        <v>1000</v>
      </c>
      <c r="AM76" s="16" t="n">
        <v>812.6073</v>
      </c>
      <c r="AN76" s="16" t="n">
        <v>20079.98904</v>
      </c>
      <c r="AO76" s="16" t="n">
        <v>-5508.72242389994</v>
      </c>
      <c r="AP76" s="16" t="n">
        <v>0.414483496940676</v>
      </c>
      <c r="AQ76" s="16" t="n">
        <v>85.6855021074545</v>
      </c>
      <c r="AR76" s="16" t="n">
        <v>506.331825489879</v>
      </c>
      <c r="AS76" s="16" t="n">
        <v>314.925245</v>
      </c>
      <c r="AT76" s="16" t="n">
        <v>1000</v>
      </c>
      <c r="AU76" s="16" t="n">
        <v>12.270507</v>
      </c>
      <c r="AV76" s="16" t="n">
        <v>0</v>
      </c>
      <c r="AW76" s="16" t="n">
        <v>2254.3125</v>
      </c>
      <c r="AX76" s="16" t="n">
        <v>314.925245</v>
      </c>
      <c r="AY76" s="16" t="n">
        <v>314.925245</v>
      </c>
      <c r="AZ76" s="16" t="n">
        <v>5631.62619515181</v>
      </c>
      <c r="BA76" s="16" t="n">
        <v>0</v>
      </c>
      <c r="BB76" s="16" t="n">
        <v>417.928966666667</v>
      </c>
      <c r="BC76" s="16" t="n">
        <v>111441.907179589</v>
      </c>
      <c r="BD76" s="16" t="n">
        <v>16.751694488301</v>
      </c>
      <c r="BE76" s="16" t="n">
        <v>25.4089871102374</v>
      </c>
      <c r="BF76" s="16" t="n">
        <v>39.6368423190398</v>
      </c>
      <c r="BG76" s="16" t="n">
        <v>-6.44089281704696</v>
      </c>
      <c r="BH76" s="16" t="n">
        <v>-5.52289488147438</v>
      </c>
      <c r="BI76" s="16" t="n">
        <v>2.92864963033656</v>
      </c>
      <c r="BJ76" s="16" t="n">
        <v>3.80659882582588</v>
      </c>
      <c r="BK76" s="16" t="n">
        <v>7.72872520150923</v>
      </c>
      <c r="BL76" s="16" t="n">
        <v>10.2646596716369</v>
      </c>
      <c r="BM76" s="16" t="n">
        <v>3.71992671744367</v>
      </c>
      <c r="BN76" s="16" t="n">
        <v>4.46573109600205</v>
      </c>
      <c r="BO76" s="16" t="n">
        <v>5.7791095890411</v>
      </c>
      <c r="BP76" s="16" t="n">
        <v>8712.70308277889</v>
      </c>
      <c r="BQ76" s="16" t="n">
        <v>8176.87365522983</v>
      </c>
      <c r="BR76" s="16" t="n">
        <v>8176.87365522983</v>
      </c>
      <c r="BS76" s="16" t="n">
        <v>506.331825489879</v>
      </c>
      <c r="BT76" s="16" t="n">
        <v>301.7195</v>
      </c>
      <c r="BU76" s="16" t="n">
        <v>1081.9108</v>
      </c>
      <c r="BV76" s="16" t="s">
        <v>3237</v>
      </c>
      <c r="BW76" s="16" t="n">
        <v>42.7692307692308</v>
      </c>
      <c r="BX76" s="16" t="n">
        <v>0.174624414311654</v>
      </c>
      <c r="BY76" s="16" t="n">
        <v>0.175216319086371</v>
      </c>
      <c r="BZ76" s="16" t="n">
        <v>13510.8578038903</v>
      </c>
      <c r="CA76" s="16" t="n">
        <v>19402.010477409</v>
      </c>
      <c r="CB76" s="16" t="n">
        <v>278.287378745564</v>
      </c>
      <c r="CC76" s="16" t="n">
        <v>0</v>
      </c>
      <c r="CD76" s="16" t="n">
        <v>950.69728</v>
      </c>
      <c r="CE76" s="16" t="n">
        <v>12000</v>
      </c>
      <c r="CF76" s="16" t="n">
        <v>24.2378493961423</v>
      </c>
      <c r="CG76" s="16" t="n">
        <v>27.3887698176408</v>
      </c>
      <c r="CH76" s="16" t="n">
        <v>2643.77364301215</v>
      </c>
      <c r="CI76" s="16" t="n">
        <v>-4.51801475320458</v>
      </c>
      <c r="CJ76" s="16" t="n">
        <v>4.69630001943766</v>
      </c>
      <c r="CK76" s="16" t="n">
        <v>38705.9016208513</v>
      </c>
      <c r="CL76" s="16" t="n">
        <v>164.338335989879</v>
      </c>
      <c r="CM76" s="16" t="n">
        <v>189.705904239879</v>
      </c>
      <c r="CN76" s="16" t="n">
        <v>1000</v>
      </c>
      <c r="CO76" s="16" t="n">
        <v>1.5535546875</v>
      </c>
      <c r="CP76" s="16" t="n">
        <v>1.09004417261298</v>
      </c>
      <c r="CQ76" s="16" t="n">
        <v>16.8275005547836</v>
      </c>
      <c r="CR76" s="16" t="n">
        <v>96.8246173814236</v>
      </c>
      <c r="CS76" s="16" t="n">
        <v>40.2707934706977</v>
      </c>
      <c r="CT76" s="16" t="n">
        <v>14.8915934113129</v>
      </c>
      <c r="CU76" s="16" t="n">
        <v>16.8275005547836</v>
      </c>
      <c r="CV76" s="16" t="n">
        <v>2591.38624203612</v>
      </c>
      <c r="CW76" s="16" t="n">
        <v>535.834109119059</v>
      </c>
      <c r="CX76" s="16" t="n">
        <v>3127.22035115518</v>
      </c>
      <c r="CY76" s="16" t="n">
        <v>2591.38624203612</v>
      </c>
      <c r="CZ76" s="16" t="n">
        <v>899.502233218419</v>
      </c>
      <c r="DA76" s="16" t="n">
        <v>24.2378493961423</v>
      </c>
      <c r="DB76" s="16" t="n">
        <v>16775.9595284851</v>
      </c>
      <c r="DC76" s="16" t="n">
        <v>12447.761970136</v>
      </c>
      <c r="DD76" s="16" t="n">
        <v>11144.3333333333</v>
      </c>
      <c r="DE76" s="16" t="n">
        <v>1921.25</v>
      </c>
      <c r="DF76" s="16" t="n">
        <v>2906.31148703612</v>
      </c>
      <c r="DG76" s="16" t="n">
        <v>189.705904239879</v>
      </c>
      <c r="DH76" s="16" t="n">
        <v>0</v>
      </c>
      <c r="DI76" s="16" t="n">
        <v>40.2707958517784</v>
      </c>
    </row>
    <row r="77" customFormat="false" ht="15" hidden="false" customHeight="false" outlineLevel="0" collapsed="false">
      <c r="A77" s="0" t="s">
        <v>3295</v>
      </c>
      <c r="B77" s="16" t="n">
        <v>2423.40833661368</v>
      </c>
      <c r="C77" s="16" t="n">
        <v>7639.49047503533</v>
      </c>
      <c r="D77" s="16" t="n">
        <v>17833.6199268924</v>
      </c>
      <c r="E77" s="16" t="n">
        <v>3992.03478505264</v>
      </c>
      <c r="F77" s="16" t="n">
        <v>-915.877314589402</v>
      </c>
      <c r="G77" s="16" t="n">
        <v>4602.33248064063</v>
      </c>
      <c r="H77" s="16" t="n">
        <v>-3054.83923966222</v>
      </c>
      <c r="I77" s="17" t="n">
        <v>0.01</v>
      </c>
      <c r="J77" s="17" t="n">
        <v>0</v>
      </c>
      <c r="K77" s="16" t="s">
        <v>116</v>
      </c>
      <c r="L77" s="16" t="n">
        <v>1000</v>
      </c>
      <c r="M77" s="16" t="n">
        <v>30470.1223095007</v>
      </c>
      <c r="N77" s="16" t="n">
        <v>10428.6321935291</v>
      </c>
      <c r="O77" s="16" t="n">
        <v>1000</v>
      </c>
      <c r="P77" s="16" t="n">
        <v>945.057363780535</v>
      </c>
      <c r="Q77" s="16" t="n">
        <v>-282.384921499336</v>
      </c>
      <c r="R77" s="16" t="n">
        <v>16470.8696667323</v>
      </c>
      <c r="S77" s="16" t="n">
        <v>28046.5223985379</v>
      </c>
      <c r="T77" s="16" t="n">
        <v>-960.237821871701</v>
      </c>
      <c r="U77" s="16" t="n">
        <v>-2746.76216409586</v>
      </c>
      <c r="V77" s="16" t="n">
        <v>0.82509878873241</v>
      </c>
      <c r="W77" s="16" t="n">
        <v>44589.0346611906</v>
      </c>
      <c r="X77" s="16" t="n">
        <v>21804.5086313507</v>
      </c>
      <c r="Y77" s="16" t="n">
        <v>0</v>
      </c>
      <c r="Z77" s="16" t="n">
        <v>0</v>
      </c>
      <c r="AA77" s="16" t="n">
        <v>30.1575455502983</v>
      </c>
      <c r="AB77" s="16" t="n">
        <v>27.9575455502983</v>
      </c>
      <c r="AC77" s="16" t="n">
        <v>29.4075455502983</v>
      </c>
      <c r="AD77" s="16" t="n">
        <v>29.9848936020228</v>
      </c>
      <c r="AE77" s="16" t="n">
        <v>653.683373262198</v>
      </c>
      <c r="AF77" s="16" t="n">
        <v>0.03</v>
      </c>
      <c r="AG77" s="16" t="n">
        <v>0.655490483571166</v>
      </c>
      <c r="AH77" s="16" t="n">
        <v>10960.7967600385</v>
      </c>
      <c r="AI77" s="16" t="n">
        <v>17833.6199268924</v>
      </c>
      <c r="AJ77" s="16" t="n">
        <v>16.69175</v>
      </c>
      <c r="AK77" s="16" t="n">
        <v>0</v>
      </c>
      <c r="AL77" s="16" t="n">
        <v>1000</v>
      </c>
      <c r="AM77" s="16" t="n">
        <v>684.5</v>
      </c>
      <c r="AN77" s="16" t="n">
        <v>20570.34</v>
      </c>
      <c r="AO77" s="16" t="n">
        <v>-5700.83861542981</v>
      </c>
      <c r="AP77" s="16" t="n">
        <v>0.536029682421253</v>
      </c>
      <c r="AQ77" s="16" t="n">
        <v>74.7537534027148</v>
      </c>
      <c r="AR77" s="16" t="n">
        <v>507.436756576591</v>
      </c>
      <c r="AS77" s="16" t="n">
        <v>314.925245</v>
      </c>
      <c r="AT77" s="16" t="n">
        <v>1000</v>
      </c>
      <c r="AU77" s="16" t="n">
        <v>12.270507</v>
      </c>
      <c r="AV77" s="16" t="n">
        <v>0</v>
      </c>
      <c r="AW77" s="16" t="n">
        <v>2254.3125</v>
      </c>
      <c r="AX77" s="16" t="n">
        <v>314.925245</v>
      </c>
      <c r="AY77" s="16" t="n">
        <v>314.925245</v>
      </c>
      <c r="AZ77" s="16" t="n">
        <v>5779.77220568752</v>
      </c>
      <c r="BA77" s="16" t="n">
        <v>0</v>
      </c>
      <c r="BB77" s="16" t="n">
        <v>289.821666666667</v>
      </c>
      <c r="BC77" s="16" t="n">
        <v>110188.660074574</v>
      </c>
      <c r="BD77" s="16" t="n">
        <v>17.3185124655659</v>
      </c>
      <c r="BE77" s="16" t="n">
        <v>25.9758050875022</v>
      </c>
      <c r="BF77" s="16" t="n">
        <v>40.2036602963047</v>
      </c>
      <c r="BG77" s="16" t="n">
        <v>-8.27711430924607</v>
      </c>
      <c r="BH77" s="16" t="n">
        <v>-7.28866183200638</v>
      </c>
      <c r="BI77" s="16" t="n">
        <v>1.09242813813745</v>
      </c>
      <c r="BJ77" s="16" t="n">
        <v>2.04083187529388</v>
      </c>
      <c r="BK77" s="16" t="n">
        <v>5.25403316350504</v>
      </c>
      <c r="BL77" s="16" t="n">
        <v>7.88491984612206</v>
      </c>
      <c r="BM77" s="16" t="n">
        <v>3.71992671744367</v>
      </c>
      <c r="BN77" s="16" t="n">
        <v>4.46573109600205</v>
      </c>
      <c r="BO77" s="16" t="n">
        <v>5.7791095890411</v>
      </c>
      <c r="BP77" s="16" t="n">
        <v>7672.79585778466</v>
      </c>
      <c r="BQ77" s="16" t="n">
        <v>7607.12373800509</v>
      </c>
      <c r="BR77" s="16" t="n">
        <v>7607.12373800509</v>
      </c>
      <c r="BS77" s="16" t="n">
        <v>507.436756576591</v>
      </c>
      <c r="BT77" s="16" t="n">
        <v>292.4</v>
      </c>
      <c r="BU77" s="16" t="n">
        <v>950</v>
      </c>
      <c r="BV77" s="16" t="s">
        <v>3237</v>
      </c>
      <c r="BW77" s="16" t="n">
        <v>42.7692307692308</v>
      </c>
      <c r="BX77" s="16" t="n">
        <v>0.155994305554286</v>
      </c>
      <c r="BY77" s="16" t="n">
        <v>0.161741466184191</v>
      </c>
      <c r="BZ77" s="16" t="n">
        <v>13510.8578038903</v>
      </c>
      <c r="CA77" s="16" t="n">
        <v>19402.010477409</v>
      </c>
      <c r="CB77" s="16" t="n">
        <v>279.524266218944</v>
      </c>
      <c r="CC77" s="16" t="n">
        <v>0</v>
      </c>
      <c r="CD77" s="16" t="n">
        <v>740.16</v>
      </c>
      <c r="CE77" s="16" t="n">
        <v>12000</v>
      </c>
      <c r="CF77" s="16" t="n">
        <v>24.8997346228087</v>
      </c>
      <c r="CG77" s="16" t="n">
        <v>28.1367001237738</v>
      </c>
      <c r="CH77" s="16" t="n">
        <v>2643.77364301215</v>
      </c>
      <c r="CI77" s="16" t="n">
        <v>-6.2083733271085</v>
      </c>
      <c r="CJ77" s="16" t="n">
        <v>3.00594144553374</v>
      </c>
      <c r="CK77" s="16" t="n">
        <v>38966.141288501</v>
      </c>
      <c r="CL77" s="16" t="n">
        <v>165.443267076591</v>
      </c>
      <c r="CM77" s="16" t="n">
        <v>190.810835326591</v>
      </c>
      <c r="CN77" s="16" t="n">
        <v>1000</v>
      </c>
      <c r="CO77" s="16" t="n">
        <v>1.5535546875</v>
      </c>
      <c r="CP77" s="16" t="n">
        <v>1.09004417261298</v>
      </c>
      <c r="CQ77" s="16" t="n">
        <v>0</v>
      </c>
      <c r="CR77" s="16" t="n">
        <v>84.4717413450677</v>
      </c>
      <c r="CS77" s="16" t="n">
        <v>16.816984419447</v>
      </c>
      <c r="CT77" s="16" t="n">
        <v>0</v>
      </c>
      <c r="CU77" s="16" t="n">
        <v>0.0113</v>
      </c>
      <c r="CV77" s="16" t="n">
        <v>3882017.08789124</v>
      </c>
      <c r="CW77" s="16" t="n">
        <v>797942.368891408</v>
      </c>
      <c r="CX77" s="16" t="n">
        <v>4679959.45678265</v>
      </c>
      <c r="CY77" s="16" t="n">
        <v>3882017.08789124</v>
      </c>
      <c r="CZ77" s="16" t="n">
        <v>2226.82886939802</v>
      </c>
      <c r="DA77" s="16" t="n">
        <v>24.8997346228087</v>
      </c>
      <c r="DB77" s="16" t="n">
        <v>16924.1055390209</v>
      </c>
      <c r="DC77" s="16" t="n">
        <v>12557.6863099535</v>
      </c>
      <c r="DD77" s="16" t="n">
        <v>11144.3333333333</v>
      </c>
      <c r="DE77" s="16" t="n">
        <v>1921.25</v>
      </c>
      <c r="DF77" s="16" t="n">
        <v>3882332.01313624</v>
      </c>
      <c r="DG77" s="16" t="n">
        <v>190.810835326591</v>
      </c>
      <c r="DH77" s="16" t="n">
        <v>0</v>
      </c>
      <c r="DI77" s="16" t="n">
        <v>16.820234911059</v>
      </c>
    </row>
    <row r="78" customFormat="false" ht="15" hidden="false" customHeight="false" outlineLevel="0" collapsed="false">
      <c r="A78" s="0" t="s">
        <v>3296</v>
      </c>
      <c r="B78" s="16" t="n">
        <v>2465.07954157611</v>
      </c>
      <c r="C78" s="16" t="n">
        <v>8209.24039226006</v>
      </c>
      <c r="D78" s="16" t="n">
        <v>19716.7966317894</v>
      </c>
      <c r="E78" s="16" t="n">
        <v>4213.14398474076</v>
      </c>
      <c r="F78" s="16" t="n">
        <v>-1135.49021845689</v>
      </c>
      <c r="G78" s="16" t="n">
        <v>5020.26458750724</v>
      </c>
      <c r="H78" s="16" t="n">
        <v>-898.814009603721</v>
      </c>
      <c r="I78" s="17" t="n">
        <v>0.01</v>
      </c>
      <c r="J78" s="17" t="n">
        <v>12.0131253196569</v>
      </c>
      <c r="K78" s="16" t="s">
        <v>116</v>
      </c>
      <c r="L78" s="16" t="n">
        <v>1000</v>
      </c>
      <c r="M78" s="16" t="n">
        <v>33779.4469253452</v>
      </c>
      <c r="N78" s="16" t="n">
        <v>11402.7039831813</v>
      </c>
      <c r="O78" s="16" t="n">
        <v>1000</v>
      </c>
      <c r="P78" s="16" t="n">
        <v>951.290832135856</v>
      </c>
      <c r="Q78" s="16" t="n">
        <v>-267.565775756198</v>
      </c>
      <c r="R78" s="16" t="n">
        <v>17617.7170533315</v>
      </c>
      <c r="S78" s="16" t="n">
        <v>26949.0428826358</v>
      </c>
      <c r="T78" s="16" t="n">
        <v>-955.692204749296</v>
      </c>
      <c r="U78" s="16" t="n">
        <v>-535.238409971909</v>
      </c>
      <c r="V78" s="16" t="n">
        <v>0.750319556751226</v>
      </c>
      <c r="W78" s="16" t="n">
        <v>46166.2147180189</v>
      </c>
      <c r="X78" s="16" t="n">
        <v>22149.4762774452</v>
      </c>
      <c r="Y78" s="16" t="n">
        <v>11.3009976827086</v>
      </c>
      <c r="Z78" s="16" t="n">
        <v>15.3395597206699</v>
      </c>
      <c r="AA78" s="16" t="n">
        <v>27.424347870838</v>
      </c>
      <c r="AB78" s="16" t="n">
        <v>25.224347870838</v>
      </c>
      <c r="AC78" s="16" t="n">
        <v>26.674347870838</v>
      </c>
      <c r="AD78" s="16" t="n">
        <v>27.2673434792775</v>
      </c>
      <c r="AE78" s="16" t="n">
        <v>674.686407680941</v>
      </c>
      <c r="AF78" s="16" t="n">
        <v>0.03</v>
      </c>
      <c r="AG78" s="16" t="n">
        <v>0.654405917289144</v>
      </c>
      <c r="AH78" s="16" t="n">
        <v>9819.91719809611</v>
      </c>
      <c r="AI78" s="16" t="n">
        <v>19716.7966317894</v>
      </c>
      <c r="AJ78" s="16" t="n">
        <v>16.69175</v>
      </c>
      <c r="AK78" s="16" t="n">
        <v>0</v>
      </c>
      <c r="AL78" s="16" t="n">
        <v>1000</v>
      </c>
      <c r="AM78" s="16" t="n">
        <v>812.6073</v>
      </c>
      <c r="AN78" s="16" t="n">
        <v>20079.98904</v>
      </c>
      <c r="AO78" s="16" t="n">
        <v>-5508.72242389994</v>
      </c>
      <c r="AP78" s="16" t="n">
        <v>0.414483496940676</v>
      </c>
      <c r="AQ78" s="16" t="n">
        <v>83.0351019427146</v>
      </c>
      <c r="AR78" s="16" t="n">
        <v>506.474954430797</v>
      </c>
      <c r="AS78" s="16" t="n">
        <v>314.925245</v>
      </c>
      <c r="AT78" s="16" t="n">
        <v>1000</v>
      </c>
      <c r="AU78" s="16" t="n">
        <v>12.270507</v>
      </c>
      <c r="AV78" s="16" t="n">
        <v>0</v>
      </c>
      <c r="AW78" s="16" t="n">
        <v>2254.3125</v>
      </c>
      <c r="AX78" s="16" t="n">
        <v>314.925245</v>
      </c>
      <c r="AY78" s="16" t="n">
        <v>314.925245</v>
      </c>
      <c r="AZ78" s="16" t="n">
        <v>5631.62619515181</v>
      </c>
      <c r="BA78" s="16" t="n">
        <v>0</v>
      </c>
      <c r="BB78" s="16" t="n">
        <v>417.928966666667</v>
      </c>
      <c r="BC78" s="16" t="n">
        <v>111441.907179589</v>
      </c>
      <c r="BD78" s="16" t="n">
        <v>17.0243236447545</v>
      </c>
      <c r="BE78" s="16" t="n">
        <v>25.6816162666909</v>
      </c>
      <c r="BF78" s="16" t="n">
        <v>39.9094714754933</v>
      </c>
      <c r="BG78" s="16" t="n">
        <v>-8.27711430924607</v>
      </c>
      <c r="BH78" s="16" t="n">
        <v>-7.28866183200638</v>
      </c>
      <c r="BI78" s="16" t="n">
        <v>1.09242813813745</v>
      </c>
      <c r="BJ78" s="16" t="n">
        <v>2.04083187529388</v>
      </c>
      <c r="BK78" s="16" t="n">
        <v>5.25403316350504</v>
      </c>
      <c r="BL78" s="16" t="n">
        <v>7.88491984612206</v>
      </c>
      <c r="BM78" s="16" t="n">
        <v>3.71992671744367</v>
      </c>
      <c r="BN78" s="16" t="n">
        <v>4.46573109600205</v>
      </c>
      <c r="BO78" s="16" t="n">
        <v>5.7791095890411</v>
      </c>
      <c r="BP78" s="16" t="n">
        <v>8712.70308277889</v>
      </c>
      <c r="BQ78" s="16" t="n">
        <v>8176.87365522983</v>
      </c>
      <c r="BR78" s="16" t="n">
        <v>8176.87365522983</v>
      </c>
      <c r="BS78" s="16" t="n">
        <v>506.474954430797</v>
      </c>
      <c r="BT78" s="16" t="n">
        <v>301.7195</v>
      </c>
      <c r="BU78" s="16" t="n">
        <v>1081.9108</v>
      </c>
      <c r="BV78" s="16" t="s">
        <v>3237</v>
      </c>
      <c r="BW78" s="16" t="n">
        <v>42.7692307692308</v>
      </c>
      <c r="BX78" s="16" t="n">
        <v>0.155994305554286</v>
      </c>
      <c r="BY78" s="16" t="n">
        <v>0.161741466184191</v>
      </c>
      <c r="BZ78" s="16" t="n">
        <v>13425</v>
      </c>
      <c r="CA78" s="16" t="n">
        <v>17178.75</v>
      </c>
      <c r="CB78" s="16" t="n">
        <v>278.503097417438</v>
      </c>
      <c r="CC78" s="16" t="n">
        <v>0</v>
      </c>
      <c r="CD78" s="16" t="n">
        <v>950.69728</v>
      </c>
      <c r="CE78" s="16" t="n">
        <v>12000</v>
      </c>
      <c r="CF78" s="16" t="n">
        <v>31.3675616873885</v>
      </c>
      <c r="CG78" s="16" t="n">
        <v>35.445344706749</v>
      </c>
      <c r="CH78" s="16" t="n">
        <v>2643.77364301215</v>
      </c>
      <c r="CI78" s="16" t="n">
        <v>-6.2083733271085</v>
      </c>
      <c r="CJ78" s="16" t="n">
        <v>3.00594144553374</v>
      </c>
      <c r="CK78" s="16" t="n">
        <v>38739.6121648513</v>
      </c>
      <c r="CL78" s="16" t="n">
        <v>164.481464930797</v>
      </c>
      <c r="CM78" s="16" t="n">
        <v>189.849033180797</v>
      </c>
      <c r="CN78" s="16" t="n">
        <v>1000</v>
      </c>
      <c r="CO78" s="16" t="n">
        <v>1.5535546875</v>
      </c>
      <c r="CP78" s="16" t="n">
        <v>1.09004417261298</v>
      </c>
      <c r="CQ78" s="16" t="n">
        <v>12.0131253196569</v>
      </c>
      <c r="CR78" s="16" t="n">
        <v>93.8296651952674</v>
      </c>
      <c r="CS78" s="16" t="n">
        <v>36.4845955704606</v>
      </c>
      <c r="CT78" s="16" t="n">
        <v>10.6310843536787</v>
      </c>
      <c r="CU78" s="16" t="n">
        <v>12.0131253196569</v>
      </c>
      <c r="CV78" s="16" t="n">
        <v>3632.71528501525</v>
      </c>
      <c r="CW78" s="16" t="n">
        <v>750.574769558005</v>
      </c>
      <c r="CX78" s="16" t="n">
        <v>4383.29005457326</v>
      </c>
      <c r="CY78" s="16" t="n">
        <v>3632.71528501525</v>
      </c>
      <c r="CZ78" s="16" t="n">
        <v>984.897314700401</v>
      </c>
      <c r="DA78" s="16" t="n">
        <v>31.3675616873885</v>
      </c>
      <c r="DB78" s="16" t="n">
        <v>16775.9595284851</v>
      </c>
      <c r="DC78" s="16" t="n">
        <v>12447.761970136</v>
      </c>
      <c r="DD78" s="16" t="n">
        <v>11144.3333333333</v>
      </c>
      <c r="DE78" s="16" t="n">
        <v>1921.25</v>
      </c>
      <c r="DF78" s="16" t="n">
        <v>3947.64053001525</v>
      </c>
      <c r="DG78" s="16" t="n">
        <v>189.849033180797</v>
      </c>
      <c r="DH78" s="16" t="n">
        <v>0</v>
      </c>
      <c r="DI78" s="16" t="n">
        <v>36.4846014777047</v>
      </c>
    </row>
    <row r="79" customFormat="false" ht="15" hidden="false" customHeight="false" outlineLevel="0" collapsed="false">
      <c r="A79" s="0" t="s">
        <v>3297</v>
      </c>
      <c r="B79" s="16" t="n">
        <v>2161.09062763565</v>
      </c>
      <c r="C79" s="16" t="n">
        <v>4287.20023545696</v>
      </c>
      <c r="D79" s="16" t="n">
        <v>10944.1398681103</v>
      </c>
      <c r="E79" s="16" t="n">
        <v>1840.94291622573</v>
      </c>
      <c r="F79" s="16" t="n">
        <v>-3929.75629162136</v>
      </c>
      <c r="G79" s="16" t="n">
        <v>5599.21119842882</v>
      </c>
      <c r="H79" s="16" t="n">
        <v>-34363.0239982634</v>
      </c>
      <c r="I79" s="17" t="n">
        <v>0.01</v>
      </c>
      <c r="J79" s="17" t="n">
        <v>0</v>
      </c>
      <c r="K79" s="16" t="s">
        <v>72</v>
      </c>
      <c r="L79" s="16" t="n">
        <v>-5097.85692660877</v>
      </c>
      <c r="M79" s="16" t="n">
        <v>23393.2765619591</v>
      </c>
      <c r="N79" s="16" t="n">
        <v>5268.34038131425</v>
      </c>
      <c r="O79" s="16" t="n">
        <v>-25991.3328409901</v>
      </c>
      <c r="P79" s="16" t="n">
        <v>747.002337313713</v>
      </c>
      <c r="Q79" s="16" t="n">
        <v>-6256.63951054422</v>
      </c>
      <c r="R79" s="16" t="n">
        <v>10749.8273603027</v>
      </c>
      <c r="S79" s="16" t="n">
        <v>27562.9798373622</v>
      </c>
      <c r="T79" s="16" t="n">
        <v>-1436.17830391911</v>
      </c>
      <c r="U79" s="16" t="n">
        <v>-34002.012605062</v>
      </c>
      <c r="V79" s="16" t="n">
        <v>0.750319556751226</v>
      </c>
      <c r="W79" s="16" t="n">
        <v>16992.5164114785</v>
      </c>
      <c r="X79" s="16" t="n">
        <v>14072.7441668294</v>
      </c>
      <c r="Y79" s="16" t="n">
        <v>0</v>
      </c>
      <c r="Z79" s="16" t="n">
        <v>0</v>
      </c>
      <c r="AA79" s="16" t="n">
        <v>22.27279275</v>
      </c>
      <c r="AB79" s="16" t="n">
        <v>20.07279275</v>
      </c>
      <c r="AC79" s="16" t="n">
        <v>21.52279275</v>
      </c>
      <c r="AD79" s="16" t="n">
        <v>21.8718824805</v>
      </c>
      <c r="AE79" s="16" t="n">
        <v>594.149368983825</v>
      </c>
      <c r="AF79" s="16" t="n">
        <v>0.02</v>
      </c>
      <c r="AG79" s="16" t="n">
        <v>0.572671227358019</v>
      </c>
      <c r="AH79" s="16" t="n">
        <v>13530.2399423265</v>
      </c>
      <c r="AI79" s="16" t="n">
        <v>10944.1398681103</v>
      </c>
      <c r="AJ79" s="16" t="n">
        <v>14.7365561910928</v>
      </c>
      <c r="AK79" s="16" t="n">
        <v>0</v>
      </c>
      <c r="AL79" s="16" t="n">
        <v>-53704.5305882302</v>
      </c>
      <c r="AM79" s="16" t="n">
        <v>470.44678</v>
      </c>
      <c r="AN79" s="16" t="n">
        <v>12000</v>
      </c>
      <c r="AO79" s="16" t="n">
        <v>-2079.00657489433</v>
      </c>
      <c r="AP79" s="16" t="n">
        <v>1</v>
      </c>
      <c r="AQ79" s="16" t="n">
        <v>0</v>
      </c>
      <c r="AR79" s="16" t="n">
        <v>314.925245</v>
      </c>
      <c r="AS79" s="16" t="n">
        <v>314.925245</v>
      </c>
      <c r="AT79" s="16" t="n">
        <v>-5097.85692660877</v>
      </c>
      <c r="AU79" s="16" t="n">
        <v>0</v>
      </c>
      <c r="AV79" s="16" t="n">
        <v>0</v>
      </c>
      <c r="AW79" s="16" t="n">
        <v>998.76</v>
      </c>
      <c r="AX79" s="16" t="n">
        <v>314.925245</v>
      </c>
      <c r="AY79" s="16" t="n">
        <v>314.925245</v>
      </c>
      <c r="AZ79" s="16" t="n">
        <v>1668.24598467516</v>
      </c>
      <c r="BA79" s="16" t="n">
        <v>1732.5375</v>
      </c>
      <c r="BB79" s="16" t="n">
        <v>155.768446666667</v>
      </c>
      <c r="BC79" s="16" t="n">
        <v>88718.5578003424</v>
      </c>
      <c r="BD79" s="16" t="n">
        <v>8.41786239739725</v>
      </c>
      <c r="BE79" s="16" t="n">
        <v>17.0751550193336</v>
      </c>
      <c r="BF79" s="16" t="n">
        <v>29.9498720665696</v>
      </c>
      <c r="BG79" s="16" t="n">
        <v>-13.6535979204585</v>
      </c>
      <c r="BH79" s="16" t="n">
        <v>-20.0976093877166</v>
      </c>
      <c r="BI79" s="16" t="n">
        <v>-3.59741167595651</v>
      </c>
      <c r="BJ79" s="16" t="n">
        <v>-9.93933550584831</v>
      </c>
      <c r="BK79" s="16" t="n">
        <v>-0.548394239950376</v>
      </c>
      <c r="BL79" s="16" t="n">
        <v>-6.73470781259538</v>
      </c>
      <c r="BM79" s="16" t="n">
        <v>3.37118358768332</v>
      </c>
      <c r="BN79" s="16" t="n">
        <v>4.04706880575186</v>
      </c>
      <c r="BO79" s="16" t="n">
        <v>5.1726598173516</v>
      </c>
      <c r="BP79" s="16" t="n">
        <v>5354.49215439957</v>
      </c>
      <c r="BQ79" s="16" t="n">
        <v>4257.60023545696</v>
      </c>
      <c r="BR79" s="16" t="n">
        <v>4257.60023545696</v>
      </c>
      <c r="BS79" s="16" t="n">
        <v>314.925245</v>
      </c>
      <c r="BT79" s="16" t="n">
        <v>189.4897</v>
      </c>
      <c r="BU79" s="16" t="n">
        <v>794.6073</v>
      </c>
      <c r="BV79" s="16" t="s">
        <v>3237</v>
      </c>
      <c r="BW79" s="16" t="n">
        <v>42.7692307692308</v>
      </c>
      <c r="BX79" s="16" t="n">
        <v>0.124596585374074</v>
      </c>
      <c r="BY79" s="16" t="n">
        <v>0.0866148510447071</v>
      </c>
      <c r="BZ79" s="16" t="n">
        <v>13425</v>
      </c>
      <c r="CA79" s="16" t="n">
        <v>8306.25</v>
      </c>
      <c r="CB79" s="16" t="n">
        <v>170.933066588558</v>
      </c>
      <c r="CC79" s="16" t="n">
        <v>1732.5375</v>
      </c>
      <c r="CD79" s="16" t="n">
        <v>1028.66496</v>
      </c>
      <c r="CE79" s="16" t="n">
        <v>12000</v>
      </c>
      <c r="CF79" s="16" t="n">
        <v>6.4436160965013</v>
      </c>
      <c r="CG79" s="16" t="n">
        <v>7.4101585109765</v>
      </c>
      <c r="CH79" s="16" t="n">
        <v>1983.66628420139</v>
      </c>
      <c r="CI79" s="16" t="n">
        <v>-14.9451536418179</v>
      </c>
      <c r="CJ79" s="16" t="n">
        <v>-5.32272994264565</v>
      </c>
      <c r="CK79" s="16" t="n">
        <v>0</v>
      </c>
      <c r="CL79" s="16" t="n">
        <v>0</v>
      </c>
      <c r="CM79" s="16" t="n">
        <v>0</v>
      </c>
      <c r="CN79" s="16" t="n">
        <v>-53704.5305882302</v>
      </c>
      <c r="CO79" s="16" t="n">
        <v>1.534375</v>
      </c>
      <c r="CP79" s="16" t="n">
        <v>1.31022765885151</v>
      </c>
      <c r="CQ79" s="16" t="n">
        <v>0</v>
      </c>
      <c r="CR79" s="16" t="n">
        <v>0.0115</v>
      </c>
      <c r="CS79" s="16" t="n">
        <v>0</v>
      </c>
      <c r="CT79" s="16" t="n">
        <v>0</v>
      </c>
      <c r="CU79" s="16" t="n">
        <v>0.0115</v>
      </c>
      <c r="CV79" s="16" t="n">
        <v>0</v>
      </c>
      <c r="CW79" s="16" t="n">
        <v>0</v>
      </c>
      <c r="CX79" s="16" t="n">
        <v>0</v>
      </c>
      <c r="CY79" s="16" t="n">
        <v>0</v>
      </c>
      <c r="CZ79" s="16" t="n">
        <v>0</v>
      </c>
      <c r="DA79" s="16" t="n">
        <v>22.6974734206418</v>
      </c>
      <c r="DB79" s="16" t="n">
        <v>13676.5793180085</v>
      </c>
      <c r="DC79" s="16" t="n">
        <v>10148.0218539623</v>
      </c>
      <c r="DD79" s="16" t="n">
        <v>12008.3333333333</v>
      </c>
      <c r="DE79" s="16" t="n">
        <v>0</v>
      </c>
      <c r="DF79" s="16" t="n">
        <v>314.925245</v>
      </c>
      <c r="DG79" s="16" t="n">
        <v>0</v>
      </c>
      <c r="DH79" s="16" t="n">
        <v>0</v>
      </c>
      <c r="DI79" s="16" t="n">
        <v>0.0115</v>
      </c>
    </row>
    <row r="80" customFormat="false" ht="15" hidden="false" customHeight="false" outlineLevel="0" collapsed="false">
      <c r="A80" s="0" t="s">
        <v>3298</v>
      </c>
      <c r="B80" s="16" t="n">
        <v>2465.07954157611</v>
      </c>
      <c r="C80" s="16" t="n">
        <v>8209.24039226006</v>
      </c>
      <c r="D80" s="16" t="n">
        <v>19716.7966317894</v>
      </c>
      <c r="E80" s="16" t="n">
        <v>4213.14398474076</v>
      </c>
      <c r="F80" s="16" t="n">
        <v>-1124.70541708709</v>
      </c>
      <c r="G80" s="16" t="n">
        <v>5009.47978613745</v>
      </c>
      <c r="H80" s="16" t="n">
        <v>-898.814009603721</v>
      </c>
      <c r="I80" s="17" t="n">
        <v>0.01</v>
      </c>
      <c r="J80" s="17" t="n">
        <v>11.9554084141197</v>
      </c>
      <c r="K80" s="16" t="s">
        <v>70</v>
      </c>
      <c r="L80" s="16" t="n">
        <v>-19951.7486624859</v>
      </c>
      <c r="M80" s="16" t="n">
        <v>33779.4469253452</v>
      </c>
      <c r="N80" s="16" t="n">
        <v>11402.7039831813</v>
      </c>
      <c r="O80" s="16" t="n">
        <v>-34081.0749002737</v>
      </c>
      <c r="P80" s="16" t="n">
        <v>951.290832135856</v>
      </c>
      <c r="Q80" s="16" t="n">
        <v>-212.115611240194</v>
      </c>
      <c r="R80" s="16" t="n">
        <v>17617.7170533315</v>
      </c>
      <c r="S80" s="16" t="n">
        <v>26949.0428826358</v>
      </c>
      <c r="T80" s="16" t="n">
        <v>-955.692204749296</v>
      </c>
      <c r="U80" s="16" t="n">
        <v>-621.096213862173</v>
      </c>
      <c r="V80" s="16" t="n">
        <v>0.750319556751226</v>
      </c>
      <c r="W80" s="16" t="n">
        <v>46166.2147180189</v>
      </c>
      <c r="X80" s="16" t="n">
        <v>22149.4762774452</v>
      </c>
      <c r="Y80" s="16" t="n">
        <v>11.2467021852112</v>
      </c>
      <c r="Z80" s="16" t="n">
        <v>15.2658610039894</v>
      </c>
      <c r="AA80" s="16" t="n">
        <v>27.424347870838</v>
      </c>
      <c r="AB80" s="16" t="n">
        <v>25.224347870838</v>
      </c>
      <c r="AC80" s="16" t="n">
        <v>26.674347870838</v>
      </c>
      <c r="AD80" s="16" t="n">
        <v>27.2673434792775</v>
      </c>
      <c r="AE80" s="16" t="n">
        <v>674.686407680941</v>
      </c>
      <c r="AF80" s="16" t="n">
        <v>0.03</v>
      </c>
      <c r="AG80" s="16" t="n">
        <v>0.654405917289144</v>
      </c>
      <c r="AH80" s="16" t="n">
        <v>6840.51539342611</v>
      </c>
      <c r="AI80" s="16" t="n">
        <v>19716.7966317894</v>
      </c>
      <c r="AJ80" s="16" t="n">
        <v>16.69175</v>
      </c>
      <c r="AK80" s="16" t="n">
        <v>0</v>
      </c>
      <c r="AL80" s="16" t="n">
        <v>-52788.6985146316</v>
      </c>
      <c r="AM80" s="16" t="n">
        <v>812.6073</v>
      </c>
      <c r="AN80" s="16" t="n">
        <v>20079.98904</v>
      </c>
      <c r="AO80" s="16" t="n">
        <v>-5508.72242389994</v>
      </c>
      <c r="AP80" s="16" t="n">
        <v>0.414483496940676</v>
      </c>
      <c r="AQ80" s="16" t="n">
        <v>10.5800074461236</v>
      </c>
      <c r="AR80" s="16" t="n">
        <v>314.925245</v>
      </c>
      <c r="AS80" s="16" t="n">
        <v>314.925245</v>
      </c>
      <c r="AT80" s="16" t="n">
        <v>-19951.7486624859</v>
      </c>
      <c r="AU80" s="16" t="n">
        <v>0</v>
      </c>
      <c r="AV80" s="16" t="n">
        <v>0</v>
      </c>
      <c r="AW80" s="16" t="n">
        <v>2254.3125</v>
      </c>
      <c r="AX80" s="16" t="n">
        <v>314.925245</v>
      </c>
      <c r="AY80" s="16" t="n">
        <v>314.925245</v>
      </c>
      <c r="AZ80" s="16" t="n">
        <v>5631.62619515181</v>
      </c>
      <c r="BA80" s="16" t="n">
        <v>0</v>
      </c>
      <c r="BB80" s="16" t="n">
        <v>417.928966666667</v>
      </c>
      <c r="BC80" s="16" t="n">
        <v>111441.907179589</v>
      </c>
      <c r="BD80" s="16" t="n">
        <v>16.751694488301</v>
      </c>
      <c r="BE80" s="16" t="n">
        <v>25.4089871102374</v>
      </c>
      <c r="BF80" s="16" t="n">
        <v>39.6368423190398</v>
      </c>
      <c r="BG80" s="16" t="n">
        <v>-8.27711430924607</v>
      </c>
      <c r="BH80" s="16" t="n">
        <v>-7.28866183200638</v>
      </c>
      <c r="BI80" s="16" t="n">
        <v>1.09242813813745</v>
      </c>
      <c r="BJ80" s="16" t="n">
        <v>2.04083187529388</v>
      </c>
      <c r="BK80" s="16" t="n">
        <v>5.25403316350504</v>
      </c>
      <c r="BL80" s="16" t="n">
        <v>7.88491984612206</v>
      </c>
      <c r="BM80" s="16" t="n">
        <v>3.71992671744367</v>
      </c>
      <c r="BN80" s="16" t="n">
        <v>4.46573109600205</v>
      </c>
      <c r="BO80" s="16" t="n">
        <v>5.7791095890411</v>
      </c>
      <c r="BP80" s="16" t="n">
        <v>8712.70308277889</v>
      </c>
      <c r="BQ80" s="16" t="n">
        <v>8176.87365522983</v>
      </c>
      <c r="BR80" s="16" t="n">
        <v>8176.87365522983</v>
      </c>
      <c r="BS80" s="16" t="n">
        <v>314.925245</v>
      </c>
      <c r="BT80" s="16" t="n">
        <v>301.7195</v>
      </c>
      <c r="BU80" s="16" t="n">
        <v>1081.9108</v>
      </c>
      <c r="BV80" s="16" t="s">
        <v>3237</v>
      </c>
      <c r="BW80" s="16" t="n">
        <v>42.7692307692308</v>
      </c>
      <c r="BX80" s="16" t="n">
        <v>0.155994305554286</v>
      </c>
      <c r="BY80" s="16" t="n">
        <v>0.161741466184191</v>
      </c>
      <c r="BZ80" s="16" t="n">
        <v>13510.8578038903</v>
      </c>
      <c r="CA80" s="16" t="n">
        <v>9557.85015295579</v>
      </c>
      <c r="CB80" s="16" t="n">
        <v>121.462655079579</v>
      </c>
      <c r="CC80" s="16" t="n">
        <v>0</v>
      </c>
      <c r="CD80" s="16" t="n">
        <v>950.69728</v>
      </c>
      <c r="CE80" s="16" t="n">
        <v>12000</v>
      </c>
      <c r="CF80" s="16" t="n">
        <v>18.7642752834672</v>
      </c>
      <c r="CG80" s="16" t="n">
        <v>21.2036310703179</v>
      </c>
      <c r="CH80" s="16" t="n">
        <v>2643.77364301215</v>
      </c>
      <c r="CI80" s="16" t="n">
        <v>-6.2083733271085</v>
      </c>
      <c r="CJ80" s="16" t="n">
        <v>3.00594144553374</v>
      </c>
      <c r="CK80" s="16" t="n">
        <v>0</v>
      </c>
      <c r="CL80" s="16" t="n">
        <v>0</v>
      </c>
      <c r="CM80" s="16" t="n">
        <v>0</v>
      </c>
      <c r="CN80" s="16" t="n">
        <v>-52788.6985146316</v>
      </c>
      <c r="CO80" s="16" t="n">
        <v>1.5535546875</v>
      </c>
      <c r="CP80" s="16" t="n">
        <v>1.09004417261298</v>
      </c>
      <c r="CQ80" s="16" t="n">
        <v>11.9554084141197</v>
      </c>
      <c r="CR80" s="16" t="n">
        <v>0.0113</v>
      </c>
      <c r="CS80" s="16" t="n">
        <v>11.9554084141197</v>
      </c>
      <c r="CT80" s="16" t="n">
        <v>10.5800074461236</v>
      </c>
      <c r="CU80" s="16" t="n">
        <v>11.9554084141197</v>
      </c>
      <c r="CV80" s="16" t="n">
        <v>0</v>
      </c>
      <c r="CW80" s="16" t="n">
        <v>0</v>
      </c>
      <c r="CX80" s="16" t="n">
        <v>0</v>
      </c>
      <c r="CY80" s="16" t="n">
        <v>0</v>
      </c>
      <c r="CZ80" s="16" t="n">
        <v>0</v>
      </c>
      <c r="DA80" s="16" t="n">
        <v>31.3164847798335</v>
      </c>
      <c r="DB80" s="16" t="n">
        <v>16775.9595284851</v>
      </c>
      <c r="DC80" s="16" t="n">
        <v>12447.761970136</v>
      </c>
      <c r="DD80" s="16" t="n">
        <v>11144.3333333333</v>
      </c>
      <c r="DE80" s="16" t="n">
        <v>0</v>
      </c>
      <c r="DF80" s="16" t="n">
        <v>314.925245</v>
      </c>
      <c r="DG80" s="16" t="n">
        <v>0</v>
      </c>
      <c r="DH80" s="16" t="n">
        <v>0</v>
      </c>
      <c r="DI80" s="16" t="n">
        <v>11.9554084141197</v>
      </c>
    </row>
    <row r="81" customFormat="false" ht="15" hidden="false" customHeight="false" outlineLevel="0" collapsed="false">
      <c r="A81" s="0" t="s">
        <v>3299</v>
      </c>
      <c r="B81" s="16" t="n">
        <v>2822.95391308961</v>
      </c>
      <c r="C81" s="16" t="n">
        <v>13514.6499380133</v>
      </c>
      <c r="D81" s="16" t="n">
        <v>28701.9254919039</v>
      </c>
      <c r="E81" s="16" t="n">
        <v>7841.10089763175</v>
      </c>
      <c r="F81" s="16" t="n">
        <v>2029.2064310582</v>
      </c>
      <c r="G81" s="16" t="n">
        <v>5271.30846905302</v>
      </c>
      <c r="H81" s="16" t="n">
        <v>125480.859518724</v>
      </c>
      <c r="I81" s="17" t="n">
        <v>355.026856324297</v>
      </c>
      <c r="J81" s="17" t="n">
        <v>423.839617382137</v>
      </c>
      <c r="K81" s="16" t="s">
        <v>882</v>
      </c>
      <c r="L81" s="16" t="n">
        <v>-26628.5409329084</v>
      </c>
      <c r="M81" s="16" t="n">
        <v>37641.1606487603</v>
      </c>
      <c r="N81" s="16" t="n">
        <v>18116.2303461208</v>
      </c>
      <c r="O81" s="16" t="n">
        <v>-30796.7908589948</v>
      </c>
      <c r="P81" s="16" t="n">
        <v>1212.1769462832</v>
      </c>
      <c r="Q81" s="16" t="n">
        <v>6379.03240680252</v>
      </c>
      <c r="R81" s="16" t="n">
        <v>23963.3261282618</v>
      </c>
      <c r="S81" s="16" t="n">
        <v>22480.1453098381</v>
      </c>
      <c r="T81" s="16" t="n">
        <v>-533.47336857847</v>
      </c>
      <c r="U81" s="16" t="n">
        <v>137784.257807271</v>
      </c>
      <c r="V81" s="16" t="n">
        <v>0.750319556751226</v>
      </c>
      <c r="W81" s="16" t="n">
        <v>155548.965916848</v>
      </c>
      <c r="X81" s="16" t="n">
        <v>23092.6812313472</v>
      </c>
      <c r="Y81" s="16" t="n">
        <v>400.49079406068</v>
      </c>
      <c r="Z81" s="16" t="n">
        <v>531.664416044153</v>
      </c>
      <c r="AA81" s="16" t="n">
        <v>43.041696075</v>
      </c>
      <c r="AB81" s="16" t="n">
        <v>40.841696075</v>
      </c>
      <c r="AC81" s="16" t="n">
        <v>42.291696075</v>
      </c>
      <c r="AD81" s="16" t="n">
        <v>46.9632728285</v>
      </c>
      <c r="AE81" s="16" t="n">
        <v>785.656190328325</v>
      </c>
      <c r="AF81" s="16" t="n">
        <v>0.035</v>
      </c>
      <c r="AG81" s="16" t="n">
        <v>0.702162322639483</v>
      </c>
      <c r="AH81" s="16" t="n">
        <v>730.192296796198</v>
      </c>
      <c r="AI81" s="16" t="n">
        <v>28701.9254919039</v>
      </c>
      <c r="AJ81" s="16" t="n">
        <v>19.0921875</v>
      </c>
      <c r="AK81" s="16" t="n">
        <v>0</v>
      </c>
      <c r="AL81" s="16" t="n">
        <v>-39957.4973731064</v>
      </c>
      <c r="AM81" s="16" t="n">
        <v>1071.7478</v>
      </c>
      <c r="AN81" s="16" t="n">
        <v>26532.1623755</v>
      </c>
      <c r="AO81" s="16" t="n">
        <v>-8420.54944033089</v>
      </c>
      <c r="AP81" s="16" t="n">
        <v>0</v>
      </c>
      <c r="AQ81" s="16" t="n">
        <v>378.428229805479</v>
      </c>
      <c r="AR81" s="16" t="n">
        <v>364.096140179856</v>
      </c>
      <c r="AS81" s="16" t="n">
        <v>388.09530984161</v>
      </c>
      <c r="AT81" s="16" t="n">
        <v>-26628.5409329084</v>
      </c>
      <c r="AU81" s="16" t="n">
        <v>0</v>
      </c>
      <c r="AV81" s="16" t="n">
        <v>0</v>
      </c>
      <c r="AW81" s="16" t="n">
        <v>3694.865</v>
      </c>
      <c r="AX81" s="16" t="n">
        <v>388.09530984161</v>
      </c>
      <c r="AY81" s="16" t="n">
        <v>350.039434452992</v>
      </c>
      <c r="AZ81" s="16" t="n">
        <v>8424.25061720007</v>
      </c>
      <c r="BA81" s="16" t="n">
        <v>0</v>
      </c>
      <c r="BB81" s="16" t="n">
        <v>677.069466666667</v>
      </c>
      <c r="BC81" s="16" t="n">
        <v>116510.551420808</v>
      </c>
      <c r="BD81" s="16" t="n">
        <v>16.3290373938001</v>
      </c>
      <c r="BE81" s="16" t="n">
        <v>24.9863300157365</v>
      </c>
      <c r="BF81" s="16" t="n">
        <v>40.3559441977689</v>
      </c>
      <c r="BG81" s="16" t="n">
        <v>-6.86548043539002</v>
      </c>
      <c r="BH81" s="16" t="n">
        <v>-0.510471429167696</v>
      </c>
      <c r="BI81" s="16" t="n">
        <v>2.24787422120944</v>
      </c>
      <c r="BJ81" s="16" t="n">
        <v>8.60288322743177</v>
      </c>
      <c r="BK81" s="16" t="n">
        <v>6.53606807781388</v>
      </c>
      <c r="BL81" s="16" t="n">
        <v>15.7885171639902</v>
      </c>
      <c r="BM81" s="16" t="n">
        <v>4.18491755712413</v>
      </c>
      <c r="BN81" s="16" t="n">
        <v>5.02394748300231</v>
      </c>
      <c r="BO81" s="16" t="n">
        <v>7.13470319634703</v>
      </c>
      <c r="BP81" s="16" t="n">
        <v>12077.6391665806</v>
      </c>
      <c r="BQ81" s="16" t="n">
        <v>13480.8203778751</v>
      </c>
      <c r="BR81" s="16" t="n">
        <v>13480.8203778751</v>
      </c>
      <c r="BS81" s="16" t="n">
        <v>364.096140179856</v>
      </c>
      <c r="BT81" s="16" t="n">
        <v>413.9493</v>
      </c>
      <c r="BU81" s="16" t="n">
        <v>1369.2143</v>
      </c>
      <c r="BV81" s="16" t="s">
        <v>3238</v>
      </c>
      <c r="BW81" s="16" t="n">
        <v>42.7692307692308</v>
      </c>
      <c r="BX81" s="16" t="n">
        <v>0.155994305554286</v>
      </c>
      <c r="BY81" s="16" t="n">
        <v>0.213851354521278</v>
      </c>
      <c r="BZ81" s="16" t="n">
        <v>0</v>
      </c>
      <c r="CA81" s="16" t="n">
        <v>0</v>
      </c>
      <c r="CB81" s="16" t="n">
        <v>52.5966471969862</v>
      </c>
      <c r="CC81" s="16" t="n">
        <v>0</v>
      </c>
      <c r="CD81" s="16" t="n">
        <v>872.7296</v>
      </c>
      <c r="CE81" s="16" t="n">
        <v>12000</v>
      </c>
      <c r="CF81" s="16" t="n">
        <v>22.9158862823356</v>
      </c>
      <c r="CG81" s="16" t="n">
        <v>25.6657926362158</v>
      </c>
      <c r="CH81" s="16" t="n">
        <v>3188.69833333333</v>
      </c>
      <c r="CI81" s="16" t="n">
        <v>-0.379462866110714</v>
      </c>
      <c r="CJ81" s="16" t="n">
        <v>9.74648675233316</v>
      </c>
      <c r="CK81" s="16" t="n">
        <v>0</v>
      </c>
      <c r="CL81" s="16" t="n">
        <v>0</v>
      </c>
      <c r="CM81" s="16" t="n">
        <v>0</v>
      </c>
      <c r="CN81" s="16" t="n">
        <v>-39957.4973731064</v>
      </c>
      <c r="CO81" s="16" t="n">
        <v>1.70486111111111</v>
      </c>
      <c r="CP81" s="16" t="n">
        <v>0.90519877675841</v>
      </c>
      <c r="CQ81" s="16" t="n">
        <v>423.839617382137</v>
      </c>
      <c r="CR81" s="16" t="n">
        <v>397.630079083212</v>
      </c>
      <c r="CS81" s="16" t="n">
        <v>423.839617382137</v>
      </c>
      <c r="CT81" s="16" t="n">
        <v>378.428229805479</v>
      </c>
      <c r="CU81" s="16" t="n">
        <v>423.839617382137</v>
      </c>
      <c r="CV81" s="16" t="n">
        <v>0</v>
      </c>
      <c r="CW81" s="16" t="n">
        <v>0</v>
      </c>
      <c r="CX81" s="16" t="n">
        <v>0</v>
      </c>
      <c r="CY81" s="16" t="n">
        <v>0</v>
      </c>
      <c r="CZ81" s="16" t="n">
        <v>0</v>
      </c>
      <c r="DA81" s="16" t="n">
        <v>35.4680957787019</v>
      </c>
      <c r="DB81" s="16" t="n">
        <v>18843.2506172001</v>
      </c>
      <c r="DC81" s="16" t="n">
        <v>13981.6919579624</v>
      </c>
      <c r="DD81" s="16" t="n">
        <v>10419</v>
      </c>
      <c r="DE81" s="16" t="n">
        <v>0</v>
      </c>
      <c r="DF81" s="16" t="n">
        <v>364.096140179856</v>
      </c>
      <c r="DG81" s="16" t="n">
        <v>0</v>
      </c>
      <c r="DH81" s="16" t="n">
        <v>0</v>
      </c>
      <c r="DI81" s="16" t="n">
        <v>423.839617382137</v>
      </c>
    </row>
    <row r="82" customFormat="false" ht="15" hidden="false" customHeight="false" outlineLevel="0" collapsed="false">
      <c r="A82" s="0" t="s">
        <v>3300</v>
      </c>
      <c r="B82" s="16" t="n">
        <v>2161.09062763565</v>
      </c>
      <c r="C82" s="16" t="n">
        <v>4287.20023545696</v>
      </c>
      <c r="D82" s="16" t="n">
        <v>10944.1398681103</v>
      </c>
      <c r="E82" s="16" t="n">
        <v>1840.94291622573</v>
      </c>
      <c r="F82" s="16" t="n">
        <v>-3929.75629162136</v>
      </c>
      <c r="G82" s="16" t="n">
        <v>5599.21119842882</v>
      </c>
      <c r="H82" s="16" t="n">
        <v>-34363.0239982634</v>
      </c>
      <c r="I82" s="17" t="n">
        <v>0.01</v>
      </c>
      <c r="J82" s="17" t="n">
        <v>0</v>
      </c>
      <c r="K82" s="16" t="s">
        <v>72</v>
      </c>
      <c r="L82" s="16" t="n">
        <v>-5097.85692660877</v>
      </c>
      <c r="M82" s="16" t="n">
        <v>23393.2765619591</v>
      </c>
      <c r="N82" s="16" t="n">
        <v>5268.34038131425</v>
      </c>
      <c r="O82" s="16" t="n">
        <v>-25991.3328409901</v>
      </c>
      <c r="P82" s="16" t="n">
        <v>747.002337313713</v>
      </c>
      <c r="Q82" s="16" t="n">
        <v>-6256.63951054422</v>
      </c>
      <c r="R82" s="16" t="n">
        <v>10749.8273603027</v>
      </c>
      <c r="S82" s="16" t="n">
        <v>27562.9798373622</v>
      </c>
      <c r="T82" s="16" t="n">
        <v>-1436.17830391911</v>
      </c>
      <c r="U82" s="16" t="n">
        <v>-34087.8704089523</v>
      </c>
      <c r="V82" s="16" t="n">
        <v>0.750319556751226</v>
      </c>
      <c r="W82" s="16" t="n">
        <v>16992.5164114785</v>
      </c>
      <c r="X82" s="16" t="n">
        <v>14072.7441668294</v>
      </c>
      <c r="Y82" s="16" t="n">
        <v>0</v>
      </c>
      <c r="Z82" s="16" t="n">
        <v>0</v>
      </c>
      <c r="AA82" s="16" t="n">
        <v>22.27279275</v>
      </c>
      <c r="AB82" s="16" t="n">
        <v>20.07279275</v>
      </c>
      <c r="AC82" s="16" t="n">
        <v>21.52279275</v>
      </c>
      <c r="AD82" s="16" t="n">
        <v>21.8718824805</v>
      </c>
      <c r="AE82" s="16" t="n">
        <v>594.149368983825</v>
      </c>
      <c r="AF82" s="16" t="n">
        <v>0.02</v>
      </c>
      <c r="AG82" s="16" t="n">
        <v>0.572671227358019</v>
      </c>
      <c r="AH82" s="16" t="n">
        <v>13530.2399423265</v>
      </c>
      <c r="AI82" s="16" t="n">
        <v>10944.1398681103</v>
      </c>
      <c r="AJ82" s="16" t="n">
        <v>14.7365561910928</v>
      </c>
      <c r="AK82" s="16" t="n">
        <v>0</v>
      </c>
      <c r="AL82" s="16" t="n">
        <v>-53704.5305882302</v>
      </c>
      <c r="AM82" s="16" t="n">
        <v>470.44678</v>
      </c>
      <c r="AN82" s="16" t="n">
        <v>12000</v>
      </c>
      <c r="AO82" s="16" t="n">
        <v>-2079.00657489433</v>
      </c>
      <c r="AP82" s="16" t="n">
        <v>1</v>
      </c>
      <c r="AQ82" s="16" t="n">
        <v>0</v>
      </c>
      <c r="AR82" s="16" t="n">
        <v>314.925245</v>
      </c>
      <c r="AS82" s="16" t="n">
        <v>314.925245</v>
      </c>
      <c r="AT82" s="16" t="n">
        <v>-5097.85692660877</v>
      </c>
      <c r="AU82" s="16" t="n">
        <v>0</v>
      </c>
      <c r="AV82" s="16" t="n">
        <v>0</v>
      </c>
      <c r="AW82" s="16" t="n">
        <v>998.76</v>
      </c>
      <c r="AX82" s="16" t="n">
        <v>314.925245</v>
      </c>
      <c r="AY82" s="16" t="n">
        <v>314.925245</v>
      </c>
      <c r="AZ82" s="16" t="n">
        <v>1668.24598467516</v>
      </c>
      <c r="BA82" s="16" t="n">
        <v>1732.5375</v>
      </c>
      <c r="BB82" s="16" t="n">
        <v>155.768446666667</v>
      </c>
      <c r="BC82" s="16" t="n">
        <v>88718.5578003424</v>
      </c>
      <c r="BD82" s="16" t="n">
        <v>8.14523324094375</v>
      </c>
      <c r="BE82" s="16" t="n">
        <v>16.8025258628801</v>
      </c>
      <c r="BF82" s="16" t="n">
        <v>29.677242910116</v>
      </c>
      <c r="BG82" s="16" t="n">
        <v>-13.6535979204585</v>
      </c>
      <c r="BH82" s="16" t="n">
        <v>-20.0976093877166</v>
      </c>
      <c r="BI82" s="16" t="n">
        <v>-3.59741167595651</v>
      </c>
      <c r="BJ82" s="16" t="n">
        <v>-9.93933550584831</v>
      </c>
      <c r="BK82" s="16" t="n">
        <v>-0.548394239950376</v>
      </c>
      <c r="BL82" s="16" t="n">
        <v>-6.73470781259538</v>
      </c>
      <c r="BM82" s="16" t="n">
        <v>3.37118358768332</v>
      </c>
      <c r="BN82" s="16" t="n">
        <v>4.04706880575186</v>
      </c>
      <c r="BO82" s="16" t="n">
        <v>5.1726598173516</v>
      </c>
      <c r="BP82" s="16" t="n">
        <v>5354.49215439957</v>
      </c>
      <c r="BQ82" s="16" t="n">
        <v>4257.60023545696</v>
      </c>
      <c r="BR82" s="16" t="n">
        <v>4257.60023545696</v>
      </c>
      <c r="BS82" s="16" t="n">
        <v>314.925245</v>
      </c>
      <c r="BT82" s="16" t="n">
        <v>189.4897</v>
      </c>
      <c r="BU82" s="16" t="n">
        <v>794.6073</v>
      </c>
      <c r="BV82" s="16" t="s">
        <v>3237</v>
      </c>
      <c r="BW82" s="16" t="n">
        <v>42.7692307692308</v>
      </c>
      <c r="BX82" s="16" t="n">
        <v>0.124596585374074</v>
      </c>
      <c r="BY82" s="16" t="n">
        <v>0.0866148510447071</v>
      </c>
      <c r="BZ82" s="16" t="n">
        <v>13510.8578038903</v>
      </c>
      <c r="CA82" s="16" t="n">
        <v>9557.85015295579</v>
      </c>
      <c r="CB82" s="16" t="n">
        <v>170.933066588558</v>
      </c>
      <c r="CC82" s="16" t="n">
        <v>1732.5375</v>
      </c>
      <c r="CD82" s="16" t="n">
        <v>1028.66496</v>
      </c>
      <c r="CE82" s="16" t="n">
        <v>12000</v>
      </c>
      <c r="CF82" s="16" t="n">
        <v>6.1709869400478</v>
      </c>
      <c r="CG82" s="16" t="n">
        <v>7.09663498105497</v>
      </c>
      <c r="CH82" s="16" t="n">
        <v>1983.66628420139</v>
      </c>
      <c r="CI82" s="16" t="n">
        <v>-14.9451536418179</v>
      </c>
      <c r="CJ82" s="16" t="n">
        <v>-5.32272994264565</v>
      </c>
      <c r="CK82" s="16" t="n">
        <v>0</v>
      </c>
      <c r="CL82" s="16" t="n">
        <v>0</v>
      </c>
      <c r="CM82" s="16" t="n">
        <v>0</v>
      </c>
      <c r="CN82" s="16" t="n">
        <v>-53704.5305882302</v>
      </c>
      <c r="CO82" s="16" t="n">
        <v>1.534375</v>
      </c>
      <c r="CP82" s="16" t="n">
        <v>1.31022765885151</v>
      </c>
      <c r="CQ82" s="16" t="n">
        <v>0</v>
      </c>
      <c r="CR82" s="16" t="n">
        <v>0.0115</v>
      </c>
      <c r="CS82" s="16" t="n">
        <v>0</v>
      </c>
      <c r="CT82" s="16" t="n">
        <v>0</v>
      </c>
      <c r="CU82" s="16" t="n">
        <v>0.0115</v>
      </c>
      <c r="CV82" s="16" t="n">
        <v>0</v>
      </c>
      <c r="CW82" s="16" t="n">
        <v>0</v>
      </c>
      <c r="CX82" s="16" t="n">
        <v>0</v>
      </c>
      <c r="CY82" s="16" t="n">
        <v>0</v>
      </c>
      <c r="CZ82" s="16" t="n">
        <v>0</v>
      </c>
      <c r="DA82" s="16" t="n">
        <v>18.7231964364141</v>
      </c>
      <c r="DB82" s="16" t="n">
        <v>13676.5793180085</v>
      </c>
      <c r="DC82" s="16" t="n">
        <v>10148.0218539623</v>
      </c>
      <c r="DD82" s="16" t="n">
        <v>12008.3333333333</v>
      </c>
      <c r="DE82" s="16" t="n">
        <v>0</v>
      </c>
      <c r="DF82" s="16" t="n">
        <v>314.925245</v>
      </c>
      <c r="DG82" s="16" t="n">
        <v>0</v>
      </c>
      <c r="DH82" s="16" t="n">
        <v>0</v>
      </c>
      <c r="DI82" s="16" t="n">
        <v>0.0115</v>
      </c>
    </row>
    <row r="83" customFormat="false" ht="15" hidden="false" customHeight="false" outlineLevel="0" collapsed="false">
      <c r="A83" s="0" t="s">
        <v>3301</v>
      </c>
      <c r="B83" s="16" t="n">
        <v>2465.07954157611</v>
      </c>
      <c r="C83" s="16" t="n">
        <v>8660.67116222822</v>
      </c>
      <c r="D83" s="16" t="n">
        <v>20727.1633713073</v>
      </c>
      <c r="E83" s="16" t="n">
        <v>4533.65983141815</v>
      </c>
      <c r="F83" s="16" t="n">
        <v>-822.626937025778</v>
      </c>
      <c r="G83" s="16" t="n">
        <v>5009.8599219548</v>
      </c>
      <c r="H83" s="16" t="n">
        <v>1732.32509534632</v>
      </c>
      <c r="I83" s="17" t="n">
        <v>6.38260324632871</v>
      </c>
      <c r="J83" s="17" t="n">
        <v>21.3963383992453</v>
      </c>
      <c r="K83" s="16" t="s">
        <v>70</v>
      </c>
      <c r="L83" s="16" t="n">
        <v>-19640.2614312078</v>
      </c>
      <c r="M83" s="16" t="n">
        <v>33788.4755407446</v>
      </c>
      <c r="N83" s="16" t="n">
        <v>12170.5827052149</v>
      </c>
      <c r="O83" s="16" t="n">
        <v>-33021.9162817524</v>
      </c>
      <c r="P83" s="16" t="n">
        <v>951.290832135856</v>
      </c>
      <c r="Q83" s="16" t="n">
        <v>512.045594573654</v>
      </c>
      <c r="R83" s="16" t="n">
        <v>17617.7170533315</v>
      </c>
      <c r="S83" s="16" t="n">
        <v>26969.2502174261</v>
      </c>
      <c r="T83" s="16" t="n">
        <v>-955.692204749296</v>
      </c>
      <c r="U83" s="16" t="n">
        <v>2010.04289108787</v>
      </c>
      <c r="V83" s="16" t="n">
        <v>0.750319556751226</v>
      </c>
      <c r="W83" s="16" t="n">
        <v>47133.9289295179</v>
      </c>
      <c r="X83" s="16" t="n">
        <v>22163.1975323397</v>
      </c>
      <c r="Y83" s="16" t="n">
        <v>20.1279820391674</v>
      </c>
      <c r="Z83" s="16" t="n">
        <v>27.3209845019964</v>
      </c>
      <c r="AA83" s="16" t="n">
        <v>27.424347870838</v>
      </c>
      <c r="AB83" s="16" t="n">
        <v>25.224347870838</v>
      </c>
      <c r="AC83" s="16" t="n">
        <v>26.674347870838</v>
      </c>
      <c r="AD83" s="16" t="n">
        <v>27.2673434792775</v>
      </c>
      <c r="AE83" s="16" t="n">
        <v>674.686407680941</v>
      </c>
      <c r="AF83" s="16" t="n">
        <v>0.03</v>
      </c>
      <c r="AG83" s="16" t="n">
        <v>0.658217046830445</v>
      </c>
      <c r="AH83" s="16" t="n">
        <v>6840.51539342611</v>
      </c>
      <c r="AI83" s="16" t="n">
        <v>20727.1633713073</v>
      </c>
      <c r="AJ83" s="16" t="n">
        <v>19.7391827628362</v>
      </c>
      <c r="AK83" s="16" t="n">
        <v>0</v>
      </c>
      <c r="AL83" s="16" t="n">
        <v>-51137.5499034723</v>
      </c>
      <c r="AM83" s="16" t="n">
        <v>812.6073</v>
      </c>
      <c r="AN83" s="16" t="n">
        <v>20079.98904</v>
      </c>
      <c r="AO83" s="16" t="n">
        <v>-5508.72242389994</v>
      </c>
      <c r="AP83" s="16" t="n">
        <v>0.358496107957722</v>
      </c>
      <c r="AQ83" s="16" t="n">
        <v>18.934812742695</v>
      </c>
      <c r="AR83" s="16" t="n">
        <v>314.925245</v>
      </c>
      <c r="AS83" s="16" t="n">
        <v>314.925245</v>
      </c>
      <c r="AT83" s="16" t="n">
        <v>-19640.2614312078</v>
      </c>
      <c r="AU83" s="16" t="n">
        <v>0</v>
      </c>
      <c r="AV83" s="16" t="n">
        <v>0</v>
      </c>
      <c r="AW83" s="16" t="n">
        <v>2254.3125</v>
      </c>
      <c r="AX83" s="16" t="n">
        <v>314.925245</v>
      </c>
      <c r="AY83" s="16" t="n">
        <v>314.925245</v>
      </c>
      <c r="AZ83" s="16" t="n">
        <v>5807.5893766769</v>
      </c>
      <c r="BA83" s="16" t="n">
        <v>0</v>
      </c>
      <c r="BB83" s="16" t="n">
        <v>417.928966666667</v>
      </c>
      <c r="BC83" s="16" t="n">
        <v>111513.618227291</v>
      </c>
      <c r="BD83" s="16" t="n">
        <v>17.3104403631359</v>
      </c>
      <c r="BE83" s="16" t="n">
        <v>25.9677329850722</v>
      </c>
      <c r="BF83" s="16" t="n">
        <v>40.1955881938747</v>
      </c>
      <c r="BG83" s="16" t="n">
        <v>-8.27711430924607</v>
      </c>
      <c r="BH83" s="16" t="n">
        <v>-7.28866183200638</v>
      </c>
      <c r="BI83" s="16" t="n">
        <v>1.09242813813745</v>
      </c>
      <c r="BJ83" s="16" t="n">
        <v>2.04083187529388</v>
      </c>
      <c r="BK83" s="16" t="n">
        <v>5.25403316350504</v>
      </c>
      <c r="BL83" s="16" t="n">
        <v>7.88491984612206</v>
      </c>
      <c r="BM83" s="16" t="n">
        <v>3.71992671744367</v>
      </c>
      <c r="BN83" s="16" t="n">
        <v>4.46573109600205</v>
      </c>
      <c r="BO83" s="16" t="n">
        <v>5.7791095890411</v>
      </c>
      <c r="BP83" s="16" t="n">
        <v>8712.70308277889</v>
      </c>
      <c r="BQ83" s="16" t="n">
        <v>8628.30442519799</v>
      </c>
      <c r="BR83" s="16" t="n">
        <v>8628.30442519799</v>
      </c>
      <c r="BS83" s="16" t="n">
        <v>314.925245</v>
      </c>
      <c r="BT83" s="16" t="n">
        <v>301.7195</v>
      </c>
      <c r="BU83" s="16" t="n">
        <v>1081.9108</v>
      </c>
      <c r="BV83" s="16" t="s">
        <v>3237</v>
      </c>
      <c r="BW83" s="16" t="n">
        <v>42.7692307692308</v>
      </c>
      <c r="BX83" s="16" t="n">
        <v>0.155994305554286</v>
      </c>
      <c r="BY83" s="16" t="n">
        <v>0.161741466184191</v>
      </c>
      <c r="BZ83" s="16" t="n">
        <v>13510.8578038903</v>
      </c>
      <c r="CA83" s="16" t="n">
        <v>9557.85015295579</v>
      </c>
      <c r="CB83" s="16" t="n">
        <v>117.836451365744</v>
      </c>
      <c r="CC83" s="16" t="n">
        <v>0</v>
      </c>
      <c r="CD83" s="16" t="n">
        <v>950.69728</v>
      </c>
      <c r="CE83" s="16" t="n">
        <v>12000</v>
      </c>
      <c r="CF83" s="16" t="n">
        <v>19.323021158302</v>
      </c>
      <c r="CG83" s="16" t="n">
        <v>21.8350139088813</v>
      </c>
      <c r="CH83" s="16" t="n">
        <v>2643.77364301215</v>
      </c>
      <c r="CI83" s="16" t="n">
        <v>-6.2083733271085</v>
      </c>
      <c r="CJ83" s="16" t="n">
        <v>3.00594144553374</v>
      </c>
      <c r="CK83" s="16" t="n">
        <v>0</v>
      </c>
      <c r="CL83" s="16" t="n">
        <v>0</v>
      </c>
      <c r="CM83" s="16" t="n">
        <v>0</v>
      </c>
      <c r="CN83" s="16" t="n">
        <v>-51137.5499034723</v>
      </c>
      <c r="CO83" s="16" t="n">
        <v>1.5535546875</v>
      </c>
      <c r="CP83" s="16" t="n">
        <v>1.09004417261298</v>
      </c>
      <c r="CQ83" s="16" t="n">
        <v>21.3963383992453</v>
      </c>
      <c r="CR83" s="16" t="n">
        <v>7.21234166835145</v>
      </c>
      <c r="CS83" s="16" t="n">
        <v>21.3963383992453</v>
      </c>
      <c r="CT83" s="16" t="n">
        <v>18.934812742695</v>
      </c>
      <c r="CU83" s="16" t="n">
        <v>21.3963383992453</v>
      </c>
      <c r="CV83" s="16" t="n">
        <v>0</v>
      </c>
      <c r="CW83" s="16" t="n">
        <v>0</v>
      </c>
      <c r="CX83" s="16" t="n">
        <v>0</v>
      </c>
      <c r="CY83" s="16" t="n">
        <v>0</v>
      </c>
      <c r="CZ83" s="16" t="n">
        <v>0</v>
      </c>
      <c r="DA83" s="16" t="n">
        <v>31.8752306546683</v>
      </c>
      <c r="DB83" s="16" t="n">
        <v>16951.9227100102</v>
      </c>
      <c r="DC83" s="16" t="n">
        <v>12578.3266508276</v>
      </c>
      <c r="DD83" s="16" t="n">
        <v>11144.3333333333</v>
      </c>
      <c r="DE83" s="16" t="n">
        <v>0</v>
      </c>
      <c r="DF83" s="16" t="n">
        <v>314.925245</v>
      </c>
      <c r="DG83" s="16" t="n">
        <v>0</v>
      </c>
      <c r="DH83" s="16" t="n">
        <v>0</v>
      </c>
      <c r="DI83" s="16" t="n">
        <v>21.3963383992453</v>
      </c>
    </row>
    <row r="84" customFormat="false" ht="15" hidden="false" customHeight="false" outlineLevel="0" collapsed="false">
      <c r="A84" s="0" t="s">
        <v>3302</v>
      </c>
      <c r="B84" s="16" t="n">
        <v>2161.09062763565</v>
      </c>
      <c r="C84" s="16" t="n">
        <v>4287.20023545696</v>
      </c>
      <c r="D84" s="16" t="n">
        <v>10944.1398681103</v>
      </c>
      <c r="E84" s="16" t="n">
        <v>1840.94291622573</v>
      </c>
      <c r="F84" s="16" t="n">
        <v>-3929.75629162136</v>
      </c>
      <c r="G84" s="16" t="n">
        <v>5599.21119842882</v>
      </c>
      <c r="H84" s="16" t="n">
        <v>-34363.0239982634</v>
      </c>
      <c r="I84" s="17" t="n">
        <v>0.01</v>
      </c>
      <c r="J84" s="17" t="n">
        <v>0</v>
      </c>
      <c r="K84" s="16" t="s">
        <v>116</v>
      </c>
      <c r="L84" s="16" t="n">
        <v>1000</v>
      </c>
      <c r="M84" s="16" t="n">
        <v>23393.2765619591</v>
      </c>
      <c r="N84" s="16" t="n">
        <v>5268.34038131425</v>
      </c>
      <c r="O84" s="16" t="n">
        <v>1000</v>
      </c>
      <c r="P84" s="16" t="n">
        <v>747.002337313713</v>
      </c>
      <c r="Q84" s="16" t="n">
        <v>-6256.63951054422</v>
      </c>
      <c r="R84" s="16" t="n">
        <v>10749.8273603027</v>
      </c>
      <c r="S84" s="16" t="n">
        <v>27562.9798373622</v>
      </c>
      <c r="T84" s="16" t="n">
        <v>-1436.17830391911</v>
      </c>
      <c r="U84" s="16" t="n">
        <v>-34087.8704089523</v>
      </c>
      <c r="V84" s="16" t="n">
        <v>0.750319556751226</v>
      </c>
      <c r="W84" s="16" t="n">
        <v>16992.5164114785</v>
      </c>
      <c r="X84" s="16" t="n">
        <v>14072.7441668294</v>
      </c>
      <c r="Y84" s="16" t="n">
        <v>0</v>
      </c>
      <c r="Z84" s="16" t="n">
        <v>0</v>
      </c>
      <c r="AA84" s="16" t="n">
        <v>22.27279275</v>
      </c>
      <c r="AB84" s="16" t="n">
        <v>20.07279275</v>
      </c>
      <c r="AC84" s="16" t="n">
        <v>21.52279275</v>
      </c>
      <c r="AD84" s="16" t="n">
        <v>21.8718824805</v>
      </c>
      <c r="AE84" s="16" t="n">
        <v>594.149368983825</v>
      </c>
      <c r="AF84" s="16" t="n">
        <v>0.02</v>
      </c>
      <c r="AG84" s="16" t="n">
        <v>0.572671227358019</v>
      </c>
      <c r="AH84" s="16" t="n">
        <v>15615.8212055955</v>
      </c>
      <c r="AI84" s="16" t="n">
        <v>10944.1398681103</v>
      </c>
      <c r="AJ84" s="16" t="n">
        <v>14.7365561910928</v>
      </c>
      <c r="AK84" s="16" t="n">
        <v>0</v>
      </c>
      <c r="AL84" s="16" t="n">
        <v>1000</v>
      </c>
      <c r="AM84" s="16" t="n">
        <v>470.44678</v>
      </c>
      <c r="AN84" s="16" t="n">
        <v>12000</v>
      </c>
      <c r="AO84" s="16" t="n">
        <v>-2079.00657489433</v>
      </c>
      <c r="AP84" s="16" t="n">
        <v>1</v>
      </c>
      <c r="AQ84" s="16" t="n">
        <v>29.5528857614817</v>
      </c>
      <c r="AR84" s="16" t="n">
        <v>701.093575417815</v>
      </c>
      <c r="AS84" s="16" t="n">
        <v>314.925245</v>
      </c>
      <c r="AT84" s="16" t="n">
        <v>1000</v>
      </c>
      <c r="AU84" s="16" t="n">
        <v>12.270507</v>
      </c>
      <c r="AV84" s="16" t="n">
        <v>0</v>
      </c>
      <c r="AW84" s="16" t="n">
        <v>998.76</v>
      </c>
      <c r="AX84" s="16" t="n">
        <v>314.925245</v>
      </c>
      <c r="AY84" s="16" t="n">
        <v>314.925245</v>
      </c>
      <c r="AZ84" s="16" t="n">
        <v>1668.24598467516</v>
      </c>
      <c r="BA84" s="16" t="n">
        <v>1732.5375</v>
      </c>
      <c r="BB84" s="16" t="n">
        <v>155.768446666667</v>
      </c>
      <c r="BC84" s="16" t="n">
        <v>88718.5578003424</v>
      </c>
      <c r="BD84" s="16" t="n">
        <v>8.14523324094375</v>
      </c>
      <c r="BE84" s="16" t="n">
        <v>16.8025258628801</v>
      </c>
      <c r="BF84" s="16" t="n">
        <v>29.677242910116</v>
      </c>
      <c r="BG84" s="16" t="n">
        <v>-13.6535979204585</v>
      </c>
      <c r="BH84" s="16" t="n">
        <v>-20.0976093877166</v>
      </c>
      <c r="BI84" s="16" t="n">
        <v>-3.59741167595651</v>
      </c>
      <c r="BJ84" s="16" t="n">
        <v>-9.93933550584831</v>
      </c>
      <c r="BK84" s="16" t="n">
        <v>-0.548394239950376</v>
      </c>
      <c r="BL84" s="16" t="n">
        <v>-6.73470781259538</v>
      </c>
      <c r="BM84" s="16" t="n">
        <v>3.37118358768332</v>
      </c>
      <c r="BN84" s="16" t="n">
        <v>4.04706880575186</v>
      </c>
      <c r="BO84" s="16" t="n">
        <v>5.1726598173516</v>
      </c>
      <c r="BP84" s="16" t="n">
        <v>5354.49215439957</v>
      </c>
      <c r="BQ84" s="16" t="n">
        <v>4257.60023545696</v>
      </c>
      <c r="BR84" s="16" t="n">
        <v>4257.60023545696</v>
      </c>
      <c r="BS84" s="16" t="n">
        <v>701.093575417815</v>
      </c>
      <c r="BT84" s="16" t="n">
        <v>189.4897</v>
      </c>
      <c r="BU84" s="16" t="n">
        <v>794.6073</v>
      </c>
      <c r="BV84" s="16" t="s">
        <v>3237</v>
      </c>
      <c r="BW84" s="16" t="n">
        <v>42.7692307692308</v>
      </c>
      <c r="BX84" s="16" t="n">
        <v>0.124596585374074</v>
      </c>
      <c r="BY84" s="16" t="n">
        <v>0.0866148510447071</v>
      </c>
      <c r="BZ84" s="16" t="n">
        <v>13510.8578038903</v>
      </c>
      <c r="CA84" s="16" t="n">
        <v>9557.85015295579</v>
      </c>
      <c r="CB84" s="16" t="n">
        <v>550.361390854061</v>
      </c>
      <c r="CC84" s="16" t="n">
        <v>1732.5375</v>
      </c>
      <c r="CD84" s="16" t="n">
        <v>1028.66496</v>
      </c>
      <c r="CE84" s="16" t="n">
        <v>12000</v>
      </c>
      <c r="CF84" s="16" t="n">
        <v>24.0022412820025</v>
      </c>
      <c r="CG84" s="16" t="n">
        <v>27.6025774743029</v>
      </c>
      <c r="CH84" s="16" t="n">
        <v>1983.66628420139</v>
      </c>
      <c r="CI84" s="16" t="n">
        <v>-14.9451536418179</v>
      </c>
      <c r="CJ84" s="16" t="n">
        <v>-5.32272994264565</v>
      </c>
      <c r="CK84" s="16" t="n">
        <v>52563.6198371802</v>
      </c>
      <c r="CL84" s="16" t="n">
        <v>360.800762167815</v>
      </c>
      <c r="CM84" s="16" t="n">
        <v>386.168330417815</v>
      </c>
      <c r="CN84" s="16" t="n">
        <v>1000</v>
      </c>
      <c r="CO84" s="16" t="n">
        <v>1.534375</v>
      </c>
      <c r="CP84" s="16" t="n">
        <v>1.31022765885151</v>
      </c>
      <c r="CQ84" s="16" t="n">
        <v>0</v>
      </c>
      <c r="CR84" s="16" t="n">
        <v>33.985818625704</v>
      </c>
      <c r="CS84" s="16" t="n">
        <v>0</v>
      </c>
      <c r="CT84" s="16" t="n">
        <v>0</v>
      </c>
      <c r="CU84" s="16" t="n">
        <v>0.0115</v>
      </c>
      <c r="CV84" s="16" t="n">
        <v>4919169.66090863</v>
      </c>
      <c r="CW84" s="16" t="n">
        <v>0</v>
      </c>
      <c r="CX84" s="16" t="n">
        <v>4919169.66090863</v>
      </c>
      <c r="CY84" s="16" t="n">
        <v>4919169.66090863</v>
      </c>
      <c r="CZ84" s="16" t="n">
        <v>6306100.70310994</v>
      </c>
      <c r="DA84" s="16" t="n">
        <v>24.0022412820025</v>
      </c>
      <c r="DB84" s="16" t="n">
        <v>13676.5793180085</v>
      </c>
      <c r="DC84" s="16" t="n">
        <v>10148.0218539623</v>
      </c>
      <c r="DD84" s="16" t="n">
        <v>12008.3333333333</v>
      </c>
      <c r="DE84" s="16" t="n">
        <v>1921.25</v>
      </c>
      <c r="DF84" s="16" t="n">
        <v>4919484.58615363</v>
      </c>
      <c r="DG84" s="16" t="n">
        <v>386.168330417815</v>
      </c>
      <c r="DH84" s="16" t="n">
        <v>0</v>
      </c>
      <c r="DI84" s="16" t="n">
        <v>0.0115</v>
      </c>
    </row>
    <row r="85" customFormat="false" ht="15" hidden="false" customHeight="false" outlineLevel="0" collapsed="false">
      <c r="A85" s="0" t="s">
        <v>3303</v>
      </c>
      <c r="B85" s="16" t="n">
        <v>2161.09062763565</v>
      </c>
      <c r="C85" s="16" t="n">
        <v>4287.20023545696</v>
      </c>
      <c r="D85" s="16" t="n">
        <v>10944.1398681103</v>
      </c>
      <c r="E85" s="16" t="n">
        <v>1840.94291622573</v>
      </c>
      <c r="F85" s="16" t="n">
        <v>-3929.75629162136</v>
      </c>
      <c r="G85" s="16" t="n">
        <v>5599.21119842882</v>
      </c>
      <c r="H85" s="16" t="n">
        <v>-34363.0239982634</v>
      </c>
      <c r="I85" s="17" t="n">
        <v>0.01</v>
      </c>
      <c r="J85" s="17" t="n">
        <v>0</v>
      </c>
      <c r="K85" s="16" t="s">
        <v>116</v>
      </c>
      <c r="L85" s="16" t="n">
        <v>1000</v>
      </c>
      <c r="M85" s="16" t="n">
        <v>23393.2765619591</v>
      </c>
      <c r="N85" s="16" t="n">
        <v>5268.34038131425</v>
      </c>
      <c r="O85" s="16" t="n">
        <v>1000</v>
      </c>
      <c r="P85" s="16" t="n">
        <v>747.002337313713</v>
      </c>
      <c r="Q85" s="16" t="n">
        <v>-6256.63951054422</v>
      </c>
      <c r="R85" s="16" t="n">
        <v>10749.8273603027</v>
      </c>
      <c r="S85" s="16" t="n">
        <v>27562.9798373622</v>
      </c>
      <c r="T85" s="16" t="n">
        <v>-1436.17830391911</v>
      </c>
      <c r="U85" s="16" t="n">
        <v>-34087.8704089523</v>
      </c>
      <c r="V85" s="16" t="n">
        <v>0.750319556751226</v>
      </c>
      <c r="W85" s="16" t="n">
        <v>16992.5164114785</v>
      </c>
      <c r="X85" s="16" t="n">
        <v>14072.7441668294</v>
      </c>
      <c r="Y85" s="16" t="n">
        <v>0</v>
      </c>
      <c r="Z85" s="16" t="n">
        <v>0</v>
      </c>
      <c r="AA85" s="16" t="n">
        <v>22.27279275</v>
      </c>
      <c r="AB85" s="16" t="n">
        <v>20.07279275</v>
      </c>
      <c r="AC85" s="16" t="n">
        <v>21.52279275</v>
      </c>
      <c r="AD85" s="16" t="n">
        <v>21.8718824805</v>
      </c>
      <c r="AE85" s="16" t="n">
        <v>594.149368983825</v>
      </c>
      <c r="AF85" s="16" t="n">
        <v>0.02</v>
      </c>
      <c r="AG85" s="16" t="n">
        <v>0.572671227358019</v>
      </c>
      <c r="AH85" s="16" t="n">
        <v>15019.9408446615</v>
      </c>
      <c r="AI85" s="16" t="n">
        <v>10944.1398681103</v>
      </c>
      <c r="AJ85" s="16" t="n">
        <v>14.7365561910928</v>
      </c>
      <c r="AK85" s="16" t="n">
        <v>0</v>
      </c>
      <c r="AL85" s="16" t="n">
        <v>1000</v>
      </c>
      <c r="AM85" s="16" t="n">
        <v>470.44678</v>
      </c>
      <c r="AN85" s="16" t="n">
        <v>12000</v>
      </c>
      <c r="AO85" s="16" t="n">
        <v>-2079.00657489433</v>
      </c>
      <c r="AP85" s="16" t="n">
        <v>1</v>
      </c>
      <c r="AQ85" s="16" t="n">
        <v>29.3993683187639</v>
      </c>
      <c r="AR85" s="16" t="n">
        <v>705.292254673297</v>
      </c>
      <c r="AS85" s="16" t="n">
        <v>314.925245</v>
      </c>
      <c r="AT85" s="16" t="n">
        <v>1000</v>
      </c>
      <c r="AU85" s="16" t="n">
        <v>12.270507</v>
      </c>
      <c r="AV85" s="16" t="n">
        <v>0</v>
      </c>
      <c r="AW85" s="16" t="n">
        <v>998.76</v>
      </c>
      <c r="AX85" s="16" t="n">
        <v>314.925245</v>
      </c>
      <c r="AY85" s="16" t="n">
        <v>314.925245</v>
      </c>
      <c r="AZ85" s="16" t="n">
        <v>1668.24598467516</v>
      </c>
      <c r="BA85" s="16" t="n">
        <v>1732.5375</v>
      </c>
      <c r="BB85" s="16" t="n">
        <v>155.768446666667</v>
      </c>
      <c r="BC85" s="16" t="n">
        <v>88718.5578003424</v>
      </c>
      <c r="BD85" s="16" t="n">
        <v>8.14523324094375</v>
      </c>
      <c r="BE85" s="16" t="n">
        <v>16.8025258628801</v>
      </c>
      <c r="BF85" s="16" t="n">
        <v>29.677242910116</v>
      </c>
      <c r="BG85" s="16" t="n">
        <v>-13.6535979204585</v>
      </c>
      <c r="BH85" s="16" t="n">
        <v>-20.0976093877166</v>
      </c>
      <c r="BI85" s="16" t="n">
        <v>-3.59741167595651</v>
      </c>
      <c r="BJ85" s="16" t="n">
        <v>-9.93933550584831</v>
      </c>
      <c r="BK85" s="16" t="n">
        <v>-0.548394239950376</v>
      </c>
      <c r="BL85" s="16" t="n">
        <v>-6.73470781259538</v>
      </c>
      <c r="BM85" s="16" t="n">
        <v>3.37118358768332</v>
      </c>
      <c r="BN85" s="16" t="n">
        <v>4.04706880575186</v>
      </c>
      <c r="BO85" s="16" t="n">
        <v>5.1726598173516</v>
      </c>
      <c r="BP85" s="16" t="n">
        <v>5354.49215439957</v>
      </c>
      <c r="BQ85" s="16" t="n">
        <v>4257.60023545696</v>
      </c>
      <c r="BR85" s="16" t="n">
        <v>4257.60023545696</v>
      </c>
      <c r="BS85" s="16" t="n">
        <v>705.292254673297</v>
      </c>
      <c r="BT85" s="16" t="n">
        <v>189.4897</v>
      </c>
      <c r="BU85" s="16" t="n">
        <v>794.6073</v>
      </c>
      <c r="BV85" s="16" t="s">
        <v>3237</v>
      </c>
      <c r="BW85" s="16" t="n">
        <v>42.7692307692308</v>
      </c>
      <c r="BX85" s="16" t="n">
        <v>0.124596585374074</v>
      </c>
      <c r="BY85" s="16" t="n">
        <v>0.0866148510447071</v>
      </c>
      <c r="BZ85" s="16" t="n">
        <v>13510.8578038903</v>
      </c>
      <c r="CA85" s="16" t="n">
        <v>9557.85015295579</v>
      </c>
      <c r="CB85" s="16" t="n">
        <v>556.485786153061</v>
      </c>
      <c r="CC85" s="16" t="n">
        <v>1732.5375</v>
      </c>
      <c r="CD85" s="16" t="n">
        <v>1028.66496</v>
      </c>
      <c r="CE85" s="16" t="n">
        <v>12000</v>
      </c>
      <c r="CF85" s="16" t="n">
        <v>24.0087887675454</v>
      </c>
      <c r="CG85" s="16" t="n">
        <v>27.6101070826772</v>
      </c>
      <c r="CH85" s="16" t="n">
        <v>1983.66628420139</v>
      </c>
      <c r="CI85" s="16" t="n">
        <v>-14.9451536418179</v>
      </c>
      <c r="CJ85" s="16" t="n">
        <v>-5.32272994264565</v>
      </c>
      <c r="CK85" s="16" t="n">
        <v>53175.3086231945</v>
      </c>
      <c r="CL85" s="16" t="n">
        <v>364.999441423297</v>
      </c>
      <c r="CM85" s="16" t="n">
        <v>390.367009673297</v>
      </c>
      <c r="CN85" s="16" t="n">
        <v>1000</v>
      </c>
      <c r="CO85" s="16" t="n">
        <v>1.534375</v>
      </c>
      <c r="CP85" s="16" t="n">
        <v>1.31022765885151</v>
      </c>
      <c r="CQ85" s="16" t="n">
        <v>0</v>
      </c>
      <c r="CR85" s="16" t="n">
        <v>33.8092735665785</v>
      </c>
      <c r="CS85" s="16" t="n">
        <v>0</v>
      </c>
      <c r="CT85" s="16" t="n">
        <v>0</v>
      </c>
      <c r="CU85" s="16" t="n">
        <v>0.0115</v>
      </c>
      <c r="CV85" s="16" t="n">
        <v>4920544.30656778</v>
      </c>
      <c r="CW85" s="16" t="n">
        <v>0</v>
      </c>
      <c r="CX85" s="16" t="n">
        <v>4920544.30656778</v>
      </c>
      <c r="CY85" s="16" t="n">
        <v>4920544.30656778</v>
      </c>
      <c r="CZ85" s="16" t="n">
        <v>6306113.34606594</v>
      </c>
      <c r="DA85" s="16" t="n">
        <v>24.0087887675454</v>
      </c>
      <c r="DB85" s="16" t="n">
        <v>13676.5793180085</v>
      </c>
      <c r="DC85" s="16" t="n">
        <v>10148.0218539623</v>
      </c>
      <c r="DD85" s="16" t="n">
        <v>12008.3333333333</v>
      </c>
      <c r="DE85" s="16" t="n">
        <v>1921.25</v>
      </c>
      <c r="DF85" s="16" t="n">
        <v>4920859.23181278</v>
      </c>
      <c r="DG85" s="16" t="n">
        <v>390.367009673297</v>
      </c>
      <c r="DH85" s="16" t="n">
        <v>0</v>
      </c>
      <c r="DI85" s="16" t="n">
        <v>0.0115</v>
      </c>
    </row>
    <row r="86" customFormat="false" ht="15" hidden="false" customHeight="false" outlineLevel="0" collapsed="false">
      <c r="A86" s="0" t="s">
        <v>3304</v>
      </c>
      <c r="B86" s="16" t="n">
        <v>2822.95391308961</v>
      </c>
      <c r="C86" s="16" t="n">
        <v>13514.6499380133</v>
      </c>
      <c r="D86" s="16" t="n">
        <v>28701.9254919039</v>
      </c>
      <c r="E86" s="16" t="n">
        <v>7841.10089763175</v>
      </c>
      <c r="F86" s="16" t="n">
        <v>2018.4216296884</v>
      </c>
      <c r="G86" s="16" t="n">
        <v>5282.09327042282</v>
      </c>
      <c r="H86" s="16" t="n">
        <v>125480.859518724</v>
      </c>
      <c r="I86" s="17" t="n">
        <v>363.388092425734</v>
      </c>
      <c r="J86" s="17" t="n">
        <v>410.378949117176</v>
      </c>
      <c r="K86" s="16" t="s">
        <v>116</v>
      </c>
      <c r="L86" s="16" t="n">
        <v>1000</v>
      </c>
      <c r="M86" s="16" t="n">
        <v>37641.1606487603</v>
      </c>
      <c r="N86" s="16" t="n">
        <v>18116.2303461208</v>
      </c>
      <c r="O86" s="16" t="n">
        <v>1000</v>
      </c>
      <c r="P86" s="16" t="n">
        <v>1212.1769462832</v>
      </c>
      <c r="Q86" s="16" t="n">
        <v>6323.58224228652</v>
      </c>
      <c r="R86" s="16" t="n">
        <v>23963.3261282618</v>
      </c>
      <c r="S86" s="16" t="n">
        <v>22480.1453098381</v>
      </c>
      <c r="T86" s="16" t="n">
        <v>-533.47336857847</v>
      </c>
      <c r="U86" s="16" t="n">
        <v>141043.287319103</v>
      </c>
      <c r="V86" s="16" t="n">
        <v>0.750319556751226</v>
      </c>
      <c r="W86" s="16" t="n">
        <v>155548.965916848</v>
      </c>
      <c r="X86" s="16" t="n">
        <v>23092.6812313472</v>
      </c>
      <c r="Y86" s="16" t="n">
        <v>387.771658092885</v>
      </c>
      <c r="Z86" s="16" t="n">
        <v>514.779353772586</v>
      </c>
      <c r="AA86" s="16" t="n">
        <v>43.041696075</v>
      </c>
      <c r="AB86" s="16" t="n">
        <v>40.841696075</v>
      </c>
      <c r="AC86" s="16" t="n">
        <v>42.291696075</v>
      </c>
      <c r="AD86" s="16" t="n">
        <v>46.9632728285</v>
      </c>
      <c r="AE86" s="16" t="n">
        <v>785.656190328325</v>
      </c>
      <c r="AF86" s="16" t="n">
        <v>0.035</v>
      </c>
      <c r="AG86" s="16" t="n">
        <v>0.702162322639483</v>
      </c>
      <c r="AH86" s="16" t="n">
        <v>3709.5941014662</v>
      </c>
      <c r="AI86" s="16" t="n">
        <v>28701.9254919039</v>
      </c>
      <c r="AJ86" s="16" t="n">
        <v>19.0921875</v>
      </c>
      <c r="AK86" s="16" t="n">
        <v>0</v>
      </c>
      <c r="AL86" s="16" t="n">
        <v>1000</v>
      </c>
      <c r="AM86" s="16" t="n">
        <v>1071.7478</v>
      </c>
      <c r="AN86" s="16" t="n">
        <v>26532.1623755</v>
      </c>
      <c r="AO86" s="16" t="n">
        <v>-8420.54944033089</v>
      </c>
      <c r="AP86" s="16" t="n">
        <v>0</v>
      </c>
      <c r="AQ86" s="16" t="n">
        <v>331.774584283966</v>
      </c>
      <c r="AR86" s="16" t="n">
        <v>496.672315973241</v>
      </c>
      <c r="AS86" s="16" t="n">
        <v>388.134037022493</v>
      </c>
      <c r="AT86" s="16" t="n">
        <v>1000</v>
      </c>
      <c r="AU86" s="16" t="n">
        <v>12.270507</v>
      </c>
      <c r="AV86" s="16" t="n">
        <v>2090.27951183204</v>
      </c>
      <c r="AW86" s="16" t="n">
        <v>6953.89451183204</v>
      </c>
      <c r="AX86" s="16" t="n">
        <v>388.134037022493</v>
      </c>
      <c r="AY86" s="16" t="n">
        <v>350.953793405535</v>
      </c>
      <c r="AZ86" s="16" t="n">
        <v>8424.25061720007</v>
      </c>
      <c r="BA86" s="16" t="n">
        <v>0</v>
      </c>
      <c r="BB86" s="16" t="n">
        <v>677.069466666667</v>
      </c>
      <c r="BC86" s="16" t="n">
        <v>116510.551420808</v>
      </c>
      <c r="BD86" s="16" t="n">
        <v>16.3290373938001</v>
      </c>
      <c r="BE86" s="16" t="n">
        <v>24.9863300157365</v>
      </c>
      <c r="BF86" s="16" t="n">
        <v>40.3559441977689</v>
      </c>
      <c r="BG86" s="16" t="n">
        <v>-6.86548043539002</v>
      </c>
      <c r="BH86" s="16" t="n">
        <v>-0.510471429167696</v>
      </c>
      <c r="BI86" s="16" t="n">
        <v>2.24787422120944</v>
      </c>
      <c r="BJ86" s="16" t="n">
        <v>8.60288322743177</v>
      </c>
      <c r="BK86" s="16" t="n">
        <v>6.53606807781388</v>
      </c>
      <c r="BL86" s="16" t="n">
        <v>15.7885171639902</v>
      </c>
      <c r="BM86" s="16" t="n">
        <v>4.18491755712413</v>
      </c>
      <c r="BN86" s="16" t="n">
        <v>5.02394748300231</v>
      </c>
      <c r="BO86" s="16" t="n">
        <v>7.13470319634703</v>
      </c>
      <c r="BP86" s="16" t="n">
        <v>12077.6391665806</v>
      </c>
      <c r="BQ86" s="16" t="n">
        <v>13480.8203778751</v>
      </c>
      <c r="BR86" s="16" t="n">
        <v>13480.8203778751</v>
      </c>
      <c r="BS86" s="16" t="n">
        <v>496.672315973241</v>
      </c>
      <c r="BT86" s="16" t="n">
        <v>413.9493</v>
      </c>
      <c r="BU86" s="16" t="n">
        <v>1369.2143</v>
      </c>
      <c r="BV86" s="16" t="s">
        <v>3238</v>
      </c>
      <c r="BW86" s="16" t="n">
        <v>42.7692307692308</v>
      </c>
      <c r="BX86" s="16" t="n">
        <v>0.155994305554286</v>
      </c>
      <c r="BY86" s="16" t="n">
        <v>0.213851354521278</v>
      </c>
      <c r="BZ86" s="16" t="n">
        <v>0</v>
      </c>
      <c r="CA86" s="16" t="n">
        <v>9949.84803296745</v>
      </c>
      <c r="CB86" s="16" t="n">
        <v>157.252842886216</v>
      </c>
      <c r="CC86" s="16" t="n">
        <v>0</v>
      </c>
      <c r="CD86" s="16" t="n">
        <v>872.7296</v>
      </c>
      <c r="CE86" s="16" t="n">
        <v>12000</v>
      </c>
      <c r="CF86" s="16" t="n">
        <v>33.3502025588611</v>
      </c>
      <c r="CG86" s="16" t="n">
        <v>37.3522268659245</v>
      </c>
      <c r="CH86" s="16" t="n">
        <v>3188.69833333333</v>
      </c>
      <c r="CI86" s="16" t="n">
        <v>-0.379462866110714</v>
      </c>
      <c r="CJ86" s="16" t="n">
        <v>9.74648675233316</v>
      </c>
      <c r="CK86" s="16" t="n">
        <v>26085.2361535278</v>
      </c>
      <c r="CL86" s="16" t="n">
        <v>107.430650111312</v>
      </c>
      <c r="CM86" s="16" t="n">
        <v>132.798218361312</v>
      </c>
      <c r="CN86" s="16" t="n">
        <v>1000</v>
      </c>
      <c r="CO86" s="16" t="n">
        <v>1.70486111111111</v>
      </c>
      <c r="CP86" s="16" t="n">
        <v>0.90519877675841</v>
      </c>
      <c r="CQ86" s="16" t="n">
        <v>410.378949117176</v>
      </c>
      <c r="CR86" s="16" t="n">
        <v>371.587534398041</v>
      </c>
      <c r="CS86" s="16" t="n">
        <v>399.647254656692</v>
      </c>
      <c r="CT86" s="16" t="n">
        <v>366.409775997479</v>
      </c>
      <c r="CU86" s="16" t="n">
        <v>410.378949117176</v>
      </c>
      <c r="CV86" s="16" t="n">
        <v>85.6796016270328</v>
      </c>
      <c r="CW86" s="16" t="n">
        <v>21.9717624109865</v>
      </c>
      <c r="CX86" s="16" t="n">
        <v>107.651364038019</v>
      </c>
      <c r="CY86" s="16" t="n">
        <v>85.6796016270328</v>
      </c>
      <c r="CZ86" s="16" t="n">
        <v>99.8452714424927</v>
      </c>
      <c r="DA86" s="16" t="n">
        <v>33.3502025588611</v>
      </c>
      <c r="DB86" s="16" t="n">
        <v>18843.2506172001</v>
      </c>
      <c r="DC86" s="16" t="n">
        <v>13981.6919579624</v>
      </c>
      <c r="DD86" s="16" t="n">
        <v>10419</v>
      </c>
      <c r="DE86" s="16" t="n">
        <v>-3795</v>
      </c>
      <c r="DF86" s="16" t="n">
        <v>449.723948300196</v>
      </c>
      <c r="DG86" s="16" t="n">
        <v>132.798218361312</v>
      </c>
      <c r="DH86" s="16" t="n">
        <v>0</v>
      </c>
      <c r="DI86" s="16" t="n">
        <v>399.647254656692</v>
      </c>
    </row>
    <row r="87" customFormat="false" ht="15" hidden="false" customHeight="false" outlineLevel="0" collapsed="false">
      <c r="A87" s="0" t="s">
        <v>3305</v>
      </c>
      <c r="B87" s="16" t="n">
        <v>2822.95391308961</v>
      </c>
      <c r="C87" s="16" t="n">
        <v>13514.6499380133</v>
      </c>
      <c r="D87" s="16" t="n">
        <v>28701.9254919039</v>
      </c>
      <c r="E87" s="16" t="n">
        <v>7841.10089763175</v>
      </c>
      <c r="F87" s="16" t="n">
        <v>2018.4216296884</v>
      </c>
      <c r="G87" s="16" t="n">
        <v>5282.09327042282</v>
      </c>
      <c r="H87" s="16" t="n">
        <v>125480.859518724</v>
      </c>
      <c r="I87" s="17" t="n">
        <v>358.025354698759</v>
      </c>
      <c r="J87" s="17" t="n">
        <v>404.372682862965</v>
      </c>
      <c r="K87" s="16" t="s">
        <v>116</v>
      </c>
      <c r="L87" s="16" t="n">
        <v>1000</v>
      </c>
      <c r="M87" s="16" t="n">
        <v>37641.1606487603</v>
      </c>
      <c r="N87" s="16" t="n">
        <v>18116.2303461208</v>
      </c>
      <c r="O87" s="16" t="n">
        <v>1000</v>
      </c>
      <c r="P87" s="16" t="n">
        <v>1212.1769462832</v>
      </c>
      <c r="Q87" s="16" t="n">
        <v>6323.58224228652</v>
      </c>
      <c r="R87" s="16" t="n">
        <v>23963.3261282618</v>
      </c>
      <c r="S87" s="16" t="n">
        <v>22480.1453098381</v>
      </c>
      <c r="T87" s="16" t="n">
        <v>-533.47336857847</v>
      </c>
      <c r="U87" s="16" t="n">
        <v>138953.007807271</v>
      </c>
      <c r="V87" s="16" t="n">
        <v>0.750319556751226</v>
      </c>
      <c r="W87" s="16" t="n">
        <v>155548.965916848</v>
      </c>
      <c r="X87" s="16" t="n">
        <v>23092.6812313472</v>
      </c>
      <c r="Y87" s="16" t="n">
        <v>382.09626994407</v>
      </c>
      <c r="Z87" s="16" t="n">
        <v>507.245093383303</v>
      </c>
      <c r="AA87" s="16" t="n">
        <v>43.041696075</v>
      </c>
      <c r="AB87" s="16" t="n">
        <v>40.841696075</v>
      </c>
      <c r="AC87" s="16" t="n">
        <v>42.291696075</v>
      </c>
      <c r="AD87" s="16" t="n">
        <v>46.9632728285</v>
      </c>
      <c r="AE87" s="16" t="n">
        <v>785.656190328325</v>
      </c>
      <c r="AF87" s="16" t="n">
        <v>0.035</v>
      </c>
      <c r="AG87" s="16" t="n">
        <v>0.702162322639483</v>
      </c>
      <c r="AH87" s="16" t="n">
        <v>3709.5941014662</v>
      </c>
      <c r="AI87" s="16" t="n">
        <v>28701.9254919039</v>
      </c>
      <c r="AJ87" s="16" t="n">
        <v>19.0921875</v>
      </c>
      <c r="AK87" s="16" t="n">
        <v>0</v>
      </c>
      <c r="AL87" s="16" t="n">
        <v>1000</v>
      </c>
      <c r="AM87" s="16" t="n">
        <v>1071.7478</v>
      </c>
      <c r="AN87" s="16" t="n">
        <v>26532.1623755</v>
      </c>
      <c r="AO87" s="16" t="n">
        <v>-8420.54944033089</v>
      </c>
      <c r="AP87" s="16" t="n">
        <v>0</v>
      </c>
      <c r="AQ87" s="16" t="n">
        <v>327.581222094087</v>
      </c>
      <c r="AR87" s="16" t="n">
        <v>496.649260313267</v>
      </c>
      <c r="AS87" s="16" t="n">
        <v>388.109406173719</v>
      </c>
      <c r="AT87" s="16" t="n">
        <v>1000</v>
      </c>
      <c r="AU87" s="16" t="n">
        <v>12.270507</v>
      </c>
      <c r="AV87" s="16" t="n">
        <v>0</v>
      </c>
      <c r="AW87" s="16" t="n">
        <v>4863.615</v>
      </c>
      <c r="AX87" s="16" t="n">
        <v>388.109406173719</v>
      </c>
      <c r="AY87" s="16" t="n">
        <v>350.372252571125</v>
      </c>
      <c r="AZ87" s="16" t="n">
        <v>8424.25061720007</v>
      </c>
      <c r="BA87" s="16" t="n">
        <v>0</v>
      </c>
      <c r="BB87" s="16" t="n">
        <v>677.069466666667</v>
      </c>
      <c r="BC87" s="16" t="n">
        <v>116510.551420808</v>
      </c>
      <c r="BD87" s="16" t="n">
        <v>16.3290373938001</v>
      </c>
      <c r="BE87" s="16" t="n">
        <v>24.9863300157365</v>
      </c>
      <c r="BF87" s="16" t="n">
        <v>33.7185610567888</v>
      </c>
      <c r="BG87" s="16" t="n">
        <v>-6.86548043539002</v>
      </c>
      <c r="BH87" s="16" t="n">
        <v>-0.510471429167696</v>
      </c>
      <c r="BI87" s="16" t="n">
        <v>2.24787422120944</v>
      </c>
      <c r="BJ87" s="16" t="n">
        <v>8.60288322743177</v>
      </c>
      <c r="BK87" s="16" t="n">
        <v>6.53606807781388</v>
      </c>
      <c r="BL87" s="16" t="n">
        <v>15.7885171639902</v>
      </c>
      <c r="BM87" s="16" t="n">
        <v>4.18491755712413</v>
      </c>
      <c r="BN87" s="16" t="n">
        <v>5.02394748300231</v>
      </c>
      <c r="BO87" s="16" t="n">
        <v>7.13470319634703</v>
      </c>
      <c r="BP87" s="16" t="n">
        <v>12077.6391665806</v>
      </c>
      <c r="BQ87" s="16" t="n">
        <v>13480.8203778751</v>
      </c>
      <c r="BR87" s="16" t="n">
        <v>13480.8203778751</v>
      </c>
      <c r="BS87" s="16" t="n">
        <v>496.649260313267</v>
      </c>
      <c r="BT87" s="16" t="n">
        <v>413.9493</v>
      </c>
      <c r="BU87" s="16" t="n">
        <v>1369.2143</v>
      </c>
      <c r="BV87" s="16" t="s">
        <v>3238</v>
      </c>
      <c r="BW87" s="16" t="n">
        <v>42.7692307692308</v>
      </c>
      <c r="BX87" s="16" t="n">
        <v>0.155994305554286</v>
      </c>
      <c r="BY87" s="16" t="n">
        <v>0.213851354521278</v>
      </c>
      <c r="BZ87" s="16" t="n">
        <v>0</v>
      </c>
      <c r="CA87" s="16" t="n">
        <v>9949.84803296745</v>
      </c>
      <c r="CB87" s="16" t="n">
        <v>157.254418075015</v>
      </c>
      <c r="CC87" s="16" t="n">
        <v>0</v>
      </c>
      <c r="CD87" s="16" t="n">
        <v>872.7296</v>
      </c>
      <c r="CE87" s="16" t="n">
        <v>12000</v>
      </c>
      <c r="CF87" s="16" t="n">
        <v>26.712819417881</v>
      </c>
      <c r="CG87" s="16" t="n">
        <v>29.9183577480267</v>
      </c>
      <c r="CH87" s="16" t="n">
        <v>3188.69833333333</v>
      </c>
      <c r="CI87" s="16" t="n">
        <v>-0.379462866110714</v>
      </c>
      <c r="CJ87" s="16" t="n">
        <v>9.74648675233316</v>
      </c>
      <c r="CK87" s="16" t="n">
        <v>26085.2361535278</v>
      </c>
      <c r="CL87" s="16" t="n">
        <v>107.430650111312</v>
      </c>
      <c r="CM87" s="16" t="n">
        <v>132.798218361312</v>
      </c>
      <c r="CN87" s="16" t="n">
        <v>1000</v>
      </c>
      <c r="CO87" s="16" t="n">
        <v>1.70486111111111</v>
      </c>
      <c r="CP87" s="16" t="n">
        <v>0.90519877675841</v>
      </c>
      <c r="CQ87" s="16" t="n">
        <v>404.372682862965</v>
      </c>
      <c r="CR87" s="16" t="n">
        <v>366.890968745377</v>
      </c>
      <c r="CS87" s="16" t="n">
        <v>392.727714744004</v>
      </c>
      <c r="CT87" s="16" t="n">
        <v>361.047038270504</v>
      </c>
      <c r="CU87" s="16" t="n">
        <v>404.372682862965</v>
      </c>
      <c r="CV87" s="16" t="n">
        <v>86.594213248937</v>
      </c>
      <c r="CW87" s="16" t="n">
        <v>22.2981154528891</v>
      </c>
      <c r="CX87" s="16" t="n">
        <v>108.892328701826</v>
      </c>
      <c r="CY87" s="16" t="n">
        <v>86.594213248937</v>
      </c>
      <c r="CZ87" s="16" t="n">
        <v>100.716080115894</v>
      </c>
      <c r="DA87" s="16" t="n">
        <v>26.712819417881</v>
      </c>
      <c r="DB87" s="16" t="n">
        <v>18843.2506172001</v>
      </c>
      <c r="DC87" s="16" t="n">
        <v>13981.6919579624</v>
      </c>
      <c r="DD87" s="16" t="n">
        <v>10419</v>
      </c>
      <c r="DE87" s="16" t="n">
        <v>-3795</v>
      </c>
      <c r="DF87" s="16" t="n">
        <v>450.614336638461</v>
      </c>
      <c r="DG87" s="16" t="n">
        <v>132.798218361312</v>
      </c>
      <c r="DH87" s="16" t="n">
        <v>0</v>
      </c>
      <c r="DI87" s="16" t="n">
        <v>392.727714744004</v>
      </c>
    </row>
    <row r="88" customFormat="false" ht="15" hidden="false" customHeight="false" outlineLevel="0" collapsed="false">
      <c r="A88" s="0" t="s">
        <v>3306</v>
      </c>
      <c r="B88" s="16" t="n">
        <v>2465.07954157611</v>
      </c>
      <c r="C88" s="16" t="n">
        <v>8209.24039226006</v>
      </c>
      <c r="D88" s="16" t="n">
        <v>19716.7966317894</v>
      </c>
      <c r="E88" s="16" t="n">
        <v>4213.14398474076</v>
      </c>
      <c r="F88" s="16" t="n">
        <v>-1135.49021845689</v>
      </c>
      <c r="G88" s="16" t="n">
        <v>5020.26458750724</v>
      </c>
      <c r="H88" s="16" t="n">
        <v>-898.814009603721</v>
      </c>
      <c r="I88" s="17" t="n">
        <v>0.01</v>
      </c>
      <c r="J88" s="17" t="n">
        <v>3.97046602096122</v>
      </c>
      <c r="K88" s="16" t="s">
        <v>116</v>
      </c>
      <c r="L88" s="16" t="n">
        <v>1000</v>
      </c>
      <c r="M88" s="16" t="n">
        <v>33779.4469253452</v>
      </c>
      <c r="N88" s="16" t="n">
        <v>11402.7039831813</v>
      </c>
      <c r="O88" s="16" t="n">
        <v>1000</v>
      </c>
      <c r="P88" s="16" t="n">
        <v>951.290832135856</v>
      </c>
      <c r="Q88" s="16" t="n">
        <v>-267.565775756198</v>
      </c>
      <c r="R88" s="16" t="n">
        <v>17617.7170533315</v>
      </c>
      <c r="S88" s="16" t="n">
        <v>26949.0428826358</v>
      </c>
      <c r="T88" s="16" t="n">
        <v>-955.692204749296</v>
      </c>
      <c r="U88" s="16" t="n">
        <v>-621.096213862173</v>
      </c>
      <c r="V88" s="16" t="n">
        <v>0.750319556751226</v>
      </c>
      <c r="W88" s="16" t="n">
        <v>46166.2147180189</v>
      </c>
      <c r="X88" s="16" t="n">
        <v>22149.4762774452</v>
      </c>
      <c r="Y88" s="16" t="n">
        <v>3.7351002431262</v>
      </c>
      <c r="Z88" s="16" t="n">
        <v>5.06988806216538</v>
      </c>
      <c r="AA88" s="16" t="n">
        <v>27.424347870838</v>
      </c>
      <c r="AB88" s="16" t="n">
        <v>25.224347870838</v>
      </c>
      <c r="AC88" s="16" t="n">
        <v>26.674347870838</v>
      </c>
      <c r="AD88" s="16" t="n">
        <v>27.2673434792775</v>
      </c>
      <c r="AE88" s="16" t="n">
        <v>674.686407680941</v>
      </c>
      <c r="AF88" s="16" t="n">
        <v>0.03</v>
      </c>
      <c r="AG88" s="16" t="n">
        <v>0.654405917289144</v>
      </c>
      <c r="AH88" s="16" t="n">
        <v>9819.91719809611</v>
      </c>
      <c r="AI88" s="16" t="n">
        <v>19716.7966317894</v>
      </c>
      <c r="AJ88" s="16" t="n">
        <v>16.69175</v>
      </c>
      <c r="AK88" s="16" t="n">
        <v>0</v>
      </c>
      <c r="AL88" s="16" t="n">
        <v>1000</v>
      </c>
      <c r="AM88" s="16" t="n">
        <v>812.6073</v>
      </c>
      <c r="AN88" s="16" t="n">
        <v>20079.98904</v>
      </c>
      <c r="AO88" s="16" t="n">
        <v>-5508.72242389994</v>
      </c>
      <c r="AP88" s="16" t="n">
        <v>0.414483496940676</v>
      </c>
      <c r="AQ88" s="16" t="n">
        <v>78.645426879892</v>
      </c>
      <c r="AR88" s="16" t="n">
        <v>505.131103774666</v>
      </c>
      <c r="AS88" s="16" t="n">
        <v>314.925245</v>
      </c>
      <c r="AT88" s="16" t="n">
        <v>1000</v>
      </c>
      <c r="AU88" s="16" t="n">
        <v>12.270507</v>
      </c>
      <c r="AV88" s="16" t="n">
        <v>0</v>
      </c>
      <c r="AW88" s="16" t="n">
        <v>2254.3125</v>
      </c>
      <c r="AX88" s="16" t="n">
        <v>314.925245</v>
      </c>
      <c r="AY88" s="16" t="n">
        <v>314.925245</v>
      </c>
      <c r="AZ88" s="16" t="n">
        <v>5631.62619515181</v>
      </c>
      <c r="BA88" s="16" t="n">
        <v>0</v>
      </c>
      <c r="BB88" s="16" t="n">
        <v>417.928966666667</v>
      </c>
      <c r="BC88" s="16" t="n">
        <v>111441.907179589</v>
      </c>
      <c r="BD88" s="16" t="n">
        <v>16.751694488301</v>
      </c>
      <c r="BE88" s="16" t="n">
        <v>25.4089871102374</v>
      </c>
      <c r="BF88" s="16" t="n">
        <v>39.6368423190398</v>
      </c>
      <c r="BG88" s="16" t="n">
        <v>-8.27711430924607</v>
      </c>
      <c r="BH88" s="16" t="n">
        <v>-7.28866183200638</v>
      </c>
      <c r="BI88" s="16" t="n">
        <v>1.09242813813745</v>
      </c>
      <c r="BJ88" s="16" t="n">
        <v>2.04083187529388</v>
      </c>
      <c r="BK88" s="16" t="n">
        <v>5.25403316350504</v>
      </c>
      <c r="BL88" s="16" t="n">
        <v>7.88491984612206</v>
      </c>
      <c r="BM88" s="16" t="n">
        <v>3.71992671744367</v>
      </c>
      <c r="BN88" s="16" t="n">
        <v>4.46573109600205</v>
      </c>
      <c r="BO88" s="16" t="n">
        <v>5.7791095890411</v>
      </c>
      <c r="BP88" s="16" t="n">
        <v>8712.70308277889</v>
      </c>
      <c r="BQ88" s="16" t="n">
        <v>8176.87365522983</v>
      </c>
      <c r="BR88" s="16" t="n">
        <v>8176.87365522983</v>
      </c>
      <c r="BS88" s="16" t="n">
        <v>506.474954430797</v>
      </c>
      <c r="BT88" s="16" t="n">
        <v>301.7195</v>
      </c>
      <c r="BU88" s="16" t="n">
        <v>1081.9108</v>
      </c>
      <c r="BV88" s="16" t="s">
        <v>3237</v>
      </c>
      <c r="BW88" s="16" t="n">
        <v>42.7692307692308</v>
      </c>
      <c r="BX88" s="16" t="n">
        <v>0.155994305554286</v>
      </c>
      <c r="BY88" s="16" t="n">
        <v>0.161741466184191</v>
      </c>
      <c r="BZ88" s="16" t="n">
        <v>13510.8578038903</v>
      </c>
      <c r="CA88" s="16" t="n">
        <v>19507.6981859232</v>
      </c>
      <c r="CB88" s="16" t="n">
        <v>278.503097417438</v>
      </c>
      <c r="CC88" s="16" t="n">
        <v>0</v>
      </c>
      <c r="CD88" s="16" t="n">
        <v>950.69728</v>
      </c>
      <c r="CE88" s="16" t="n">
        <v>12000</v>
      </c>
      <c r="CF88" s="16" t="n">
        <v>24.2501640779233</v>
      </c>
      <c r="CG88" s="16" t="n">
        <v>27.4026854080534</v>
      </c>
      <c r="CH88" s="16" t="n">
        <v>2643.77364301215</v>
      </c>
      <c r="CI88" s="16" t="n">
        <v>-6.2083733271085</v>
      </c>
      <c r="CJ88" s="16" t="n">
        <v>3.00594144553374</v>
      </c>
      <c r="CK88" s="16" t="n">
        <v>38739.6121648513</v>
      </c>
      <c r="CL88" s="16" t="n">
        <v>164.481464930797</v>
      </c>
      <c r="CM88" s="16" t="n">
        <v>189.849033180797</v>
      </c>
      <c r="CN88" s="16" t="n">
        <v>1000</v>
      </c>
      <c r="CO88" s="16" t="n">
        <v>1.5535546875</v>
      </c>
      <c r="CP88" s="16" t="n">
        <v>1.09004417261298</v>
      </c>
      <c r="CQ88" s="16" t="n">
        <v>3.97046602096122</v>
      </c>
      <c r="CR88" s="16" t="n">
        <v>88.869332374278</v>
      </c>
      <c r="CS88" s="16" t="n">
        <v>30.2510980483882</v>
      </c>
      <c r="CT88" s="16" t="n">
        <v>3.51368674421347</v>
      </c>
      <c r="CU88" s="16" t="n">
        <v>3.97046602096122</v>
      </c>
      <c r="CV88" s="16" t="n">
        <v>10991.2196047346</v>
      </c>
      <c r="CW88" s="16" t="n">
        <v>2270.95477479745</v>
      </c>
      <c r="CX88" s="16" t="n">
        <v>13262.174379532</v>
      </c>
      <c r="CY88" s="16" t="n">
        <v>10991.2196047346</v>
      </c>
      <c r="CZ88" s="16" t="n">
        <v>1169.00978050326</v>
      </c>
      <c r="DA88" s="16" t="n">
        <v>24.2501640779233</v>
      </c>
      <c r="DB88" s="16" t="n">
        <v>16775.9595284851</v>
      </c>
      <c r="DC88" s="16" t="n">
        <v>12447.761970136</v>
      </c>
      <c r="DD88" s="16" t="n">
        <v>11144.3333333333</v>
      </c>
      <c r="DE88" s="16" t="n">
        <v>1921.25</v>
      </c>
      <c r="DF88" s="16" t="n">
        <v>11306.1448497346</v>
      </c>
      <c r="DG88" s="16" t="n">
        <v>189.849033180797</v>
      </c>
      <c r="DH88" s="16" t="n">
        <v>0</v>
      </c>
      <c r="DI88" s="16" t="n">
        <v>30.2511251744382</v>
      </c>
    </row>
    <row r="89" customFormat="false" ht="15" hidden="false" customHeight="false" outlineLevel="0" collapsed="false">
      <c r="A89" s="0" t="s">
        <v>3307</v>
      </c>
      <c r="B89" s="16" t="n">
        <v>2465.07954157611</v>
      </c>
      <c r="C89" s="16" t="n">
        <v>8660.67116222822</v>
      </c>
      <c r="D89" s="16" t="n">
        <v>20727.1633713073</v>
      </c>
      <c r="E89" s="16" t="n">
        <v>4533.65983141815</v>
      </c>
      <c r="F89" s="16" t="n">
        <v>-833.411738395574</v>
      </c>
      <c r="G89" s="16" t="n">
        <v>5020.64472332459</v>
      </c>
      <c r="H89" s="16" t="n">
        <v>1732.32509534632</v>
      </c>
      <c r="I89" s="17" t="n">
        <v>6.38260324632871</v>
      </c>
      <c r="J89" s="17" t="n">
        <v>12.7308923001694</v>
      </c>
      <c r="K89" s="16" t="s">
        <v>116</v>
      </c>
      <c r="L89" s="16" t="n">
        <v>1000</v>
      </c>
      <c r="M89" s="16" t="n">
        <v>33788.4755407446</v>
      </c>
      <c r="N89" s="16" t="n">
        <v>12170.5827052149</v>
      </c>
      <c r="O89" s="16" t="n">
        <v>1000</v>
      </c>
      <c r="P89" s="16" t="n">
        <v>951.290832135856</v>
      </c>
      <c r="Q89" s="16" t="n">
        <v>456.59543005765</v>
      </c>
      <c r="R89" s="16" t="n">
        <v>17617.7170533315</v>
      </c>
      <c r="S89" s="16" t="n">
        <v>26969.2502174261</v>
      </c>
      <c r="T89" s="16" t="n">
        <v>-955.692204749296</v>
      </c>
      <c r="U89" s="16" t="n">
        <v>2010.04289108787</v>
      </c>
      <c r="V89" s="16" t="n">
        <v>0.750319556751226</v>
      </c>
      <c r="W89" s="16" t="n">
        <v>47133.9289295179</v>
      </c>
      <c r="X89" s="16" t="n">
        <v>22163.1975323397</v>
      </c>
      <c r="Y89" s="16" t="n">
        <v>11.9762160599134</v>
      </c>
      <c r="Z89" s="16" t="n">
        <v>16.2560763780863</v>
      </c>
      <c r="AA89" s="16" t="n">
        <v>27.424347870838</v>
      </c>
      <c r="AB89" s="16" t="n">
        <v>25.224347870838</v>
      </c>
      <c r="AC89" s="16" t="n">
        <v>26.674347870838</v>
      </c>
      <c r="AD89" s="16" t="n">
        <v>27.2673434792775</v>
      </c>
      <c r="AE89" s="16" t="n">
        <v>674.686407680941</v>
      </c>
      <c r="AF89" s="16" t="n">
        <v>0.03</v>
      </c>
      <c r="AG89" s="16" t="n">
        <v>0.658217046830445</v>
      </c>
      <c r="AH89" s="16" t="n">
        <v>9819.91719809611</v>
      </c>
      <c r="AI89" s="16" t="n">
        <v>20727.1633713073</v>
      </c>
      <c r="AJ89" s="16" t="n">
        <v>19.7391827628362</v>
      </c>
      <c r="AK89" s="16" t="n">
        <v>0</v>
      </c>
      <c r="AL89" s="16" t="n">
        <v>1000</v>
      </c>
      <c r="AM89" s="16" t="n">
        <v>812.6073</v>
      </c>
      <c r="AN89" s="16" t="n">
        <v>20079.98904</v>
      </c>
      <c r="AO89" s="16" t="n">
        <v>-5508.72242389994</v>
      </c>
      <c r="AP89" s="16" t="n">
        <v>0.358496107957722</v>
      </c>
      <c r="AQ89" s="16" t="n">
        <v>81.7148112736635</v>
      </c>
      <c r="AR89" s="16" t="n">
        <v>498.182254196397</v>
      </c>
      <c r="AS89" s="16" t="n">
        <v>314.925245</v>
      </c>
      <c r="AT89" s="16" t="n">
        <v>1000</v>
      </c>
      <c r="AU89" s="16" t="n">
        <v>12.270507</v>
      </c>
      <c r="AV89" s="16" t="n">
        <v>0</v>
      </c>
      <c r="AW89" s="16" t="n">
        <v>2254.3125</v>
      </c>
      <c r="AX89" s="16" t="n">
        <v>314.925245</v>
      </c>
      <c r="AY89" s="16" t="n">
        <v>314.925245</v>
      </c>
      <c r="AZ89" s="16" t="n">
        <v>5807.5893766769</v>
      </c>
      <c r="BA89" s="16" t="n">
        <v>0</v>
      </c>
      <c r="BB89" s="16" t="n">
        <v>417.928966666667</v>
      </c>
      <c r="BC89" s="16" t="n">
        <v>111513.618227291</v>
      </c>
      <c r="BD89" s="16" t="n">
        <v>17.3104403631359</v>
      </c>
      <c r="BE89" s="16" t="n">
        <v>25.9677329850722</v>
      </c>
      <c r="BF89" s="16" t="n">
        <v>40.1955881938747</v>
      </c>
      <c r="BG89" s="16" t="n">
        <v>-8.27711430924607</v>
      </c>
      <c r="BH89" s="16" t="n">
        <v>-7.28866183200638</v>
      </c>
      <c r="BI89" s="16" t="n">
        <v>1.09242813813745</v>
      </c>
      <c r="BJ89" s="16" t="n">
        <v>2.04083187529388</v>
      </c>
      <c r="BK89" s="16" t="n">
        <v>5.25403316350504</v>
      </c>
      <c r="BL89" s="16" t="n">
        <v>7.88491984612206</v>
      </c>
      <c r="BM89" s="16" t="n">
        <v>3.71992671744367</v>
      </c>
      <c r="BN89" s="16" t="n">
        <v>4.46573109600205</v>
      </c>
      <c r="BO89" s="16" t="n">
        <v>5.7791095890411</v>
      </c>
      <c r="BP89" s="16" t="n">
        <v>8712.70308277889</v>
      </c>
      <c r="BQ89" s="16" t="n">
        <v>8628.30442519799</v>
      </c>
      <c r="BR89" s="16" t="n">
        <v>8628.30442519799</v>
      </c>
      <c r="BS89" s="16" t="n">
        <v>499.4756269261</v>
      </c>
      <c r="BT89" s="16" t="n">
        <v>301.7195</v>
      </c>
      <c r="BU89" s="16" t="n">
        <v>1081.9108</v>
      </c>
      <c r="BV89" s="16" t="s">
        <v>3237</v>
      </c>
      <c r="BW89" s="16" t="n">
        <v>42.7692307692308</v>
      </c>
      <c r="BX89" s="16" t="n">
        <v>0.155994305554286</v>
      </c>
      <c r="BY89" s="16" t="n">
        <v>0.161741466184191</v>
      </c>
      <c r="BZ89" s="16" t="n">
        <v>13510.8578038903</v>
      </c>
      <c r="CA89" s="16" t="n">
        <v>19507.6981859232</v>
      </c>
      <c r="CB89" s="16" t="n">
        <v>267.884850902871</v>
      </c>
      <c r="CC89" s="16" t="n">
        <v>0</v>
      </c>
      <c r="CD89" s="16" t="n">
        <v>950.69728</v>
      </c>
      <c r="CE89" s="16" t="n">
        <v>12000</v>
      </c>
      <c r="CF89" s="16" t="n">
        <v>24.2066942838047</v>
      </c>
      <c r="CG89" s="16" t="n">
        <v>27.3535645406993</v>
      </c>
      <c r="CH89" s="16" t="n">
        <v>2643.77364301215</v>
      </c>
      <c r="CI89" s="16" t="n">
        <v>-6.2083733271085</v>
      </c>
      <c r="CJ89" s="16" t="n">
        <v>3.00594144553374</v>
      </c>
      <c r="CK89" s="16" t="n">
        <v>37091.0906547785</v>
      </c>
      <c r="CL89" s="16" t="n">
        <v>157.4821374261</v>
      </c>
      <c r="CM89" s="16" t="n">
        <v>182.8497056761</v>
      </c>
      <c r="CN89" s="16" t="n">
        <v>1000</v>
      </c>
      <c r="CO89" s="16" t="n">
        <v>1.5535546875</v>
      </c>
      <c r="CP89" s="16" t="n">
        <v>1.09004417261298</v>
      </c>
      <c r="CQ89" s="16" t="n">
        <v>12.7308923001694</v>
      </c>
      <c r="CR89" s="16" t="n">
        <v>92.3377367392397</v>
      </c>
      <c r="CS89" s="16" t="n">
        <v>36.1278883666845</v>
      </c>
      <c r="CT89" s="16" t="n">
        <v>11.2662763718313</v>
      </c>
      <c r="CU89" s="16" t="n">
        <v>12.7308923001694</v>
      </c>
      <c r="CV89" s="16" t="n">
        <v>3298.41314099325</v>
      </c>
      <c r="CW89" s="16" t="n">
        <v>708.257406933914</v>
      </c>
      <c r="CX89" s="16" t="n">
        <v>4006.67054792716</v>
      </c>
      <c r="CY89" s="16" t="n">
        <v>3298.41314099325</v>
      </c>
      <c r="CZ89" s="16" t="n">
        <v>958.357637444022</v>
      </c>
      <c r="DA89" s="16" t="n">
        <v>24.2066942838047</v>
      </c>
      <c r="DB89" s="16" t="n">
        <v>16951.9227100102</v>
      </c>
      <c r="DC89" s="16" t="n">
        <v>12578.3266508276</v>
      </c>
      <c r="DD89" s="16" t="n">
        <v>11144.3333333333</v>
      </c>
      <c r="DE89" s="16" t="n">
        <v>1921.25</v>
      </c>
      <c r="DF89" s="16" t="n">
        <v>3613.33838599325</v>
      </c>
      <c r="DG89" s="16" t="n">
        <v>182.8497056761</v>
      </c>
      <c r="DH89" s="16" t="n">
        <v>0</v>
      </c>
      <c r="DI89" s="16" t="n">
        <v>36.1278931459744</v>
      </c>
    </row>
    <row r="90" customFormat="false" ht="15" hidden="false" customHeight="false" outlineLevel="0" collapsed="false">
      <c r="A90" s="0" t="s">
        <v>3308</v>
      </c>
      <c r="B90" s="16" t="n">
        <v>2465.07954157611</v>
      </c>
      <c r="C90" s="16" t="n">
        <v>8209.24039226006</v>
      </c>
      <c r="D90" s="16" t="n">
        <v>19716.7966317894</v>
      </c>
      <c r="E90" s="16" t="n">
        <v>4213.14398474076</v>
      </c>
      <c r="F90" s="16" t="n">
        <v>-1135.49021845689</v>
      </c>
      <c r="G90" s="16" t="n">
        <v>5020.26458750724</v>
      </c>
      <c r="H90" s="16" t="n">
        <v>-898.814009603721</v>
      </c>
      <c r="I90" s="17" t="n">
        <v>0.01</v>
      </c>
      <c r="J90" s="17" t="n">
        <v>3.91041490542603</v>
      </c>
      <c r="K90" s="16" t="s">
        <v>116</v>
      </c>
      <c r="L90" s="16" t="n">
        <v>1000</v>
      </c>
      <c r="M90" s="16" t="n">
        <v>33779.4469253452</v>
      </c>
      <c r="N90" s="16" t="n">
        <v>11402.7039831813</v>
      </c>
      <c r="O90" s="16" t="n">
        <v>1000</v>
      </c>
      <c r="P90" s="16" t="n">
        <v>951.290832135856</v>
      </c>
      <c r="Q90" s="16" t="n">
        <v>-267.565775756198</v>
      </c>
      <c r="R90" s="16" t="n">
        <v>17617.7170533315</v>
      </c>
      <c r="S90" s="16" t="n">
        <v>26949.0428826358</v>
      </c>
      <c r="T90" s="16" t="n">
        <v>-955.692204749296</v>
      </c>
      <c r="U90" s="16" t="n">
        <v>-728.820786772667</v>
      </c>
      <c r="V90" s="16" t="n">
        <v>0.750319556751226</v>
      </c>
      <c r="W90" s="16" t="n">
        <v>46166.2147180189</v>
      </c>
      <c r="X90" s="16" t="n">
        <v>22149.4762774452</v>
      </c>
      <c r="Y90" s="16" t="n">
        <v>3.67860890557254</v>
      </c>
      <c r="Z90" s="16" t="n">
        <v>4.9932087927385</v>
      </c>
      <c r="AA90" s="16" t="n">
        <v>27.424347870838</v>
      </c>
      <c r="AB90" s="16" t="n">
        <v>25.224347870838</v>
      </c>
      <c r="AC90" s="16" t="n">
        <v>26.674347870838</v>
      </c>
      <c r="AD90" s="16" t="n">
        <v>27.2673434792775</v>
      </c>
      <c r="AE90" s="16" t="n">
        <v>674.686407680941</v>
      </c>
      <c r="AF90" s="16" t="n">
        <v>0.03</v>
      </c>
      <c r="AG90" s="16" t="n">
        <v>0.654405917289144</v>
      </c>
      <c r="AH90" s="16" t="n">
        <v>9819.91719809611</v>
      </c>
      <c r="AI90" s="16" t="n">
        <v>19716.7966317894</v>
      </c>
      <c r="AJ90" s="16" t="n">
        <v>16.69175</v>
      </c>
      <c r="AK90" s="16" t="n">
        <v>0</v>
      </c>
      <c r="AL90" s="16" t="n">
        <v>1000</v>
      </c>
      <c r="AM90" s="16" t="n">
        <v>812.6073</v>
      </c>
      <c r="AN90" s="16" t="n">
        <v>20079.98904</v>
      </c>
      <c r="AO90" s="16" t="n">
        <v>-5508.72242389994</v>
      </c>
      <c r="AP90" s="16" t="n">
        <v>0.414483496940676</v>
      </c>
      <c r="AQ90" s="16" t="n">
        <v>78.6126425117999</v>
      </c>
      <c r="AR90" s="16" t="n">
        <v>506.474954430797</v>
      </c>
      <c r="AS90" s="16" t="n">
        <v>314.925245</v>
      </c>
      <c r="AT90" s="16" t="n">
        <v>1000</v>
      </c>
      <c r="AU90" s="16" t="n">
        <v>12.270507</v>
      </c>
      <c r="AV90" s="16" t="n">
        <v>0</v>
      </c>
      <c r="AW90" s="16" t="n">
        <v>2254.3125</v>
      </c>
      <c r="AX90" s="16" t="n">
        <v>314.925245</v>
      </c>
      <c r="AY90" s="16" t="n">
        <v>314.925245</v>
      </c>
      <c r="AZ90" s="16" t="n">
        <v>5631.62619515181</v>
      </c>
      <c r="BA90" s="16" t="n">
        <v>0</v>
      </c>
      <c r="BB90" s="16" t="n">
        <v>417.928966666667</v>
      </c>
      <c r="BC90" s="16" t="n">
        <v>111441.907179589</v>
      </c>
      <c r="BD90" s="16" t="n">
        <v>16.409630539409</v>
      </c>
      <c r="BE90" s="16" t="n">
        <v>25.0669231613454</v>
      </c>
      <c r="BF90" s="16" t="n">
        <v>39.2947783701478</v>
      </c>
      <c r="BG90" s="16" t="n">
        <v>-8.27711430924607</v>
      </c>
      <c r="BH90" s="16" t="n">
        <v>-7.28866183200638</v>
      </c>
      <c r="BI90" s="16" t="n">
        <v>1.09242813813745</v>
      </c>
      <c r="BJ90" s="16" t="n">
        <v>2.04083187529388</v>
      </c>
      <c r="BK90" s="16" t="n">
        <v>5.25403316350504</v>
      </c>
      <c r="BL90" s="16" t="n">
        <v>7.88491984612206</v>
      </c>
      <c r="BM90" s="16" t="n">
        <v>3.71992671744367</v>
      </c>
      <c r="BN90" s="16" t="n">
        <v>4.46573109600205</v>
      </c>
      <c r="BO90" s="16" t="n">
        <v>5.7791095890411</v>
      </c>
      <c r="BP90" s="16" t="n">
        <v>8712.70308277889</v>
      </c>
      <c r="BQ90" s="16" t="n">
        <v>8176.87365522983</v>
      </c>
      <c r="BR90" s="16" t="n">
        <v>8176.87365522983</v>
      </c>
      <c r="BS90" s="16" t="n">
        <v>506.474954430797</v>
      </c>
      <c r="BT90" s="16" t="n">
        <v>301.7195</v>
      </c>
      <c r="BU90" s="16" t="n">
        <v>1081.9108</v>
      </c>
      <c r="BV90" s="16" t="s">
        <v>3237</v>
      </c>
      <c r="BW90" s="16" t="n">
        <v>42.7692307692308</v>
      </c>
      <c r="BX90" s="16" t="n">
        <v>0.155994305554286</v>
      </c>
      <c r="BY90" s="16" t="n">
        <v>0.161741466184191</v>
      </c>
      <c r="BZ90" s="16" t="n">
        <v>13618.5823768008</v>
      </c>
      <c r="CA90" s="16" t="n">
        <v>19418.6149387445</v>
      </c>
      <c r="CB90" s="16" t="n">
        <v>278.503097417438</v>
      </c>
      <c r="CC90" s="16" t="n">
        <v>0</v>
      </c>
      <c r="CD90" s="16" t="n">
        <v>950.69728</v>
      </c>
      <c r="CE90" s="16" t="n">
        <v>12000</v>
      </c>
      <c r="CF90" s="16" t="n">
        <v>24.1970214978037</v>
      </c>
      <c r="CG90" s="16" t="n">
        <v>27.3426342925182</v>
      </c>
      <c r="CH90" s="16" t="n">
        <v>2643.77364301215</v>
      </c>
      <c r="CI90" s="16" t="n">
        <v>-6.2083733271085</v>
      </c>
      <c r="CJ90" s="16" t="n">
        <v>3.00594144553374</v>
      </c>
      <c r="CK90" s="16" t="n">
        <v>38739.6121648513</v>
      </c>
      <c r="CL90" s="16" t="n">
        <v>164.481464930797</v>
      </c>
      <c r="CM90" s="16" t="n">
        <v>189.849033180797</v>
      </c>
      <c r="CN90" s="16" t="n">
        <v>1000</v>
      </c>
      <c r="CO90" s="16" t="n">
        <v>1.5535546875</v>
      </c>
      <c r="CP90" s="16" t="n">
        <v>1.09004417261298</v>
      </c>
      <c r="CQ90" s="16" t="n">
        <v>3.91041490542603</v>
      </c>
      <c r="CR90" s="16" t="n">
        <v>88.8322860383339</v>
      </c>
      <c r="CS90" s="16" t="n">
        <v>30.2049941237187</v>
      </c>
      <c r="CT90" s="16" t="n">
        <v>3.46054416409384</v>
      </c>
      <c r="CU90" s="16" t="n">
        <v>3.91041490542603</v>
      </c>
      <c r="CV90" s="16" t="n">
        <v>11160.0085988233</v>
      </c>
      <c r="CW90" s="16" t="n">
        <v>2305.82917325765</v>
      </c>
      <c r="CX90" s="16" t="n">
        <v>13465.837772081</v>
      </c>
      <c r="CY90" s="16" t="n">
        <v>11160.0085988233</v>
      </c>
      <c r="CZ90" s="16" t="n">
        <v>1170.64870207216</v>
      </c>
      <c r="DA90" s="16" t="n">
        <v>24.1970214978037</v>
      </c>
      <c r="DB90" s="16" t="n">
        <v>16775.9595284851</v>
      </c>
      <c r="DC90" s="16" t="n">
        <v>12447.761970136</v>
      </c>
      <c r="DD90" s="16" t="n">
        <v>11144.3333333333</v>
      </c>
      <c r="DE90" s="16" t="n">
        <v>1921.25</v>
      </c>
      <c r="DF90" s="16" t="n">
        <v>11474.9338438233</v>
      </c>
      <c r="DG90" s="16" t="n">
        <v>189.849033180797</v>
      </c>
      <c r="DH90" s="16" t="n">
        <v>0</v>
      </c>
      <c r="DI90" s="16" t="n">
        <v>30.2050231942133</v>
      </c>
    </row>
    <row r="91" customFormat="false" ht="15" hidden="false" customHeight="false" outlineLevel="0" collapsed="false">
      <c r="A91" s="0" t="s">
        <v>3309</v>
      </c>
      <c r="B91" s="16" t="n">
        <v>2465.07954157611</v>
      </c>
      <c r="C91" s="16" t="n">
        <v>8209.24039226006</v>
      </c>
      <c r="D91" s="16" t="n">
        <v>19716.7966317894</v>
      </c>
      <c r="E91" s="16" t="n">
        <v>4213.14398474076</v>
      </c>
      <c r="F91" s="16" t="n">
        <v>-879.26182072078</v>
      </c>
      <c r="G91" s="16" t="n">
        <v>4764.03618977113</v>
      </c>
      <c r="H91" s="16" t="n">
        <v>710.006196844096</v>
      </c>
      <c r="I91" s="17" t="n">
        <v>4.27891928351681</v>
      </c>
      <c r="J91" s="17" t="n">
        <v>9.87765767272786</v>
      </c>
      <c r="K91" s="16" t="s">
        <v>116</v>
      </c>
      <c r="L91" s="16" t="n">
        <v>1000</v>
      </c>
      <c r="M91" s="16" t="n">
        <v>32173.5096300674</v>
      </c>
      <c r="N91" s="16" t="n">
        <v>11402.7039831813</v>
      </c>
      <c r="O91" s="16" t="n">
        <v>1000</v>
      </c>
      <c r="P91" s="16" t="n">
        <v>951.290832135856</v>
      </c>
      <c r="Q91" s="16" t="n">
        <v>246.032772021579</v>
      </c>
      <c r="R91" s="16" t="n">
        <v>16655.6616097204</v>
      </c>
      <c r="S91" s="16" t="n">
        <v>26728.7311826358</v>
      </c>
      <c r="T91" s="16" t="n">
        <v>-955.692204749296</v>
      </c>
      <c r="U91" s="16" t="n">
        <v>1347.53970369676</v>
      </c>
      <c r="V91" s="16" t="n">
        <v>0.750319556751226</v>
      </c>
      <c r="W91" s="16" t="n">
        <v>45793.1395396813</v>
      </c>
      <c r="X91" s="16" t="n">
        <v>21575.0855630341</v>
      </c>
      <c r="Y91" s="16" t="n">
        <v>9.29211870348445</v>
      </c>
      <c r="Z91" s="16" t="n">
        <v>12.6127810823062</v>
      </c>
      <c r="AA91" s="16" t="n">
        <v>27.424347870838</v>
      </c>
      <c r="AB91" s="16" t="n">
        <v>25.224347870838</v>
      </c>
      <c r="AC91" s="16" t="n">
        <v>26.674347870838</v>
      </c>
      <c r="AD91" s="16" t="n">
        <v>27.2673434792775</v>
      </c>
      <c r="AE91" s="16" t="n">
        <v>674.686407680941</v>
      </c>
      <c r="AF91" s="16" t="n">
        <v>0.03</v>
      </c>
      <c r="AG91" s="16" t="n">
        <v>0.654405917289144</v>
      </c>
      <c r="AH91" s="16" t="n">
        <v>10785.1210291794</v>
      </c>
      <c r="AI91" s="16" t="n">
        <v>19716.7966317894</v>
      </c>
      <c r="AJ91" s="16" t="n">
        <v>16.69175</v>
      </c>
      <c r="AK91" s="16" t="n">
        <v>0</v>
      </c>
      <c r="AL91" s="16" t="n">
        <v>1000</v>
      </c>
      <c r="AM91" s="16" t="n">
        <v>812.6073</v>
      </c>
      <c r="AN91" s="16" t="n">
        <v>20079.98904</v>
      </c>
      <c r="AO91" s="16" t="n">
        <v>-5508.72242389994</v>
      </c>
      <c r="AP91" s="16" t="n">
        <v>0.414483496940676</v>
      </c>
      <c r="AQ91" s="16" t="n">
        <v>78.8524578932478</v>
      </c>
      <c r="AR91" s="16" t="n">
        <v>494.578986303489</v>
      </c>
      <c r="AS91" s="16" t="n">
        <v>314.925245</v>
      </c>
      <c r="AT91" s="16" t="n">
        <v>1000</v>
      </c>
      <c r="AU91" s="16" t="n">
        <v>12.270507</v>
      </c>
      <c r="AV91" s="16" t="n">
        <v>0</v>
      </c>
      <c r="AW91" s="16" t="n">
        <v>2254.3125</v>
      </c>
      <c r="AX91" s="16" t="n">
        <v>314.925245</v>
      </c>
      <c r="AY91" s="16" t="n">
        <v>314.925245</v>
      </c>
      <c r="AZ91" s="16" t="n">
        <v>6522.70026922588</v>
      </c>
      <c r="BA91" s="16" t="n">
        <v>0</v>
      </c>
      <c r="BB91" s="16" t="n">
        <v>417.928966666667</v>
      </c>
      <c r="BC91" s="16" t="n">
        <v>108653.6027407</v>
      </c>
      <c r="BD91" s="16" t="n">
        <v>20.723715801439</v>
      </c>
      <c r="BE91" s="16" t="n">
        <v>29.3810084233753</v>
      </c>
      <c r="BF91" s="16" t="n">
        <v>43.6088636321778</v>
      </c>
      <c r="BG91" s="16" t="n">
        <v>-8.27711430924607</v>
      </c>
      <c r="BH91" s="16" t="n">
        <v>-7.28866183200638</v>
      </c>
      <c r="BI91" s="16" t="n">
        <v>1.09242813813745</v>
      </c>
      <c r="BJ91" s="16" t="n">
        <v>2.04083187529388</v>
      </c>
      <c r="BK91" s="16" t="n">
        <v>5.25403316350504</v>
      </c>
      <c r="BL91" s="16" t="n">
        <v>7.88491984612206</v>
      </c>
      <c r="BM91" s="16" t="n">
        <v>3.71992671744367</v>
      </c>
      <c r="BN91" s="16" t="n">
        <v>4.46573109600205</v>
      </c>
      <c r="BO91" s="16" t="n">
        <v>5.7791095890411</v>
      </c>
      <c r="BP91" s="16" t="n">
        <v>8712.70308277889</v>
      </c>
      <c r="BQ91" s="16" t="n">
        <v>8176.87365522983</v>
      </c>
      <c r="BR91" s="16" t="n">
        <v>8176.87365522983</v>
      </c>
      <c r="BS91" s="16" t="n">
        <v>494.578986303489</v>
      </c>
      <c r="BT91" s="16" t="n">
        <v>301.7195</v>
      </c>
      <c r="BU91" s="16" t="n">
        <v>1081.9108</v>
      </c>
      <c r="BV91" s="16" t="s">
        <v>3237</v>
      </c>
      <c r="BW91" s="16" t="n">
        <v>42.7692307692308</v>
      </c>
      <c r="BX91" s="16" t="n">
        <v>0.155994305554286</v>
      </c>
      <c r="BY91" s="16" t="n">
        <v>0.161741466184191</v>
      </c>
      <c r="BZ91" s="16" t="n">
        <v>13510.8578038903</v>
      </c>
      <c r="CA91" s="16" t="n">
        <v>19402.010477409</v>
      </c>
      <c r="CB91" s="16" t="n">
        <v>260.242715083616</v>
      </c>
      <c r="CC91" s="16" t="n">
        <v>0</v>
      </c>
      <c r="CD91" s="16" t="n">
        <v>950.69728</v>
      </c>
      <c r="CE91" s="16" t="n">
        <v>12000</v>
      </c>
      <c r="CF91" s="16" t="n">
        <v>27.1986672889537</v>
      </c>
      <c r="CG91" s="16" t="n">
        <v>30.7344940365177</v>
      </c>
      <c r="CH91" s="16" t="n">
        <v>2643.77364301215</v>
      </c>
      <c r="CI91" s="16" t="n">
        <v>-2.66043183105365</v>
      </c>
      <c r="CJ91" s="16" t="n">
        <v>6.55388294158858</v>
      </c>
      <c r="CK91" s="16" t="n">
        <v>35937.8059444896</v>
      </c>
      <c r="CL91" s="16" t="n">
        <v>152.585496803489</v>
      </c>
      <c r="CM91" s="16" t="n">
        <v>177.953065053489</v>
      </c>
      <c r="CN91" s="16" t="n">
        <v>1000</v>
      </c>
      <c r="CO91" s="16" t="n">
        <v>1.5535546875</v>
      </c>
      <c r="CP91" s="16" t="n">
        <v>1.25258134490239</v>
      </c>
      <c r="CQ91" s="16" t="n">
        <v>9.87765767272786</v>
      </c>
      <c r="CR91" s="16" t="n">
        <v>89.10327741937</v>
      </c>
      <c r="CS91" s="16" t="n">
        <v>29.9736092167467</v>
      </c>
      <c r="CT91" s="16" t="n">
        <v>8.74128997586536</v>
      </c>
      <c r="CU91" s="16" t="n">
        <v>9.87765767272786</v>
      </c>
      <c r="CV91" s="16" t="n">
        <v>4134.42732095427</v>
      </c>
      <c r="CW91" s="16" t="n">
        <v>912.84280820625</v>
      </c>
      <c r="CX91" s="16" t="n">
        <v>5047.27012916052</v>
      </c>
      <c r="CY91" s="16" t="n">
        <v>4134.42732095427</v>
      </c>
      <c r="CZ91" s="16" t="n">
        <v>1151.33733265496</v>
      </c>
      <c r="DA91" s="16" t="n">
        <v>27.1986672889537</v>
      </c>
      <c r="DB91" s="16" t="n">
        <v>16775.9595284851</v>
      </c>
      <c r="DC91" s="16" t="n">
        <v>12447.761970136</v>
      </c>
      <c r="DD91" s="16" t="n">
        <v>10253.2592592593</v>
      </c>
      <c r="DE91" s="16" t="n">
        <v>1921.25</v>
      </c>
      <c r="DF91" s="16" t="n">
        <v>4449.35256595427</v>
      </c>
      <c r="DG91" s="16" t="n">
        <v>177.953065053489</v>
      </c>
      <c r="DH91" s="16" t="n">
        <v>0</v>
      </c>
      <c r="DI91" s="16" t="n">
        <v>29.9736530600579</v>
      </c>
    </row>
    <row r="92" customFormat="false" ht="15" hidden="false" customHeight="false" outlineLevel="0" collapsed="false">
      <c r="A92" s="0" t="s">
        <v>3310</v>
      </c>
      <c r="B92" s="16" t="n">
        <v>2465.07954157611</v>
      </c>
      <c r="C92" s="16" t="n">
        <v>8660.67116222822</v>
      </c>
      <c r="D92" s="16" t="n">
        <v>20727.1633713073</v>
      </c>
      <c r="E92" s="16" t="n">
        <v>4533.65983141815</v>
      </c>
      <c r="F92" s="16" t="n">
        <v>-577.183340659463</v>
      </c>
      <c r="G92" s="16" t="n">
        <v>4764.41632558848</v>
      </c>
      <c r="H92" s="16" t="n">
        <v>4480.12453769797</v>
      </c>
      <c r="I92" s="17" t="n">
        <v>16.2503899760422</v>
      </c>
      <c r="J92" s="17" t="n">
        <v>22.7498681641204</v>
      </c>
      <c r="K92" s="16" t="s">
        <v>116</v>
      </c>
      <c r="L92" s="16" t="n">
        <v>1000</v>
      </c>
      <c r="M92" s="16" t="n">
        <v>32182.5382454668</v>
      </c>
      <c r="N92" s="16" t="n">
        <v>12170.5827052149</v>
      </c>
      <c r="O92" s="16" t="n">
        <v>1000</v>
      </c>
      <c r="P92" s="16" t="n">
        <v>951.290832135856</v>
      </c>
      <c r="Q92" s="16" t="n">
        <v>970.193977835427</v>
      </c>
      <c r="R92" s="16" t="n">
        <v>16655.6616097204</v>
      </c>
      <c r="S92" s="16" t="n">
        <v>26748.9385174261</v>
      </c>
      <c r="T92" s="16" t="n">
        <v>-955.692204749296</v>
      </c>
      <c r="U92" s="16" t="n">
        <v>5117.65804455063</v>
      </c>
      <c r="V92" s="16" t="n">
        <v>0.750319556751226</v>
      </c>
      <c r="W92" s="16" t="n">
        <v>47928.0467350854</v>
      </c>
      <c r="X92" s="16" t="n">
        <v>21588.8068179286</v>
      </c>
      <c r="Y92" s="16" t="n">
        <v>21.4012757349637</v>
      </c>
      <c r="Z92" s="16" t="n">
        <v>29.0493066587653</v>
      </c>
      <c r="AA92" s="16" t="n">
        <v>27.424347870838</v>
      </c>
      <c r="AB92" s="16" t="n">
        <v>25.224347870838</v>
      </c>
      <c r="AC92" s="16" t="n">
        <v>26.674347870838</v>
      </c>
      <c r="AD92" s="16" t="n">
        <v>27.2673434792775</v>
      </c>
      <c r="AE92" s="16" t="n">
        <v>674.686407680941</v>
      </c>
      <c r="AF92" s="16" t="n">
        <v>0.03</v>
      </c>
      <c r="AG92" s="16" t="n">
        <v>0.658217046830445</v>
      </c>
      <c r="AH92" s="16" t="n">
        <v>10785.1210291794</v>
      </c>
      <c r="AI92" s="16" t="n">
        <v>20727.1633713073</v>
      </c>
      <c r="AJ92" s="16" t="n">
        <v>19.7391827628362</v>
      </c>
      <c r="AK92" s="16" t="n">
        <v>0</v>
      </c>
      <c r="AL92" s="16" t="n">
        <v>1000</v>
      </c>
      <c r="AM92" s="16" t="n">
        <v>812.6073</v>
      </c>
      <c r="AN92" s="16" t="n">
        <v>20079.98904</v>
      </c>
      <c r="AO92" s="16" t="n">
        <v>-5508.72242389994</v>
      </c>
      <c r="AP92" s="16" t="n">
        <v>0.358496107957722</v>
      </c>
      <c r="AQ92" s="16" t="n">
        <v>84.4152270747621</v>
      </c>
      <c r="AR92" s="16" t="n">
        <v>487.836306075599</v>
      </c>
      <c r="AS92" s="16" t="n">
        <v>314.925245</v>
      </c>
      <c r="AT92" s="16" t="n">
        <v>1000</v>
      </c>
      <c r="AU92" s="16" t="n">
        <v>12.270507</v>
      </c>
      <c r="AV92" s="16" t="n">
        <v>0</v>
      </c>
      <c r="AW92" s="16" t="n">
        <v>2254.3125</v>
      </c>
      <c r="AX92" s="16" t="n">
        <v>314.925245</v>
      </c>
      <c r="AY92" s="16" t="n">
        <v>314.925245</v>
      </c>
      <c r="AZ92" s="16" t="n">
        <v>6698.66345075098</v>
      </c>
      <c r="BA92" s="16" t="n">
        <v>0</v>
      </c>
      <c r="BB92" s="16" t="n">
        <v>417.928966666667</v>
      </c>
      <c r="BC92" s="16" t="n">
        <v>108725.313788403</v>
      </c>
      <c r="BD92" s="16" t="n">
        <v>21.2824616762738</v>
      </c>
      <c r="BE92" s="16" t="n">
        <v>29.9397542982102</v>
      </c>
      <c r="BF92" s="16" t="n">
        <v>44.1676095070126</v>
      </c>
      <c r="BG92" s="16" t="n">
        <v>-8.27711430924607</v>
      </c>
      <c r="BH92" s="16" t="n">
        <v>-7.28866183200638</v>
      </c>
      <c r="BI92" s="16" t="n">
        <v>1.09242813813745</v>
      </c>
      <c r="BJ92" s="16" t="n">
        <v>2.04083187529388</v>
      </c>
      <c r="BK92" s="16" t="n">
        <v>5.25403316350504</v>
      </c>
      <c r="BL92" s="16" t="n">
        <v>7.88491984612206</v>
      </c>
      <c r="BM92" s="16" t="n">
        <v>3.71992671744367</v>
      </c>
      <c r="BN92" s="16" t="n">
        <v>4.46573109600205</v>
      </c>
      <c r="BO92" s="16" t="n">
        <v>5.7791095890411</v>
      </c>
      <c r="BP92" s="16" t="n">
        <v>8712.70308277889</v>
      </c>
      <c r="BQ92" s="16" t="n">
        <v>8628.30442519799</v>
      </c>
      <c r="BR92" s="16" t="n">
        <v>8628.30442519799</v>
      </c>
      <c r="BS92" s="16" t="n">
        <v>487.836306075599</v>
      </c>
      <c r="BT92" s="16" t="n">
        <v>301.7195</v>
      </c>
      <c r="BU92" s="16" t="n">
        <v>1081.9108</v>
      </c>
      <c r="BV92" s="16" t="s">
        <v>3237</v>
      </c>
      <c r="BW92" s="16" t="n">
        <v>42.7692307692308</v>
      </c>
      <c r="BX92" s="16" t="n">
        <v>0.155994305554286</v>
      </c>
      <c r="BY92" s="16" t="n">
        <v>0.161741466184191</v>
      </c>
      <c r="BZ92" s="16" t="n">
        <v>13510.8578038903</v>
      </c>
      <c r="CA92" s="16" t="n">
        <v>19402.010477409</v>
      </c>
      <c r="CB92" s="16" t="n">
        <v>250.010913972876</v>
      </c>
      <c r="CC92" s="16" t="n">
        <v>0</v>
      </c>
      <c r="CD92" s="16" t="n">
        <v>950.69728</v>
      </c>
      <c r="CE92" s="16" t="n">
        <v>12000</v>
      </c>
      <c r="CF92" s="16" t="n">
        <v>27.1772791893097</v>
      </c>
      <c r="CG92" s="16" t="n">
        <v>30.7103254839199</v>
      </c>
      <c r="CH92" s="16" t="n">
        <v>2643.77364301215</v>
      </c>
      <c r="CI92" s="16" t="n">
        <v>-2.66043183105365</v>
      </c>
      <c r="CJ92" s="16" t="n">
        <v>6.55388294158858</v>
      </c>
      <c r="CK92" s="16" t="n">
        <v>34349.7314639395</v>
      </c>
      <c r="CL92" s="16" t="n">
        <v>145.842816575599</v>
      </c>
      <c r="CM92" s="16" t="n">
        <v>171.210384825599</v>
      </c>
      <c r="CN92" s="16" t="n">
        <v>1000</v>
      </c>
      <c r="CO92" s="16" t="n">
        <v>1.5535546875</v>
      </c>
      <c r="CP92" s="16" t="n">
        <v>1.25258134490239</v>
      </c>
      <c r="CQ92" s="16" t="n">
        <v>22.7498681641204</v>
      </c>
      <c r="CR92" s="16" t="n">
        <v>95.3892065944812</v>
      </c>
      <c r="CS92" s="16" t="n">
        <v>39.5633946898291</v>
      </c>
      <c r="CT92" s="16" t="n">
        <v>20.1326266939119</v>
      </c>
      <c r="CU92" s="16" t="n">
        <v>22.7498681641204</v>
      </c>
      <c r="CV92" s="16" t="n">
        <v>1725.30157034108</v>
      </c>
      <c r="CW92" s="16" t="n">
        <v>396.342902008264</v>
      </c>
      <c r="CX92" s="16" t="n">
        <v>2121.64447234935</v>
      </c>
      <c r="CY92" s="16" t="n">
        <v>1725.30157034108</v>
      </c>
      <c r="CZ92" s="16" t="n">
        <v>858.252421825571</v>
      </c>
      <c r="DA92" s="16" t="n">
        <v>27.1772791893097</v>
      </c>
      <c r="DB92" s="16" t="n">
        <v>16951.9227100102</v>
      </c>
      <c r="DC92" s="16" t="n">
        <v>12578.3266508276</v>
      </c>
      <c r="DD92" s="16" t="n">
        <v>10253.2592592593</v>
      </c>
      <c r="DE92" s="16" t="n">
        <v>1921.25</v>
      </c>
      <c r="DF92" s="16" t="n">
        <v>2040.22681534108</v>
      </c>
      <c r="DG92" s="16" t="n">
        <v>171.210384825599</v>
      </c>
      <c r="DH92" s="16" t="n">
        <v>0</v>
      </c>
      <c r="DI92" s="16" t="n">
        <v>39.5633979659399</v>
      </c>
    </row>
    <row r="93" customFormat="false" ht="15" hidden="false" customHeight="false" outlineLevel="0" collapsed="false">
      <c r="A93" s="0" t="s">
        <v>3311</v>
      </c>
      <c r="B93" s="16" t="n">
        <v>2465.07954157611</v>
      </c>
      <c r="C93" s="16" t="n">
        <v>8209.24039226006</v>
      </c>
      <c r="D93" s="16" t="n">
        <v>19716.7966317894</v>
      </c>
      <c r="E93" s="16" t="n">
        <v>4213.14398474076</v>
      </c>
      <c r="F93" s="16" t="n">
        <v>-952.469934359669</v>
      </c>
      <c r="G93" s="16" t="n">
        <v>4837.24430341002</v>
      </c>
      <c r="H93" s="16" t="n">
        <v>251.872661460216</v>
      </c>
      <c r="I93" s="17" t="n">
        <v>2.49774094618545</v>
      </c>
      <c r="J93" s="17" t="n">
        <v>8.19407979293461</v>
      </c>
      <c r="K93" s="16" t="s">
        <v>116</v>
      </c>
      <c r="L93" s="16" t="n">
        <v>1000</v>
      </c>
      <c r="M93" s="16" t="n">
        <v>32632.3488572897</v>
      </c>
      <c r="N93" s="16" t="n">
        <v>11402.7039831813</v>
      </c>
      <c r="O93" s="16" t="n">
        <v>1000</v>
      </c>
      <c r="P93" s="16" t="n">
        <v>951.290832135856</v>
      </c>
      <c r="Q93" s="16" t="n">
        <v>99.290329799358</v>
      </c>
      <c r="R93" s="16" t="n">
        <v>16930.5345936093</v>
      </c>
      <c r="S93" s="16" t="n">
        <v>26791.6773826358</v>
      </c>
      <c r="T93" s="16" t="n">
        <v>-955.692204749296</v>
      </c>
      <c r="U93" s="16" t="n">
        <v>786.601679423986</v>
      </c>
      <c r="V93" s="16" t="n">
        <v>0.750319556751226</v>
      </c>
      <c r="W93" s="16" t="n">
        <v>45899.7324477778</v>
      </c>
      <c r="X93" s="16" t="n">
        <v>21739.197195723</v>
      </c>
      <c r="Y93" s="16" t="n">
        <v>7.70834185841394</v>
      </c>
      <c r="Z93" s="16" t="n">
        <v>10.4630204875982</v>
      </c>
      <c r="AA93" s="16" t="n">
        <v>27.424347870838</v>
      </c>
      <c r="AB93" s="16" t="n">
        <v>25.224347870838</v>
      </c>
      <c r="AC93" s="16" t="n">
        <v>26.674347870838</v>
      </c>
      <c r="AD93" s="16" t="n">
        <v>27.2673434792775</v>
      </c>
      <c r="AE93" s="16" t="n">
        <v>674.686407680941</v>
      </c>
      <c r="AF93" s="16" t="n">
        <v>0.03</v>
      </c>
      <c r="AG93" s="16" t="n">
        <v>0.654405917289144</v>
      </c>
      <c r="AH93" s="16" t="n">
        <v>10509.3485060128</v>
      </c>
      <c r="AI93" s="16" t="n">
        <v>19716.7966317894</v>
      </c>
      <c r="AJ93" s="16" t="n">
        <v>16.69175</v>
      </c>
      <c r="AK93" s="16" t="n">
        <v>0</v>
      </c>
      <c r="AL93" s="16" t="n">
        <v>1000</v>
      </c>
      <c r="AM93" s="16" t="n">
        <v>812.6073</v>
      </c>
      <c r="AN93" s="16" t="n">
        <v>20079.98904</v>
      </c>
      <c r="AO93" s="16" t="n">
        <v>-5508.72242389994</v>
      </c>
      <c r="AP93" s="16" t="n">
        <v>0.414483496940676</v>
      </c>
      <c r="AQ93" s="16" t="n">
        <v>78.7911709377886</v>
      </c>
      <c r="AR93" s="16" t="n">
        <v>497.96449929251</v>
      </c>
      <c r="AS93" s="16" t="n">
        <v>314.925245</v>
      </c>
      <c r="AT93" s="16" t="n">
        <v>1000</v>
      </c>
      <c r="AU93" s="16" t="n">
        <v>12.270507</v>
      </c>
      <c r="AV93" s="16" t="n">
        <v>0</v>
      </c>
      <c r="AW93" s="16" t="n">
        <v>2254.3125</v>
      </c>
      <c r="AX93" s="16" t="n">
        <v>314.925245</v>
      </c>
      <c r="AY93" s="16" t="n">
        <v>314.925245</v>
      </c>
      <c r="AZ93" s="16" t="n">
        <v>6268.10767663329</v>
      </c>
      <c r="BA93" s="16" t="n">
        <v>0</v>
      </c>
      <c r="BB93" s="16" t="n">
        <v>417.928966666667</v>
      </c>
      <c r="BC93" s="16" t="n">
        <v>109450.261151811</v>
      </c>
      <c r="BD93" s="16" t="n">
        <v>19.5888525691138</v>
      </c>
      <c r="BE93" s="16" t="n">
        <v>28.2461451910502</v>
      </c>
      <c r="BF93" s="16" t="n">
        <v>42.4740003998527</v>
      </c>
      <c r="BG93" s="16" t="n">
        <v>-8.27711430924607</v>
      </c>
      <c r="BH93" s="16" t="n">
        <v>-7.28866183200638</v>
      </c>
      <c r="BI93" s="16" t="n">
        <v>1.09242813813745</v>
      </c>
      <c r="BJ93" s="16" t="n">
        <v>2.04083187529388</v>
      </c>
      <c r="BK93" s="16" t="n">
        <v>5.25403316350504</v>
      </c>
      <c r="BL93" s="16" t="n">
        <v>7.88491984612206</v>
      </c>
      <c r="BM93" s="16" t="n">
        <v>3.71992671744367</v>
      </c>
      <c r="BN93" s="16" t="n">
        <v>4.46573109600205</v>
      </c>
      <c r="BO93" s="16" t="n">
        <v>5.7791095890411</v>
      </c>
      <c r="BP93" s="16" t="n">
        <v>8712.70308277889</v>
      </c>
      <c r="BQ93" s="16" t="n">
        <v>8176.87365522983</v>
      </c>
      <c r="BR93" s="16" t="n">
        <v>8176.87365522983</v>
      </c>
      <c r="BS93" s="16" t="n">
        <v>497.96449929251</v>
      </c>
      <c r="BT93" s="16" t="n">
        <v>301.7195</v>
      </c>
      <c r="BU93" s="16" t="n">
        <v>1081.9108</v>
      </c>
      <c r="BV93" s="16" t="s">
        <v>3237</v>
      </c>
      <c r="BW93" s="16" t="n">
        <v>42.7692307692308</v>
      </c>
      <c r="BX93" s="16" t="n">
        <v>0.155994305554286</v>
      </c>
      <c r="BY93" s="16" t="n">
        <v>0.161741466184191</v>
      </c>
      <c r="BZ93" s="16" t="n">
        <v>13510.8578038903</v>
      </c>
      <c r="CA93" s="16" t="n">
        <v>19402.010477409</v>
      </c>
      <c r="CB93" s="16" t="n">
        <v>265.439906267132</v>
      </c>
      <c r="CC93" s="16" t="n">
        <v>0</v>
      </c>
      <c r="CD93" s="16" t="n">
        <v>950.69728</v>
      </c>
      <c r="CE93" s="16" t="n">
        <v>12000</v>
      </c>
      <c r="CF93" s="16" t="n">
        <v>26.3550904649394</v>
      </c>
      <c r="CG93" s="16" t="n">
        <v>29.7812522253815</v>
      </c>
      <c r="CH93" s="16" t="n">
        <v>2643.77364301215</v>
      </c>
      <c r="CI93" s="16" t="n">
        <v>-3.67412940135503</v>
      </c>
      <c r="CJ93" s="16" t="n">
        <v>5.5401853712872</v>
      </c>
      <c r="CK93" s="16" t="n">
        <v>36735.1812610877</v>
      </c>
      <c r="CL93" s="16" t="n">
        <v>155.97100979251</v>
      </c>
      <c r="CM93" s="16" t="n">
        <v>181.33857804251</v>
      </c>
      <c r="CN93" s="16" t="n">
        <v>1000</v>
      </c>
      <c r="CO93" s="16" t="n">
        <v>1.5535546875</v>
      </c>
      <c r="CP93" s="16" t="n">
        <v>1.20139813581891</v>
      </c>
      <c r="CQ93" s="16" t="n">
        <v>8.19407979293461</v>
      </c>
      <c r="CR93" s="16" t="n">
        <v>89.0340231597011</v>
      </c>
      <c r="CS93" s="16" t="n">
        <v>29.9854360254744</v>
      </c>
      <c r="CT93" s="16" t="n">
        <v>7.25139804684479</v>
      </c>
      <c r="CU93" s="16" t="n">
        <v>8.19407979293461</v>
      </c>
      <c r="CV93" s="16" t="n">
        <v>5081.20913121428</v>
      </c>
      <c r="CW93" s="16" t="n">
        <v>1100.39796979371</v>
      </c>
      <c r="CX93" s="16" t="n">
        <v>6181.60710100799</v>
      </c>
      <c r="CY93" s="16" t="n">
        <v>5081.20913121428</v>
      </c>
      <c r="CZ93" s="16" t="n">
        <v>1159.66914190612</v>
      </c>
      <c r="DA93" s="16" t="n">
        <v>26.3550904649394</v>
      </c>
      <c r="DB93" s="16" t="n">
        <v>16775.9595284851</v>
      </c>
      <c r="DC93" s="16" t="n">
        <v>12447.761970136</v>
      </c>
      <c r="DD93" s="16" t="n">
        <v>10507.8518518519</v>
      </c>
      <c r="DE93" s="16" t="n">
        <v>1921.25</v>
      </c>
      <c r="DF93" s="16" t="n">
        <v>5396.13437621428</v>
      </c>
      <c r="DG93" s="16" t="n">
        <v>181.33857804251</v>
      </c>
      <c r="DH93" s="16" t="n">
        <v>0</v>
      </c>
      <c r="DI93" s="16" t="n">
        <v>29.9854751611066</v>
      </c>
    </row>
    <row r="94" customFormat="false" ht="15" hidden="false" customHeight="false" outlineLevel="0" collapsed="false">
      <c r="A94" s="0" t="s">
        <v>3312</v>
      </c>
      <c r="B94" s="16" t="n">
        <v>2465.07954157611</v>
      </c>
      <c r="C94" s="16" t="n">
        <v>8660.67116222822</v>
      </c>
      <c r="D94" s="16" t="n">
        <v>20727.1633713073</v>
      </c>
      <c r="E94" s="16" t="n">
        <v>4533.65983141815</v>
      </c>
      <c r="F94" s="16" t="n">
        <v>-650.391454298352</v>
      </c>
      <c r="G94" s="16" t="n">
        <v>4837.62443922737</v>
      </c>
      <c r="H94" s="16" t="n">
        <v>2945.71930050013</v>
      </c>
      <c r="I94" s="17" t="n">
        <v>11.0516650339159</v>
      </c>
      <c r="J94" s="17" t="n">
        <v>17.190586193693</v>
      </c>
      <c r="K94" s="16" t="s">
        <v>116</v>
      </c>
      <c r="L94" s="16" t="n">
        <v>1000</v>
      </c>
      <c r="M94" s="16" t="n">
        <v>32641.377472689</v>
      </c>
      <c r="N94" s="16" t="n">
        <v>12170.5827052149</v>
      </c>
      <c r="O94" s="16" t="n">
        <v>1000</v>
      </c>
      <c r="P94" s="16" t="n">
        <v>951.290832135856</v>
      </c>
      <c r="Q94" s="16" t="n">
        <v>823.451535613206</v>
      </c>
      <c r="R94" s="16" t="n">
        <v>16930.5345936093</v>
      </c>
      <c r="S94" s="16" t="n">
        <v>26811.8847174261</v>
      </c>
      <c r="T94" s="16" t="n">
        <v>-955.692204749296</v>
      </c>
      <c r="U94" s="16" t="n">
        <v>3480.4483184639</v>
      </c>
      <c r="V94" s="16" t="n">
        <v>0.750319556751226</v>
      </c>
      <c r="W94" s="16" t="n">
        <v>46950.265575905</v>
      </c>
      <c r="X94" s="16" t="n">
        <v>21752.9184506175</v>
      </c>
      <c r="Y94" s="16" t="n">
        <v>16.171543172154</v>
      </c>
      <c r="Z94" s="16" t="n">
        <v>21.9506595107266</v>
      </c>
      <c r="AA94" s="16" t="n">
        <v>27.424347870838</v>
      </c>
      <c r="AB94" s="16" t="n">
        <v>25.224347870838</v>
      </c>
      <c r="AC94" s="16" t="n">
        <v>26.674347870838</v>
      </c>
      <c r="AD94" s="16" t="n">
        <v>27.2673434792775</v>
      </c>
      <c r="AE94" s="16" t="n">
        <v>674.686407680941</v>
      </c>
      <c r="AF94" s="16" t="n">
        <v>0.03</v>
      </c>
      <c r="AG94" s="16" t="n">
        <v>0.658217046830445</v>
      </c>
      <c r="AH94" s="16" t="n">
        <v>10509.3485060128</v>
      </c>
      <c r="AI94" s="16" t="n">
        <v>20727.1633713073</v>
      </c>
      <c r="AJ94" s="16" t="n">
        <v>19.7391827628362</v>
      </c>
      <c r="AK94" s="16" t="n">
        <v>0</v>
      </c>
      <c r="AL94" s="16" t="n">
        <v>1000</v>
      </c>
      <c r="AM94" s="16" t="n">
        <v>812.6073</v>
      </c>
      <c r="AN94" s="16" t="n">
        <v>20079.98904</v>
      </c>
      <c r="AO94" s="16" t="n">
        <v>-5508.72242389994</v>
      </c>
      <c r="AP94" s="16" t="n">
        <v>0.358496107957722</v>
      </c>
      <c r="AQ94" s="16" t="n">
        <v>82.0791661706383</v>
      </c>
      <c r="AR94" s="16" t="n">
        <v>491.079092937143</v>
      </c>
      <c r="AS94" s="16" t="n">
        <v>314.925245</v>
      </c>
      <c r="AT94" s="16" t="n">
        <v>1000</v>
      </c>
      <c r="AU94" s="16" t="n">
        <v>12.270507</v>
      </c>
      <c r="AV94" s="16" t="n">
        <v>0</v>
      </c>
      <c r="AW94" s="16" t="n">
        <v>2254.3125</v>
      </c>
      <c r="AX94" s="16" t="n">
        <v>314.925245</v>
      </c>
      <c r="AY94" s="16" t="n">
        <v>314.925245</v>
      </c>
      <c r="AZ94" s="16" t="n">
        <v>6444.07085815838</v>
      </c>
      <c r="BA94" s="16" t="n">
        <v>0</v>
      </c>
      <c r="BB94" s="16" t="n">
        <v>417.928966666667</v>
      </c>
      <c r="BC94" s="16" t="n">
        <v>109521.972199514</v>
      </c>
      <c r="BD94" s="16" t="n">
        <v>20.1475984439487</v>
      </c>
      <c r="BE94" s="16" t="n">
        <v>28.804891065885</v>
      </c>
      <c r="BF94" s="16" t="n">
        <v>43.0327462746875</v>
      </c>
      <c r="BG94" s="16" t="n">
        <v>-8.27711430924607</v>
      </c>
      <c r="BH94" s="16" t="n">
        <v>-7.28866183200638</v>
      </c>
      <c r="BI94" s="16" t="n">
        <v>1.09242813813745</v>
      </c>
      <c r="BJ94" s="16" t="n">
        <v>2.04083187529388</v>
      </c>
      <c r="BK94" s="16" t="n">
        <v>5.25403316350504</v>
      </c>
      <c r="BL94" s="16" t="n">
        <v>7.88491984612206</v>
      </c>
      <c r="BM94" s="16" t="n">
        <v>3.71992671744367</v>
      </c>
      <c r="BN94" s="16" t="n">
        <v>4.46573109600205</v>
      </c>
      <c r="BO94" s="16" t="n">
        <v>5.7791095890411</v>
      </c>
      <c r="BP94" s="16" t="n">
        <v>8712.70308277889</v>
      </c>
      <c r="BQ94" s="16" t="n">
        <v>8628.30442519799</v>
      </c>
      <c r="BR94" s="16" t="n">
        <v>8628.30442519799</v>
      </c>
      <c r="BS94" s="16" t="n">
        <v>491.079092937143</v>
      </c>
      <c r="BT94" s="16" t="n">
        <v>301.7195</v>
      </c>
      <c r="BU94" s="16" t="n">
        <v>1081.9108</v>
      </c>
      <c r="BV94" s="16" t="s">
        <v>3237</v>
      </c>
      <c r="BW94" s="16" t="n">
        <v>42.7692307692308</v>
      </c>
      <c r="BX94" s="16" t="n">
        <v>0.155994305554286</v>
      </c>
      <c r="BY94" s="16" t="n">
        <v>0.161741466184191</v>
      </c>
      <c r="BZ94" s="16" t="n">
        <v>13510.8578038903</v>
      </c>
      <c r="CA94" s="16" t="n">
        <v>19402.010477409</v>
      </c>
      <c r="CB94" s="16" t="n">
        <v>254.992745669471</v>
      </c>
      <c r="CC94" s="16" t="n">
        <v>0</v>
      </c>
      <c r="CD94" s="16" t="n">
        <v>950.69728</v>
      </c>
      <c r="CE94" s="16" t="n">
        <v>12000</v>
      </c>
      <c r="CF94" s="16" t="n">
        <v>26.3214223412104</v>
      </c>
      <c r="CG94" s="16" t="n">
        <v>29.7432072455678</v>
      </c>
      <c r="CH94" s="16" t="n">
        <v>2643.77364301215</v>
      </c>
      <c r="CI94" s="16" t="n">
        <v>-3.67412940135503</v>
      </c>
      <c r="CJ94" s="16" t="n">
        <v>5.5401853712872</v>
      </c>
      <c r="CK94" s="16" t="n">
        <v>35113.4911094555</v>
      </c>
      <c r="CL94" s="16" t="n">
        <v>149.085603437143</v>
      </c>
      <c r="CM94" s="16" t="n">
        <v>174.453171687143</v>
      </c>
      <c r="CN94" s="16" t="n">
        <v>1000</v>
      </c>
      <c r="CO94" s="16" t="n">
        <v>1.5535546875</v>
      </c>
      <c r="CP94" s="16" t="n">
        <v>1.20139813581891</v>
      </c>
      <c r="CQ94" s="16" t="n">
        <v>17.190586193693</v>
      </c>
      <c r="CR94" s="16" t="n">
        <v>92.7494577728213</v>
      </c>
      <c r="CS94" s="16" t="n">
        <v>36.2589571612962</v>
      </c>
      <c r="CT94" s="16" t="n">
        <v>15.2129081360115</v>
      </c>
      <c r="CU94" s="16" t="n">
        <v>17.190586193693</v>
      </c>
      <c r="CV94" s="16" t="n">
        <v>2327.67762909715</v>
      </c>
      <c r="CW94" s="16" t="n">
        <v>524.516655038851</v>
      </c>
      <c r="CX94" s="16" t="n">
        <v>2852.194284136</v>
      </c>
      <c r="CY94" s="16" t="n">
        <v>2327.67762909715</v>
      </c>
      <c r="CZ94" s="16" t="n">
        <v>937.948418210558</v>
      </c>
      <c r="DA94" s="16" t="n">
        <v>26.3214223412104</v>
      </c>
      <c r="DB94" s="16" t="n">
        <v>16951.9227100102</v>
      </c>
      <c r="DC94" s="16" t="n">
        <v>12578.3266508276</v>
      </c>
      <c r="DD94" s="16" t="n">
        <v>10507.8518518519</v>
      </c>
      <c r="DE94" s="16" t="n">
        <v>1921.25</v>
      </c>
      <c r="DF94" s="16" t="n">
        <v>2642.60287409715</v>
      </c>
      <c r="DG94" s="16" t="n">
        <v>174.453171687143</v>
      </c>
      <c r="DH94" s="16" t="n">
        <v>0</v>
      </c>
      <c r="DI94" s="16" t="n">
        <v>36.2589636717838</v>
      </c>
    </row>
    <row r="95" customFormat="false" ht="15" hidden="false" customHeight="false" outlineLevel="0" collapsed="false">
      <c r="A95" s="0" t="s">
        <v>3313</v>
      </c>
      <c r="B95" s="16" t="n">
        <v>2465.07954157611</v>
      </c>
      <c r="C95" s="16" t="n">
        <v>8209.24039226006</v>
      </c>
      <c r="D95" s="16" t="n">
        <v>19716.7966317894</v>
      </c>
      <c r="E95" s="16" t="n">
        <v>4213.14398474076</v>
      </c>
      <c r="F95" s="16" t="n">
        <v>-1135.49021845689</v>
      </c>
      <c r="G95" s="16" t="n">
        <v>5020.26458750724</v>
      </c>
      <c r="H95" s="16" t="n">
        <v>-898.814009603721</v>
      </c>
      <c r="I95" s="17" t="n">
        <v>0.01</v>
      </c>
      <c r="J95" s="17" t="n">
        <v>3.97046602096122</v>
      </c>
      <c r="K95" s="16" t="s">
        <v>116</v>
      </c>
      <c r="L95" s="16" t="n">
        <v>1000</v>
      </c>
      <c r="M95" s="16" t="n">
        <v>33779.4469253452</v>
      </c>
      <c r="N95" s="16" t="n">
        <v>11402.7039831813</v>
      </c>
      <c r="O95" s="16" t="n">
        <v>1000</v>
      </c>
      <c r="P95" s="16" t="n">
        <v>951.290832135856</v>
      </c>
      <c r="Q95" s="16" t="n">
        <v>-267.565775756198</v>
      </c>
      <c r="R95" s="16" t="n">
        <v>17617.7170533315</v>
      </c>
      <c r="S95" s="16" t="n">
        <v>26949.0428826358</v>
      </c>
      <c r="T95" s="16" t="n">
        <v>-955.692204749296</v>
      </c>
      <c r="U95" s="16" t="n">
        <v>-621.096213862173</v>
      </c>
      <c r="V95" s="16" t="n">
        <v>0.750319556751226</v>
      </c>
      <c r="W95" s="16" t="n">
        <v>46166.2147180189</v>
      </c>
      <c r="X95" s="16" t="n">
        <v>22149.4762774452</v>
      </c>
      <c r="Y95" s="16" t="n">
        <v>3.7351002431262</v>
      </c>
      <c r="Z95" s="16" t="n">
        <v>5.06988806216538</v>
      </c>
      <c r="AA95" s="16" t="n">
        <v>27.424347870838</v>
      </c>
      <c r="AB95" s="16" t="n">
        <v>25.224347870838</v>
      </c>
      <c r="AC95" s="16" t="n">
        <v>26.674347870838</v>
      </c>
      <c r="AD95" s="16" t="n">
        <v>27.2673434792775</v>
      </c>
      <c r="AE95" s="16" t="n">
        <v>674.686407680941</v>
      </c>
      <c r="AF95" s="16" t="n">
        <v>0.03</v>
      </c>
      <c r="AG95" s="16" t="n">
        <v>0.654405917289144</v>
      </c>
      <c r="AH95" s="16" t="n">
        <v>9819.91719809611</v>
      </c>
      <c r="AI95" s="16" t="n">
        <v>19716.7966317894</v>
      </c>
      <c r="AJ95" s="16" t="n">
        <v>16.69175</v>
      </c>
      <c r="AK95" s="16" t="n">
        <v>0</v>
      </c>
      <c r="AL95" s="16" t="n">
        <v>1000</v>
      </c>
      <c r="AM95" s="16" t="n">
        <v>812.6073</v>
      </c>
      <c r="AN95" s="16" t="n">
        <v>20079.98904</v>
      </c>
      <c r="AO95" s="16" t="n">
        <v>-5508.72242389994</v>
      </c>
      <c r="AP95" s="16" t="n">
        <v>0.414483496940676</v>
      </c>
      <c r="AQ95" s="16" t="n">
        <v>78.645426879892</v>
      </c>
      <c r="AR95" s="16" t="n">
        <v>506.474954430797</v>
      </c>
      <c r="AS95" s="16" t="n">
        <v>314.925245</v>
      </c>
      <c r="AT95" s="16" t="n">
        <v>1000</v>
      </c>
      <c r="AU95" s="16" t="n">
        <v>12.270507</v>
      </c>
      <c r="AV95" s="16" t="n">
        <v>0</v>
      </c>
      <c r="AW95" s="16" t="n">
        <v>2254.3125</v>
      </c>
      <c r="AX95" s="16" t="n">
        <v>314.925245</v>
      </c>
      <c r="AY95" s="16" t="n">
        <v>314.925245</v>
      </c>
      <c r="AZ95" s="16" t="n">
        <v>5631.62619515181</v>
      </c>
      <c r="BA95" s="16" t="n">
        <v>0</v>
      </c>
      <c r="BB95" s="16" t="n">
        <v>417.928966666667</v>
      </c>
      <c r="BC95" s="16" t="n">
        <v>111441.907179589</v>
      </c>
      <c r="BD95" s="16" t="n">
        <v>16.751694488301</v>
      </c>
      <c r="BE95" s="16" t="n">
        <v>25.4089871102374</v>
      </c>
      <c r="BF95" s="16" t="n">
        <v>39.6368423190398</v>
      </c>
      <c r="BG95" s="16" t="n">
        <v>-8.27711430924607</v>
      </c>
      <c r="BH95" s="16" t="n">
        <v>-7.28866183200638</v>
      </c>
      <c r="BI95" s="16" t="n">
        <v>1.09242813813745</v>
      </c>
      <c r="BJ95" s="16" t="n">
        <v>2.04083187529388</v>
      </c>
      <c r="BK95" s="16" t="n">
        <v>5.25403316350504</v>
      </c>
      <c r="BL95" s="16" t="n">
        <v>7.88491984612206</v>
      </c>
      <c r="BM95" s="16" t="n">
        <v>3.71992671744367</v>
      </c>
      <c r="BN95" s="16" t="n">
        <v>4.46573109600205</v>
      </c>
      <c r="BO95" s="16" t="n">
        <v>5.7791095890411</v>
      </c>
      <c r="BP95" s="16" t="n">
        <v>8712.70308277889</v>
      </c>
      <c r="BQ95" s="16" t="n">
        <v>8176.87365522983</v>
      </c>
      <c r="BR95" s="16" t="n">
        <v>8176.87365522983</v>
      </c>
      <c r="BS95" s="16" t="n">
        <v>506.474954430797</v>
      </c>
      <c r="BT95" s="16" t="n">
        <v>301.7195</v>
      </c>
      <c r="BU95" s="16" t="n">
        <v>1081.9108</v>
      </c>
      <c r="BV95" s="16" t="s">
        <v>3237</v>
      </c>
      <c r="BW95" s="16" t="n">
        <v>42.7692307692308</v>
      </c>
      <c r="BX95" s="16" t="n">
        <v>0.155994305554286</v>
      </c>
      <c r="BY95" s="16" t="n">
        <v>0.161741466184191</v>
      </c>
      <c r="BZ95" s="16" t="n">
        <v>13510.8578038903</v>
      </c>
      <c r="CA95" s="16" t="n">
        <v>19402.010477409</v>
      </c>
      <c r="CB95" s="16" t="n">
        <v>278.503097417438</v>
      </c>
      <c r="CC95" s="16" t="n">
        <v>0</v>
      </c>
      <c r="CD95" s="16" t="n">
        <v>950.69728</v>
      </c>
      <c r="CE95" s="16" t="n">
        <v>12000</v>
      </c>
      <c r="CF95" s="16" t="n">
        <v>24.2501640779233</v>
      </c>
      <c r="CG95" s="16" t="n">
        <v>27.4026854080534</v>
      </c>
      <c r="CH95" s="16" t="n">
        <v>2643.77364301215</v>
      </c>
      <c r="CI95" s="16" t="n">
        <v>-6.2083733271085</v>
      </c>
      <c r="CJ95" s="16" t="n">
        <v>3.00594144553374</v>
      </c>
      <c r="CK95" s="16" t="n">
        <v>38739.6121648513</v>
      </c>
      <c r="CL95" s="16" t="n">
        <v>164.481464930797</v>
      </c>
      <c r="CM95" s="16" t="n">
        <v>189.849033180797</v>
      </c>
      <c r="CN95" s="16" t="n">
        <v>1000</v>
      </c>
      <c r="CO95" s="16" t="n">
        <v>1.5535546875</v>
      </c>
      <c r="CP95" s="16" t="n">
        <v>1.09004417261298</v>
      </c>
      <c r="CQ95" s="16" t="n">
        <v>3.97046602096122</v>
      </c>
      <c r="CR95" s="16" t="n">
        <v>88.869332374278</v>
      </c>
      <c r="CS95" s="16" t="n">
        <v>30.251102221468</v>
      </c>
      <c r="CT95" s="16" t="n">
        <v>3.51368674421347</v>
      </c>
      <c r="CU95" s="16" t="n">
        <v>3.97046602096122</v>
      </c>
      <c r="CV95" s="16" t="n">
        <v>10991.2196047346</v>
      </c>
      <c r="CW95" s="16" t="n">
        <v>2270.95477479745</v>
      </c>
      <c r="CX95" s="16" t="n">
        <v>13262.174379532</v>
      </c>
      <c r="CY95" s="16" t="n">
        <v>10991.2196047346</v>
      </c>
      <c r="CZ95" s="16" t="n">
        <v>1169.00957579736</v>
      </c>
      <c r="DA95" s="16" t="n">
        <v>24.2501640779233</v>
      </c>
      <c r="DB95" s="16" t="n">
        <v>16775.9595284851</v>
      </c>
      <c r="DC95" s="16" t="n">
        <v>12447.761970136</v>
      </c>
      <c r="DD95" s="16" t="n">
        <v>11144.3333333333</v>
      </c>
      <c r="DE95" s="16" t="n">
        <v>1921.25</v>
      </c>
      <c r="DF95" s="16" t="n">
        <v>11306.1448497346</v>
      </c>
      <c r="DG95" s="16" t="n">
        <v>189.849033180797</v>
      </c>
      <c r="DH95" s="16" t="n">
        <v>0</v>
      </c>
      <c r="DI95" s="16" t="n">
        <v>30.2511309413356</v>
      </c>
    </row>
    <row r="96" customFormat="false" ht="15" hidden="false" customHeight="false" outlineLevel="0" collapsed="false">
      <c r="A96" s="0" t="s">
        <v>3314</v>
      </c>
      <c r="B96" s="16" t="n">
        <v>2465.07954157611</v>
      </c>
      <c r="C96" s="16" t="n">
        <v>8660.67116222822</v>
      </c>
      <c r="D96" s="16" t="n">
        <v>20727.1633713073</v>
      </c>
      <c r="E96" s="16" t="n">
        <v>4533.65983141815</v>
      </c>
      <c r="F96" s="16" t="n">
        <v>-833.411738395574</v>
      </c>
      <c r="G96" s="16" t="n">
        <v>5020.64472332459</v>
      </c>
      <c r="H96" s="16" t="n">
        <v>1732.32509534632</v>
      </c>
      <c r="I96" s="17" t="n">
        <v>6.38260324632871</v>
      </c>
      <c r="J96" s="17" t="n">
        <v>12.7308923001694</v>
      </c>
      <c r="K96" s="16" t="s">
        <v>116</v>
      </c>
      <c r="L96" s="16" t="n">
        <v>1000</v>
      </c>
      <c r="M96" s="16" t="n">
        <v>33788.4755407446</v>
      </c>
      <c r="N96" s="16" t="n">
        <v>12170.5827052149</v>
      </c>
      <c r="O96" s="16" t="n">
        <v>1000</v>
      </c>
      <c r="P96" s="16" t="n">
        <v>951.290832135856</v>
      </c>
      <c r="Q96" s="16" t="n">
        <v>456.59543005765</v>
      </c>
      <c r="R96" s="16" t="n">
        <v>17617.7170533315</v>
      </c>
      <c r="S96" s="16" t="n">
        <v>26969.2502174261</v>
      </c>
      <c r="T96" s="16" t="n">
        <v>-955.692204749296</v>
      </c>
      <c r="U96" s="16" t="n">
        <v>2010.04289108787</v>
      </c>
      <c r="V96" s="16" t="n">
        <v>0.750319556751226</v>
      </c>
      <c r="W96" s="16" t="n">
        <v>47133.9289295179</v>
      </c>
      <c r="X96" s="16" t="n">
        <v>22163.1975323397</v>
      </c>
      <c r="Y96" s="16" t="n">
        <v>11.9762160599134</v>
      </c>
      <c r="Z96" s="16" t="n">
        <v>16.2560763780863</v>
      </c>
      <c r="AA96" s="16" t="n">
        <v>27.424347870838</v>
      </c>
      <c r="AB96" s="16" t="n">
        <v>25.224347870838</v>
      </c>
      <c r="AC96" s="16" t="n">
        <v>26.674347870838</v>
      </c>
      <c r="AD96" s="16" t="n">
        <v>27.2673434792775</v>
      </c>
      <c r="AE96" s="16" t="n">
        <v>674.686407680941</v>
      </c>
      <c r="AF96" s="16" t="n">
        <v>0.03</v>
      </c>
      <c r="AG96" s="16" t="n">
        <v>0.658217046830445</v>
      </c>
      <c r="AH96" s="16" t="n">
        <v>9819.91719809611</v>
      </c>
      <c r="AI96" s="16" t="n">
        <v>20727.1633713073</v>
      </c>
      <c r="AJ96" s="16" t="n">
        <v>19.7391827628362</v>
      </c>
      <c r="AK96" s="16" t="n">
        <v>0</v>
      </c>
      <c r="AL96" s="16" t="n">
        <v>1000</v>
      </c>
      <c r="AM96" s="16" t="n">
        <v>812.6073</v>
      </c>
      <c r="AN96" s="16" t="n">
        <v>20079.98904</v>
      </c>
      <c r="AO96" s="16" t="n">
        <v>-5508.72242389994</v>
      </c>
      <c r="AP96" s="16" t="n">
        <v>0.358496107957722</v>
      </c>
      <c r="AQ96" s="16" t="n">
        <v>81.7148112736635</v>
      </c>
      <c r="AR96" s="16" t="n">
        <v>499.4756269261</v>
      </c>
      <c r="AS96" s="16" t="n">
        <v>314.925245</v>
      </c>
      <c r="AT96" s="16" t="n">
        <v>1000</v>
      </c>
      <c r="AU96" s="16" t="n">
        <v>12.270507</v>
      </c>
      <c r="AV96" s="16" t="n">
        <v>0</v>
      </c>
      <c r="AW96" s="16" t="n">
        <v>2254.3125</v>
      </c>
      <c r="AX96" s="16" t="n">
        <v>314.925245</v>
      </c>
      <c r="AY96" s="16" t="n">
        <v>314.925245</v>
      </c>
      <c r="AZ96" s="16" t="n">
        <v>5807.5893766769</v>
      </c>
      <c r="BA96" s="16" t="n">
        <v>0</v>
      </c>
      <c r="BB96" s="16" t="n">
        <v>417.928966666667</v>
      </c>
      <c r="BC96" s="16" t="n">
        <v>111513.618227291</v>
      </c>
      <c r="BD96" s="16" t="n">
        <v>17.3104403631359</v>
      </c>
      <c r="BE96" s="16" t="n">
        <v>25.9677329850722</v>
      </c>
      <c r="BF96" s="16" t="n">
        <v>40.1955881938747</v>
      </c>
      <c r="BG96" s="16" t="n">
        <v>-8.27711430924607</v>
      </c>
      <c r="BH96" s="16" t="n">
        <v>-7.28866183200638</v>
      </c>
      <c r="BI96" s="16" t="n">
        <v>1.09242813813745</v>
      </c>
      <c r="BJ96" s="16" t="n">
        <v>2.04083187529388</v>
      </c>
      <c r="BK96" s="16" t="n">
        <v>5.25403316350504</v>
      </c>
      <c r="BL96" s="16" t="n">
        <v>7.88491984612206</v>
      </c>
      <c r="BM96" s="16" t="n">
        <v>3.71992671744367</v>
      </c>
      <c r="BN96" s="16" t="n">
        <v>4.46573109600205</v>
      </c>
      <c r="BO96" s="16" t="n">
        <v>5.7791095890411</v>
      </c>
      <c r="BP96" s="16" t="n">
        <v>8712.70308277889</v>
      </c>
      <c r="BQ96" s="16" t="n">
        <v>8628.30442519799</v>
      </c>
      <c r="BR96" s="16" t="n">
        <v>8628.30442519799</v>
      </c>
      <c r="BS96" s="16" t="n">
        <v>499.4756269261</v>
      </c>
      <c r="BT96" s="16" t="n">
        <v>301.7195</v>
      </c>
      <c r="BU96" s="16" t="n">
        <v>1081.9108</v>
      </c>
      <c r="BV96" s="16" t="s">
        <v>3237</v>
      </c>
      <c r="BW96" s="16" t="n">
        <v>42.7692307692308</v>
      </c>
      <c r="BX96" s="16" t="n">
        <v>0.155994305554286</v>
      </c>
      <c r="BY96" s="16" t="n">
        <v>0.161741466184191</v>
      </c>
      <c r="BZ96" s="16" t="n">
        <v>13510.8578038903</v>
      </c>
      <c r="CA96" s="16" t="n">
        <v>19402.010477409</v>
      </c>
      <c r="CB96" s="16" t="n">
        <v>267.884850902871</v>
      </c>
      <c r="CC96" s="16" t="n">
        <v>0</v>
      </c>
      <c r="CD96" s="16" t="n">
        <v>950.69728</v>
      </c>
      <c r="CE96" s="16" t="n">
        <v>12000</v>
      </c>
      <c r="CF96" s="16" t="n">
        <v>24.2066942838047</v>
      </c>
      <c r="CG96" s="16" t="n">
        <v>27.3535645406993</v>
      </c>
      <c r="CH96" s="16" t="n">
        <v>2643.77364301215</v>
      </c>
      <c r="CI96" s="16" t="n">
        <v>-6.2083733271085</v>
      </c>
      <c r="CJ96" s="16" t="n">
        <v>3.00594144553374</v>
      </c>
      <c r="CK96" s="16" t="n">
        <v>37091.0906547785</v>
      </c>
      <c r="CL96" s="16" t="n">
        <v>157.4821374261</v>
      </c>
      <c r="CM96" s="16" t="n">
        <v>182.8497056761</v>
      </c>
      <c r="CN96" s="16" t="n">
        <v>1000</v>
      </c>
      <c r="CO96" s="16" t="n">
        <v>1.5535546875</v>
      </c>
      <c r="CP96" s="16" t="n">
        <v>1.09004417261298</v>
      </c>
      <c r="CQ96" s="16" t="n">
        <v>12.7308923001694</v>
      </c>
      <c r="CR96" s="16" t="n">
        <v>92.3377367392397</v>
      </c>
      <c r="CS96" s="16" t="n">
        <v>36.1278890867122</v>
      </c>
      <c r="CT96" s="16" t="n">
        <v>11.2662763718313</v>
      </c>
      <c r="CU96" s="16" t="n">
        <v>12.7308923001694</v>
      </c>
      <c r="CV96" s="16" t="n">
        <v>3298.41314099325</v>
      </c>
      <c r="CW96" s="16" t="n">
        <v>708.257406933914</v>
      </c>
      <c r="CX96" s="16" t="n">
        <v>4006.67054792716</v>
      </c>
      <c r="CY96" s="16" t="n">
        <v>3298.41314099325</v>
      </c>
      <c r="CZ96" s="16" t="n">
        <v>958.357612067537</v>
      </c>
      <c r="DA96" s="16" t="n">
        <v>24.2066942838047</v>
      </c>
      <c r="DB96" s="16" t="n">
        <v>16951.9227100102</v>
      </c>
      <c r="DC96" s="16" t="n">
        <v>12578.3266508276</v>
      </c>
      <c r="DD96" s="16" t="n">
        <v>11144.3333333333</v>
      </c>
      <c r="DE96" s="16" t="n">
        <v>1921.25</v>
      </c>
      <c r="DF96" s="16" t="n">
        <v>3613.33838599325</v>
      </c>
      <c r="DG96" s="16" t="n">
        <v>182.8497056761</v>
      </c>
      <c r="DH96" s="16" t="n">
        <v>0</v>
      </c>
      <c r="DI96" s="16" t="n">
        <v>36.1278941933852</v>
      </c>
    </row>
    <row r="97" customFormat="false" ht="15" hidden="false" customHeight="false" outlineLevel="0" collapsed="false">
      <c r="A97" s="0" t="s">
        <v>3315</v>
      </c>
      <c r="B97" s="16" t="n">
        <v>2465.07954157611</v>
      </c>
      <c r="C97" s="16" t="n">
        <v>8209.24039226006</v>
      </c>
      <c r="D97" s="16" t="n">
        <v>19716.7966317894</v>
      </c>
      <c r="E97" s="16" t="n">
        <v>4213.14398474076</v>
      </c>
      <c r="F97" s="16" t="n">
        <v>-1318.51050255411</v>
      </c>
      <c r="G97" s="16" t="n">
        <v>5203.28487160447</v>
      </c>
      <c r="H97" s="16" t="n">
        <v>-2085.50489263974</v>
      </c>
      <c r="I97" s="17" t="n">
        <v>0.01</v>
      </c>
      <c r="J97" s="17" t="n">
        <v>0</v>
      </c>
      <c r="K97" s="16" t="s">
        <v>116</v>
      </c>
      <c r="L97" s="16" t="n">
        <v>1000</v>
      </c>
      <c r="M97" s="16" t="n">
        <v>34926.5449934008</v>
      </c>
      <c r="N97" s="16" t="n">
        <v>11402.7039831813</v>
      </c>
      <c r="O97" s="16" t="n">
        <v>1000</v>
      </c>
      <c r="P97" s="16" t="n">
        <v>951.290832135856</v>
      </c>
      <c r="Q97" s="16" t="n">
        <v>-634.421881311753</v>
      </c>
      <c r="R97" s="16" t="n">
        <v>18304.8995130537</v>
      </c>
      <c r="S97" s="16" t="n">
        <v>27106.4083826358</v>
      </c>
      <c r="T97" s="16" t="n">
        <v>-955.692204749296</v>
      </c>
      <c r="U97" s="16" t="n">
        <v>-2064.79831912042</v>
      </c>
      <c r="V97" s="16" t="n">
        <v>0.750319556751226</v>
      </c>
      <c r="W97" s="16" t="n">
        <v>46432.6969882601</v>
      </c>
      <c r="X97" s="16" t="n">
        <v>22559.7553591674</v>
      </c>
      <c r="Y97" s="16" t="n">
        <v>0</v>
      </c>
      <c r="Z97" s="16" t="n">
        <v>0</v>
      </c>
      <c r="AA97" s="16" t="n">
        <v>27.424347870838</v>
      </c>
      <c r="AB97" s="16" t="n">
        <v>25.224347870838</v>
      </c>
      <c r="AC97" s="16" t="n">
        <v>26.674347870838</v>
      </c>
      <c r="AD97" s="16" t="n">
        <v>27.2673434792775</v>
      </c>
      <c r="AE97" s="16" t="n">
        <v>674.686407680941</v>
      </c>
      <c r="AF97" s="16" t="n">
        <v>0.03</v>
      </c>
      <c r="AG97" s="16" t="n">
        <v>0.654405917289144</v>
      </c>
      <c r="AH97" s="16" t="n">
        <v>9130.48589017945</v>
      </c>
      <c r="AI97" s="16" t="n">
        <v>19716.7966317894</v>
      </c>
      <c r="AJ97" s="16" t="n">
        <v>16.69175</v>
      </c>
      <c r="AK97" s="16" t="n">
        <v>0</v>
      </c>
      <c r="AL97" s="16" t="n">
        <v>1000</v>
      </c>
      <c r="AM97" s="16" t="n">
        <v>812.6073</v>
      </c>
      <c r="AN97" s="16" t="n">
        <v>20079.98904</v>
      </c>
      <c r="AO97" s="16" t="n">
        <v>-5508.72242389994</v>
      </c>
      <c r="AP97" s="16" t="n">
        <v>0.414483496940676</v>
      </c>
      <c r="AQ97" s="16" t="n">
        <v>78.4464884521313</v>
      </c>
      <c r="AR97" s="16" t="n">
        <v>515.024429316048</v>
      </c>
      <c r="AS97" s="16" t="n">
        <v>314.925245</v>
      </c>
      <c r="AT97" s="16" t="n">
        <v>1000</v>
      </c>
      <c r="AU97" s="16" t="n">
        <v>12.270507</v>
      </c>
      <c r="AV97" s="16" t="n">
        <v>0</v>
      </c>
      <c r="AW97" s="16" t="n">
        <v>2254.3125</v>
      </c>
      <c r="AX97" s="16" t="n">
        <v>314.925245</v>
      </c>
      <c r="AY97" s="16" t="n">
        <v>314.925245</v>
      </c>
      <c r="AZ97" s="16" t="n">
        <v>4995.14471367033</v>
      </c>
      <c r="BA97" s="16" t="n">
        <v>0</v>
      </c>
      <c r="BB97" s="16" t="n">
        <v>417.928966666667</v>
      </c>
      <c r="BC97" s="16" t="n">
        <v>113433.553207367</v>
      </c>
      <c r="BD97" s="16" t="n">
        <v>13.9145364074882</v>
      </c>
      <c r="BE97" s="16" t="n">
        <v>22.5718290294246</v>
      </c>
      <c r="BF97" s="16" t="n">
        <v>36.799684238227</v>
      </c>
      <c r="BG97" s="16" t="n">
        <v>-8.27711430924607</v>
      </c>
      <c r="BH97" s="16" t="n">
        <v>-7.28866183200638</v>
      </c>
      <c r="BI97" s="16" t="n">
        <v>1.09242813813745</v>
      </c>
      <c r="BJ97" s="16" t="n">
        <v>2.04083187529388</v>
      </c>
      <c r="BK97" s="16" t="n">
        <v>5.25403316350504</v>
      </c>
      <c r="BL97" s="16" t="n">
        <v>7.88491984612206</v>
      </c>
      <c r="BM97" s="16" t="n">
        <v>3.71992671744367</v>
      </c>
      <c r="BN97" s="16" t="n">
        <v>4.46573109600205</v>
      </c>
      <c r="BO97" s="16" t="n">
        <v>5.7791095890411</v>
      </c>
      <c r="BP97" s="16" t="n">
        <v>8712.70308277889</v>
      </c>
      <c r="BQ97" s="16" t="n">
        <v>8176.87365522983</v>
      </c>
      <c r="BR97" s="16" t="n">
        <v>8176.87365522983</v>
      </c>
      <c r="BS97" s="16" t="n">
        <v>515.024429316048</v>
      </c>
      <c r="BT97" s="16" t="n">
        <v>301.7195</v>
      </c>
      <c r="BU97" s="16" t="n">
        <v>1081.9108</v>
      </c>
      <c r="BV97" s="16" t="s">
        <v>3237</v>
      </c>
      <c r="BW97" s="16" t="n">
        <v>42.7692307692308</v>
      </c>
      <c r="BX97" s="16" t="n">
        <v>0.155994305554286</v>
      </c>
      <c r="BY97" s="16" t="n">
        <v>0.161741466184191</v>
      </c>
      <c r="BZ97" s="16" t="n">
        <v>13510.8578038903</v>
      </c>
      <c r="CA97" s="16" t="n">
        <v>19402.010477409</v>
      </c>
      <c r="CB97" s="16" t="n">
        <v>291.647069457886</v>
      </c>
      <c r="CC97" s="16" t="n">
        <v>0</v>
      </c>
      <c r="CD97" s="16" t="n">
        <v>950.69728</v>
      </c>
      <c r="CE97" s="16" t="n">
        <v>12000</v>
      </c>
      <c r="CF97" s="16" t="n">
        <v>22.1485949138698</v>
      </c>
      <c r="CG97" s="16" t="n">
        <v>25.0279122526729</v>
      </c>
      <c r="CH97" s="16" t="n">
        <v>2643.77364301215</v>
      </c>
      <c r="CI97" s="16" t="n">
        <v>-8.95186662234454</v>
      </c>
      <c r="CJ97" s="16" t="n">
        <v>0.471697519780295</v>
      </c>
      <c r="CK97" s="16" t="n">
        <v>40753.2332218326</v>
      </c>
      <c r="CL97" s="16" t="n">
        <v>173.030939816048</v>
      </c>
      <c r="CM97" s="16" t="n">
        <v>198.398508066048</v>
      </c>
      <c r="CN97" s="16" t="n">
        <v>1000</v>
      </c>
      <c r="CO97" s="16" t="n">
        <v>1.5535546875</v>
      </c>
      <c r="CP97" s="16" t="n">
        <v>0.997581369635823</v>
      </c>
      <c r="CQ97" s="16" t="n">
        <v>0</v>
      </c>
      <c r="CR97" s="16" t="n">
        <v>88.6445319509083</v>
      </c>
      <c r="CS97" s="16" t="n">
        <v>30.3973895086251</v>
      </c>
      <c r="CT97" s="16" t="n">
        <v>0</v>
      </c>
      <c r="CU97" s="16" t="n">
        <v>0.0113</v>
      </c>
      <c r="CV97" s="16" t="n">
        <v>4040166.81650465</v>
      </c>
      <c r="CW97" s="16" t="n">
        <v>797942.368891408</v>
      </c>
      <c r="CX97" s="16" t="n">
        <v>4838109.18539606</v>
      </c>
      <c r="CY97" s="16" t="n">
        <v>4040166.81650465</v>
      </c>
      <c r="CZ97" s="16" t="n">
        <v>1183.05445343639</v>
      </c>
      <c r="DA97" s="16" t="n">
        <v>22.1485949138698</v>
      </c>
      <c r="DB97" s="16" t="n">
        <v>16775.9595284851</v>
      </c>
      <c r="DC97" s="16" t="n">
        <v>12447.761970136</v>
      </c>
      <c r="DD97" s="16" t="n">
        <v>11780.8148148148</v>
      </c>
      <c r="DE97" s="16" t="n">
        <v>1921.25</v>
      </c>
      <c r="DF97" s="16" t="n">
        <v>4040481.74174965</v>
      </c>
      <c r="DG97" s="16" t="n">
        <v>198.398508066048</v>
      </c>
      <c r="DH97" s="16" t="n">
        <v>0</v>
      </c>
      <c r="DI97" s="16" t="n">
        <v>30.3974115084624</v>
      </c>
    </row>
    <row r="98" customFormat="false" ht="15" hidden="false" customHeight="false" outlineLevel="0" collapsed="false">
      <c r="A98" s="0" t="s">
        <v>3316</v>
      </c>
      <c r="B98" s="16" t="n">
        <v>2465.07954157611</v>
      </c>
      <c r="C98" s="16" t="n">
        <v>8660.67116222822</v>
      </c>
      <c r="D98" s="16" t="n">
        <v>20727.1633713073</v>
      </c>
      <c r="E98" s="16" t="n">
        <v>4533.65983141815</v>
      </c>
      <c r="F98" s="16" t="n">
        <v>-1016.4320224928</v>
      </c>
      <c r="G98" s="16" t="n">
        <v>5203.66500742182</v>
      </c>
      <c r="H98" s="16" t="n">
        <v>586.991256886681</v>
      </c>
      <c r="I98" s="17" t="n">
        <v>1.92965740300053</v>
      </c>
      <c r="J98" s="17" t="n">
        <v>8.51795172584796</v>
      </c>
      <c r="K98" s="16" t="s">
        <v>116</v>
      </c>
      <c r="L98" s="16" t="n">
        <v>1000</v>
      </c>
      <c r="M98" s="16" t="n">
        <v>34935.5736088001</v>
      </c>
      <c r="N98" s="16" t="n">
        <v>12170.5827052149</v>
      </c>
      <c r="O98" s="16" t="n">
        <v>1000</v>
      </c>
      <c r="P98" s="16" t="n">
        <v>951.290832135856</v>
      </c>
      <c r="Q98" s="16" t="n">
        <v>89.7393245020949</v>
      </c>
      <c r="R98" s="16" t="n">
        <v>18304.8995130537</v>
      </c>
      <c r="S98" s="16" t="n">
        <v>27126.6157174261</v>
      </c>
      <c r="T98" s="16" t="n">
        <v>-955.692204749296</v>
      </c>
      <c r="U98" s="16" t="n">
        <v>607.697830406007</v>
      </c>
      <c r="V98" s="16" t="n">
        <v>0.750319556751226</v>
      </c>
      <c r="W98" s="16" t="n">
        <v>47400.4111997591</v>
      </c>
      <c r="X98" s="16" t="n">
        <v>22573.476614062</v>
      </c>
      <c r="Y98" s="16" t="n">
        <v>8.01301494438926</v>
      </c>
      <c r="Z98" s="16" t="n">
        <v>10.8765725587353</v>
      </c>
      <c r="AA98" s="16" t="n">
        <v>27.424347870838</v>
      </c>
      <c r="AB98" s="16" t="n">
        <v>25.224347870838</v>
      </c>
      <c r="AC98" s="16" t="n">
        <v>26.674347870838</v>
      </c>
      <c r="AD98" s="16" t="n">
        <v>27.2673434792775</v>
      </c>
      <c r="AE98" s="16" t="n">
        <v>674.686407680941</v>
      </c>
      <c r="AF98" s="16" t="n">
        <v>0.03</v>
      </c>
      <c r="AG98" s="16" t="n">
        <v>0.658217046830445</v>
      </c>
      <c r="AH98" s="16" t="n">
        <v>9130.48589017945</v>
      </c>
      <c r="AI98" s="16" t="n">
        <v>20727.1633713073</v>
      </c>
      <c r="AJ98" s="16" t="n">
        <v>19.7391827628362</v>
      </c>
      <c r="AK98" s="16" t="n">
        <v>0</v>
      </c>
      <c r="AL98" s="16" t="n">
        <v>1000</v>
      </c>
      <c r="AM98" s="16" t="n">
        <v>812.6073</v>
      </c>
      <c r="AN98" s="16" t="n">
        <v>20079.98904</v>
      </c>
      <c r="AO98" s="16" t="n">
        <v>-5508.72242389994</v>
      </c>
      <c r="AP98" s="16" t="n">
        <v>0.358496107957722</v>
      </c>
      <c r="AQ98" s="16" t="n">
        <v>81.5044449030416</v>
      </c>
      <c r="AR98" s="16" t="n">
        <v>507.898309789025</v>
      </c>
      <c r="AS98" s="16" t="n">
        <v>314.925245</v>
      </c>
      <c r="AT98" s="16" t="n">
        <v>1000</v>
      </c>
      <c r="AU98" s="16" t="n">
        <v>12.270507</v>
      </c>
      <c r="AV98" s="16" t="n">
        <v>0</v>
      </c>
      <c r="AW98" s="16" t="n">
        <v>2254.3125</v>
      </c>
      <c r="AX98" s="16" t="n">
        <v>314.925245</v>
      </c>
      <c r="AY98" s="16" t="n">
        <v>314.925245</v>
      </c>
      <c r="AZ98" s="16" t="n">
        <v>5171.10789519542</v>
      </c>
      <c r="BA98" s="16" t="n">
        <v>0</v>
      </c>
      <c r="BB98" s="16" t="n">
        <v>417.928966666667</v>
      </c>
      <c r="BC98" s="16" t="n">
        <v>113505.264255069</v>
      </c>
      <c r="BD98" s="16" t="n">
        <v>14.473282282323</v>
      </c>
      <c r="BE98" s="16" t="n">
        <v>23.1305749042594</v>
      </c>
      <c r="BF98" s="16" t="n">
        <v>37.3584301130618</v>
      </c>
      <c r="BG98" s="16" t="n">
        <v>-8.27711430924607</v>
      </c>
      <c r="BH98" s="16" t="n">
        <v>-7.28866183200638</v>
      </c>
      <c r="BI98" s="16" t="n">
        <v>1.09242813813745</v>
      </c>
      <c r="BJ98" s="16" t="n">
        <v>2.04083187529388</v>
      </c>
      <c r="BK98" s="16" t="n">
        <v>5.25403316350504</v>
      </c>
      <c r="BL98" s="16" t="n">
        <v>7.88491984612206</v>
      </c>
      <c r="BM98" s="16" t="n">
        <v>3.71992671744367</v>
      </c>
      <c r="BN98" s="16" t="n">
        <v>4.46573109600205</v>
      </c>
      <c r="BO98" s="16" t="n">
        <v>5.7791095890411</v>
      </c>
      <c r="BP98" s="16" t="n">
        <v>8712.70308277889</v>
      </c>
      <c r="BQ98" s="16" t="n">
        <v>8628.30442519799</v>
      </c>
      <c r="BR98" s="16" t="n">
        <v>8628.30442519799</v>
      </c>
      <c r="BS98" s="16" t="n">
        <v>507.898309789025</v>
      </c>
      <c r="BT98" s="16" t="n">
        <v>301.7195</v>
      </c>
      <c r="BU98" s="16" t="n">
        <v>1081.9108</v>
      </c>
      <c r="BV98" s="16" t="s">
        <v>3237</v>
      </c>
      <c r="BW98" s="16" t="n">
        <v>42.7692307692308</v>
      </c>
      <c r="BX98" s="16" t="n">
        <v>0.155994305554286</v>
      </c>
      <c r="BY98" s="16" t="n">
        <v>0.161741466184191</v>
      </c>
      <c r="BZ98" s="16" t="n">
        <v>13510.8578038903</v>
      </c>
      <c r="CA98" s="16" t="n">
        <v>19402.010477409</v>
      </c>
      <c r="CB98" s="16" t="n">
        <v>280.836729252035</v>
      </c>
      <c r="CC98" s="16" t="n">
        <v>0</v>
      </c>
      <c r="CD98" s="16" t="n">
        <v>950.69728</v>
      </c>
      <c r="CE98" s="16" t="n">
        <v>12000</v>
      </c>
      <c r="CF98" s="16" t="n">
        <v>22.0942160513453</v>
      </c>
      <c r="CG98" s="16" t="n">
        <v>24.9664641380202</v>
      </c>
      <c r="CH98" s="16" t="n">
        <v>2643.77364301215</v>
      </c>
      <c r="CI98" s="16" t="n">
        <v>-8.95186662234454</v>
      </c>
      <c r="CJ98" s="16" t="n">
        <v>0.471697519780295</v>
      </c>
      <c r="CK98" s="16" t="n">
        <v>39074.8489319469</v>
      </c>
      <c r="CL98" s="16" t="n">
        <v>165.904820289025</v>
      </c>
      <c r="CM98" s="16" t="n">
        <v>191.272388539025</v>
      </c>
      <c r="CN98" s="16" t="n">
        <v>1000</v>
      </c>
      <c r="CO98" s="16" t="n">
        <v>1.5535546875</v>
      </c>
      <c r="CP98" s="16" t="n">
        <v>0.997581369635823</v>
      </c>
      <c r="CQ98" s="16" t="n">
        <v>8.51795172584796</v>
      </c>
      <c r="CR98" s="16" t="n">
        <v>92.100022740437</v>
      </c>
      <c r="CS98" s="16" t="n">
        <v>36.2055548345044</v>
      </c>
      <c r="CT98" s="16" t="n">
        <v>7.53801037685661</v>
      </c>
      <c r="CU98" s="16" t="n">
        <v>8.51795172584796</v>
      </c>
      <c r="CV98" s="16" t="n">
        <v>5162.68489796343</v>
      </c>
      <c r="CW98" s="16" t="n">
        <v>1058.55833170683</v>
      </c>
      <c r="CX98" s="16" t="n">
        <v>6221.24322967026</v>
      </c>
      <c r="CY98" s="16" t="n">
        <v>5162.68489796343</v>
      </c>
      <c r="CZ98" s="16" t="n">
        <v>973.772552452671</v>
      </c>
      <c r="DA98" s="16" t="n">
        <v>22.0942160513453</v>
      </c>
      <c r="DB98" s="16" t="n">
        <v>16951.9227100102</v>
      </c>
      <c r="DC98" s="16" t="n">
        <v>12578.3266508276</v>
      </c>
      <c r="DD98" s="16" t="n">
        <v>11780.8148148148</v>
      </c>
      <c r="DE98" s="16" t="n">
        <v>1921.25</v>
      </c>
      <c r="DF98" s="16" t="n">
        <v>5477.61014296344</v>
      </c>
      <c r="DG98" s="16" t="n">
        <v>191.272388539025</v>
      </c>
      <c r="DH98" s="16" t="n">
        <v>0</v>
      </c>
      <c r="DI98" s="16" t="n">
        <v>36.2055586905089</v>
      </c>
    </row>
    <row r="99" customFormat="false" ht="15" hidden="false" customHeight="false" outlineLevel="0" collapsed="false">
      <c r="A99" s="0" t="s">
        <v>3317</v>
      </c>
      <c r="B99" s="16" t="n">
        <v>2465.07954157611</v>
      </c>
      <c r="C99" s="16" t="n">
        <v>8209.24039226006</v>
      </c>
      <c r="D99" s="16" t="n">
        <v>19716.7966317894</v>
      </c>
      <c r="E99" s="16" t="n">
        <v>4213.14398474076</v>
      </c>
      <c r="F99" s="16" t="n">
        <v>-1501.53078665134</v>
      </c>
      <c r="G99" s="16" t="n">
        <v>5386.30515570169</v>
      </c>
      <c r="H99" s="16" t="n">
        <v>-3303.13210535552</v>
      </c>
      <c r="I99" s="17" t="n">
        <v>0.01</v>
      </c>
      <c r="J99" s="17" t="n">
        <v>0</v>
      </c>
      <c r="K99" s="16" t="s">
        <v>116</v>
      </c>
      <c r="L99" s="16" t="n">
        <v>1000</v>
      </c>
      <c r="M99" s="16" t="n">
        <v>36073.6430614563</v>
      </c>
      <c r="N99" s="16" t="n">
        <v>11402.7039831813</v>
      </c>
      <c r="O99" s="16" t="n">
        <v>1000</v>
      </c>
      <c r="P99" s="16" t="n">
        <v>951.290832135856</v>
      </c>
      <c r="Q99" s="16" t="n">
        <v>-1001.27798686731</v>
      </c>
      <c r="R99" s="16" t="n">
        <v>18992.081972776</v>
      </c>
      <c r="S99" s="16" t="n">
        <v>27263.7738826358</v>
      </c>
      <c r="T99" s="16" t="n">
        <v>-955.692204749296</v>
      </c>
      <c r="U99" s="16" t="n">
        <v>-3539.43675405842</v>
      </c>
      <c r="V99" s="16" t="n">
        <v>0.750319556751226</v>
      </c>
      <c r="W99" s="16" t="n">
        <v>46699.1792585013</v>
      </c>
      <c r="X99" s="16" t="n">
        <v>22970.0344408897</v>
      </c>
      <c r="Y99" s="16" t="n">
        <v>0</v>
      </c>
      <c r="Z99" s="16" t="n">
        <v>0</v>
      </c>
      <c r="AA99" s="16" t="n">
        <v>27.424347870838</v>
      </c>
      <c r="AB99" s="16" t="n">
        <v>25.224347870838</v>
      </c>
      <c r="AC99" s="16" t="n">
        <v>26.674347870838</v>
      </c>
      <c r="AD99" s="16" t="n">
        <v>27.2673434792775</v>
      </c>
      <c r="AE99" s="16" t="n">
        <v>674.686407680941</v>
      </c>
      <c r="AF99" s="16" t="n">
        <v>0.03</v>
      </c>
      <c r="AG99" s="16" t="n">
        <v>0.654405917289144</v>
      </c>
      <c r="AH99" s="16" t="n">
        <v>8441.05458226278</v>
      </c>
      <c r="AI99" s="16" t="n">
        <v>19716.7966317894</v>
      </c>
      <c r="AJ99" s="16" t="n">
        <v>16.69175</v>
      </c>
      <c r="AK99" s="16" t="n">
        <v>0</v>
      </c>
      <c r="AL99" s="16" t="n">
        <v>1000</v>
      </c>
      <c r="AM99" s="16" t="n">
        <v>812.6073</v>
      </c>
      <c r="AN99" s="16" t="n">
        <v>20079.98904</v>
      </c>
      <c r="AO99" s="16" t="n">
        <v>-5508.72242389994</v>
      </c>
      <c r="AP99" s="16" t="n">
        <v>0.414483496940676</v>
      </c>
      <c r="AQ99" s="16" t="n">
        <v>78.1910109696798</v>
      </c>
      <c r="AR99" s="16" t="n">
        <v>523.560762267242</v>
      </c>
      <c r="AS99" s="16" t="n">
        <v>314.925245</v>
      </c>
      <c r="AT99" s="16" t="n">
        <v>1000</v>
      </c>
      <c r="AU99" s="16" t="n">
        <v>12.270507</v>
      </c>
      <c r="AV99" s="16" t="n">
        <v>0</v>
      </c>
      <c r="AW99" s="16" t="n">
        <v>2254.3125</v>
      </c>
      <c r="AX99" s="16" t="n">
        <v>314.925245</v>
      </c>
      <c r="AY99" s="16" t="n">
        <v>314.925245</v>
      </c>
      <c r="AZ99" s="16" t="n">
        <v>4358.66323218884</v>
      </c>
      <c r="BA99" s="16" t="n">
        <v>0</v>
      </c>
      <c r="BB99" s="16" t="n">
        <v>417.928966666667</v>
      </c>
      <c r="BC99" s="16" t="n">
        <v>115425.199235145</v>
      </c>
      <c r="BD99" s="16" t="n">
        <v>11.0773783266754</v>
      </c>
      <c r="BE99" s="16" t="n">
        <v>19.7346709486118</v>
      </c>
      <c r="BF99" s="16" t="n">
        <v>33.9625261574142</v>
      </c>
      <c r="BG99" s="16" t="n">
        <v>-8.27711430924607</v>
      </c>
      <c r="BH99" s="16" t="n">
        <v>-7.28866183200638</v>
      </c>
      <c r="BI99" s="16" t="n">
        <v>1.09242813813745</v>
      </c>
      <c r="BJ99" s="16" t="n">
        <v>2.04083187529388</v>
      </c>
      <c r="BK99" s="16" t="n">
        <v>5.25403316350504</v>
      </c>
      <c r="BL99" s="16" t="n">
        <v>7.88491984612206</v>
      </c>
      <c r="BM99" s="16" t="n">
        <v>3.71992671744367</v>
      </c>
      <c r="BN99" s="16" t="n">
        <v>4.46573109600205</v>
      </c>
      <c r="BO99" s="16" t="n">
        <v>5.7791095890411</v>
      </c>
      <c r="BP99" s="16" t="n">
        <v>8712.70308277889</v>
      </c>
      <c r="BQ99" s="16" t="n">
        <v>8176.87365522983</v>
      </c>
      <c r="BR99" s="16" t="n">
        <v>8176.87365522983</v>
      </c>
      <c r="BS99" s="16" t="n">
        <v>523.560762267242</v>
      </c>
      <c r="BT99" s="16" t="n">
        <v>301.7195</v>
      </c>
      <c r="BU99" s="16" t="n">
        <v>1081.9108</v>
      </c>
      <c r="BV99" s="16" t="s">
        <v>3237</v>
      </c>
      <c r="BW99" s="16" t="n">
        <v>42.7692307692308</v>
      </c>
      <c r="BX99" s="16" t="n">
        <v>0.155994305554286</v>
      </c>
      <c r="BY99" s="16" t="n">
        <v>0.161741466184191</v>
      </c>
      <c r="BZ99" s="16" t="n">
        <v>13510.8578038903</v>
      </c>
      <c r="CA99" s="16" t="n">
        <v>19402.010477409</v>
      </c>
      <c r="CB99" s="16" t="n">
        <v>304.777899564275</v>
      </c>
      <c r="CC99" s="16" t="n">
        <v>0</v>
      </c>
      <c r="CD99" s="16" t="n">
        <v>950.69728</v>
      </c>
      <c r="CE99" s="16" t="n">
        <v>12000</v>
      </c>
      <c r="CF99" s="16" t="n">
        <v>20.0458950299572</v>
      </c>
      <c r="CG99" s="16" t="n">
        <v>22.6518613838516</v>
      </c>
      <c r="CH99" s="16" t="n">
        <v>2643.77364301215</v>
      </c>
      <c r="CI99" s="16" t="n">
        <v>-12.1363728292116</v>
      </c>
      <c r="CJ99" s="16" t="n">
        <v>-2.06254640597316</v>
      </c>
      <c r="CK99" s="16" t="n">
        <v>42763.7590155956</v>
      </c>
      <c r="CL99" s="16" t="n">
        <v>181.567272767242</v>
      </c>
      <c r="CM99" s="16" t="n">
        <v>206.934841017242</v>
      </c>
      <c r="CN99" s="16" t="n">
        <v>1000</v>
      </c>
      <c r="CO99" s="16" t="n">
        <v>1.5535546875</v>
      </c>
      <c r="CP99" s="16" t="n">
        <v>0.919578303659585</v>
      </c>
      <c r="CQ99" s="16" t="n">
        <v>0</v>
      </c>
      <c r="CR99" s="16" t="n">
        <v>88.3558423957382</v>
      </c>
      <c r="CS99" s="16" t="n">
        <v>30.5713701061457</v>
      </c>
      <c r="CT99" s="16" t="n">
        <v>0</v>
      </c>
      <c r="CU99" s="16" t="n">
        <v>0.0113</v>
      </c>
      <c r="CV99" s="16" t="n">
        <v>4218089.45312085</v>
      </c>
      <c r="CW99" s="16" t="n">
        <v>797942.368891408</v>
      </c>
      <c r="CX99" s="16" t="n">
        <v>5016031.82201226</v>
      </c>
      <c r="CY99" s="16" t="n">
        <v>4218089.45312085</v>
      </c>
      <c r="CZ99" s="16" t="n">
        <v>1194.33734037495</v>
      </c>
      <c r="DA99" s="16" t="n">
        <v>20.0458950299572</v>
      </c>
      <c r="DB99" s="16" t="n">
        <v>16775.9595284851</v>
      </c>
      <c r="DC99" s="16" t="n">
        <v>12447.761970136</v>
      </c>
      <c r="DD99" s="16" t="n">
        <v>12417.2962962963</v>
      </c>
      <c r="DE99" s="16" t="n">
        <v>1921.25</v>
      </c>
      <c r="DF99" s="16" t="n">
        <v>4218404.37836585</v>
      </c>
      <c r="DG99" s="16" t="n">
        <v>206.934841017242</v>
      </c>
      <c r="DH99" s="16" t="n">
        <v>0</v>
      </c>
      <c r="DI99" s="16" t="n">
        <v>30.5713872324379</v>
      </c>
    </row>
    <row r="100" customFormat="false" ht="15" hidden="false" customHeight="false" outlineLevel="0" collapsed="false">
      <c r="A100" s="0" t="s">
        <v>3318</v>
      </c>
      <c r="B100" s="16" t="n">
        <v>2465.07954157611</v>
      </c>
      <c r="C100" s="16" t="n">
        <v>8660.67116222822</v>
      </c>
      <c r="D100" s="16" t="n">
        <v>20727.1633713073</v>
      </c>
      <c r="E100" s="16" t="n">
        <v>4533.65983141815</v>
      </c>
      <c r="F100" s="16" t="n">
        <v>-1199.45230659002</v>
      </c>
      <c r="G100" s="16" t="n">
        <v>5386.68529151904</v>
      </c>
      <c r="H100" s="16" t="n">
        <v>-562.932292270712</v>
      </c>
      <c r="I100" s="17" t="n">
        <v>0.01</v>
      </c>
      <c r="J100" s="17" t="n">
        <v>4.29325130986854</v>
      </c>
      <c r="K100" s="16" t="s">
        <v>116</v>
      </c>
      <c r="L100" s="16" t="n">
        <v>1000</v>
      </c>
      <c r="M100" s="16" t="n">
        <v>36082.6716768557</v>
      </c>
      <c r="N100" s="16" t="n">
        <v>12170.5827052149</v>
      </c>
      <c r="O100" s="16" t="n">
        <v>1000</v>
      </c>
      <c r="P100" s="16" t="n">
        <v>951.290832135856</v>
      </c>
      <c r="Q100" s="16" t="n">
        <v>-277.116781053462</v>
      </c>
      <c r="R100" s="16" t="n">
        <v>18992.081972776</v>
      </c>
      <c r="S100" s="16" t="n">
        <v>27283.9812174261</v>
      </c>
      <c r="T100" s="16" t="n">
        <v>-955.692204749296</v>
      </c>
      <c r="U100" s="16" t="n">
        <v>-799.236940973609</v>
      </c>
      <c r="V100" s="16" t="n">
        <v>0.750319556751226</v>
      </c>
      <c r="W100" s="16" t="n">
        <v>47666.8934700002</v>
      </c>
      <c r="X100" s="16" t="n">
        <v>22983.7556957842</v>
      </c>
      <c r="Y100" s="16" t="n">
        <v>4.03875110040855</v>
      </c>
      <c r="Z100" s="16" t="n">
        <v>5.48205259757113</v>
      </c>
      <c r="AA100" s="16" t="n">
        <v>27.424347870838</v>
      </c>
      <c r="AB100" s="16" t="n">
        <v>25.224347870838</v>
      </c>
      <c r="AC100" s="16" t="n">
        <v>26.674347870838</v>
      </c>
      <c r="AD100" s="16" t="n">
        <v>27.2673434792775</v>
      </c>
      <c r="AE100" s="16" t="n">
        <v>674.686407680941</v>
      </c>
      <c r="AF100" s="16" t="n">
        <v>0.03</v>
      </c>
      <c r="AG100" s="16" t="n">
        <v>0.658217046830445</v>
      </c>
      <c r="AH100" s="16" t="n">
        <v>8441.05458226278</v>
      </c>
      <c r="AI100" s="16" t="n">
        <v>20727.1633713073</v>
      </c>
      <c r="AJ100" s="16" t="n">
        <v>19.7391827628362</v>
      </c>
      <c r="AK100" s="16" t="n">
        <v>0</v>
      </c>
      <c r="AL100" s="16" t="n">
        <v>1000</v>
      </c>
      <c r="AM100" s="16" t="n">
        <v>812.6073</v>
      </c>
      <c r="AN100" s="16" t="n">
        <v>20079.98904</v>
      </c>
      <c r="AO100" s="16" t="n">
        <v>-5508.72242389994</v>
      </c>
      <c r="AP100" s="16" t="n">
        <v>0.358496107957722</v>
      </c>
      <c r="AQ100" s="16" t="n">
        <v>81.306518669356</v>
      </c>
      <c r="AR100" s="16" t="n">
        <v>516.369424474992</v>
      </c>
      <c r="AS100" s="16" t="n">
        <v>314.925245</v>
      </c>
      <c r="AT100" s="16" t="n">
        <v>1000</v>
      </c>
      <c r="AU100" s="16" t="n">
        <v>12.270507</v>
      </c>
      <c r="AV100" s="16" t="n">
        <v>0</v>
      </c>
      <c r="AW100" s="16" t="n">
        <v>2254.3125</v>
      </c>
      <c r="AX100" s="16" t="n">
        <v>314.925245</v>
      </c>
      <c r="AY100" s="16" t="n">
        <v>314.925245</v>
      </c>
      <c r="AZ100" s="16" t="n">
        <v>4534.62641371394</v>
      </c>
      <c r="BA100" s="16" t="n">
        <v>0</v>
      </c>
      <c r="BB100" s="16" t="n">
        <v>417.928966666667</v>
      </c>
      <c r="BC100" s="16" t="n">
        <v>115496.910282847</v>
      </c>
      <c r="BD100" s="16" t="n">
        <v>11.6361242015102</v>
      </c>
      <c r="BE100" s="16" t="n">
        <v>20.2934168234466</v>
      </c>
      <c r="BF100" s="16" t="n">
        <v>34.521272032249</v>
      </c>
      <c r="BG100" s="16" t="n">
        <v>-8.27711430924607</v>
      </c>
      <c r="BH100" s="16" t="n">
        <v>-7.28866183200638</v>
      </c>
      <c r="BI100" s="16" t="n">
        <v>1.09242813813745</v>
      </c>
      <c r="BJ100" s="16" t="n">
        <v>2.04083187529388</v>
      </c>
      <c r="BK100" s="16" t="n">
        <v>5.25403316350504</v>
      </c>
      <c r="BL100" s="16" t="n">
        <v>7.88491984612206</v>
      </c>
      <c r="BM100" s="16" t="n">
        <v>3.71992671744367</v>
      </c>
      <c r="BN100" s="16" t="n">
        <v>4.46573109600205</v>
      </c>
      <c r="BO100" s="16" t="n">
        <v>5.7791095890411</v>
      </c>
      <c r="BP100" s="16" t="n">
        <v>8712.70308277889</v>
      </c>
      <c r="BQ100" s="16" t="n">
        <v>8628.30442519799</v>
      </c>
      <c r="BR100" s="16" t="n">
        <v>8628.30442519799</v>
      </c>
      <c r="BS100" s="16" t="n">
        <v>516.369424474992</v>
      </c>
      <c r="BT100" s="16" t="n">
        <v>301.7195</v>
      </c>
      <c r="BU100" s="16" t="n">
        <v>1081.9108</v>
      </c>
      <c r="BV100" s="16" t="s">
        <v>3237</v>
      </c>
      <c r="BW100" s="16" t="n">
        <v>42.7692307692308</v>
      </c>
      <c r="BX100" s="16" t="n">
        <v>0.155994305554286</v>
      </c>
      <c r="BY100" s="16" t="n">
        <v>0.161741466184191</v>
      </c>
      <c r="BZ100" s="16" t="n">
        <v>13510.8578038903</v>
      </c>
      <c r="CA100" s="16" t="n">
        <v>19402.010477409</v>
      </c>
      <c r="CB100" s="16" t="n">
        <v>293.869446630674</v>
      </c>
      <c r="CC100" s="16" t="n">
        <v>0</v>
      </c>
      <c r="CD100" s="16" t="n">
        <v>950.69728</v>
      </c>
      <c r="CE100" s="16" t="n">
        <v>12000</v>
      </c>
      <c r="CF100" s="16" t="n">
        <v>19.9859048481744</v>
      </c>
      <c r="CG100" s="16" t="n">
        <v>22.5840724784371</v>
      </c>
      <c r="CH100" s="16" t="n">
        <v>2643.77364301215</v>
      </c>
      <c r="CI100" s="16" t="n">
        <v>-12.1363728292116</v>
      </c>
      <c r="CJ100" s="16" t="n">
        <v>-2.06254640597316</v>
      </c>
      <c r="CK100" s="16" t="n">
        <v>41070.0141481395</v>
      </c>
      <c r="CL100" s="16" t="n">
        <v>174.375934974992</v>
      </c>
      <c r="CM100" s="16" t="n">
        <v>199.743503224992</v>
      </c>
      <c r="CN100" s="16" t="n">
        <v>1000</v>
      </c>
      <c r="CO100" s="16" t="n">
        <v>1.5535546875</v>
      </c>
      <c r="CP100" s="16" t="n">
        <v>0.919578303659585</v>
      </c>
      <c r="CQ100" s="16" t="n">
        <v>4.29325130986854</v>
      </c>
      <c r="CR100" s="16" t="n">
        <v>91.8763660963723</v>
      </c>
      <c r="CS100" s="16" t="n">
        <v>36.411293996277</v>
      </c>
      <c r="CT100" s="16" t="n">
        <v>3.79933744236154</v>
      </c>
      <c r="CU100" s="16" t="n">
        <v>4.29325130986854</v>
      </c>
      <c r="CV100" s="16" t="n">
        <v>10707.6578180133</v>
      </c>
      <c r="CW100" s="16" t="n">
        <v>2100.21452686612</v>
      </c>
      <c r="CX100" s="16" t="n">
        <v>12807.8723448794</v>
      </c>
      <c r="CY100" s="16" t="n">
        <v>10707.6578180133</v>
      </c>
      <c r="CZ100" s="16" t="n">
        <v>984.746202497995</v>
      </c>
      <c r="DA100" s="16" t="n">
        <v>19.9859048481744</v>
      </c>
      <c r="DB100" s="16" t="n">
        <v>16951.9227100102</v>
      </c>
      <c r="DC100" s="16" t="n">
        <v>12578.3266508276</v>
      </c>
      <c r="DD100" s="16" t="n">
        <v>12417.2962962963</v>
      </c>
      <c r="DE100" s="16" t="n">
        <v>1921.25</v>
      </c>
      <c r="DF100" s="16" t="n">
        <v>11022.5830630133</v>
      </c>
      <c r="DG100" s="16" t="n">
        <v>199.743503224992</v>
      </c>
      <c r="DH100" s="16" t="n">
        <v>0</v>
      </c>
      <c r="DI100" s="16" t="n">
        <v>36.4112968947531</v>
      </c>
    </row>
    <row r="101" customFormat="false" ht="15" hidden="false" customHeight="false" outlineLevel="0" collapsed="false">
      <c r="A101" s="0" t="s">
        <v>3319</v>
      </c>
      <c r="B101" s="16" t="n">
        <v>2465.07954157611</v>
      </c>
      <c r="C101" s="16" t="n">
        <v>7486.53586561127</v>
      </c>
      <c r="D101" s="16" t="n">
        <v>16658.1638420176</v>
      </c>
      <c r="E101" s="16" t="n">
        <v>3700.02377082012</v>
      </c>
      <c r="F101" s="16" t="n">
        <v>-1619.09483324194</v>
      </c>
      <c r="G101" s="16" t="n">
        <v>5019.65716943761</v>
      </c>
      <c r="H101" s="16" t="n">
        <v>-19942.4770970487</v>
      </c>
      <c r="I101" s="17" t="n">
        <v>0.01</v>
      </c>
      <c r="J101" s="17" t="n">
        <v>0</v>
      </c>
      <c r="K101" s="16" t="s">
        <v>116</v>
      </c>
      <c r="L101" s="16" t="n">
        <v>1000</v>
      </c>
      <c r="M101" s="16" t="n">
        <v>33764.9928348122</v>
      </c>
      <c r="N101" s="16" t="n">
        <v>9078.14306295474</v>
      </c>
      <c r="O101" s="16" t="n">
        <v>1000</v>
      </c>
      <c r="P101" s="16" t="n">
        <v>951.290832135856</v>
      </c>
      <c r="Q101" s="16" t="n">
        <v>-2463.0800447486</v>
      </c>
      <c r="R101" s="16" t="n">
        <v>17617.7170533315</v>
      </c>
      <c r="S101" s="16" t="n">
        <v>26887.8702268403</v>
      </c>
      <c r="T101" s="16" t="n">
        <v>-955.692204749296</v>
      </c>
      <c r="U101" s="16" t="n">
        <v>-19664.7593013072</v>
      </c>
      <c r="V101" s="16" t="n">
        <v>0.750319556751226</v>
      </c>
      <c r="W101" s="16" t="n">
        <v>36717.3788682695</v>
      </c>
      <c r="X101" s="16" t="n">
        <v>22081.2996337618</v>
      </c>
      <c r="Y101" s="16" t="n">
        <v>0</v>
      </c>
      <c r="Z101" s="16" t="n">
        <v>0</v>
      </c>
      <c r="AA101" s="16" t="n">
        <v>27.424347870838</v>
      </c>
      <c r="AB101" s="16" t="n">
        <v>25.224347870838</v>
      </c>
      <c r="AC101" s="16" t="n">
        <v>26.674347870838</v>
      </c>
      <c r="AD101" s="16" t="n">
        <v>27.2673434792775</v>
      </c>
      <c r="AE101" s="16" t="n">
        <v>674.686407680941</v>
      </c>
      <c r="AF101" s="16" t="n">
        <v>0.03</v>
      </c>
      <c r="AG101" s="16" t="n">
        <v>0.609582157741022</v>
      </c>
      <c r="AH101" s="16" t="n">
        <v>9819.91719809611</v>
      </c>
      <c r="AI101" s="16" t="n">
        <v>16658.1638420176</v>
      </c>
      <c r="AJ101" s="16" t="n">
        <v>11.97975</v>
      </c>
      <c r="AK101" s="16" t="n">
        <v>0</v>
      </c>
      <c r="AL101" s="16" t="n">
        <v>1000</v>
      </c>
      <c r="AM101" s="16" t="n">
        <v>812.6073</v>
      </c>
      <c r="AN101" s="16" t="n">
        <v>20079.98904</v>
      </c>
      <c r="AO101" s="16" t="n">
        <v>-5508.72242389994</v>
      </c>
      <c r="AP101" s="16" t="n">
        <v>0.600700720203879</v>
      </c>
      <c r="AQ101" s="16" t="n">
        <v>50.273651484384</v>
      </c>
      <c r="AR101" s="16" t="n">
        <v>530.114121804294</v>
      </c>
      <c r="AS101" s="16" t="n">
        <v>314.925245</v>
      </c>
      <c r="AT101" s="16" t="n">
        <v>1000</v>
      </c>
      <c r="AU101" s="16" t="n">
        <v>12.270507</v>
      </c>
      <c r="AV101" s="16" t="n">
        <v>0</v>
      </c>
      <c r="AW101" s="16" t="n">
        <v>2254.3125</v>
      </c>
      <c r="AX101" s="16" t="n">
        <v>314.925245</v>
      </c>
      <c r="AY101" s="16" t="n">
        <v>314.925245</v>
      </c>
      <c r="AZ101" s="16" t="n">
        <v>4734.03744681081</v>
      </c>
      <c r="BA101" s="16" t="n">
        <v>0</v>
      </c>
      <c r="BB101" s="16" t="n">
        <v>417.928966666667</v>
      </c>
      <c r="BC101" s="16" t="n">
        <v>111063.715485594</v>
      </c>
      <c r="BD101" s="16" t="n">
        <v>13.9015300045329</v>
      </c>
      <c r="BE101" s="16" t="n">
        <v>22.5588226264692</v>
      </c>
      <c r="BF101" s="16" t="n">
        <v>36.7866778352717</v>
      </c>
      <c r="BG101" s="16" t="n">
        <v>-8.27711430924607</v>
      </c>
      <c r="BH101" s="16" t="n">
        <v>-7.28866183200638</v>
      </c>
      <c r="BI101" s="16" t="n">
        <v>1.09242813813745</v>
      </c>
      <c r="BJ101" s="16" t="n">
        <v>2.04083187529388</v>
      </c>
      <c r="BK101" s="16" t="n">
        <v>5.25403316350504</v>
      </c>
      <c r="BL101" s="16" t="n">
        <v>7.88491984612206</v>
      </c>
      <c r="BM101" s="16" t="n">
        <v>3.71992671744367</v>
      </c>
      <c r="BN101" s="16" t="n">
        <v>4.46573109600205</v>
      </c>
      <c r="BO101" s="16" t="n">
        <v>5.7791095890411</v>
      </c>
      <c r="BP101" s="16" t="n">
        <v>8712.70308277889</v>
      </c>
      <c r="BQ101" s="16" t="n">
        <v>7454.16912858104</v>
      </c>
      <c r="BR101" s="16" t="n">
        <v>7454.16912858104</v>
      </c>
      <c r="BS101" s="16" t="n">
        <v>530.114121804294</v>
      </c>
      <c r="BT101" s="16" t="n">
        <v>301.7195</v>
      </c>
      <c r="BU101" s="16" t="n">
        <v>1081.9108</v>
      </c>
      <c r="BV101" s="16" t="s">
        <v>3237</v>
      </c>
      <c r="BW101" s="16" t="n">
        <v>42.7692307692308</v>
      </c>
      <c r="BX101" s="16" t="n">
        <v>0.155994305554286</v>
      </c>
      <c r="BY101" s="16" t="n">
        <v>0.161741466184191</v>
      </c>
      <c r="BZ101" s="16" t="n">
        <v>13510.8578038903</v>
      </c>
      <c r="CA101" s="16" t="n">
        <v>19507.6981859232</v>
      </c>
      <c r="CB101" s="16" t="n">
        <v>315.534301477785</v>
      </c>
      <c r="CC101" s="16" t="n">
        <v>0</v>
      </c>
      <c r="CD101" s="16" t="n">
        <v>950.69728</v>
      </c>
      <c r="CE101" s="16" t="n">
        <v>12000</v>
      </c>
      <c r="CF101" s="16" t="n">
        <v>23.5802163176422</v>
      </c>
      <c r="CG101" s="16" t="n">
        <v>26.6456444389357</v>
      </c>
      <c r="CH101" s="16" t="n">
        <v>2643.77364301215</v>
      </c>
      <c r="CI101" s="16" t="n">
        <v>-6.2083733271085</v>
      </c>
      <c r="CJ101" s="16" t="n">
        <v>3.00594144553374</v>
      </c>
      <c r="CK101" s="16" t="n">
        <v>44707.796572166</v>
      </c>
      <c r="CL101" s="16" t="n">
        <v>189.821308554294</v>
      </c>
      <c r="CM101" s="16" t="n">
        <v>215.188876804294</v>
      </c>
      <c r="CN101" s="16" t="n">
        <v>1000</v>
      </c>
      <c r="CO101" s="16" t="n">
        <v>1.5535546875</v>
      </c>
      <c r="CP101" s="16" t="n">
        <v>1.09004417261298</v>
      </c>
      <c r="CQ101" s="16" t="n">
        <v>0</v>
      </c>
      <c r="CR101" s="16" t="n">
        <v>56.8092261773539</v>
      </c>
      <c r="CS101" s="16" t="n">
        <v>0</v>
      </c>
      <c r="CT101" s="16" t="n">
        <v>0</v>
      </c>
      <c r="CU101" s="16" t="n">
        <v>0.0113</v>
      </c>
      <c r="CV101" s="16" t="n">
        <v>4390128.17494124</v>
      </c>
      <c r="CW101" s="16" t="n">
        <v>797942.368891408</v>
      </c>
      <c r="CX101" s="16" t="n">
        <v>5188070.54383265</v>
      </c>
      <c r="CY101" s="16" t="n">
        <v>4390128.17494124</v>
      </c>
      <c r="CZ101" s="16" t="n">
        <v>3217454.96449618</v>
      </c>
      <c r="DA101" s="16" t="n">
        <v>23.5802163176422</v>
      </c>
      <c r="DB101" s="16" t="n">
        <v>15878.3707801441</v>
      </c>
      <c r="DC101" s="16" t="n">
        <v>11781.751118867</v>
      </c>
      <c r="DD101" s="16" t="n">
        <v>11144.3333333333</v>
      </c>
      <c r="DE101" s="16" t="n">
        <v>1921.25</v>
      </c>
      <c r="DF101" s="16" t="n">
        <v>4390443.10018624</v>
      </c>
      <c r="DG101" s="16" t="n">
        <v>215.188876804294</v>
      </c>
      <c r="DH101" s="16" t="n">
        <v>0</v>
      </c>
      <c r="DI101" s="16" t="n">
        <v>0.0113</v>
      </c>
    </row>
    <row r="102" customFormat="false" ht="15" hidden="false" customHeight="false" outlineLevel="0" collapsed="false">
      <c r="A102" s="0" t="s">
        <v>3320</v>
      </c>
      <c r="B102" s="16" t="n">
        <v>2822.95391308961</v>
      </c>
      <c r="C102" s="16" t="n">
        <v>14326.0620723604</v>
      </c>
      <c r="D102" s="16" t="n">
        <v>30419.9622517823</v>
      </c>
      <c r="E102" s="16" t="n">
        <v>8425.31763436168</v>
      </c>
      <c r="F102" s="16" t="n">
        <v>2569.43128528813</v>
      </c>
      <c r="G102" s="16" t="n">
        <v>5282.84386617914</v>
      </c>
      <c r="H102" s="16" t="n">
        <v>135952.846284446</v>
      </c>
      <c r="I102" s="17" t="n">
        <v>381.893367806148</v>
      </c>
      <c r="J102" s="17" t="n">
        <v>430.451742847764</v>
      </c>
      <c r="K102" s="16" t="s">
        <v>116</v>
      </c>
      <c r="L102" s="16" t="n">
        <v>1000</v>
      </c>
      <c r="M102" s="16" t="n">
        <v>37657.3888914472</v>
      </c>
      <c r="N102" s="16" t="n">
        <v>19439.1186512273</v>
      </c>
      <c r="O102" s="16" t="n">
        <v>1000</v>
      </c>
      <c r="P102" s="16" t="n">
        <v>1212.1769462832</v>
      </c>
      <c r="Q102" s="16" t="n">
        <v>7571.96370236054</v>
      </c>
      <c r="R102" s="16" t="n">
        <v>23963.3261282618</v>
      </c>
      <c r="S102" s="16" t="n">
        <v>22514.5060450356</v>
      </c>
      <c r="T102" s="16" t="n">
        <v>-533.47336857847</v>
      </c>
      <c r="U102" s="16" t="n">
        <v>148256.244572993</v>
      </c>
      <c r="V102" s="16" t="n">
        <v>0.750319556751226</v>
      </c>
      <c r="W102" s="16" t="n">
        <v>163368.438644732</v>
      </c>
      <c r="X102" s="16" t="n">
        <v>23380.9413726318</v>
      </c>
      <c r="Y102" s="16" t="n">
        <v>406.738665353396</v>
      </c>
      <c r="Z102" s="16" t="n">
        <v>539.958666228235</v>
      </c>
      <c r="AA102" s="16" t="n">
        <v>43.041696075</v>
      </c>
      <c r="AB102" s="16" t="n">
        <v>40.841696075</v>
      </c>
      <c r="AC102" s="16" t="n">
        <v>42.291696075</v>
      </c>
      <c r="AD102" s="16" t="n">
        <v>46.9632728285</v>
      </c>
      <c r="AE102" s="16" t="n">
        <v>785.656190328325</v>
      </c>
      <c r="AF102" s="16" t="n">
        <v>0.035</v>
      </c>
      <c r="AG102" s="16" t="n">
        <v>0.705389662089965</v>
      </c>
      <c r="AH102" s="16" t="n">
        <v>3709.5941014662</v>
      </c>
      <c r="AI102" s="16" t="n">
        <v>30419.9622517823</v>
      </c>
      <c r="AJ102" s="16" t="n">
        <v>22.5205493581907</v>
      </c>
      <c r="AK102" s="16" t="n">
        <v>0</v>
      </c>
      <c r="AL102" s="16" t="n">
        <v>1000</v>
      </c>
      <c r="AM102" s="16" t="n">
        <v>1071.7478</v>
      </c>
      <c r="AN102" s="16" t="n">
        <v>26532.1623755</v>
      </c>
      <c r="AO102" s="16" t="n">
        <v>-8420.54944033089</v>
      </c>
      <c r="AP102" s="16" t="n">
        <v>0</v>
      </c>
      <c r="AQ102" s="16" t="n">
        <v>348.645550546516</v>
      </c>
      <c r="AR102" s="16" t="n">
        <v>499.318839088962</v>
      </c>
      <c r="AS102" s="16" t="n">
        <v>388.213718988304</v>
      </c>
      <c r="AT102" s="16" t="n">
        <v>1000</v>
      </c>
      <c r="AU102" s="16" t="n">
        <v>12.270507</v>
      </c>
      <c r="AV102" s="16" t="n">
        <v>0</v>
      </c>
      <c r="AW102" s="16" t="n">
        <v>3694.865</v>
      </c>
      <c r="AX102" s="16" t="n">
        <v>388.213718988304</v>
      </c>
      <c r="AY102" s="16" t="n">
        <v>352.835105629539</v>
      </c>
      <c r="AZ102" s="16" t="n">
        <v>8574.83976325603</v>
      </c>
      <c r="BA102" s="16" t="n">
        <v>0</v>
      </c>
      <c r="BB102" s="16" t="n">
        <v>677.069466666667</v>
      </c>
      <c r="BC102" s="16" t="n">
        <v>116628.659894799</v>
      </c>
      <c r="BD102" s="16" t="n">
        <v>16.8072116540312</v>
      </c>
      <c r="BE102" s="16" t="n">
        <v>25.4645042759676</v>
      </c>
      <c r="BF102" s="16" t="n">
        <v>40.834118458</v>
      </c>
      <c r="BG102" s="16" t="n">
        <v>-6.86548043539002</v>
      </c>
      <c r="BH102" s="16" t="n">
        <v>-0.510471429167696</v>
      </c>
      <c r="BI102" s="16" t="n">
        <v>2.24787422120944</v>
      </c>
      <c r="BJ102" s="16" t="n">
        <v>8.60288322743177</v>
      </c>
      <c r="BK102" s="16" t="n">
        <v>6.53606807781388</v>
      </c>
      <c r="BL102" s="16" t="n">
        <v>15.7885171639902</v>
      </c>
      <c r="BM102" s="16" t="n">
        <v>4.18491755712413</v>
      </c>
      <c r="BN102" s="16" t="n">
        <v>5.02394748300231</v>
      </c>
      <c r="BO102" s="16" t="n">
        <v>7.13470319634703</v>
      </c>
      <c r="BP102" s="16" t="n">
        <v>12077.6391665806</v>
      </c>
      <c r="BQ102" s="16" t="n">
        <v>14292.2325122223</v>
      </c>
      <c r="BR102" s="16" t="n">
        <v>14292.2325122223</v>
      </c>
      <c r="BS102" s="16" t="n">
        <v>499.318839088962</v>
      </c>
      <c r="BT102" s="16" t="n">
        <v>413.9493</v>
      </c>
      <c r="BU102" s="16" t="n">
        <v>1369.2143</v>
      </c>
      <c r="BV102" s="16" t="s">
        <v>3238</v>
      </c>
      <c r="BW102" s="16" t="n">
        <v>42.7692307692308</v>
      </c>
      <c r="BX102" s="16" t="n">
        <v>0.155994305554286</v>
      </c>
      <c r="BY102" s="16" t="n">
        <v>0.213851354521278</v>
      </c>
      <c r="BZ102" s="16" t="n">
        <v>0</v>
      </c>
      <c r="CA102" s="16" t="n">
        <v>5739.34803296745</v>
      </c>
      <c r="CB102" s="16" t="n">
        <v>156.073059487864</v>
      </c>
      <c r="CC102" s="16" t="n">
        <v>0</v>
      </c>
      <c r="CD102" s="16" t="n">
        <v>872.7296</v>
      </c>
      <c r="CE102" s="16" t="n">
        <v>12000</v>
      </c>
      <c r="CF102" s="16" t="n">
        <v>22.7580538436189</v>
      </c>
      <c r="CG102" s="16" t="n">
        <v>25.4890203048532</v>
      </c>
      <c r="CH102" s="16" t="n">
        <v>3188.69833333333</v>
      </c>
      <c r="CI102" s="16" t="n">
        <v>-0.379462866110714</v>
      </c>
      <c r="CJ102" s="16" t="n">
        <v>9.74648675233316</v>
      </c>
      <c r="CK102" s="16" t="n">
        <v>23963.8192946794</v>
      </c>
      <c r="CL102" s="16" t="n">
        <v>98.693708227336</v>
      </c>
      <c r="CM102" s="16" t="n">
        <v>124.061276477336</v>
      </c>
      <c r="CN102" s="16" t="n">
        <v>1000</v>
      </c>
      <c r="CO102" s="16" t="n">
        <v>1.70486111111111</v>
      </c>
      <c r="CP102" s="16" t="n">
        <v>0.90519877675841</v>
      </c>
      <c r="CQ102" s="16" t="n">
        <v>430.451742847764</v>
      </c>
      <c r="CR102" s="16" t="n">
        <v>390.483016612098</v>
      </c>
      <c r="CS102" s="16" t="n">
        <v>417.686592166997</v>
      </c>
      <c r="CT102" s="16" t="n">
        <v>384.331913256932</v>
      </c>
      <c r="CU102" s="16" t="n">
        <v>430.451742847764</v>
      </c>
      <c r="CV102" s="16" t="n">
        <v>77.8798277977135</v>
      </c>
      <c r="CW102" s="16" t="n">
        <v>20.9471768166631</v>
      </c>
      <c r="CX102" s="16" t="n">
        <v>98.8270046143766</v>
      </c>
      <c r="CY102" s="16" t="n">
        <v>77.8798277977135</v>
      </c>
      <c r="CZ102" s="16" t="n">
        <v>92.2767542775094</v>
      </c>
      <c r="DA102" s="16" t="n">
        <v>22.7580538436189</v>
      </c>
      <c r="DB102" s="16" t="n">
        <v>18993.839763256</v>
      </c>
      <c r="DC102" s="16" t="n">
        <v>14093.429104336</v>
      </c>
      <c r="DD102" s="16" t="n">
        <v>10419</v>
      </c>
      <c r="DE102" s="16" t="n">
        <v>-3795</v>
      </c>
      <c r="DF102" s="16" t="n">
        <v>442.000223486137</v>
      </c>
      <c r="DG102" s="16" t="n">
        <v>124.061276477336</v>
      </c>
      <c r="DH102" s="16" t="n">
        <v>0</v>
      </c>
      <c r="DI102" s="16" t="n">
        <v>417.686592166997</v>
      </c>
    </row>
    <row r="103" customFormat="false" ht="15" hidden="false" customHeight="false" outlineLevel="0" collapsed="false">
      <c r="A103" s="0" t="s">
        <v>3321</v>
      </c>
      <c r="B103" s="16" t="n">
        <v>2161.09062763565</v>
      </c>
      <c r="C103" s="16" t="n">
        <v>4428.49586794423</v>
      </c>
      <c r="D103" s="16" t="n">
        <v>11255.8648841189</v>
      </c>
      <c r="E103" s="16" t="n">
        <v>1938.43690264195</v>
      </c>
      <c r="F103" s="16" t="n">
        <v>-3838.14813736017</v>
      </c>
      <c r="G103" s="16" t="n">
        <v>5599.44520528435</v>
      </c>
      <c r="H103" s="16" t="n">
        <v>-33180.6515392292</v>
      </c>
      <c r="I103" s="17" t="n">
        <v>0.01</v>
      </c>
      <c r="J103" s="17" t="n">
        <v>0</v>
      </c>
      <c r="K103" s="16" t="s">
        <v>116</v>
      </c>
      <c r="L103" s="16" t="n">
        <v>1000</v>
      </c>
      <c r="M103" s="16" t="n">
        <v>23396.1024746089</v>
      </c>
      <c r="N103" s="16" t="n">
        <v>5499.01689316064</v>
      </c>
      <c r="O103" s="16" t="n">
        <v>1000</v>
      </c>
      <c r="P103" s="16" t="n">
        <v>747.002337313713</v>
      </c>
      <c r="Q103" s="16" t="n">
        <v>-6039.77029153247</v>
      </c>
      <c r="R103" s="16" t="n">
        <v>10749.8273603027</v>
      </c>
      <c r="S103" s="16" t="n">
        <v>27569.2143376824</v>
      </c>
      <c r="T103" s="16" t="n">
        <v>-1436.17830391911</v>
      </c>
      <c r="U103" s="16" t="n">
        <v>-32905.497949918</v>
      </c>
      <c r="V103" s="16" t="n">
        <v>0.750319556751226</v>
      </c>
      <c r="W103" s="16" t="n">
        <v>17431.5659991921</v>
      </c>
      <c r="X103" s="16" t="n">
        <v>14136.3723813877</v>
      </c>
      <c r="Y103" s="16" t="n">
        <v>0</v>
      </c>
      <c r="Z103" s="16" t="n">
        <v>0</v>
      </c>
      <c r="AA103" s="16" t="n">
        <v>22.27279275</v>
      </c>
      <c r="AB103" s="16" t="n">
        <v>20.07279275</v>
      </c>
      <c r="AC103" s="16" t="n">
        <v>21.52279275</v>
      </c>
      <c r="AD103" s="16" t="n">
        <v>21.8718824805</v>
      </c>
      <c r="AE103" s="16" t="n">
        <v>594.149368983825</v>
      </c>
      <c r="AF103" s="16" t="n">
        <v>0.02</v>
      </c>
      <c r="AG103" s="16" t="n">
        <v>0.576921715575936</v>
      </c>
      <c r="AH103" s="16" t="n">
        <v>15317.8810251285</v>
      </c>
      <c r="AI103" s="16" t="n">
        <v>11255.8648841189</v>
      </c>
      <c r="AJ103" s="16" t="n">
        <v>17.4558999751261</v>
      </c>
      <c r="AK103" s="16" t="n">
        <v>0</v>
      </c>
      <c r="AL103" s="16" t="n">
        <v>1000</v>
      </c>
      <c r="AM103" s="16" t="n">
        <v>470.44678</v>
      </c>
      <c r="AN103" s="16" t="n">
        <v>12000</v>
      </c>
      <c r="AO103" s="16" t="n">
        <v>-2079.00657489433</v>
      </c>
      <c r="AP103" s="16" t="n">
        <v>1</v>
      </c>
      <c r="AQ103" s="16" t="n">
        <v>30.1813034788825</v>
      </c>
      <c r="AR103" s="16" t="n">
        <v>697.250851549545</v>
      </c>
      <c r="AS103" s="16" t="n">
        <v>314.925245</v>
      </c>
      <c r="AT103" s="16" t="n">
        <v>1000</v>
      </c>
      <c r="AU103" s="16" t="n">
        <v>12.270507</v>
      </c>
      <c r="AV103" s="16" t="n">
        <v>0</v>
      </c>
      <c r="AW103" s="16" t="n">
        <v>998.76</v>
      </c>
      <c r="AX103" s="16" t="n">
        <v>314.925245</v>
      </c>
      <c r="AY103" s="16" t="n">
        <v>314.925245</v>
      </c>
      <c r="AZ103" s="16" t="n">
        <v>1818.52580485619</v>
      </c>
      <c r="BA103" s="16" t="n">
        <v>1732.5375</v>
      </c>
      <c r="BB103" s="16" t="n">
        <v>155.768446666667</v>
      </c>
      <c r="BC103" s="16" t="n">
        <v>88746.7012486228</v>
      </c>
      <c r="BD103" s="16" t="n">
        <v>8.62242528117229</v>
      </c>
      <c r="BE103" s="16" t="n">
        <v>17.2797179031087</v>
      </c>
      <c r="BF103" s="16" t="n">
        <v>30.1544349503446</v>
      </c>
      <c r="BG103" s="16" t="n">
        <v>-13.6535979204585</v>
      </c>
      <c r="BH103" s="16" t="n">
        <v>-20.0976093877166</v>
      </c>
      <c r="BI103" s="16" t="n">
        <v>-3.59741167595651</v>
      </c>
      <c r="BJ103" s="16" t="n">
        <v>-9.93933550584831</v>
      </c>
      <c r="BK103" s="16" t="n">
        <v>-0.548394239950376</v>
      </c>
      <c r="BL103" s="16" t="n">
        <v>-6.73470781259538</v>
      </c>
      <c r="BM103" s="16" t="n">
        <v>3.37118358768332</v>
      </c>
      <c r="BN103" s="16" t="n">
        <v>4.04706880575186</v>
      </c>
      <c r="BO103" s="16" t="n">
        <v>5.1726598173516</v>
      </c>
      <c r="BP103" s="16" t="n">
        <v>5354.49215439957</v>
      </c>
      <c r="BQ103" s="16" t="n">
        <v>4398.89586794423</v>
      </c>
      <c r="BR103" s="16" t="n">
        <v>4398.89586794423</v>
      </c>
      <c r="BS103" s="16" t="n">
        <v>697.250851549545</v>
      </c>
      <c r="BT103" s="16" t="n">
        <v>189.4897</v>
      </c>
      <c r="BU103" s="16" t="n">
        <v>794.6073</v>
      </c>
      <c r="BV103" s="16" t="s">
        <v>3237</v>
      </c>
      <c r="BW103" s="16" t="n">
        <v>42.7692307692308</v>
      </c>
      <c r="BX103" s="16" t="n">
        <v>0.124596585374074</v>
      </c>
      <c r="BY103" s="16" t="n">
        <v>0.0866148510447071</v>
      </c>
      <c r="BZ103" s="16" t="n">
        <v>13510.8578038903</v>
      </c>
      <c r="CA103" s="16" t="n">
        <v>9557.85015295579</v>
      </c>
      <c r="CB103" s="16" t="n">
        <v>544.846344736034</v>
      </c>
      <c r="CC103" s="16" t="n">
        <v>1732.5375</v>
      </c>
      <c r="CD103" s="16" t="n">
        <v>1028.66496</v>
      </c>
      <c r="CE103" s="16" t="n">
        <v>12000</v>
      </c>
      <c r="CF103" s="16" t="n">
        <v>24.1241642280882</v>
      </c>
      <c r="CG103" s="16" t="n">
        <v>27.7427888623015</v>
      </c>
      <c r="CH103" s="16" t="n">
        <v>1983.66628420139</v>
      </c>
      <c r="CI103" s="16" t="n">
        <v>-14.9451536418179</v>
      </c>
      <c r="CJ103" s="16" t="n">
        <v>-5.32272994264565</v>
      </c>
      <c r="CK103" s="16" t="n">
        <v>52003.7887677076</v>
      </c>
      <c r="CL103" s="16" t="n">
        <v>356.958038299545</v>
      </c>
      <c r="CM103" s="16" t="n">
        <v>382.325606549545</v>
      </c>
      <c r="CN103" s="16" t="n">
        <v>1000</v>
      </c>
      <c r="CO103" s="16" t="n">
        <v>1.534375</v>
      </c>
      <c r="CP103" s="16" t="n">
        <v>1.31022765885151</v>
      </c>
      <c r="CQ103" s="16" t="n">
        <v>0</v>
      </c>
      <c r="CR103" s="16" t="n">
        <v>34.7084990007148</v>
      </c>
      <c r="CS103" s="16" t="n">
        <v>0</v>
      </c>
      <c r="CT103" s="16" t="n">
        <v>0</v>
      </c>
      <c r="CU103" s="16" t="n">
        <v>0.0115</v>
      </c>
      <c r="CV103" s="16" t="n">
        <v>4844580.85656605</v>
      </c>
      <c r="CW103" s="16" t="n">
        <v>0</v>
      </c>
      <c r="CX103" s="16" t="n">
        <v>4844580.85656605</v>
      </c>
      <c r="CY103" s="16" t="n">
        <v>4844580.85656605</v>
      </c>
      <c r="CZ103" s="16" t="n">
        <v>6210449.64253289</v>
      </c>
      <c r="DA103" s="16" t="n">
        <v>24.1241642280882</v>
      </c>
      <c r="DB103" s="16" t="n">
        <v>13826.8591381895</v>
      </c>
      <c r="DC103" s="16" t="n">
        <v>10259.5294805366</v>
      </c>
      <c r="DD103" s="16" t="n">
        <v>12008.3333333333</v>
      </c>
      <c r="DE103" s="16" t="n">
        <v>1921.25</v>
      </c>
      <c r="DF103" s="16" t="n">
        <v>4844895.78181105</v>
      </c>
      <c r="DG103" s="16" t="n">
        <v>382.325606549545</v>
      </c>
      <c r="DH103" s="16" t="n">
        <v>0</v>
      </c>
      <c r="DI103" s="16" t="n">
        <v>0.0115</v>
      </c>
    </row>
    <row r="104" customFormat="false" ht="15" hidden="false" customHeight="false" outlineLevel="0" collapsed="false">
      <c r="A104" s="0" t="s">
        <v>3322</v>
      </c>
      <c r="B104" s="16" t="n">
        <v>2465.07954157611</v>
      </c>
      <c r="C104" s="16" t="n">
        <v>8209.24039226006</v>
      </c>
      <c r="D104" s="16" t="n">
        <v>19716.7966317894</v>
      </c>
      <c r="E104" s="16" t="n">
        <v>4213.14398474076</v>
      </c>
      <c r="F104" s="16" t="n">
        <v>-1135.49021845689</v>
      </c>
      <c r="G104" s="16" t="n">
        <v>5020.26458750724</v>
      </c>
      <c r="H104" s="16" t="n">
        <v>-3573.52525201886</v>
      </c>
      <c r="I104" s="17" t="n">
        <v>0.01</v>
      </c>
      <c r="J104" s="17" t="n">
        <v>0</v>
      </c>
      <c r="K104" s="16" t="s">
        <v>116</v>
      </c>
      <c r="L104" s="16" t="n">
        <v>1000</v>
      </c>
      <c r="M104" s="16" t="n">
        <v>33779.4469253452</v>
      </c>
      <c r="N104" s="16" t="n">
        <v>11402.7039831813</v>
      </c>
      <c r="O104" s="16" t="n">
        <v>1000</v>
      </c>
      <c r="P104" s="16" t="n">
        <v>951.290832135856</v>
      </c>
      <c r="Q104" s="16" t="n">
        <v>-267.565775756198</v>
      </c>
      <c r="R104" s="16" t="n">
        <v>17617.7170533315</v>
      </c>
      <c r="S104" s="16" t="n">
        <v>26949.0428826358</v>
      </c>
      <c r="T104" s="16" t="n">
        <v>-955.692204749296</v>
      </c>
      <c r="U104" s="16" t="n">
        <v>-3295.80745627731</v>
      </c>
      <c r="V104" s="16" t="n">
        <v>0.750319556751226</v>
      </c>
      <c r="W104" s="16" t="n">
        <v>44282.5406235607</v>
      </c>
      <c r="X104" s="16" t="n">
        <v>22149.4762774452</v>
      </c>
      <c r="Y104" s="16" t="n">
        <v>0</v>
      </c>
      <c r="Z104" s="16" t="n">
        <v>0</v>
      </c>
      <c r="AA104" s="16" t="n">
        <v>27.424347870838</v>
      </c>
      <c r="AB104" s="16" t="n">
        <v>25.224347870838</v>
      </c>
      <c r="AC104" s="16" t="n">
        <v>26.674347870838</v>
      </c>
      <c r="AD104" s="16" t="n">
        <v>27.2673434792775</v>
      </c>
      <c r="AE104" s="16" t="n">
        <v>674.686407680941</v>
      </c>
      <c r="AF104" s="16" t="n">
        <v>0.03</v>
      </c>
      <c r="AG104" s="16" t="n">
        <v>0.62</v>
      </c>
      <c r="AH104" s="16" t="n">
        <v>9819.91719809611</v>
      </c>
      <c r="AI104" s="16" t="n">
        <v>19716.7966317894</v>
      </c>
      <c r="AJ104" s="16" t="n">
        <v>16.69175</v>
      </c>
      <c r="AK104" s="16" t="n">
        <v>0</v>
      </c>
      <c r="AL104" s="16" t="n">
        <v>1000</v>
      </c>
      <c r="AM104" s="16" t="n">
        <v>812.6073</v>
      </c>
      <c r="AN104" s="16" t="n">
        <v>20079.98904</v>
      </c>
      <c r="AO104" s="16" t="n">
        <v>-5508.72242389994</v>
      </c>
      <c r="AP104" s="16" t="n">
        <v>0.414483496940676</v>
      </c>
      <c r="AQ104" s="16" t="n">
        <v>73.4613607958651</v>
      </c>
      <c r="AR104" s="16" t="n">
        <v>506.777992156323</v>
      </c>
      <c r="AS104" s="16" t="n">
        <v>314.925245</v>
      </c>
      <c r="AT104" s="16" t="n">
        <v>1000</v>
      </c>
      <c r="AU104" s="16" t="n">
        <v>12.270507</v>
      </c>
      <c r="AV104" s="16" t="n">
        <v>0</v>
      </c>
      <c r="AW104" s="16" t="n">
        <v>2254.3125</v>
      </c>
      <c r="AX104" s="16" t="n">
        <v>314.925245</v>
      </c>
      <c r="AY104" s="16" t="n">
        <v>314.925245</v>
      </c>
      <c r="AZ104" s="16" t="n">
        <v>5331.95402182621</v>
      </c>
      <c r="BA104" s="16" t="n">
        <v>0</v>
      </c>
      <c r="BB104" s="16" t="n">
        <v>417.928966666667</v>
      </c>
      <c r="BC104" s="16" t="n">
        <v>111441.907179589</v>
      </c>
      <c r="BD104" s="16" t="n">
        <v>15.8001284322816</v>
      </c>
      <c r="BE104" s="16" t="n">
        <v>24.457421054218</v>
      </c>
      <c r="BF104" s="16" t="n">
        <v>38.6852762630204</v>
      </c>
      <c r="BG104" s="16" t="n">
        <v>-8.27711430924607</v>
      </c>
      <c r="BH104" s="16" t="n">
        <v>-7.28866183200638</v>
      </c>
      <c r="BI104" s="16" t="n">
        <v>1.09242813813745</v>
      </c>
      <c r="BJ104" s="16" t="n">
        <v>2.04083187529388</v>
      </c>
      <c r="BK104" s="16" t="n">
        <v>5.25403316350504</v>
      </c>
      <c r="BL104" s="16" t="n">
        <v>7.88491984612206</v>
      </c>
      <c r="BM104" s="16" t="n">
        <v>3.71992671744367</v>
      </c>
      <c r="BN104" s="16" t="n">
        <v>4.46573109600205</v>
      </c>
      <c r="BO104" s="16" t="n">
        <v>5.7791095890411</v>
      </c>
      <c r="BP104" s="16" t="n">
        <v>8712.70308277889</v>
      </c>
      <c r="BQ104" s="16" t="n">
        <v>8176.87365522983</v>
      </c>
      <c r="BR104" s="16" t="n">
        <v>8176.87365522983</v>
      </c>
      <c r="BS104" s="16" t="n">
        <v>506.777992156323</v>
      </c>
      <c r="BT104" s="16" t="n">
        <v>301.7195</v>
      </c>
      <c r="BU104" s="16" t="n">
        <v>1081.9108</v>
      </c>
      <c r="BV104" s="16" t="s">
        <v>3237</v>
      </c>
      <c r="BW104" s="16" t="n">
        <v>42.7692307692308</v>
      </c>
      <c r="BX104" s="16" t="n">
        <v>0.155994305554286</v>
      </c>
      <c r="BY104" s="16" t="n">
        <v>0.161741466184191</v>
      </c>
      <c r="BZ104" s="16" t="n">
        <v>13510.8578038903</v>
      </c>
      <c r="CA104" s="16" t="n">
        <v>19402.010477409</v>
      </c>
      <c r="CB104" s="16" t="n">
        <v>278.95822713577</v>
      </c>
      <c r="CC104" s="16" t="n">
        <v>0</v>
      </c>
      <c r="CD104" s="16" t="n">
        <v>950.69728</v>
      </c>
      <c r="CE104" s="16" t="n">
        <v>12000</v>
      </c>
      <c r="CF104" s="16" t="n">
        <v>23.3246711077073</v>
      </c>
      <c r="CG104" s="16" t="n">
        <v>26.3568783517093</v>
      </c>
      <c r="CH104" s="16" t="n">
        <v>2643.77364301215</v>
      </c>
      <c r="CI104" s="16" t="n">
        <v>-6.2083733271085</v>
      </c>
      <c r="CJ104" s="16" t="n">
        <v>3.00594144553374</v>
      </c>
      <c r="CK104" s="16" t="n">
        <v>38810.9853372823</v>
      </c>
      <c r="CL104" s="16" t="n">
        <v>164.784502656323</v>
      </c>
      <c r="CM104" s="16" t="n">
        <v>190.152070906323</v>
      </c>
      <c r="CN104" s="16" t="n">
        <v>1000</v>
      </c>
      <c r="CO104" s="16" t="n">
        <v>1.5535546875</v>
      </c>
      <c r="CP104" s="16" t="n">
        <v>1.09004417261298</v>
      </c>
      <c r="CQ104" s="16" t="n">
        <v>0</v>
      </c>
      <c r="CR104" s="16" t="n">
        <v>83.0113376993275</v>
      </c>
      <c r="CS104" s="16" t="n">
        <v>22.9880573671836</v>
      </c>
      <c r="CT104" s="16" t="n">
        <v>0</v>
      </c>
      <c r="CU104" s="16" t="n">
        <v>0.0113</v>
      </c>
      <c r="CV104" s="16" t="n">
        <v>3868286.47273914</v>
      </c>
      <c r="CW104" s="16" t="n">
        <v>797942.368891408</v>
      </c>
      <c r="CX104" s="16" t="n">
        <v>4666228.84163055</v>
      </c>
      <c r="CY104" s="16" t="n">
        <v>3868286.47273914</v>
      </c>
      <c r="CZ104" s="16" t="n">
        <v>1509.88714626967</v>
      </c>
      <c r="DA104" s="16" t="n">
        <v>23.3246711077073</v>
      </c>
      <c r="DB104" s="16" t="n">
        <v>16476.2873551595</v>
      </c>
      <c r="DC104" s="16" t="n">
        <v>12225.4052175284</v>
      </c>
      <c r="DD104" s="16" t="n">
        <v>11144.3333333333</v>
      </c>
      <c r="DE104" s="16" t="n">
        <v>1921.25</v>
      </c>
      <c r="DF104" s="16" t="n">
        <v>3868601.39798414</v>
      </c>
      <c r="DG104" s="16" t="n">
        <v>190.152070906323</v>
      </c>
      <c r="DH104" s="16" t="n">
        <v>0</v>
      </c>
      <c r="DI104" s="16" t="n">
        <v>22.9882620892509</v>
      </c>
    </row>
    <row r="105" customFormat="false" ht="15" hidden="false" customHeight="false" outlineLevel="0" collapsed="false">
      <c r="A105" s="0" t="s">
        <v>3323</v>
      </c>
      <c r="B105" s="16" t="n">
        <v>2465.07954157611</v>
      </c>
      <c r="C105" s="16" t="n">
        <v>8209.24039226006</v>
      </c>
      <c r="D105" s="16" t="n">
        <v>19716.7966317894</v>
      </c>
      <c r="E105" s="16" t="n">
        <v>4213.14398474076</v>
      </c>
      <c r="F105" s="16" t="n">
        <v>-1135.49021845689</v>
      </c>
      <c r="G105" s="16" t="n">
        <v>5020.26458750724</v>
      </c>
      <c r="H105" s="16" t="n">
        <v>-2095.57815444409</v>
      </c>
      <c r="I105" s="17" t="n">
        <v>0.01</v>
      </c>
      <c r="J105" s="17" t="n">
        <v>0</v>
      </c>
      <c r="K105" s="16" t="s">
        <v>116</v>
      </c>
      <c r="L105" s="16" t="n">
        <v>1000</v>
      </c>
      <c r="M105" s="16" t="n">
        <v>33779.4469253452</v>
      </c>
      <c r="N105" s="16" t="n">
        <v>11402.7039831813</v>
      </c>
      <c r="O105" s="16" t="n">
        <v>1000</v>
      </c>
      <c r="P105" s="16" t="n">
        <v>951.290832135856</v>
      </c>
      <c r="Q105" s="16" t="n">
        <v>-267.565775756198</v>
      </c>
      <c r="R105" s="16" t="n">
        <v>17617.7170533315</v>
      </c>
      <c r="S105" s="16" t="n">
        <v>26949.0428826358</v>
      </c>
      <c r="T105" s="16" t="n">
        <v>-955.692204749296</v>
      </c>
      <c r="U105" s="16" t="n">
        <v>-1817.86035870254</v>
      </c>
      <c r="V105" s="16" t="n">
        <v>0.750319556751226</v>
      </c>
      <c r="W105" s="16" t="n">
        <v>44969.4505731786</v>
      </c>
      <c r="X105" s="16" t="n">
        <v>21504.3459004323</v>
      </c>
      <c r="Y105" s="16" t="n">
        <v>0</v>
      </c>
      <c r="Z105" s="16" t="n">
        <v>0</v>
      </c>
      <c r="AA105" s="16" t="n">
        <v>27.424347870838</v>
      </c>
      <c r="AB105" s="16" t="n">
        <v>25.224347870838</v>
      </c>
      <c r="AC105" s="16" t="n">
        <v>26.674347870838</v>
      </c>
      <c r="AD105" s="16" t="n">
        <v>27.2673434792775</v>
      </c>
      <c r="AE105" s="16" t="n">
        <v>674.686407680941</v>
      </c>
      <c r="AF105" s="16" t="n">
        <v>0</v>
      </c>
      <c r="AG105" s="16" t="n">
        <v>0.654405917289144</v>
      </c>
      <c r="AH105" s="16" t="n">
        <v>9819.91719809611</v>
      </c>
      <c r="AI105" s="16" t="n">
        <v>19716.7966317894</v>
      </c>
      <c r="AJ105" s="16" t="n">
        <v>16.69175</v>
      </c>
      <c r="AK105" s="16" t="n">
        <v>0</v>
      </c>
      <c r="AL105" s="16" t="n">
        <v>1000</v>
      </c>
      <c r="AM105" s="16" t="n">
        <v>812.6073</v>
      </c>
      <c r="AN105" s="16" t="n">
        <v>20079.98904</v>
      </c>
      <c r="AO105" s="16" t="n">
        <v>-5508.72242389994</v>
      </c>
      <c r="AP105" s="16" t="n">
        <v>0.414483496940676</v>
      </c>
      <c r="AQ105" s="16" t="n">
        <v>76.2824982999678</v>
      </c>
      <c r="AR105" s="16" t="n">
        <v>506.474954430797</v>
      </c>
      <c r="AS105" s="16" t="n">
        <v>314.925245</v>
      </c>
      <c r="AT105" s="16" t="n">
        <v>1000</v>
      </c>
      <c r="AU105" s="16" t="n">
        <v>12.270507</v>
      </c>
      <c r="AV105" s="16" t="n">
        <v>0</v>
      </c>
      <c r="AW105" s="16" t="n">
        <v>2254.3125</v>
      </c>
      <c r="AX105" s="16" t="n">
        <v>314.925245</v>
      </c>
      <c r="AY105" s="16" t="n">
        <v>314.925245</v>
      </c>
      <c r="AZ105" s="16" t="n">
        <v>5631.62619515181</v>
      </c>
      <c r="BA105" s="16" t="n">
        <v>0</v>
      </c>
      <c r="BB105" s="16" t="n">
        <v>417.928966666667</v>
      </c>
      <c r="BC105" s="16" t="n">
        <v>111441.907179589</v>
      </c>
      <c r="BD105" s="16" t="n">
        <v>16.751694488301</v>
      </c>
      <c r="BE105" s="16" t="n">
        <v>25.4089871102374</v>
      </c>
      <c r="BF105" s="16" t="n">
        <v>38.4913917123734</v>
      </c>
      <c r="BG105" s="16" t="n">
        <v>-8.27711430924607</v>
      </c>
      <c r="BH105" s="16" t="n">
        <v>-7.28866183200638</v>
      </c>
      <c r="BI105" s="16" t="n">
        <v>1.09242813813745</v>
      </c>
      <c r="BJ105" s="16" t="n">
        <v>2.04083187529388</v>
      </c>
      <c r="BK105" s="16" t="n">
        <v>5.25403316350504</v>
      </c>
      <c r="BL105" s="16" t="n">
        <v>7.88491984612206</v>
      </c>
      <c r="BM105" s="16" t="n">
        <v>3.71992671744367</v>
      </c>
      <c r="BN105" s="16" t="n">
        <v>4.46573109600205</v>
      </c>
      <c r="BO105" s="16" t="n">
        <v>5.7791095890411</v>
      </c>
      <c r="BP105" s="16" t="n">
        <v>8712.70308277889</v>
      </c>
      <c r="BQ105" s="16" t="n">
        <v>8176.87365522983</v>
      </c>
      <c r="BR105" s="16" t="n">
        <v>8176.87365522983</v>
      </c>
      <c r="BS105" s="16" t="n">
        <v>506.474954430797</v>
      </c>
      <c r="BT105" s="16" t="n">
        <v>301.7195</v>
      </c>
      <c r="BU105" s="16" t="n">
        <v>1081.9108</v>
      </c>
      <c r="BV105" s="16" t="s">
        <v>3237</v>
      </c>
      <c r="BW105" s="16" t="n">
        <v>42.7692307692308</v>
      </c>
      <c r="BX105" s="16" t="n">
        <v>0.155994305554286</v>
      </c>
      <c r="BY105" s="16" t="n">
        <v>0.161741466184191</v>
      </c>
      <c r="BZ105" s="16" t="n">
        <v>13510.8578038903</v>
      </c>
      <c r="CA105" s="16" t="n">
        <v>19402.010477409</v>
      </c>
      <c r="CB105" s="16" t="n">
        <v>278.503097417438</v>
      </c>
      <c r="CC105" s="16" t="n">
        <v>0</v>
      </c>
      <c r="CD105" s="16" t="n">
        <v>950.69728</v>
      </c>
      <c r="CE105" s="16" t="n">
        <v>12000</v>
      </c>
      <c r="CF105" s="16" t="n">
        <v>24.2501640779233</v>
      </c>
      <c r="CG105" s="16" t="n">
        <v>27.4026854080534</v>
      </c>
      <c r="CH105" s="16" t="n">
        <v>2643.77364301215</v>
      </c>
      <c r="CI105" s="16" t="n">
        <v>-6.2083733271085</v>
      </c>
      <c r="CJ105" s="16" t="n">
        <v>3.00594144553374</v>
      </c>
      <c r="CK105" s="16" t="n">
        <v>38739.6121648513</v>
      </c>
      <c r="CL105" s="16" t="n">
        <v>164.481464930797</v>
      </c>
      <c r="CM105" s="16" t="n">
        <v>189.849033180797</v>
      </c>
      <c r="CN105" s="16" t="n">
        <v>1000</v>
      </c>
      <c r="CO105" s="16" t="n">
        <v>1.5535546875</v>
      </c>
      <c r="CP105" s="16" t="n">
        <v>1.09004417261298</v>
      </c>
      <c r="CQ105" s="16" t="n">
        <v>0</v>
      </c>
      <c r="CR105" s="16" t="n">
        <v>86.1992230789636</v>
      </c>
      <c r="CS105" s="16" t="n">
        <v>26.9711869103462</v>
      </c>
      <c r="CT105" s="16" t="n">
        <v>0</v>
      </c>
      <c r="CU105" s="16" t="n">
        <v>0.0113</v>
      </c>
      <c r="CV105" s="16" t="n">
        <v>3861970.2627895</v>
      </c>
      <c r="CW105" s="16" t="n">
        <v>797942.368891408</v>
      </c>
      <c r="CX105" s="16" t="n">
        <v>4659912.63168091</v>
      </c>
      <c r="CY105" s="16" t="n">
        <v>3861970.2627895</v>
      </c>
      <c r="CZ105" s="16" t="n">
        <v>1299.3277952904</v>
      </c>
      <c r="DA105" s="16" t="n">
        <v>24.2501640779233</v>
      </c>
      <c r="DB105" s="16" t="n">
        <v>16775.9595284851</v>
      </c>
      <c r="DC105" s="16" t="n">
        <v>12447.761970136</v>
      </c>
      <c r="DD105" s="16" t="n">
        <v>11144.3333333333</v>
      </c>
      <c r="DE105" s="16" t="n">
        <v>1921.25</v>
      </c>
      <c r="DF105" s="16" t="n">
        <v>3862285.1880345</v>
      </c>
      <c r="DG105" s="16" t="n">
        <v>189.849033180797</v>
      </c>
      <c r="DH105" s="16" t="n">
        <v>0</v>
      </c>
      <c r="DI105" s="16" t="n">
        <v>26.9712550042508</v>
      </c>
    </row>
    <row r="106" customFormat="false" ht="15" hidden="false" customHeight="false" outlineLevel="0" collapsed="false">
      <c r="A106" s="0" t="s">
        <v>3324</v>
      </c>
      <c r="B106" s="16" t="n">
        <v>2459.56905536219</v>
      </c>
      <c r="C106" s="16" t="n">
        <v>8214.63260946484</v>
      </c>
      <c r="D106" s="16" t="n">
        <v>19744.881330562</v>
      </c>
      <c r="E106" s="16" t="n">
        <v>4192.85202924904</v>
      </c>
      <c r="F106" s="16" t="n">
        <v>-1209.02520562501</v>
      </c>
      <c r="G106" s="16" t="n">
        <v>5073.29193049545</v>
      </c>
      <c r="H106" s="16" t="n">
        <v>-792.163093546497</v>
      </c>
      <c r="I106" s="17" t="n">
        <v>0.01</v>
      </c>
      <c r="J106" s="17" t="n">
        <v>3.50024794506077</v>
      </c>
      <c r="K106" s="16" t="s">
        <v>116</v>
      </c>
      <c r="L106" s="16" t="n">
        <v>1000</v>
      </c>
      <c r="M106" s="16" t="n">
        <v>33779.5547696893</v>
      </c>
      <c r="N106" s="16" t="n">
        <v>11401.8245849614</v>
      </c>
      <c r="O106" s="16" t="n">
        <v>1000</v>
      </c>
      <c r="P106" s="16" t="n">
        <v>936.11756162734</v>
      </c>
      <c r="Q106" s="16" t="n">
        <v>-322.641436606748</v>
      </c>
      <c r="R106" s="16" t="n">
        <v>17882.8102306725</v>
      </c>
      <c r="S106" s="16" t="n">
        <v>26949.6045766112</v>
      </c>
      <c r="T106" s="16" t="n">
        <v>-970.642944413692</v>
      </c>
      <c r="U106" s="16" t="n">
        <v>-786.699323270797</v>
      </c>
      <c r="V106" s="16" t="n">
        <v>0.680687121553251</v>
      </c>
      <c r="W106" s="16" t="n">
        <v>46249.9357775176</v>
      </c>
      <c r="X106" s="16" t="n">
        <v>22204.65427737</v>
      </c>
      <c r="Y106" s="16" t="n">
        <v>3.29275628643547</v>
      </c>
      <c r="Z106" s="16" t="n">
        <v>4.46946660104809</v>
      </c>
      <c r="AA106" s="16" t="n">
        <v>24.8792667666866</v>
      </c>
      <c r="AB106" s="16" t="n">
        <v>22.6792667666866</v>
      </c>
      <c r="AC106" s="16" t="n">
        <v>24.1292667666866</v>
      </c>
      <c r="AD106" s="16" t="n">
        <v>24.7368329644473</v>
      </c>
      <c r="AE106" s="16" t="n">
        <v>672.575012117954</v>
      </c>
      <c r="AF106" s="16" t="n">
        <v>0.03</v>
      </c>
      <c r="AG106" s="16" t="n">
        <v>0.654195777417956</v>
      </c>
      <c r="AH106" s="16" t="n">
        <v>9537.26852752383</v>
      </c>
      <c r="AI106" s="16" t="n">
        <v>19744.881330562</v>
      </c>
      <c r="AJ106" s="16" t="n">
        <v>16.69175</v>
      </c>
      <c r="AK106" s="16" t="n">
        <v>0</v>
      </c>
      <c r="AL106" s="16" t="n">
        <v>1000</v>
      </c>
      <c r="AM106" s="16" t="n">
        <v>820.1176</v>
      </c>
      <c r="AN106" s="16" t="n">
        <v>20079.98904</v>
      </c>
      <c r="AO106" s="16" t="n">
        <v>-5508.72242389994</v>
      </c>
      <c r="AP106" s="16" t="n">
        <v>0.419382783813976</v>
      </c>
      <c r="AQ106" s="16" t="n">
        <v>78.7133113452782</v>
      </c>
      <c r="AR106" s="16" t="n">
        <v>507.750267514395</v>
      </c>
      <c r="AS106" s="16" t="n">
        <v>314.925245</v>
      </c>
      <c r="AT106" s="16" t="n">
        <v>1000</v>
      </c>
      <c r="AU106" s="16" t="n">
        <v>12.270507</v>
      </c>
      <c r="AV106" s="16" t="n">
        <v>0</v>
      </c>
      <c r="AW106" s="16" t="n">
        <v>2254.3125</v>
      </c>
      <c r="AX106" s="16" t="n">
        <v>314.925245</v>
      </c>
      <c r="AY106" s="16" t="n">
        <v>314.925245</v>
      </c>
      <c r="AZ106" s="16" t="n">
        <v>5571.75231768504</v>
      </c>
      <c r="BA106" s="16" t="n">
        <v>0</v>
      </c>
      <c r="BB106" s="16" t="n">
        <v>425.439266666667</v>
      </c>
      <c r="BC106" s="16" t="n">
        <v>111710.137232381</v>
      </c>
      <c r="BD106" s="16" t="n">
        <v>15.6970699124509</v>
      </c>
      <c r="BE106" s="16" t="n">
        <v>24.3543625343873</v>
      </c>
      <c r="BF106" s="16" t="n">
        <v>38.5822177431897</v>
      </c>
      <c r="BG106" s="16" t="n">
        <v>-8.27711430924607</v>
      </c>
      <c r="BH106" s="16" t="n">
        <v>-7.28866183200638</v>
      </c>
      <c r="BI106" s="16" t="n">
        <v>1.09242813813745</v>
      </c>
      <c r="BJ106" s="16" t="n">
        <v>2.04083187529388</v>
      </c>
      <c r="BK106" s="16" t="n">
        <v>5.25403316350504</v>
      </c>
      <c r="BL106" s="16" t="n">
        <v>7.88491984612206</v>
      </c>
      <c r="BM106" s="16" t="n">
        <v>3.71992671744367</v>
      </c>
      <c r="BN106" s="16" t="n">
        <v>4.46573109600205</v>
      </c>
      <c r="BO106" s="16" t="n">
        <v>5.7791095890411</v>
      </c>
      <c r="BP106" s="16" t="n">
        <v>8712.70308277889</v>
      </c>
      <c r="BQ106" s="16" t="n">
        <v>8182.26587243461</v>
      </c>
      <c r="BR106" s="16" t="n">
        <v>8182.26587243461</v>
      </c>
      <c r="BS106" s="16" t="n">
        <v>507.750267514395</v>
      </c>
      <c r="BT106" s="16" t="n">
        <v>301.7195</v>
      </c>
      <c r="BU106" s="16" t="n">
        <v>1081.9108</v>
      </c>
      <c r="BV106" s="16" t="s">
        <v>3237</v>
      </c>
      <c r="BW106" s="16" t="n">
        <v>42.7692307692308</v>
      </c>
      <c r="BX106" s="16" t="n">
        <v>0.155994305554286</v>
      </c>
      <c r="BY106" s="16" t="n">
        <v>0.161741466184191</v>
      </c>
      <c r="BZ106" s="16" t="n">
        <v>13510.8578038903</v>
      </c>
      <c r="CA106" s="16" t="n">
        <v>19402.010477409</v>
      </c>
      <c r="CB106" s="16" t="n">
        <v>280.46366223824</v>
      </c>
      <c r="CC106" s="16" t="n">
        <v>0</v>
      </c>
      <c r="CD106" s="16" t="n">
        <v>950.69728</v>
      </c>
      <c r="CE106" s="16" t="n">
        <v>12000</v>
      </c>
      <c r="CF106" s="16" t="n">
        <v>23.305266261001</v>
      </c>
      <c r="CG106" s="16" t="n">
        <v>26.3349508749311</v>
      </c>
      <c r="CH106" s="16" t="n">
        <v>2643.77364301215</v>
      </c>
      <c r="CI106" s="16" t="n">
        <v>-6.2083733271085</v>
      </c>
      <c r="CJ106" s="16" t="n">
        <v>3.00594144553374</v>
      </c>
      <c r="CK106" s="16" t="n">
        <v>39039.981171585</v>
      </c>
      <c r="CL106" s="16" t="n">
        <v>165.756778014395</v>
      </c>
      <c r="CM106" s="16" t="n">
        <v>191.124346264395</v>
      </c>
      <c r="CN106" s="16" t="n">
        <v>1000</v>
      </c>
      <c r="CO106" s="16" t="n">
        <v>1.5535546875</v>
      </c>
      <c r="CP106" s="16" t="n">
        <v>1.09004417261298</v>
      </c>
      <c r="CQ106" s="16" t="n">
        <v>3.50024794506077</v>
      </c>
      <c r="CR106" s="16" t="n">
        <v>88.9460418201643</v>
      </c>
      <c r="CS106" s="16" t="n">
        <v>30.4790578145612</v>
      </c>
      <c r="CT106" s="16" t="n">
        <v>3.09756455315112</v>
      </c>
      <c r="CU106" s="16" t="n">
        <v>3.50024794506077</v>
      </c>
      <c r="CV106" s="16" t="n">
        <v>12553.5772510802</v>
      </c>
      <c r="CW106" s="16" t="n">
        <v>2576.03144405714</v>
      </c>
      <c r="CX106" s="16" t="n">
        <v>15129.6086951373</v>
      </c>
      <c r="CY106" s="16" t="n">
        <v>12553.5772510802</v>
      </c>
      <c r="CZ106" s="16" t="n">
        <v>1162.90749156166</v>
      </c>
      <c r="DA106" s="16" t="n">
        <v>23.305266261001</v>
      </c>
      <c r="DB106" s="16" t="n">
        <v>16716.0856510184</v>
      </c>
      <c r="DC106" s="16" t="n">
        <v>12403.3355530556</v>
      </c>
      <c r="DD106" s="16" t="n">
        <v>11144.3333333333</v>
      </c>
      <c r="DE106" s="16" t="n">
        <v>1921.25</v>
      </c>
      <c r="DF106" s="16" t="n">
        <v>12868.5024960802</v>
      </c>
      <c r="DG106" s="16" t="n">
        <v>191.124346264395</v>
      </c>
      <c r="DH106" s="16" t="n">
        <v>0</v>
      </c>
      <c r="DI106" s="16" t="n">
        <v>30.479083506003</v>
      </c>
    </row>
    <row r="107" customFormat="false" ht="15" hidden="false" customHeight="false" outlineLevel="0" collapsed="false">
      <c r="A107" s="0" t="s">
        <v>3325</v>
      </c>
      <c r="B107" s="16" t="n">
        <v>2411.48195157205</v>
      </c>
      <c r="C107" s="16" t="n">
        <v>8085.99363977953</v>
      </c>
      <c r="D107" s="16" t="n">
        <v>19609.8319645001</v>
      </c>
      <c r="E107" s="16" t="n">
        <v>4125.63879047958</v>
      </c>
      <c r="F107" s="16" t="n">
        <v>-1270.70208993138</v>
      </c>
      <c r="G107" s="16" t="n">
        <v>5072.90113481978</v>
      </c>
      <c r="H107" s="16" t="n">
        <v>-1142.03024417203</v>
      </c>
      <c r="I107" s="17" t="n">
        <v>0.01</v>
      </c>
      <c r="J107" s="17" t="n">
        <v>2.31860848690495</v>
      </c>
      <c r="K107" s="16" t="s">
        <v>116</v>
      </c>
      <c r="L107" s="16" t="n">
        <v>1000</v>
      </c>
      <c r="M107" s="16" t="n">
        <v>33776.9819902956</v>
      </c>
      <c r="N107" s="16" t="n">
        <v>11321.4108360414</v>
      </c>
      <c r="O107" s="16" t="n">
        <v>1000</v>
      </c>
      <c r="P107" s="16" t="n">
        <v>915.693844724144</v>
      </c>
      <c r="Q107" s="16" t="n">
        <v>-396.748565736246</v>
      </c>
      <c r="R107" s="16" t="n">
        <v>17881.8484885967</v>
      </c>
      <c r="S107" s="16" t="n">
        <v>26946.90358929</v>
      </c>
      <c r="T107" s="16" t="n">
        <v>-989.128569966617</v>
      </c>
      <c r="U107" s="16" t="n">
        <v>-1142.28226359985</v>
      </c>
      <c r="V107" s="16" t="n">
        <v>0.680687121553251</v>
      </c>
      <c r="W107" s="16" t="n">
        <v>46131.5423076731</v>
      </c>
      <c r="X107" s="16" t="n">
        <v>22202.3230032533</v>
      </c>
      <c r="Y107" s="16" t="n">
        <v>2.1811633892428</v>
      </c>
      <c r="Z107" s="16" t="n">
        <v>2.96063117692893</v>
      </c>
      <c r="AA107" s="16" t="n">
        <v>24.8792667666866</v>
      </c>
      <c r="AB107" s="16" t="n">
        <v>22.6792667666866</v>
      </c>
      <c r="AC107" s="16" t="n">
        <v>24.1292667666866</v>
      </c>
      <c r="AD107" s="16" t="n">
        <v>24.7368329644473</v>
      </c>
      <c r="AE107" s="16" t="n">
        <v>657.967813452274</v>
      </c>
      <c r="AF107" s="16" t="n">
        <v>0.03</v>
      </c>
      <c r="AG107" s="16" t="n">
        <v>0.654114943836207</v>
      </c>
      <c r="AH107" s="16" t="n">
        <v>9517.75653953653</v>
      </c>
      <c r="AI107" s="16" t="n">
        <v>19609.8319645001</v>
      </c>
      <c r="AJ107" s="16" t="n">
        <v>16.69175</v>
      </c>
      <c r="AK107" s="16" t="n">
        <v>0</v>
      </c>
      <c r="AL107" s="16" t="n">
        <v>1000</v>
      </c>
      <c r="AM107" s="16" t="n">
        <v>812.6073</v>
      </c>
      <c r="AN107" s="16" t="n">
        <v>20079.98904</v>
      </c>
      <c r="AO107" s="16" t="n">
        <v>-5508.72242389994</v>
      </c>
      <c r="AP107" s="16" t="n">
        <v>0.451524681894288</v>
      </c>
      <c r="AQ107" s="16" t="n">
        <v>78.3131438350027</v>
      </c>
      <c r="AR107" s="16" t="n">
        <v>508.719641613091</v>
      </c>
      <c r="AS107" s="16" t="n">
        <v>314.925245</v>
      </c>
      <c r="AT107" s="16" t="n">
        <v>1000</v>
      </c>
      <c r="AU107" s="16" t="n">
        <v>12.270507</v>
      </c>
      <c r="AV107" s="16" t="n">
        <v>0</v>
      </c>
      <c r="AW107" s="16" t="n">
        <v>2254.3125</v>
      </c>
      <c r="AX107" s="16" t="n">
        <v>314.925245</v>
      </c>
      <c r="AY107" s="16" t="n">
        <v>314.925245</v>
      </c>
      <c r="AZ107" s="16" t="n">
        <v>5562.71670651252</v>
      </c>
      <c r="BA107" s="16" t="n">
        <v>0</v>
      </c>
      <c r="BB107" s="16" t="n">
        <v>417.928966666667</v>
      </c>
      <c r="BC107" s="16" t="n">
        <v>111698.07637607</v>
      </c>
      <c r="BD107" s="16" t="n">
        <v>15.6502289522223</v>
      </c>
      <c r="BE107" s="16" t="n">
        <v>24.3075215741587</v>
      </c>
      <c r="BF107" s="16" t="n">
        <v>38.5353767829611</v>
      </c>
      <c r="BG107" s="16" t="n">
        <v>-8.27711430924607</v>
      </c>
      <c r="BH107" s="16" t="n">
        <v>-7.28866183200638</v>
      </c>
      <c r="BI107" s="16" t="n">
        <v>1.09242813813745</v>
      </c>
      <c r="BJ107" s="16" t="n">
        <v>2.04083187529388</v>
      </c>
      <c r="BK107" s="16" t="n">
        <v>5.25403316350504</v>
      </c>
      <c r="BL107" s="16" t="n">
        <v>7.88491984612206</v>
      </c>
      <c r="BM107" s="16" t="n">
        <v>3.71992671744367</v>
      </c>
      <c r="BN107" s="16" t="n">
        <v>4.46573109600205</v>
      </c>
      <c r="BO107" s="16" t="n">
        <v>5.7791095890411</v>
      </c>
      <c r="BP107" s="16" t="n">
        <v>8712.70308277889</v>
      </c>
      <c r="BQ107" s="16" t="n">
        <v>8053.6269027493</v>
      </c>
      <c r="BR107" s="16" t="n">
        <v>8053.6269027493</v>
      </c>
      <c r="BS107" s="16" t="n">
        <v>508.719641613091</v>
      </c>
      <c r="BT107" s="16" t="n">
        <v>301.7195</v>
      </c>
      <c r="BU107" s="16" t="n">
        <v>1081.9108</v>
      </c>
      <c r="BV107" s="16" t="s">
        <v>3237</v>
      </c>
      <c r="BW107" s="16" t="n">
        <v>42.7692307692308</v>
      </c>
      <c r="BX107" s="16" t="n">
        <v>0.155994305554286</v>
      </c>
      <c r="BY107" s="16" t="n">
        <v>0.161741466184191</v>
      </c>
      <c r="BZ107" s="16" t="n">
        <v>13510.8578038903</v>
      </c>
      <c r="CA107" s="16" t="n">
        <v>19402.010477409</v>
      </c>
      <c r="CB107" s="16" t="n">
        <v>281.938193089763</v>
      </c>
      <c r="CC107" s="16" t="n">
        <v>0</v>
      </c>
      <c r="CD107" s="16" t="n">
        <v>950.69728</v>
      </c>
      <c r="CE107" s="16" t="n">
        <v>12000</v>
      </c>
      <c r="CF107" s="16" t="n">
        <v>23.3418293522217</v>
      </c>
      <c r="CG107" s="16" t="n">
        <v>26.3762671680105</v>
      </c>
      <c r="CH107" s="16" t="n">
        <v>2643.77364301215</v>
      </c>
      <c r="CI107" s="16" t="n">
        <v>-6.2083733271085</v>
      </c>
      <c r="CJ107" s="16" t="n">
        <v>3.00594144553374</v>
      </c>
      <c r="CK107" s="16" t="n">
        <v>39268.2936847421</v>
      </c>
      <c r="CL107" s="16" t="n">
        <v>166.726152113091</v>
      </c>
      <c r="CM107" s="16" t="n">
        <v>192.093720363091</v>
      </c>
      <c r="CN107" s="16" t="n">
        <v>1000</v>
      </c>
      <c r="CO107" s="16" t="n">
        <v>1.5535546875</v>
      </c>
      <c r="CP107" s="16" t="n">
        <v>1.09004417261298</v>
      </c>
      <c r="CQ107" s="16" t="n">
        <v>2.31860848690495</v>
      </c>
      <c r="CR107" s="16" t="n">
        <v>88.493852533553</v>
      </c>
      <c r="CS107" s="16" t="n">
        <v>29.7754535337986</v>
      </c>
      <c r="CT107" s="16" t="n">
        <v>2.051865917615</v>
      </c>
      <c r="CU107" s="16" t="n">
        <v>2.31860848690495</v>
      </c>
      <c r="CV107" s="16" t="n">
        <v>19049.7644336549</v>
      </c>
      <c r="CW107" s="16" t="n">
        <v>3888.8621427023</v>
      </c>
      <c r="CX107" s="16" t="n">
        <v>22938.6265763572</v>
      </c>
      <c r="CY107" s="16" t="n">
        <v>19049.7644336549</v>
      </c>
      <c r="CZ107" s="16" t="n">
        <v>1192.99918625153</v>
      </c>
      <c r="DA107" s="16" t="n">
        <v>23.3418293522217</v>
      </c>
      <c r="DB107" s="16" t="n">
        <v>16707.0500398459</v>
      </c>
      <c r="DC107" s="16" t="n">
        <v>12396.6311295656</v>
      </c>
      <c r="DD107" s="16" t="n">
        <v>11144.3333333333</v>
      </c>
      <c r="DE107" s="16" t="n">
        <v>1921.25</v>
      </c>
      <c r="DF107" s="16" t="n">
        <v>19364.6896786549</v>
      </c>
      <c r="DG107" s="16" t="n">
        <v>192.093720363091</v>
      </c>
      <c r="DH107" s="16" t="n">
        <v>0</v>
      </c>
      <c r="DI107" s="16" t="n">
        <v>29.7754848340805</v>
      </c>
    </row>
    <row r="108" customFormat="false" ht="15" hidden="false" customHeight="false" outlineLevel="0" collapsed="false">
      <c r="A108" s="0" t="s">
        <v>3326</v>
      </c>
      <c r="B108" s="16" t="n">
        <v>2630.80272621423</v>
      </c>
      <c r="C108" s="16" t="n">
        <v>8540.6867615363</v>
      </c>
      <c r="D108" s="16" t="n">
        <v>20048.2430010656</v>
      </c>
      <c r="E108" s="16" t="n">
        <v>4448.47090692688</v>
      </c>
      <c r="F108" s="16" t="n">
        <v>-914.581213334279</v>
      </c>
      <c r="G108" s="16" t="n">
        <v>5021.42464979971</v>
      </c>
      <c r="H108" s="16" t="n">
        <v>117.359717917559</v>
      </c>
      <c r="I108" s="17" t="n">
        <v>1.40974996503488</v>
      </c>
      <c r="J108" s="17" t="n">
        <v>7.47777414061693</v>
      </c>
      <c r="K108" s="16" t="s">
        <v>116</v>
      </c>
      <c r="L108" s="16" t="n">
        <v>1000</v>
      </c>
      <c r="M108" s="16" t="n">
        <v>33786.0758527307</v>
      </c>
      <c r="N108" s="16" t="n">
        <v>11654.6032238312</v>
      </c>
      <c r="O108" s="16" t="n">
        <v>1000</v>
      </c>
      <c r="P108" s="16" t="n">
        <v>1052.38197476511</v>
      </c>
      <c r="Q108" s="16" t="n">
        <v>-31.4102376468791</v>
      </c>
      <c r="R108" s="16" t="n">
        <v>17621.0315170243</v>
      </c>
      <c r="S108" s="16" t="n">
        <v>26955.6718100213</v>
      </c>
      <c r="T108" s="16" t="n">
        <v>-861.312851097888</v>
      </c>
      <c r="U108" s="16" t="n">
        <v>443.965853127351</v>
      </c>
      <c r="V108" s="16" t="n">
        <v>0.750319556751226</v>
      </c>
      <c r="W108" s="16" t="n">
        <v>46481.0147663264</v>
      </c>
      <c r="X108" s="16" t="n">
        <v>22155.2799033713</v>
      </c>
      <c r="Y108" s="16" t="n">
        <v>7.03449818313757</v>
      </c>
      <c r="Z108" s="16" t="n">
        <v>9.54836980015376</v>
      </c>
      <c r="AA108" s="16" t="n">
        <v>27.424347870838</v>
      </c>
      <c r="AB108" s="16" t="n">
        <v>25.224347870838</v>
      </c>
      <c r="AC108" s="16" t="n">
        <v>26.674347870838</v>
      </c>
      <c r="AD108" s="16" t="n">
        <v>27.2673434792775</v>
      </c>
      <c r="AE108" s="16" t="n">
        <v>757.548</v>
      </c>
      <c r="AF108" s="16" t="n">
        <v>0.03</v>
      </c>
      <c r="AG108" s="16" t="n">
        <v>0.655653874864087</v>
      </c>
      <c r="AH108" s="16" t="n">
        <v>9918.12165000295</v>
      </c>
      <c r="AI108" s="16" t="n">
        <v>20048.2430010656</v>
      </c>
      <c r="AJ108" s="16" t="n">
        <v>16.69175</v>
      </c>
      <c r="AK108" s="16" t="n">
        <v>0</v>
      </c>
      <c r="AL108" s="16" t="n">
        <v>1000</v>
      </c>
      <c r="AM108" s="16" t="n">
        <v>812.6073</v>
      </c>
      <c r="AN108" s="16" t="n">
        <v>20079.98904</v>
      </c>
      <c r="AO108" s="16" t="n">
        <v>-5508.72242389994</v>
      </c>
      <c r="AP108" s="16" t="n">
        <v>0.414483496940676</v>
      </c>
      <c r="AQ108" s="16" t="n">
        <v>79.7540647032096</v>
      </c>
      <c r="AR108" s="16" t="n">
        <v>503.242242807881</v>
      </c>
      <c r="AS108" s="16" t="n">
        <v>314.925245</v>
      </c>
      <c r="AT108" s="16" t="n">
        <v>1000</v>
      </c>
      <c r="AU108" s="16" t="n">
        <v>12.270507</v>
      </c>
      <c r="AV108" s="16" t="n">
        <v>0</v>
      </c>
      <c r="AW108" s="16" t="n">
        <v>2254.3125</v>
      </c>
      <c r="AX108" s="16" t="n">
        <v>314.925245</v>
      </c>
      <c r="AY108" s="16" t="n">
        <v>314.925245</v>
      </c>
      <c r="AZ108" s="16" t="n">
        <v>5802.17009824645</v>
      </c>
      <c r="BA108" s="16" t="n">
        <v>0</v>
      </c>
      <c r="BB108" s="16" t="n">
        <v>417.928966666667</v>
      </c>
      <c r="BC108" s="16" t="n">
        <v>111471.737352824</v>
      </c>
      <c r="BD108" s="16" t="n">
        <v>17.4484701391794</v>
      </c>
      <c r="BE108" s="16" t="n">
        <v>26.1057627611157</v>
      </c>
      <c r="BF108" s="16" t="n">
        <v>40.3336179699182</v>
      </c>
      <c r="BG108" s="16" t="n">
        <v>-8.27711430924607</v>
      </c>
      <c r="BH108" s="16" t="n">
        <v>-7.28866183200638</v>
      </c>
      <c r="BI108" s="16" t="n">
        <v>1.09242813813745</v>
      </c>
      <c r="BJ108" s="16" t="n">
        <v>2.04083187529388</v>
      </c>
      <c r="BK108" s="16" t="n">
        <v>5.25403316350504</v>
      </c>
      <c r="BL108" s="16" t="n">
        <v>7.88491984612206</v>
      </c>
      <c r="BM108" s="16" t="n">
        <v>3.71992671744367</v>
      </c>
      <c r="BN108" s="16" t="n">
        <v>4.46573109600205</v>
      </c>
      <c r="BO108" s="16" t="n">
        <v>5.7791095890411</v>
      </c>
      <c r="BP108" s="16" t="n">
        <v>8712.70308277889</v>
      </c>
      <c r="BQ108" s="16" t="n">
        <v>8508.32002450606</v>
      </c>
      <c r="BR108" s="16" t="n">
        <v>8508.32002450606</v>
      </c>
      <c r="BS108" s="16" t="n">
        <v>503.242242807881</v>
      </c>
      <c r="BT108" s="16" t="n">
        <v>301.7195</v>
      </c>
      <c r="BU108" s="16" t="n">
        <v>1081.9108</v>
      </c>
      <c r="BV108" s="16" t="s">
        <v>3237</v>
      </c>
      <c r="BW108" s="16" t="n">
        <v>42.7692307692308</v>
      </c>
      <c r="BX108" s="16" t="n">
        <v>0.155994305554286</v>
      </c>
      <c r="BY108" s="16" t="n">
        <v>0.161741466184191</v>
      </c>
      <c r="BZ108" s="16" t="n">
        <v>13510.8578038903</v>
      </c>
      <c r="CA108" s="16" t="n">
        <v>19402.010477409</v>
      </c>
      <c r="CB108" s="16" t="n">
        <v>273.580143881641</v>
      </c>
      <c r="CC108" s="16" t="n">
        <v>0</v>
      </c>
      <c r="CD108" s="16" t="n">
        <v>950.69728</v>
      </c>
      <c r="CE108" s="16" t="n">
        <v>12000</v>
      </c>
      <c r="CF108" s="16" t="n">
        <v>24.6688002087947</v>
      </c>
      <c r="CG108" s="16" t="n">
        <v>27.875744235938</v>
      </c>
      <c r="CH108" s="16" t="n">
        <v>2643.77364301215</v>
      </c>
      <c r="CI108" s="16" t="n">
        <v>-6.2083733271085</v>
      </c>
      <c r="CJ108" s="16" t="n">
        <v>3.00594144553374</v>
      </c>
      <c r="CK108" s="16" t="n">
        <v>37978.225496966</v>
      </c>
      <c r="CL108" s="16" t="n">
        <v>161.248753307881</v>
      </c>
      <c r="CM108" s="16" t="n">
        <v>186.616321557881</v>
      </c>
      <c r="CN108" s="16" t="n">
        <v>1000</v>
      </c>
      <c r="CO108" s="16" t="n">
        <v>1.5535546875</v>
      </c>
      <c r="CP108" s="16" t="n">
        <v>1.09004417261298</v>
      </c>
      <c r="CQ108" s="16" t="n">
        <v>7.47777414061693</v>
      </c>
      <c r="CR108" s="16" t="n">
        <v>90.1220931146268</v>
      </c>
      <c r="CS108" s="16" t="n">
        <v>32.2135223922853</v>
      </c>
      <c r="CT108" s="16" t="n">
        <v>6.61749923948401</v>
      </c>
      <c r="CU108" s="16" t="n">
        <v>7.47777414061693</v>
      </c>
      <c r="CV108" s="16" t="n">
        <v>5734.17657384586</v>
      </c>
      <c r="CW108" s="16" t="n">
        <v>1205.80651393264</v>
      </c>
      <c r="CX108" s="16" t="n">
        <v>6939.9830877785</v>
      </c>
      <c r="CY108" s="16" t="n">
        <v>5734.17657384586</v>
      </c>
      <c r="CZ108" s="16" t="n">
        <v>1089.26199674533</v>
      </c>
      <c r="DA108" s="16" t="n">
        <v>24.6688002087947</v>
      </c>
      <c r="DB108" s="16" t="n">
        <v>16946.5034315798</v>
      </c>
      <c r="DC108" s="16" t="n">
        <v>12574.3055462322</v>
      </c>
      <c r="DD108" s="16" t="n">
        <v>11144.3333333333</v>
      </c>
      <c r="DE108" s="16" t="n">
        <v>1921.25</v>
      </c>
      <c r="DF108" s="16" t="n">
        <v>6049.10181884586</v>
      </c>
      <c r="DG108" s="16" t="n">
        <v>186.616321557881</v>
      </c>
      <c r="DH108" s="16" t="n">
        <v>0</v>
      </c>
      <c r="DI108" s="16" t="n">
        <v>32.2135392224065</v>
      </c>
    </row>
    <row r="109" customFormat="false" ht="15" hidden="false" customHeight="false" outlineLevel="0" collapsed="false">
      <c r="A109" s="0" t="s">
        <v>3327</v>
      </c>
      <c r="B109" s="16" t="n">
        <v>2397.04425048022</v>
      </c>
      <c r="C109" s="16" t="n">
        <v>8198.26468678061</v>
      </c>
      <c r="D109" s="16" t="n">
        <v>19716.7966317894</v>
      </c>
      <c r="E109" s="16" t="n">
        <v>4205.35123385034</v>
      </c>
      <c r="F109" s="16" t="n">
        <v>-1142.5388728473</v>
      </c>
      <c r="G109" s="16" t="n">
        <v>5019.95951922642</v>
      </c>
      <c r="H109" s="16" t="n">
        <v>-945.414888497789</v>
      </c>
      <c r="I109" s="17" t="n">
        <v>0.01</v>
      </c>
      <c r="J109" s="17" t="n">
        <v>3.82344484956937</v>
      </c>
      <c r="K109" s="16" t="s">
        <v>116</v>
      </c>
      <c r="L109" s="16" t="n">
        <v>1000</v>
      </c>
      <c r="M109" s="16" t="n">
        <v>33779.2274112356</v>
      </c>
      <c r="N109" s="16" t="n">
        <v>11402.7039831813</v>
      </c>
      <c r="O109" s="16" t="n">
        <v>1000</v>
      </c>
      <c r="P109" s="16" t="n">
        <v>909.789304567362</v>
      </c>
      <c r="Q109" s="16" t="n">
        <v>-267.249731769896</v>
      </c>
      <c r="R109" s="16" t="n">
        <v>17616.3563475096</v>
      </c>
      <c r="S109" s="16" t="n">
        <v>26949.0428826358</v>
      </c>
      <c r="T109" s="16" t="n">
        <v>-994.472320673954</v>
      </c>
      <c r="U109" s="16" t="n">
        <v>-667.69709275624</v>
      </c>
      <c r="V109" s="16" t="n">
        <v>0.750319556751226</v>
      </c>
      <c r="W109" s="16" t="n">
        <v>46166.0867969616</v>
      </c>
      <c r="X109" s="16" t="n">
        <v>22149.1507521393</v>
      </c>
      <c r="Y109" s="16" t="n">
        <v>3.59679435910369</v>
      </c>
      <c r="Z109" s="16" t="n">
        <v>4.88215672841513</v>
      </c>
      <c r="AA109" s="16" t="n">
        <v>27.424347870838</v>
      </c>
      <c r="AB109" s="16" t="n">
        <v>25.224347870838</v>
      </c>
      <c r="AC109" s="16" t="n">
        <v>26.674347870838</v>
      </c>
      <c r="AD109" s="16" t="n">
        <v>27.2673434792775</v>
      </c>
      <c r="AE109" s="16" t="n">
        <v>674.686407680941</v>
      </c>
      <c r="AF109" s="16" t="n">
        <v>0.03</v>
      </c>
      <c r="AG109" s="16" t="n">
        <v>0.654405917289145</v>
      </c>
      <c r="AH109" s="16" t="n">
        <v>9779.77637634954</v>
      </c>
      <c r="AI109" s="16" t="n">
        <v>19716.7966317894</v>
      </c>
      <c r="AJ109" s="16" t="n">
        <v>16.69175</v>
      </c>
      <c r="AK109" s="16" t="n">
        <v>79.0109965753425</v>
      </c>
      <c r="AL109" s="16" t="n">
        <v>1000</v>
      </c>
      <c r="AM109" s="16" t="n">
        <v>812.6073</v>
      </c>
      <c r="AN109" s="16" t="n">
        <v>20079.98904</v>
      </c>
      <c r="AO109" s="16" t="n">
        <v>-5508.72242389994</v>
      </c>
      <c r="AP109" s="16" t="n">
        <v>0.426024292326263</v>
      </c>
      <c r="AQ109" s="16" t="n">
        <v>78.6177516507125</v>
      </c>
      <c r="AR109" s="16" t="n">
        <v>506.682618024638</v>
      </c>
      <c r="AS109" s="16" t="n">
        <v>314.925245</v>
      </c>
      <c r="AT109" s="16" t="n">
        <v>1000</v>
      </c>
      <c r="AU109" s="16" t="n">
        <v>12.270507</v>
      </c>
      <c r="AV109" s="16" t="n">
        <v>0</v>
      </c>
      <c r="AW109" s="16" t="n">
        <v>2254.3125</v>
      </c>
      <c r="AX109" s="16" t="n">
        <v>314.925245</v>
      </c>
      <c r="AY109" s="16" t="n">
        <v>314.925245</v>
      </c>
      <c r="AZ109" s="16" t="n">
        <v>5595.80558426442</v>
      </c>
      <c r="BA109" s="16" t="n">
        <v>0</v>
      </c>
      <c r="BB109" s="16" t="n">
        <v>417.928966666667</v>
      </c>
      <c r="BC109" s="16" t="n">
        <v>111440.326959658</v>
      </c>
      <c r="BD109" s="16" t="n">
        <v>16.63795127001</v>
      </c>
      <c r="BE109" s="16" t="n">
        <v>25.2952438919464</v>
      </c>
      <c r="BF109" s="16" t="n">
        <v>39.5230991007488</v>
      </c>
      <c r="BG109" s="16" t="n">
        <v>-8.27711430924607</v>
      </c>
      <c r="BH109" s="16" t="n">
        <v>-7.28866183200638</v>
      </c>
      <c r="BI109" s="16" t="n">
        <v>1.09242813813745</v>
      </c>
      <c r="BJ109" s="16" t="n">
        <v>2.04083187529388</v>
      </c>
      <c r="BK109" s="16" t="n">
        <v>5.25403316350504</v>
      </c>
      <c r="BL109" s="16" t="n">
        <v>7.88491984612206</v>
      </c>
      <c r="BM109" s="16" t="n">
        <v>3.71992671744367</v>
      </c>
      <c r="BN109" s="16" t="n">
        <v>4.46573109600205</v>
      </c>
      <c r="BO109" s="16" t="n">
        <v>5.7791095890411</v>
      </c>
      <c r="BP109" s="16" t="n">
        <v>8712.70308277889</v>
      </c>
      <c r="BQ109" s="16" t="n">
        <v>8165.89794975038</v>
      </c>
      <c r="BR109" s="16" t="n">
        <v>8165.89794975038</v>
      </c>
      <c r="BS109" s="16" t="n">
        <v>506.682618024638</v>
      </c>
      <c r="BT109" s="16" t="n">
        <v>301.7195</v>
      </c>
      <c r="BU109" s="16" t="n">
        <v>1081.9108</v>
      </c>
      <c r="BV109" s="16" t="s">
        <v>3237</v>
      </c>
      <c r="BW109" s="16" t="n">
        <v>42.7692307692308</v>
      </c>
      <c r="BX109" s="16" t="n">
        <v>0.155994305554286</v>
      </c>
      <c r="BY109" s="16" t="n">
        <v>0.161741466184191</v>
      </c>
      <c r="BZ109" s="16" t="n">
        <v>13510.8578038903</v>
      </c>
      <c r="CA109" s="16" t="n">
        <v>19402.010477409</v>
      </c>
      <c r="CB109" s="16" t="n">
        <v>278.822087561619</v>
      </c>
      <c r="CC109" s="16" t="n">
        <v>0</v>
      </c>
      <c r="CD109" s="16" t="n">
        <v>950.69728</v>
      </c>
      <c r="CE109" s="16" t="n">
        <v>12000</v>
      </c>
      <c r="CF109" s="16" t="n">
        <v>24.1542880433009</v>
      </c>
      <c r="CG109" s="16" t="n">
        <v>27.29434548893</v>
      </c>
      <c r="CH109" s="16" t="n">
        <v>2632.7979375327</v>
      </c>
      <c r="CI109" s="16" t="n">
        <v>-6.2083733271085</v>
      </c>
      <c r="CJ109" s="16" t="n">
        <v>3.00594144553374</v>
      </c>
      <c r="CK109" s="16" t="n">
        <v>38788.5222781554</v>
      </c>
      <c r="CL109" s="16" t="n">
        <v>164.689128524638</v>
      </c>
      <c r="CM109" s="16" t="n">
        <v>190.056696774638</v>
      </c>
      <c r="CN109" s="16" t="n">
        <v>1000</v>
      </c>
      <c r="CO109" s="16" t="n">
        <v>1.5535546875</v>
      </c>
      <c r="CP109" s="16" t="n">
        <v>1.09004417261298</v>
      </c>
      <c r="CQ109" s="16" t="n">
        <v>3.82344484956937</v>
      </c>
      <c r="CR109" s="16" t="n">
        <v>88.8380593653052</v>
      </c>
      <c r="CS109" s="16" t="n">
        <v>30.2302408210792</v>
      </c>
      <c r="CT109" s="16" t="n">
        <v>3.38357951289325</v>
      </c>
      <c r="CU109" s="16" t="n">
        <v>3.82344484956937</v>
      </c>
      <c r="CV109" s="16" t="n">
        <v>11426.6520903907</v>
      </c>
      <c r="CW109" s="16" t="n">
        <v>2358.27875730664</v>
      </c>
      <c r="CX109" s="16" t="n">
        <v>13784.9308476973</v>
      </c>
      <c r="CY109" s="16" t="n">
        <v>11426.6520903907</v>
      </c>
      <c r="CZ109" s="16" t="n">
        <v>1170.11993391622</v>
      </c>
      <c r="DA109" s="16" t="n">
        <v>24.1542880433009</v>
      </c>
      <c r="DB109" s="16" t="n">
        <v>16740.1389175978</v>
      </c>
      <c r="DC109" s="16" t="n">
        <v>12421.1830768575</v>
      </c>
      <c r="DD109" s="16" t="n">
        <v>11144.3333333333</v>
      </c>
      <c r="DE109" s="16" t="n">
        <v>1921.25</v>
      </c>
      <c r="DF109" s="16" t="n">
        <v>11741.5773353907</v>
      </c>
      <c r="DG109" s="16" t="n">
        <v>190.056696774638</v>
      </c>
      <c r="DH109" s="16" t="n">
        <v>0</v>
      </c>
      <c r="DI109" s="16" t="n">
        <v>30.2302694834747</v>
      </c>
    </row>
    <row r="110" customFormat="false" ht="15" hidden="false" customHeight="false" outlineLevel="0" collapsed="false">
      <c r="A110" s="0" t="s">
        <v>3328</v>
      </c>
      <c r="B110" s="16" t="n">
        <v>2241.12406212405</v>
      </c>
      <c r="C110" s="16" t="n">
        <v>8062.65135116417</v>
      </c>
      <c r="D110" s="16" t="n">
        <v>19716.7966317894</v>
      </c>
      <c r="E110" s="16" t="n">
        <v>4109.06576556267</v>
      </c>
      <c r="F110" s="16" t="n">
        <v>-1232.36928695004</v>
      </c>
      <c r="G110" s="16" t="n">
        <v>5018.92899846615</v>
      </c>
      <c r="H110" s="16" t="n">
        <v>-1125.01265685219</v>
      </c>
      <c r="I110" s="17" t="n">
        <v>0.01</v>
      </c>
      <c r="J110" s="17" t="n">
        <v>3.25730607419841</v>
      </c>
      <c r="K110" s="16" t="s">
        <v>116</v>
      </c>
      <c r="L110" s="16" t="n">
        <v>1000</v>
      </c>
      <c r="M110" s="16" t="n">
        <v>33776.5151445233</v>
      </c>
      <c r="N110" s="16" t="n">
        <v>11402.7039831813</v>
      </c>
      <c r="O110" s="16" t="n">
        <v>1000</v>
      </c>
      <c r="P110" s="16" t="n">
        <v>814.677989670102</v>
      </c>
      <c r="Q110" s="16" t="n">
        <v>-266.083597674005</v>
      </c>
      <c r="R110" s="16" t="n">
        <v>17613.2379437425</v>
      </c>
      <c r="S110" s="16" t="n">
        <v>26949.0428826358</v>
      </c>
      <c r="T110" s="16" t="n">
        <v>-1083.34682803697</v>
      </c>
      <c r="U110" s="16" t="n">
        <v>-847.294861110644</v>
      </c>
      <c r="V110" s="16" t="n">
        <v>0.750319556751226</v>
      </c>
      <c r="W110" s="16" t="n">
        <v>46165.61479587</v>
      </c>
      <c r="X110" s="16" t="n">
        <v>22147.9496340206</v>
      </c>
      <c r="Y110" s="16" t="n">
        <v>3.06421579871109</v>
      </c>
      <c r="Z110" s="16" t="n">
        <v>4.15925412614395</v>
      </c>
      <c r="AA110" s="16" t="n">
        <v>27.424347870838</v>
      </c>
      <c r="AB110" s="16" t="n">
        <v>25.224347870838</v>
      </c>
      <c r="AC110" s="16" t="n">
        <v>26.674347870838</v>
      </c>
      <c r="AD110" s="16" t="n">
        <v>27.2673434792775</v>
      </c>
      <c r="AE110" s="16" t="n">
        <v>674.686407680941</v>
      </c>
      <c r="AF110" s="16" t="n">
        <v>0.03</v>
      </c>
      <c r="AG110" s="16" t="n">
        <v>0.654405917289145</v>
      </c>
      <c r="AH110" s="16" t="n">
        <v>9687.7834652194</v>
      </c>
      <c r="AI110" s="16" t="n">
        <v>19716.7966317894</v>
      </c>
      <c r="AJ110" s="16" t="n">
        <v>16.69175</v>
      </c>
      <c r="AK110" s="16" t="n">
        <v>370.544520547945</v>
      </c>
      <c r="AL110" s="16" t="n">
        <v>1000</v>
      </c>
      <c r="AM110" s="16" t="n">
        <v>812.6073</v>
      </c>
      <c r="AN110" s="16" t="n">
        <v>20079.98904</v>
      </c>
      <c r="AO110" s="16" t="n">
        <v>-5508.72242389994</v>
      </c>
      <c r="AP110" s="16" t="n">
        <v>0.468607336383915</v>
      </c>
      <c r="AQ110" s="16" t="n">
        <v>78.5128142049113</v>
      </c>
      <c r="AR110" s="16" t="n">
        <v>507.487824475986</v>
      </c>
      <c r="AS110" s="16" t="n">
        <v>314.925245</v>
      </c>
      <c r="AT110" s="16" t="n">
        <v>1000</v>
      </c>
      <c r="AU110" s="16" t="n">
        <v>12.270507</v>
      </c>
      <c r="AV110" s="16" t="n">
        <v>0</v>
      </c>
      <c r="AW110" s="16" t="n">
        <v>2254.3125</v>
      </c>
      <c r="AX110" s="16" t="n">
        <v>314.925245</v>
      </c>
      <c r="AY110" s="16" t="n">
        <v>314.925245</v>
      </c>
      <c r="AZ110" s="16" t="n">
        <v>5439.54343313388</v>
      </c>
      <c r="BA110" s="16" t="n">
        <v>0</v>
      </c>
      <c r="BB110" s="16" t="n">
        <v>417.928966666667</v>
      </c>
      <c r="BC110" s="16" t="n">
        <v>111434.496289178</v>
      </c>
      <c r="BD110" s="16" t="n">
        <v>16.1417631948668</v>
      </c>
      <c r="BE110" s="16" t="n">
        <v>24.7990558168032</v>
      </c>
      <c r="BF110" s="16" t="n">
        <v>39.0269110256056</v>
      </c>
      <c r="BG110" s="16" t="n">
        <v>-8.27711430924607</v>
      </c>
      <c r="BH110" s="16" t="n">
        <v>-7.28866183200638</v>
      </c>
      <c r="BI110" s="16" t="n">
        <v>1.09242813813745</v>
      </c>
      <c r="BJ110" s="16" t="n">
        <v>2.04083187529388</v>
      </c>
      <c r="BK110" s="16" t="n">
        <v>5.25403316350504</v>
      </c>
      <c r="BL110" s="16" t="n">
        <v>7.88491984612206</v>
      </c>
      <c r="BM110" s="16" t="n">
        <v>3.71992671744367</v>
      </c>
      <c r="BN110" s="16" t="n">
        <v>4.46573109600205</v>
      </c>
      <c r="BO110" s="16" t="n">
        <v>5.7791095890411</v>
      </c>
      <c r="BP110" s="16" t="n">
        <v>8712.70308277889</v>
      </c>
      <c r="BQ110" s="16" t="n">
        <v>8030.28461413394</v>
      </c>
      <c r="BR110" s="16" t="n">
        <v>8030.28461413394</v>
      </c>
      <c r="BS110" s="16" t="n">
        <v>507.487824475986</v>
      </c>
      <c r="BT110" s="16" t="n">
        <v>301.7195</v>
      </c>
      <c r="BU110" s="16" t="n">
        <v>1081.9108</v>
      </c>
      <c r="BV110" s="16" t="s">
        <v>3237</v>
      </c>
      <c r="BW110" s="16" t="n">
        <v>42.7692307692308</v>
      </c>
      <c r="BX110" s="16" t="n">
        <v>0.155994305554286</v>
      </c>
      <c r="BY110" s="16" t="n">
        <v>0.161741466184191</v>
      </c>
      <c r="BZ110" s="16" t="n">
        <v>13510.8578038903</v>
      </c>
      <c r="CA110" s="16" t="n">
        <v>19402.010477409</v>
      </c>
      <c r="CB110" s="16" t="n">
        <v>280.058957815376</v>
      </c>
      <c r="CC110" s="16" t="n">
        <v>0</v>
      </c>
      <c r="CD110" s="16" t="n">
        <v>950.69728</v>
      </c>
      <c r="CE110" s="16" t="n">
        <v>12000</v>
      </c>
      <c r="CF110" s="16" t="n">
        <v>23.7273791869711</v>
      </c>
      <c r="CG110" s="16" t="n">
        <v>26.8119384812773</v>
      </c>
      <c r="CH110" s="16" t="n">
        <v>2497.18460191626</v>
      </c>
      <c r="CI110" s="16" t="n">
        <v>-6.2083733271085</v>
      </c>
      <c r="CJ110" s="16" t="n">
        <v>3.00594144553374</v>
      </c>
      <c r="CK110" s="16" t="n">
        <v>38978.1690912537</v>
      </c>
      <c r="CL110" s="16" t="n">
        <v>165.494334975986</v>
      </c>
      <c r="CM110" s="16" t="n">
        <v>190.861903225986</v>
      </c>
      <c r="CN110" s="16" t="n">
        <v>1000</v>
      </c>
      <c r="CO110" s="16" t="n">
        <v>1.5535546875</v>
      </c>
      <c r="CP110" s="16" t="n">
        <v>1.09004417261298</v>
      </c>
      <c r="CQ110" s="16" t="n">
        <v>3.25730607419841</v>
      </c>
      <c r="CR110" s="16" t="n">
        <v>88.7194800515497</v>
      </c>
      <c r="CS110" s="16" t="n">
        <v>30.1526838058319</v>
      </c>
      <c r="CT110" s="16" t="n">
        <v>2.88257174707824</v>
      </c>
      <c r="CU110" s="16" t="n">
        <v>3.25730607419841</v>
      </c>
      <c r="CV110" s="16" t="n">
        <v>13470.8927857576</v>
      </c>
      <c r="CW110" s="16" t="n">
        <v>2768.16134654826</v>
      </c>
      <c r="CX110" s="16" t="n">
        <v>16239.0541323058</v>
      </c>
      <c r="CY110" s="16" t="n">
        <v>13470.8927857576</v>
      </c>
      <c r="CZ110" s="16" t="n">
        <v>1174.31627985211</v>
      </c>
      <c r="DA110" s="16" t="n">
        <v>23.7273791869711</v>
      </c>
      <c r="DB110" s="16" t="n">
        <v>16583.8767664672</v>
      </c>
      <c r="DC110" s="16" t="n">
        <v>12305.2365607187</v>
      </c>
      <c r="DD110" s="16" t="n">
        <v>11144.3333333333</v>
      </c>
      <c r="DE110" s="16" t="n">
        <v>1921.25</v>
      </c>
      <c r="DF110" s="16" t="n">
        <v>13785.8180307576</v>
      </c>
      <c r="DG110" s="16" t="n">
        <v>190.861903225986</v>
      </c>
      <c r="DH110" s="16" t="n">
        <v>0</v>
      </c>
      <c r="DI110" s="16" t="n">
        <v>30.1527122238517</v>
      </c>
    </row>
    <row r="111" customFormat="false" ht="15" hidden="false" customHeight="false" outlineLevel="0" collapsed="false">
      <c r="A111" s="0" t="s">
        <v>3329</v>
      </c>
      <c r="B111" s="16" t="n">
        <v>2465.07954157611</v>
      </c>
      <c r="C111" s="16" t="n">
        <v>7212.1682429545</v>
      </c>
      <c r="D111" s="16" t="n">
        <v>19716.7966317894</v>
      </c>
      <c r="E111" s="16" t="n">
        <v>3527.01570040048</v>
      </c>
      <c r="F111" s="16" t="n">
        <v>-1780.81977193432</v>
      </c>
      <c r="G111" s="16" t="n">
        <v>5019.34874261662</v>
      </c>
      <c r="H111" s="16" t="n">
        <v>-1501.85606975523</v>
      </c>
      <c r="I111" s="17" t="n">
        <v>0.01</v>
      </c>
      <c r="J111" s="17" t="n">
        <v>2.08216785320255</v>
      </c>
      <c r="K111" s="16" t="s">
        <v>116</v>
      </c>
      <c r="L111" s="16" t="n">
        <v>1000</v>
      </c>
      <c r="M111" s="16" t="n">
        <v>33759.5054823591</v>
      </c>
      <c r="N111" s="16" t="n">
        <v>11402.7039831813</v>
      </c>
      <c r="O111" s="16" t="n">
        <v>1000</v>
      </c>
      <c r="P111" s="16" t="n">
        <v>951.290832135856</v>
      </c>
      <c r="Q111" s="16" t="n">
        <v>-263.577487158976</v>
      </c>
      <c r="R111" s="16" t="n">
        <v>17617.7170533315</v>
      </c>
      <c r="S111" s="16" t="n">
        <v>26949.0428826358</v>
      </c>
      <c r="T111" s="16" t="n">
        <v>-955.692204749296</v>
      </c>
      <c r="U111" s="16" t="n">
        <v>-1224.13827401368</v>
      </c>
      <c r="V111" s="16" t="n">
        <v>0.750319556751226</v>
      </c>
      <c r="W111" s="16" t="n">
        <v>46164.6004297666</v>
      </c>
      <c r="X111" s="16" t="n">
        <v>22145.3683401901</v>
      </c>
      <c r="Y111" s="16" t="n">
        <v>1.95873875098511</v>
      </c>
      <c r="Z111" s="16" t="n">
        <v>2.65872013175433</v>
      </c>
      <c r="AA111" s="16" t="n">
        <v>27.424347870838</v>
      </c>
      <c r="AB111" s="16" t="n">
        <v>25.224347870838</v>
      </c>
      <c r="AC111" s="16" t="n">
        <v>26.674347870838</v>
      </c>
      <c r="AD111" s="16" t="n">
        <v>27.2673434792775</v>
      </c>
      <c r="AE111" s="16" t="n">
        <v>674.686407680941</v>
      </c>
      <c r="AF111" s="16" t="n">
        <v>0.03</v>
      </c>
      <c r="AG111" s="16" t="n">
        <v>0.654405917289145</v>
      </c>
      <c r="AH111" s="16" t="n">
        <v>9819.91719809611</v>
      </c>
      <c r="AI111" s="16" t="n">
        <v>19716.7966317894</v>
      </c>
      <c r="AJ111" s="16" t="n">
        <v>16.69175</v>
      </c>
      <c r="AK111" s="16" t="n">
        <v>0</v>
      </c>
      <c r="AL111" s="16" t="n">
        <v>1000</v>
      </c>
      <c r="AM111" s="16" t="n">
        <v>812.6073</v>
      </c>
      <c r="AN111" s="16" t="n">
        <v>20079.98904</v>
      </c>
      <c r="AO111" s="16" t="n">
        <v>-5508.72242389994</v>
      </c>
      <c r="AP111" s="16" t="n">
        <v>0.560121524032637</v>
      </c>
      <c r="AQ111" s="16" t="n">
        <v>78.3342553368133</v>
      </c>
      <c r="AR111" s="16" t="n">
        <v>509.308705771431</v>
      </c>
      <c r="AS111" s="16" t="n">
        <v>314.925245</v>
      </c>
      <c r="AT111" s="16" t="n">
        <v>1000</v>
      </c>
      <c r="AU111" s="16" t="n">
        <v>12.270507</v>
      </c>
      <c r="AV111" s="16" t="n">
        <v>0</v>
      </c>
      <c r="AW111" s="16" t="n">
        <v>2254.3125</v>
      </c>
      <c r="AX111" s="16" t="n">
        <v>314.925245</v>
      </c>
      <c r="AY111" s="16" t="n">
        <v>314.925245</v>
      </c>
      <c r="AZ111" s="16" t="n">
        <v>5498.82766118178</v>
      </c>
      <c r="BA111" s="16" t="n">
        <v>0</v>
      </c>
      <c r="BB111" s="16" t="n">
        <v>497.928966666667</v>
      </c>
      <c r="BC111" s="16" t="n">
        <v>111421.965736603</v>
      </c>
      <c r="BD111" s="16" t="n">
        <v>16.3300117681049</v>
      </c>
      <c r="BE111" s="16" t="n">
        <v>24.9873043900413</v>
      </c>
      <c r="BF111" s="16" t="n">
        <v>39.2151595988437</v>
      </c>
      <c r="BG111" s="16" t="n">
        <v>-8.27711430924607</v>
      </c>
      <c r="BH111" s="16" t="n">
        <v>-7.28866183200638</v>
      </c>
      <c r="BI111" s="16" t="n">
        <v>1.09242813813745</v>
      </c>
      <c r="BJ111" s="16" t="n">
        <v>2.04083187529388</v>
      </c>
      <c r="BK111" s="16" t="n">
        <v>5.25403316350504</v>
      </c>
      <c r="BL111" s="16" t="n">
        <v>7.88491984612206</v>
      </c>
      <c r="BM111" s="16" t="n">
        <v>3.71992671744367</v>
      </c>
      <c r="BN111" s="16" t="n">
        <v>4.46573109600205</v>
      </c>
      <c r="BO111" s="16" t="n">
        <v>5.7791095890411</v>
      </c>
      <c r="BP111" s="16" t="n">
        <v>8712.70308277889</v>
      </c>
      <c r="BQ111" s="16" t="n">
        <v>7179.80150592427</v>
      </c>
      <c r="BR111" s="16" t="n">
        <v>7179.80150592427</v>
      </c>
      <c r="BS111" s="16" t="n">
        <v>509.308705771431</v>
      </c>
      <c r="BT111" s="16" t="n">
        <v>301.7195</v>
      </c>
      <c r="BU111" s="16" t="n">
        <v>1081.9108</v>
      </c>
      <c r="BV111" s="16" t="s">
        <v>3237</v>
      </c>
      <c r="BW111" s="16" t="n">
        <v>42.7692307692308</v>
      </c>
      <c r="BX111" s="16" t="n">
        <v>0.155994305554286</v>
      </c>
      <c r="BY111" s="16" t="n">
        <v>0.161741466184191</v>
      </c>
      <c r="BZ111" s="16" t="n">
        <v>13510.8578038903</v>
      </c>
      <c r="CA111" s="16" t="n">
        <v>19402.010477409</v>
      </c>
      <c r="CB111" s="16" t="n">
        <v>282.85218851897</v>
      </c>
      <c r="CC111" s="16" t="n">
        <v>0</v>
      </c>
      <c r="CD111" s="16" t="n">
        <v>950.69728</v>
      </c>
      <c r="CE111" s="16" t="n">
        <v>12000</v>
      </c>
      <c r="CF111" s="16" t="n">
        <v>24.0722947038098</v>
      </c>
      <c r="CG111" s="16" t="n">
        <v>27.2016930153051</v>
      </c>
      <c r="CH111" s="16" t="n">
        <v>1646.7014937066</v>
      </c>
      <c r="CI111" s="16" t="n">
        <v>-6.2083733271085</v>
      </c>
      <c r="CJ111" s="16" t="n">
        <v>3.00594144553374</v>
      </c>
      <c r="CK111" s="16" t="n">
        <v>39407.0334329802</v>
      </c>
      <c r="CL111" s="16" t="n">
        <v>167.315216271431</v>
      </c>
      <c r="CM111" s="16" t="n">
        <v>192.682784521431</v>
      </c>
      <c r="CN111" s="16" t="n">
        <v>1000</v>
      </c>
      <c r="CO111" s="16" t="n">
        <v>1.5535546875</v>
      </c>
      <c r="CP111" s="16" t="n">
        <v>1.09004417261298</v>
      </c>
      <c r="CQ111" s="16" t="n">
        <v>2.08216785320255</v>
      </c>
      <c r="CR111" s="16" t="n">
        <v>88.5177085305991</v>
      </c>
      <c r="CS111" s="16" t="n">
        <v>30.0333555802742</v>
      </c>
      <c r="CT111" s="16" t="n">
        <v>1.84262641876332</v>
      </c>
      <c r="CU111" s="16" t="n">
        <v>2.08216785320255</v>
      </c>
      <c r="CV111" s="16" t="n">
        <v>21279.593366837</v>
      </c>
      <c r="CW111" s="16" t="n">
        <v>4330.46200122838</v>
      </c>
      <c r="CX111" s="16" t="n">
        <v>25610.0553680654</v>
      </c>
      <c r="CY111" s="16" t="n">
        <v>21279.593366837</v>
      </c>
      <c r="CZ111" s="16" t="n">
        <v>1182.19059804229</v>
      </c>
      <c r="DA111" s="16" t="n">
        <v>24.0722947038098</v>
      </c>
      <c r="DB111" s="16" t="n">
        <v>16643.1609945151</v>
      </c>
      <c r="DC111" s="16" t="n">
        <v>12349.2254579302</v>
      </c>
      <c r="DD111" s="16" t="n">
        <v>11144.3333333333</v>
      </c>
      <c r="DE111" s="16" t="n">
        <v>1921.25</v>
      </c>
      <c r="DF111" s="16" t="n">
        <v>21594.518611837</v>
      </c>
      <c r="DG111" s="16" t="n">
        <v>192.682784521431</v>
      </c>
      <c r="DH111" s="16" t="n">
        <v>0</v>
      </c>
      <c r="DI111" s="16" t="n">
        <v>30.0333829774336</v>
      </c>
    </row>
    <row r="112" customFormat="false" ht="15" hidden="false" customHeight="false" outlineLevel="0" collapsed="false">
      <c r="A112" s="0" t="s">
        <v>3330</v>
      </c>
      <c r="B112" s="16" t="n">
        <v>2397.04425048022</v>
      </c>
      <c r="C112" s="16" t="n">
        <v>7201.19253747505</v>
      </c>
      <c r="D112" s="16" t="n">
        <v>19716.7966317894</v>
      </c>
      <c r="E112" s="16" t="n">
        <v>3519.22294951007</v>
      </c>
      <c r="F112" s="16" t="n">
        <v>-1787.86842632473</v>
      </c>
      <c r="G112" s="16" t="n">
        <v>5019.0436743358</v>
      </c>
      <c r="H112" s="16" t="n">
        <v>-1548.45694864932</v>
      </c>
      <c r="I112" s="17" t="n">
        <v>0.01</v>
      </c>
      <c r="J112" s="17" t="n">
        <v>1.93514668181057</v>
      </c>
      <c r="K112" s="16" t="s">
        <v>116</v>
      </c>
      <c r="L112" s="16" t="n">
        <v>1000</v>
      </c>
      <c r="M112" s="16" t="n">
        <v>33759.2859682495</v>
      </c>
      <c r="N112" s="16" t="n">
        <v>11402.7039831813</v>
      </c>
      <c r="O112" s="16" t="n">
        <v>1000</v>
      </c>
      <c r="P112" s="16" t="n">
        <v>909.789304567362</v>
      </c>
      <c r="Q112" s="16" t="n">
        <v>-263.261443172673</v>
      </c>
      <c r="R112" s="16" t="n">
        <v>17616.3563475096</v>
      </c>
      <c r="S112" s="16" t="n">
        <v>26949.0428826358</v>
      </c>
      <c r="T112" s="16" t="n">
        <v>-994.472320673954</v>
      </c>
      <c r="U112" s="16" t="n">
        <v>-1270.73915290778</v>
      </c>
      <c r="V112" s="16" t="n">
        <v>0.750319556751226</v>
      </c>
      <c r="W112" s="16" t="n">
        <v>46164.4725087093</v>
      </c>
      <c r="X112" s="16" t="n">
        <v>22145.0428148842</v>
      </c>
      <c r="Y112" s="16" t="n">
        <v>1.82043286696248</v>
      </c>
      <c r="Z112" s="16" t="n">
        <v>2.47098879800392</v>
      </c>
      <c r="AA112" s="16" t="n">
        <v>27.424347870838</v>
      </c>
      <c r="AB112" s="16" t="n">
        <v>25.224347870838</v>
      </c>
      <c r="AC112" s="16" t="n">
        <v>26.674347870838</v>
      </c>
      <c r="AD112" s="16" t="n">
        <v>27.2673434792775</v>
      </c>
      <c r="AE112" s="16" t="n">
        <v>674.686407680941</v>
      </c>
      <c r="AF112" s="16" t="n">
        <v>0.03</v>
      </c>
      <c r="AG112" s="16" t="n">
        <v>0.654405917289145</v>
      </c>
      <c r="AH112" s="16" t="n">
        <v>9779.77637634954</v>
      </c>
      <c r="AI112" s="16" t="n">
        <v>19716.7966317894</v>
      </c>
      <c r="AJ112" s="16" t="n">
        <v>16.69175</v>
      </c>
      <c r="AK112" s="16" t="n">
        <v>79.0109965753425</v>
      </c>
      <c r="AL112" s="16" t="n">
        <v>1000</v>
      </c>
      <c r="AM112" s="16" t="n">
        <v>812.6073</v>
      </c>
      <c r="AN112" s="16" t="n">
        <v>20079.98904</v>
      </c>
      <c r="AO112" s="16" t="n">
        <v>-5508.72242389994</v>
      </c>
      <c r="AP112" s="16" t="n">
        <v>0.571662319418224</v>
      </c>
      <c r="AQ112" s="16" t="n">
        <v>78.306860851742</v>
      </c>
      <c r="AR112" s="16" t="n">
        <v>509.516369365273</v>
      </c>
      <c r="AS112" s="16" t="n">
        <v>314.925245</v>
      </c>
      <c r="AT112" s="16" t="n">
        <v>1000</v>
      </c>
      <c r="AU112" s="16" t="n">
        <v>12.270507</v>
      </c>
      <c r="AV112" s="16" t="n">
        <v>0</v>
      </c>
      <c r="AW112" s="16" t="n">
        <v>2254.3125</v>
      </c>
      <c r="AX112" s="16" t="n">
        <v>314.925245</v>
      </c>
      <c r="AY112" s="16" t="n">
        <v>314.925245</v>
      </c>
      <c r="AZ112" s="16" t="n">
        <v>5463.00705029439</v>
      </c>
      <c r="BA112" s="16" t="n">
        <v>0</v>
      </c>
      <c r="BB112" s="16" t="n">
        <v>497.928966666667</v>
      </c>
      <c r="BC112" s="16" t="n">
        <v>111420.385516672</v>
      </c>
      <c r="BD112" s="16" t="n">
        <v>16.2162685498139</v>
      </c>
      <c r="BE112" s="16" t="n">
        <v>24.8735611717503</v>
      </c>
      <c r="BF112" s="16" t="n">
        <v>39.1014163805527</v>
      </c>
      <c r="BG112" s="16" t="n">
        <v>-8.27711430924607</v>
      </c>
      <c r="BH112" s="16" t="n">
        <v>-7.28866183200638</v>
      </c>
      <c r="BI112" s="16" t="n">
        <v>1.09242813813745</v>
      </c>
      <c r="BJ112" s="16" t="n">
        <v>2.04083187529388</v>
      </c>
      <c r="BK112" s="16" t="n">
        <v>5.25403316350504</v>
      </c>
      <c r="BL112" s="16" t="n">
        <v>7.88491984612206</v>
      </c>
      <c r="BM112" s="16" t="n">
        <v>3.71992671744367</v>
      </c>
      <c r="BN112" s="16" t="n">
        <v>4.46573109600205</v>
      </c>
      <c r="BO112" s="16" t="n">
        <v>5.7791095890411</v>
      </c>
      <c r="BP112" s="16" t="n">
        <v>8712.70308277889</v>
      </c>
      <c r="BQ112" s="16" t="n">
        <v>7168.82580044482</v>
      </c>
      <c r="BR112" s="16" t="n">
        <v>7168.82580044482</v>
      </c>
      <c r="BS112" s="16" t="n">
        <v>509.516369365273</v>
      </c>
      <c r="BT112" s="16" t="n">
        <v>301.7195</v>
      </c>
      <c r="BU112" s="16" t="n">
        <v>1081.9108</v>
      </c>
      <c r="BV112" s="16" t="s">
        <v>3237</v>
      </c>
      <c r="BW112" s="16" t="n">
        <v>42.7692307692308</v>
      </c>
      <c r="BX112" s="16" t="n">
        <v>0.155994305554286</v>
      </c>
      <c r="BY112" s="16" t="n">
        <v>0.161741466184191</v>
      </c>
      <c r="BZ112" s="16" t="n">
        <v>13510.8578038903</v>
      </c>
      <c r="CA112" s="16" t="n">
        <v>19402.010477409</v>
      </c>
      <c r="CB112" s="16" t="n">
        <v>283.17117866315</v>
      </c>
      <c r="CC112" s="16" t="n">
        <v>0</v>
      </c>
      <c r="CD112" s="16" t="n">
        <v>950.69728</v>
      </c>
      <c r="CE112" s="16" t="n">
        <v>12000</v>
      </c>
      <c r="CF112" s="16" t="n">
        <v>23.9764186691873</v>
      </c>
      <c r="CG112" s="16" t="n">
        <v>27.0933530961817</v>
      </c>
      <c r="CH112" s="16" t="n">
        <v>1635.72578822715</v>
      </c>
      <c r="CI112" s="16" t="n">
        <v>-6.2083733271085</v>
      </c>
      <c r="CJ112" s="16" t="n">
        <v>3.00594144553374</v>
      </c>
      <c r="CK112" s="16" t="n">
        <v>39455.9435462842</v>
      </c>
      <c r="CL112" s="16" t="n">
        <v>167.522879865273</v>
      </c>
      <c r="CM112" s="16" t="n">
        <v>192.890448115273</v>
      </c>
      <c r="CN112" s="16" t="n">
        <v>1000</v>
      </c>
      <c r="CO112" s="16" t="n">
        <v>1.5535546875</v>
      </c>
      <c r="CP112" s="16" t="n">
        <v>1.09004417261298</v>
      </c>
      <c r="CQ112" s="16" t="n">
        <v>1.93514668181057</v>
      </c>
      <c r="CR112" s="16" t="n">
        <v>88.4867527624684</v>
      </c>
      <c r="CS112" s="16" t="n">
        <v>30.0129162313359</v>
      </c>
      <c r="CT112" s="16" t="n">
        <v>1.71251918744298</v>
      </c>
      <c r="CU112" s="16" t="n">
        <v>1.93514668181057</v>
      </c>
      <c r="CV112" s="16" t="n">
        <v>22921.5675317455</v>
      </c>
      <c r="CW112" s="16" t="n">
        <v>4659.46527631519</v>
      </c>
      <c r="CX112" s="16" t="n">
        <v>27581.0328080607</v>
      </c>
      <c r="CY112" s="16" t="n">
        <v>22921.5675317455</v>
      </c>
      <c r="CZ112" s="16" t="n">
        <v>1183.29710524553</v>
      </c>
      <c r="DA112" s="16" t="n">
        <v>23.9764186691873</v>
      </c>
      <c r="DB112" s="16" t="n">
        <v>16607.3403836277</v>
      </c>
      <c r="DC112" s="16" t="n">
        <v>12322.6465646518</v>
      </c>
      <c r="DD112" s="16" t="n">
        <v>11144.3333333333</v>
      </c>
      <c r="DE112" s="16" t="n">
        <v>1921.25</v>
      </c>
      <c r="DF112" s="16" t="n">
        <v>23236.4927767455</v>
      </c>
      <c r="DG112" s="16" t="n">
        <v>192.890448115273</v>
      </c>
      <c r="DH112" s="16" t="n">
        <v>0</v>
      </c>
      <c r="DI112" s="16" t="n">
        <v>30.0129435730984</v>
      </c>
    </row>
    <row r="113" customFormat="false" ht="15" hidden="false" customHeight="false" outlineLevel="0" collapsed="false">
      <c r="A113" s="0" t="s">
        <v>3331</v>
      </c>
      <c r="B113" s="16" t="n">
        <v>2465.07954157611</v>
      </c>
      <c r="C113" s="16" t="n">
        <v>8209.24039226006</v>
      </c>
      <c r="D113" s="16" t="n">
        <v>19716.7966317894</v>
      </c>
      <c r="E113" s="16" t="n">
        <v>4213.14398474076</v>
      </c>
      <c r="F113" s="16" t="n">
        <v>-1135.49021845689</v>
      </c>
      <c r="G113" s="16" t="n">
        <v>5020.26458750724</v>
      </c>
      <c r="H113" s="16" t="n">
        <v>-3198.47814758658</v>
      </c>
      <c r="I113" s="17" t="n">
        <v>0.01</v>
      </c>
      <c r="J113" s="17" t="n">
        <v>0</v>
      </c>
      <c r="K113" s="16" t="s">
        <v>116</v>
      </c>
      <c r="L113" s="16" t="n">
        <v>1000</v>
      </c>
      <c r="M113" s="16" t="n">
        <v>33779.4469253452</v>
      </c>
      <c r="N113" s="16" t="n">
        <v>11402.7039831813</v>
      </c>
      <c r="O113" s="16" t="n">
        <v>1000</v>
      </c>
      <c r="P113" s="16" t="n">
        <v>951.290832135856</v>
      </c>
      <c r="Q113" s="16" t="n">
        <v>-267.565775756198</v>
      </c>
      <c r="R113" s="16" t="n">
        <v>17617.7170533315</v>
      </c>
      <c r="S113" s="16" t="n">
        <v>26949.0428826358</v>
      </c>
      <c r="T113" s="16" t="n">
        <v>-955.692204749296</v>
      </c>
      <c r="U113" s="16" t="n">
        <v>-4120.76035184503</v>
      </c>
      <c r="V113" s="16" t="n">
        <v>0.750319556751226</v>
      </c>
      <c r="W113" s="16" t="n">
        <v>46166.2147180189</v>
      </c>
      <c r="X113" s="16" t="n">
        <v>22149.4762774452</v>
      </c>
      <c r="Y113" s="16" t="n">
        <v>0</v>
      </c>
      <c r="Z113" s="16" t="n">
        <v>0</v>
      </c>
      <c r="AA113" s="16" t="n">
        <v>27.424347870838</v>
      </c>
      <c r="AB113" s="16" t="n">
        <v>25.224347870838</v>
      </c>
      <c r="AC113" s="16" t="n">
        <v>26.674347870838</v>
      </c>
      <c r="AD113" s="16" t="n">
        <v>27.2673434792775</v>
      </c>
      <c r="AE113" s="16" t="n">
        <v>674.686407680941</v>
      </c>
      <c r="AF113" s="16" t="n">
        <v>0.03</v>
      </c>
      <c r="AG113" s="16" t="n">
        <v>0.654405917289144</v>
      </c>
      <c r="AH113" s="16" t="n">
        <v>7409.41719809611</v>
      </c>
      <c r="AI113" s="16" t="n">
        <v>19716.7966317894</v>
      </c>
      <c r="AJ113" s="16" t="n">
        <v>16.69175</v>
      </c>
      <c r="AK113" s="16" t="n">
        <v>0</v>
      </c>
      <c r="AL113" s="16" t="n">
        <v>1000</v>
      </c>
      <c r="AM113" s="16" t="n">
        <v>812.6073</v>
      </c>
      <c r="AN113" s="16" t="n">
        <v>0</v>
      </c>
      <c r="AO113" s="16" t="n">
        <v>-355.263647296984</v>
      </c>
      <c r="AP113" s="16" t="n">
        <v>0.414483496940676</v>
      </c>
      <c r="AQ113" s="16" t="n">
        <v>90.1169159821427</v>
      </c>
      <c r="AR113" s="16" t="n">
        <v>570.676912352158</v>
      </c>
      <c r="AS113" s="16" t="n">
        <v>314.925245</v>
      </c>
      <c r="AT113" s="16" t="n">
        <v>1000</v>
      </c>
      <c r="AU113" s="16" t="n">
        <v>12.270507</v>
      </c>
      <c r="AV113" s="16" t="n">
        <v>0</v>
      </c>
      <c r="AW113" s="16" t="n">
        <v>2254.3125</v>
      </c>
      <c r="AX113" s="16" t="n">
        <v>314.925245</v>
      </c>
      <c r="AY113" s="16" t="n">
        <v>314.925245</v>
      </c>
      <c r="AZ113" s="16" t="n">
        <v>5631.62619515181</v>
      </c>
      <c r="BA113" s="16" t="n">
        <v>0</v>
      </c>
      <c r="BB113" s="16" t="n">
        <v>417.928966666667</v>
      </c>
      <c r="BC113" s="16" t="n">
        <v>111441.907179589</v>
      </c>
      <c r="BD113" s="16" t="n">
        <v>12.94126639766</v>
      </c>
      <c r="BE113" s="16" t="n">
        <v>21.5985590195964</v>
      </c>
      <c r="BF113" s="16" t="n">
        <v>35.8264142283988</v>
      </c>
      <c r="BG113" s="16" t="n">
        <v>-8.27711430924607</v>
      </c>
      <c r="BH113" s="16" t="n">
        <v>-7.28866183200638</v>
      </c>
      <c r="BI113" s="16" t="n">
        <v>1.09242813813745</v>
      </c>
      <c r="BJ113" s="16" t="n">
        <v>2.04083187529388</v>
      </c>
      <c r="BK113" s="16" t="n">
        <v>5.25403316350504</v>
      </c>
      <c r="BL113" s="16" t="n">
        <v>7.88491984612206</v>
      </c>
      <c r="BM113" s="16" t="n">
        <v>3.71992671744367</v>
      </c>
      <c r="BN113" s="16" t="n">
        <v>4.46573109600205</v>
      </c>
      <c r="BO113" s="16" t="n">
        <v>5.7791095890411</v>
      </c>
      <c r="BP113" s="16" t="n">
        <v>8712.70308277889</v>
      </c>
      <c r="BQ113" s="16" t="n">
        <v>8176.87365522983</v>
      </c>
      <c r="BR113" s="16" t="n">
        <v>8176.87365522983</v>
      </c>
      <c r="BS113" s="16" t="n">
        <v>570.676912352158</v>
      </c>
      <c r="BT113" s="16" t="n">
        <v>301.7195</v>
      </c>
      <c r="BU113" s="16" t="n">
        <v>1081.9108</v>
      </c>
      <c r="BV113" s="16" t="s">
        <v>3237</v>
      </c>
      <c r="BW113" s="16" t="n">
        <v>42.7692307692308</v>
      </c>
      <c r="BX113" s="16" t="n">
        <v>0.155994305554286</v>
      </c>
      <c r="BY113" s="16" t="n">
        <v>0.161741466184191</v>
      </c>
      <c r="BZ113" s="16" t="n">
        <v>13510.8578038903</v>
      </c>
      <c r="CA113" s="16" t="n">
        <v>19402.010477409</v>
      </c>
      <c r="CB113" s="16" t="n">
        <v>376.155484439674</v>
      </c>
      <c r="CC113" s="16" t="n">
        <v>0</v>
      </c>
      <c r="CD113" s="16" t="n">
        <v>950.69728</v>
      </c>
      <c r="CE113" s="16" t="n">
        <v>0</v>
      </c>
      <c r="CF113" s="16" t="n">
        <v>25.9541726431023</v>
      </c>
      <c r="CG113" s="16" t="n">
        <v>29.3282150867055</v>
      </c>
      <c r="CH113" s="16" t="n">
        <v>2643.77364301215</v>
      </c>
      <c r="CI113" s="16" t="n">
        <v>-6.2083733271085</v>
      </c>
      <c r="CJ113" s="16" t="n">
        <v>3.00594144553374</v>
      </c>
      <c r="CK113" s="16" t="n">
        <v>53834.9806710384</v>
      </c>
      <c r="CL113" s="16" t="n">
        <v>228.573699902127</v>
      </c>
      <c r="CM113" s="16" t="n">
        <v>253.941268152127</v>
      </c>
      <c r="CN113" s="16" t="n">
        <v>1000</v>
      </c>
      <c r="CO113" s="16" t="n">
        <v>1.5535546875</v>
      </c>
      <c r="CP113" s="16" t="n">
        <v>1.09004417261298</v>
      </c>
      <c r="CQ113" s="16" t="n">
        <v>0</v>
      </c>
      <c r="CR113" s="16" t="n">
        <v>101.832115059821</v>
      </c>
      <c r="CS113" s="16" t="n">
        <v>38.3975096144573</v>
      </c>
      <c r="CT113" s="16" t="n">
        <v>0</v>
      </c>
      <c r="CU113" s="16" t="n">
        <v>0.0113</v>
      </c>
      <c r="CV113" s="16" t="n">
        <v>5197843.58192109</v>
      </c>
      <c r="CW113" s="16" t="n">
        <v>797942.368891408</v>
      </c>
      <c r="CX113" s="16" t="n">
        <v>5995785.9508125</v>
      </c>
      <c r="CY113" s="16" t="n">
        <v>5197843.58192109</v>
      </c>
      <c r="CZ113" s="16" t="n">
        <v>1195.42817302927</v>
      </c>
      <c r="DA113" s="16" t="n">
        <v>25.9541726431023</v>
      </c>
      <c r="DB113" s="16" t="n">
        <v>16775.9595284851</v>
      </c>
      <c r="DC113" s="16" t="n">
        <v>12447.761970136</v>
      </c>
      <c r="DD113" s="16" t="n">
        <v>11144.3333333333</v>
      </c>
      <c r="DE113" s="16" t="n">
        <v>1921.25</v>
      </c>
      <c r="DF113" s="16" t="n">
        <v>5198158.50716609</v>
      </c>
      <c r="DG113" s="16" t="n">
        <v>253.941268152127</v>
      </c>
      <c r="DH113" s="16" t="n">
        <v>0</v>
      </c>
      <c r="DI113" s="16" t="n">
        <v>38.3975205810635</v>
      </c>
    </row>
    <row r="114" customFormat="false" ht="15" hidden="false" customHeight="false" outlineLevel="0" collapsed="false">
      <c r="A114" s="0" t="s">
        <v>3332</v>
      </c>
      <c r="B114" s="16" t="n">
        <v>2518.2803321339</v>
      </c>
      <c r="C114" s="16" t="n">
        <v>9113.18205886774</v>
      </c>
      <c r="D114" s="16" t="n">
        <v>22346.4237239726</v>
      </c>
      <c r="E114" s="16" t="n">
        <v>4653.40387389367</v>
      </c>
      <c r="F114" s="16" t="n">
        <v>-1150.08483572377</v>
      </c>
      <c r="G114" s="16" t="n">
        <v>5438.96142726273</v>
      </c>
      <c r="H114" s="16" t="n">
        <v>725.193604334886</v>
      </c>
      <c r="I114" s="17" t="n">
        <v>3.69046414277054</v>
      </c>
      <c r="J114" s="17" t="n">
        <v>11.3301356463276</v>
      </c>
      <c r="K114" s="16" t="s">
        <v>116</v>
      </c>
      <c r="L114" s="16" t="n">
        <v>1000</v>
      </c>
      <c r="M114" s="16" t="n">
        <v>38349.2371742936</v>
      </c>
      <c r="N114" s="16" t="n">
        <v>12882.7057597195</v>
      </c>
      <c r="O114" s="16" t="n">
        <v>1000</v>
      </c>
      <c r="P114" s="16" t="n">
        <v>973.585306039507</v>
      </c>
      <c r="Q114" s="16" t="n">
        <v>67.4400359155811</v>
      </c>
      <c r="R114" s="16" t="n">
        <v>18469.3129500415</v>
      </c>
      <c r="S114" s="16" t="n">
        <v>27001.6354244795</v>
      </c>
      <c r="T114" s="16" t="n">
        <v>-935.525762467956</v>
      </c>
      <c r="U114" s="16" t="n">
        <v>1162.22032432573</v>
      </c>
      <c r="V114" s="16" t="n">
        <v>0.750319556751226</v>
      </c>
      <c r="W114" s="16" t="n">
        <v>49212.2305115903</v>
      </c>
      <c r="X114" s="16" t="n">
        <v>23248.9096951926</v>
      </c>
      <c r="Y114" s="16" t="n">
        <v>10.6584950441172</v>
      </c>
      <c r="Z114" s="16" t="n">
        <v>14.4674502067957</v>
      </c>
      <c r="AA114" s="16" t="n">
        <v>27.424347870838</v>
      </c>
      <c r="AB114" s="16" t="n">
        <v>25.224347870838</v>
      </c>
      <c r="AC114" s="16" t="n">
        <v>26.674347870838</v>
      </c>
      <c r="AD114" s="16" t="n">
        <v>27.2673434792775</v>
      </c>
      <c r="AE114" s="16" t="n">
        <v>674.686407680941</v>
      </c>
      <c r="AF114" s="16" t="n">
        <v>0.03</v>
      </c>
      <c r="AG114" s="16" t="n">
        <v>0.653526387750242</v>
      </c>
      <c r="AH114" s="16" t="n">
        <v>8992.009728377</v>
      </c>
      <c r="AI114" s="16" t="n">
        <v>22346.4237239726</v>
      </c>
      <c r="AJ114" s="16" t="n">
        <v>16.69175</v>
      </c>
      <c r="AK114" s="16" t="n">
        <v>0</v>
      </c>
      <c r="AL114" s="16" t="n">
        <v>1000</v>
      </c>
      <c r="AM114" s="16" t="n">
        <v>960.6073</v>
      </c>
      <c r="AN114" s="16" t="n">
        <v>20079.98904</v>
      </c>
      <c r="AO114" s="16" t="n">
        <v>-5508.72242389994</v>
      </c>
      <c r="AP114" s="16" t="n">
        <v>0.292009272031638</v>
      </c>
      <c r="AQ114" s="16" t="n">
        <v>85.1017030884931</v>
      </c>
      <c r="AR114" s="16" t="n">
        <v>516.357856699579</v>
      </c>
      <c r="AS114" s="16" t="n">
        <v>314.925245</v>
      </c>
      <c r="AT114" s="16" t="n">
        <v>1000</v>
      </c>
      <c r="AU114" s="16" t="n">
        <v>12.270507</v>
      </c>
      <c r="AV114" s="16" t="n">
        <v>0</v>
      </c>
      <c r="AW114" s="16" t="n">
        <v>2254.3125</v>
      </c>
      <c r="AX114" s="16" t="n">
        <v>314.925245</v>
      </c>
      <c r="AY114" s="16" t="n">
        <v>314.925245</v>
      </c>
      <c r="AZ114" s="16" t="n">
        <v>5596.60438165804</v>
      </c>
      <c r="BA114" s="16" t="n">
        <v>0</v>
      </c>
      <c r="BB114" s="16" t="n">
        <v>565.928966666667</v>
      </c>
      <c r="BC114" s="16" t="n">
        <v>117035.937491599</v>
      </c>
      <c r="BD114" s="16" t="n">
        <v>17.1463504034073</v>
      </c>
      <c r="BE114" s="16" t="n">
        <v>25.8036430253436</v>
      </c>
      <c r="BF114" s="16" t="n">
        <v>40.0314982341461</v>
      </c>
      <c r="BG114" s="16" t="n">
        <v>-8.27711430924607</v>
      </c>
      <c r="BH114" s="16" t="n">
        <v>-7.28866183200638</v>
      </c>
      <c r="BI114" s="16" t="n">
        <v>1.09242813813745</v>
      </c>
      <c r="BJ114" s="16" t="n">
        <v>2.04083187529388</v>
      </c>
      <c r="BK114" s="16" t="n">
        <v>5.25403316350504</v>
      </c>
      <c r="BL114" s="16" t="n">
        <v>7.88491984612206</v>
      </c>
      <c r="BM114" s="16" t="n">
        <v>3.71992671744367</v>
      </c>
      <c r="BN114" s="16" t="n">
        <v>4.46573109600205</v>
      </c>
      <c r="BO114" s="16" t="n">
        <v>5.7791095890411</v>
      </c>
      <c r="BP114" s="16" t="n">
        <v>8712.70308277889</v>
      </c>
      <c r="BQ114" s="16" t="n">
        <v>9080.81532183751</v>
      </c>
      <c r="BR114" s="16" t="n">
        <v>9080.81532183751</v>
      </c>
      <c r="BS114" s="16" t="n">
        <v>516.357856699579</v>
      </c>
      <c r="BT114" s="16" t="n">
        <v>301.7195</v>
      </c>
      <c r="BU114" s="16" t="n">
        <v>1081.9108</v>
      </c>
      <c r="BV114" s="16" t="s">
        <v>3237</v>
      </c>
      <c r="BW114" s="16" t="n">
        <v>42.7692307692308</v>
      </c>
      <c r="BX114" s="16" t="n">
        <v>0.155994305554286</v>
      </c>
      <c r="BY114" s="16" t="n">
        <v>0.161741466184191</v>
      </c>
      <c r="BZ114" s="16" t="n">
        <v>13510.8578038903</v>
      </c>
      <c r="CA114" s="16" t="n">
        <v>19402.010477409</v>
      </c>
      <c r="CB114" s="16" t="n">
        <v>294.049872011483</v>
      </c>
      <c r="CC114" s="16" t="n">
        <v>0</v>
      </c>
      <c r="CD114" s="16" t="n">
        <v>950.69728</v>
      </c>
      <c r="CE114" s="16" t="n">
        <v>12000</v>
      </c>
      <c r="CF114" s="16" t="n">
        <v>25.4951357693671</v>
      </c>
      <c r="CG114" s="16" t="n">
        <v>28.8095034193848</v>
      </c>
      <c r="CH114" s="16" t="n">
        <v>2643.77364301215</v>
      </c>
      <c r="CI114" s="16" t="n">
        <v>-6.2083733271085</v>
      </c>
      <c r="CJ114" s="16" t="n">
        <v>3.00594144553374</v>
      </c>
      <c r="CK114" s="16" t="n">
        <v>41067.2896397378</v>
      </c>
      <c r="CL114" s="16" t="n">
        <v>174.364367199579</v>
      </c>
      <c r="CM114" s="16" t="n">
        <v>199.731935449579</v>
      </c>
      <c r="CN114" s="16" t="n">
        <v>1000</v>
      </c>
      <c r="CO114" s="16" t="n">
        <v>1.5535546875</v>
      </c>
      <c r="CP114" s="16" t="n">
        <v>1.09004417261298</v>
      </c>
      <c r="CQ114" s="16" t="n">
        <v>11.3301356463276</v>
      </c>
      <c r="CR114" s="16" t="n">
        <v>96.1649244899972</v>
      </c>
      <c r="CS114" s="16" t="n">
        <v>44.3915107355252</v>
      </c>
      <c r="CT114" s="16" t="n">
        <v>10.0266687135642</v>
      </c>
      <c r="CU114" s="16" t="n">
        <v>11.3301356463276</v>
      </c>
      <c r="CV114" s="16" t="n">
        <v>4057.13955060258</v>
      </c>
      <c r="CW114" s="16" t="n">
        <v>795.820019277129</v>
      </c>
      <c r="CX114" s="16" t="n">
        <v>4852.95956987971</v>
      </c>
      <c r="CY114" s="16" t="n">
        <v>4057.13955060258</v>
      </c>
      <c r="CZ114" s="16" t="n">
        <v>800.965752353881</v>
      </c>
      <c r="DA114" s="16" t="n">
        <v>25.4951357693671</v>
      </c>
      <c r="DB114" s="16" t="n">
        <v>16740.9377149914</v>
      </c>
      <c r="DC114" s="16" t="n">
        <v>12421.7757845236</v>
      </c>
      <c r="DD114" s="16" t="n">
        <v>11144.3333333333</v>
      </c>
      <c r="DE114" s="16" t="n">
        <v>1921.25</v>
      </c>
      <c r="DF114" s="16" t="n">
        <v>4372.06479560258</v>
      </c>
      <c r="DG114" s="16" t="n">
        <v>199.731935449579</v>
      </c>
      <c r="DH114" s="16" t="n">
        <v>0</v>
      </c>
      <c r="DI114" s="16" t="n">
        <v>44.3915109179889</v>
      </c>
    </row>
    <row r="115" customFormat="false" ht="15" hidden="false" customHeight="false" outlineLevel="0" collapsed="false">
      <c r="A115" s="0" t="s">
        <v>3333</v>
      </c>
      <c r="B115" s="16" t="n">
        <v>2518.2803321339</v>
      </c>
      <c r="C115" s="16" t="n">
        <v>9113.18205886774</v>
      </c>
      <c r="D115" s="16" t="n">
        <v>22346.4237239726</v>
      </c>
      <c r="E115" s="16" t="n">
        <v>4653.40387389367</v>
      </c>
      <c r="F115" s="16" t="n">
        <v>-1150.08483572377</v>
      </c>
      <c r="G115" s="16" t="n">
        <v>5438.96142726273</v>
      </c>
      <c r="H115" s="16" t="n">
        <v>-1574.47053364797</v>
      </c>
      <c r="I115" s="17" t="n">
        <v>0.01</v>
      </c>
      <c r="J115" s="17" t="n">
        <v>4.99574478046514</v>
      </c>
      <c r="K115" s="16" t="s">
        <v>116</v>
      </c>
      <c r="L115" s="16" t="n">
        <v>1000</v>
      </c>
      <c r="M115" s="16" t="n">
        <v>38349.2371742936</v>
      </c>
      <c r="N115" s="16" t="n">
        <v>12882.7057597195</v>
      </c>
      <c r="O115" s="16" t="n">
        <v>1000</v>
      </c>
      <c r="P115" s="16" t="n">
        <v>973.585306039507</v>
      </c>
      <c r="Q115" s="16" t="n">
        <v>67.4400359155811</v>
      </c>
      <c r="R115" s="16" t="n">
        <v>18469.3129500415</v>
      </c>
      <c r="S115" s="16" t="n">
        <v>27001.6354244795</v>
      </c>
      <c r="T115" s="16" t="n">
        <v>-935.525762467956</v>
      </c>
      <c r="U115" s="16" t="n">
        <v>-2337.44381365713</v>
      </c>
      <c r="V115" s="16" t="n">
        <v>0.750319556751226</v>
      </c>
      <c r="W115" s="16" t="n">
        <v>49212.2305115903</v>
      </c>
      <c r="X115" s="16" t="n">
        <v>23248.9096951926</v>
      </c>
      <c r="Y115" s="16" t="n">
        <v>4.69960136810199</v>
      </c>
      <c r="Z115" s="16" t="n">
        <v>6.37906651017593</v>
      </c>
      <c r="AA115" s="16" t="n">
        <v>27.424347870838</v>
      </c>
      <c r="AB115" s="16" t="n">
        <v>25.224347870838</v>
      </c>
      <c r="AC115" s="16" t="n">
        <v>26.674347870838</v>
      </c>
      <c r="AD115" s="16" t="n">
        <v>27.2673434792775</v>
      </c>
      <c r="AE115" s="16" t="n">
        <v>674.686407680941</v>
      </c>
      <c r="AF115" s="16" t="n">
        <v>0.03</v>
      </c>
      <c r="AG115" s="16" t="n">
        <v>0.653526387750242</v>
      </c>
      <c r="AH115" s="16" t="n">
        <v>6581.509728377</v>
      </c>
      <c r="AI115" s="16" t="n">
        <v>22346.4237239726</v>
      </c>
      <c r="AJ115" s="16" t="n">
        <v>16.69175</v>
      </c>
      <c r="AK115" s="16" t="n">
        <v>0</v>
      </c>
      <c r="AL115" s="16" t="n">
        <v>1000</v>
      </c>
      <c r="AM115" s="16" t="n">
        <v>960.6073</v>
      </c>
      <c r="AN115" s="16" t="n">
        <v>0</v>
      </c>
      <c r="AO115" s="16" t="n">
        <v>-355.263647296984</v>
      </c>
      <c r="AP115" s="16" t="n">
        <v>0.292009272031638</v>
      </c>
      <c r="AQ115" s="16" t="n">
        <v>95.5807704571079</v>
      </c>
      <c r="AR115" s="16" t="n">
        <v>580.852741627866</v>
      </c>
      <c r="AS115" s="16" t="n">
        <v>314.925245</v>
      </c>
      <c r="AT115" s="16" t="n">
        <v>1000</v>
      </c>
      <c r="AU115" s="16" t="n">
        <v>12.270507</v>
      </c>
      <c r="AV115" s="16" t="n">
        <v>0</v>
      </c>
      <c r="AW115" s="16" t="n">
        <v>2254.3125</v>
      </c>
      <c r="AX115" s="16" t="n">
        <v>314.925245</v>
      </c>
      <c r="AY115" s="16" t="n">
        <v>314.925245</v>
      </c>
      <c r="AZ115" s="16" t="n">
        <v>5596.60438165804</v>
      </c>
      <c r="BA115" s="16" t="n">
        <v>0</v>
      </c>
      <c r="BB115" s="16" t="n">
        <v>565.928966666667</v>
      </c>
      <c r="BC115" s="16" t="n">
        <v>117035.937491599</v>
      </c>
      <c r="BD115" s="16" t="n">
        <v>13.3359223127663</v>
      </c>
      <c r="BE115" s="16" t="n">
        <v>21.9932149347026</v>
      </c>
      <c r="BF115" s="16" t="n">
        <v>36.2210701435051</v>
      </c>
      <c r="BG115" s="16" t="n">
        <v>-8.27711430924607</v>
      </c>
      <c r="BH115" s="16" t="n">
        <v>-7.28866183200638</v>
      </c>
      <c r="BI115" s="16" t="n">
        <v>1.09242813813745</v>
      </c>
      <c r="BJ115" s="16" t="n">
        <v>2.04083187529388</v>
      </c>
      <c r="BK115" s="16" t="n">
        <v>5.25403316350504</v>
      </c>
      <c r="BL115" s="16" t="n">
        <v>7.88491984612206</v>
      </c>
      <c r="BM115" s="16" t="n">
        <v>3.71992671744367</v>
      </c>
      <c r="BN115" s="16" t="n">
        <v>4.46573109600205</v>
      </c>
      <c r="BO115" s="16" t="n">
        <v>5.7791095890411</v>
      </c>
      <c r="BP115" s="16" t="n">
        <v>8712.70308277889</v>
      </c>
      <c r="BQ115" s="16" t="n">
        <v>9080.81532183751</v>
      </c>
      <c r="BR115" s="16" t="n">
        <v>9080.81532183751</v>
      </c>
      <c r="BS115" s="16" t="n">
        <v>580.852741627866</v>
      </c>
      <c r="BT115" s="16" t="n">
        <v>301.7195</v>
      </c>
      <c r="BU115" s="16" t="n">
        <v>1081.9108</v>
      </c>
      <c r="BV115" s="16" t="s">
        <v>3237</v>
      </c>
      <c r="BW115" s="16" t="n">
        <v>42.7692307692308</v>
      </c>
      <c r="BX115" s="16" t="n">
        <v>0.155994305554286</v>
      </c>
      <c r="BY115" s="16" t="n">
        <v>0.161741466184191</v>
      </c>
      <c r="BZ115" s="16" t="n">
        <v>13510.8578038903</v>
      </c>
      <c r="CA115" s="16" t="n">
        <v>19402.010477409</v>
      </c>
      <c r="CB115" s="16" t="n">
        <v>391.958374867045</v>
      </c>
      <c r="CC115" s="16" t="n">
        <v>0</v>
      </c>
      <c r="CD115" s="16" t="n">
        <v>950.69728</v>
      </c>
      <c r="CE115" s="16" t="n">
        <v>0</v>
      </c>
      <c r="CF115" s="16" t="n">
        <v>27.1917341612019</v>
      </c>
      <c r="CG115" s="16" t="n">
        <v>30.7266596021581</v>
      </c>
      <c r="CH115" s="16" t="n">
        <v>2643.77364301215</v>
      </c>
      <c r="CI115" s="16" t="n">
        <v>-6.2083733271085</v>
      </c>
      <c r="CJ115" s="16" t="n">
        <v>3.00594144553374</v>
      </c>
      <c r="CK115" s="16" t="n">
        <v>56142.3733363773</v>
      </c>
      <c r="CL115" s="16" t="n">
        <v>238.370476497373</v>
      </c>
      <c r="CM115" s="16" t="n">
        <v>263.738044747373</v>
      </c>
      <c r="CN115" s="16" t="n">
        <v>1000</v>
      </c>
      <c r="CO115" s="16" t="n">
        <v>1.5535546875</v>
      </c>
      <c r="CP115" s="16" t="n">
        <v>1.09004417261298</v>
      </c>
      <c r="CQ115" s="16" t="n">
        <v>4.99574478046514</v>
      </c>
      <c r="CR115" s="16" t="n">
        <v>108.006270616532</v>
      </c>
      <c r="CS115" s="16" t="n">
        <v>51.0138797302179</v>
      </c>
      <c r="CT115" s="16" t="n">
        <v>4.42101308005765</v>
      </c>
      <c r="CU115" s="16" t="n">
        <v>4.99574478046514</v>
      </c>
      <c r="CV115" s="16" t="n">
        <v>12219.0039370594</v>
      </c>
      <c r="CW115" s="16" t="n">
        <v>1804.88579074958</v>
      </c>
      <c r="CX115" s="16" t="n">
        <v>14023.8897278089</v>
      </c>
      <c r="CY115" s="16" t="n">
        <v>12219.0039370594</v>
      </c>
      <c r="CZ115" s="16" t="n">
        <v>912.511515762624</v>
      </c>
      <c r="DA115" s="16" t="n">
        <v>27.1917341612019</v>
      </c>
      <c r="DB115" s="16" t="n">
        <v>16740.9377149914</v>
      </c>
      <c r="DC115" s="16" t="n">
        <v>12421.7757845236</v>
      </c>
      <c r="DD115" s="16" t="n">
        <v>11144.3333333333</v>
      </c>
      <c r="DE115" s="16" t="n">
        <v>1921.25</v>
      </c>
      <c r="DF115" s="16" t="n">
        <v>12533.9291820594</v>
      </c>
      <c r="DG115" s="16" t="n">
        <v>263.738044747373</v>
      </c>
      <c r="DH115" s="16" t="n">
        <v>0</v>
      </c>
      <c r="DI115" s="16" t="n">
        <v>51.0138799606799</v>
      </c>
    </row>
    <row r="116" customFormat="false" ht="15" hidden="false" customHeight="false" outlineLevel="0" collapsed="false">
      <c r="A116" s="0" t="s">
        <v>3334</v>
      </c>
      <c r="B116" s="16" t="n">
        <v>2465.07954157611</v>
      </c>
      <c r="C116" s="16" t="n">
        <v>8730.42677633246</v>
      </c>
      <c r="D116" s="16" t="n">
        <v>23124.7551880894</v>
      </c>
      <c r="E116" s="16" t="n">
        <v>4583.18631743216</v>
      </c>
      <c r="F116" s="16" t="n">
        <v>-786.805142148688</v>
      </c>
      <c r="G116" s="16" t="n">
        <v>5020.77438852755</v>
      </c>
      <c r="H116" s="16" t="n">
        <v>49803.3239249176</v>
      </c>
      <c r="I116" s="17" t="n">
        <v>155.370982096897</v>
      </c>
      <c r="J116" s="17" t="n">
        <v>179.632334515879</v>
      </c>
      <c r="K116" s="16" t="s">
        <v>116</v>
      </c>
      <c r="L116" s="16" t="n">
        <v>1000</v>
      </c>
      <c r="M116" s="16" t="n">
        <v>33789.8706530267</v>
      </c>
      <c r="N116" s="16" t="n">
        <v>13992.7524859693</v>
      </c>
      <c r="O116" s="16" t="n">
        <v>1111.46096582553</v>
      </c>
      <c r="P116" s="16" t="n">
        <v>951.290832135856</v>
      </c>
      <c r="Q116" s="16" t="n">
        <v>2180.38166858537</v>
      </c>
      <c r="R116" s="16" t="n">
        <v>17617.7170533315</v>
      </c>
      <c r="S116" s="16" t="n">
        <v>27017.2020537618</v>
      </c>
      <c r="T116" s="16" t="n">
        <v>-955.692204749296</v>
      </c>
      <c r="U116" s="16" t="n">
        <v>53449.7905926698</v>
      </c>
      <c r="V116" s="16" t="n">
        <v>0.750319556751226</v>
      </c>
      <c r="W116" s="16" t="n">
        <v>87039.643434124</v>
      </c>
      <c r="X116" s="16" t="n">
        <v>23422.6483282155</v>
      </c>
      <c r="Y116" s="16" t="n">
        <v>168.983885715551</v>
      </c>
      <c r="Z116" s="16" t="n">
        <v>229.372527943326</v>
      </c>
      <c r="AA116" s="16" t="n">
        <v>27.424347870838</v>
      </c>
      <c r="AB116" s="16" t="n">
        <v>25.224347870838</v>
      </c>
      <c r="AC116" s="16" t="n">
        <v>26.674347870838</v>
      </c>
      <c r="AD116" s="16" t="n">
        <v>27.2673434792775</v>
      </c>
      <c r="AE116" s="16" t="n">
        <v>674.686407680941</v>
      </c>
      <c r="AF116" s="16" t="n">
        <v>0.03</v>
      </c>
      <c r="AG116" s="16" t="n">
        <v>0.688876619768064</v>
      </c>
      <c r="AH116" s="16" t="n">
        <v>9819.91719809611</v>
      </c>
      <c r="AI116" s="16" t="n">
        <v>23124.7551880894</v>
      </c>
      <c r="AJ116" s="16" t="n">
        <v>16.69175</v>
      </c>
      <c r="AK116" s="16" t="n">
        <v>0</v>
      </c>
      <c r="AL116" s="16" t="n">
        <v>1000</v>
      </c>
      <c r="AM116" s="16" t="n">
        <v>812.6073</v>
      </c>
      <c r="AN116" s="16" t="n">
        <v>20079.98904</v>
      </c>
      <c r="AO116" s="16" t="n">
        <v>-5508.72242389994</v>
      </c>
      <c r="AP116" s="16" t="n">
        <v>0.414483496940676</v>
      </c>
      <c r="AQ116" s="16" t="n">
        <v>174.179014281433</v>
      </c>
      <c r="AR116" s="16" t="n">
        <v>496.620347317464</v>
      </c>
      <c r="AS116" s="16" t="n">
        <v>344.013984280126</v>
      </c>
      <c r="AT116" s="16" t="n">
        <v>1000</v>
      </c>
      <c r="AU116" s="16" t="n">
        <v>12.270507</v>
      </c>
      <c r="AV116" s="16" t="n">
        <v>0</v>
      </c>
      <c r="AW116" s="16" t="n">
        <v>2254.3125</v>
      </c>
      <c r="AX116" s="16" t="n">
        <v>344.013984280126</v>
      </c>
      <c r="AY116" s="16" t="n">
        <v>322.332014928155</v>
      </c>
      <c r="AZ116" s="16" t="n">
        <v>6323.97748707052</v>
      </c>
      <c r="BA116" s="16" t="n">
        <v>0</v>
      </c>
      <c r="BB116" s="16" t="n">
        <v>417.928966666667</v>
      </c>
      <c r="BC116" s="16" t="n">
        <v>111908.666766543</v>
      </c>
      <c r="BD116" s="16" t="n">
        <v>18.9501568310666</v>
      </c>
      <c r="BE116" s="16" t="n">
        <v>27.607449453003</v>
      </c>
      <c r="BF116" s="16" t="n">
        <v>41.8353046618054</v>
      </c>
      <c r="BG116" s="16" t="n">
        <v>-8.27711430924607</v>
      </c>
      <c r="BH116" s="16" t="n">
        <v>-7.28866183200638</v>
      </c>
      <c r="BI116" s="16" t="n">
        <v>1.09242813813745</v>
      </c>
      <c r="BJ116" s="16" t="n">
        <v>2.04083187529388</v>
      </c>
      <c r="BK116" s="16" t="n">
        <v>5.25403316350504</v>
      </c>
      <c r="BL116" s="16" t="n">
        <v>7.88491984612206</v>
      </c>
      <c r="BM116" s="16" t="n">
        <v>3.71992671744367</v>
      </c>
      <c r="BN116" s="16" t="n">
        <v>4.46573109600205</v>
      </c>
      <c r="BO116" s="16" t="n">
        <v>5.7791095890411</v>
      </c>
      <c r="BP116" s="16" t="n">
        <v>8712.70308277889</v>
      </c>
      <c r="BQ116" s="16" t="n">
        <v>8698.06003930223</v>
      </c>
      <c r="BR116" s="16" t="n">
        <v>8698.06003930223</v>
      </c>
      <c r="BS116" s="16" t="n">
        <v>496.620347317464</v>
      </c>
      <c r="BT116" s="16" t="n">
        <v>301.7195</v>
      </c>
      <c r="BU116" s="16" t="n">
        <v>1081.9108</v>
      </c>
      <c r="BV116" s="16" t="s">
        <v>3238</v>
      </c>
      <c r="BW116" s="16" t="n">
        <v>42.7692307692308</v>
      </c>
      <c r="BX116" s="16" t="n">
        <v>0.155994305554286</v>
      </c>
      <c r="BY116" s="16" t="n">
        <v>0.161741466184191</v>
      </c>
      <c r="BZ116" s="16" t="n">
        <v>10142.1089318797</v>
      </c>
      <c r="CA116" s="16" t="n">
        <v>17650.5211594716</v>
      </c>
      <c r="CB116" s="16" t="n">
        <v>227.001573491457</v>
      </c>
      <c r="CC116" s="16" t="n">
        <v>0</v>
      </c>
      <c r="CD116" s="16" t="n">
        <v>950.69728</v>
      </c>
      <c r="CE116" s="16" t="n">
        <v>12000</v>
      </c>
      <c r="CF116" s="16" t="n">
        <v>24.3354290985755</v>
      </c>
      <c r="CG116" s="16" t="n">
        <v>27.4990348813903</v>
      </c>
      <c r="CH116" s="16" t="n">
        <v>2643.77364301215</v>
      </c>
      <c r="CI116" s="16" t="n">
        <v>-6.2083733271085</v>
      </c>
      <c r="CJ116" s="16" t="n">
        <v>3.00594144553374</v>
      </c>
      <c r="CK116" s="16" t="n">
        <v>32954.8884850676</v>
      </c>
      <c r="CL116" s="16" t="n">
        <v>139.920562745669</v>
      </c>
      <c r="CM116" s="16" t="n">
        <v>165.288130995669</v>
      </c>
      <c r="CN116" s="16" t="n">
        <v>1000</v>
      </c>
      <c r="CO116" s="16" t="n">
        <v>1.5535546875</v>
      </c>
      <c r="CP116" s="16" t="n">
        <v>1.09004417261298</v>
      </c>
      <c r="CQ116" s="16" t="n">
        <v>179.632334515879</v>
      </c>
      <c r="CR116" s="16" t="n">
        <v>196.822286138019</v>
      </c>
      <c r="CS116" s="16" t="n">
        <v>181.329628887824</v>
      </c>
      <c r="CT116" s="16" t="n">
        <v>158.966667713168</v>
      </c>
      <c r="CU116" s="16" t="n">
        <v>179.632334515879</v>
      </c>
      <c r="CV116" s="16" t="n">
        <v>213.140613467827</v>
      </c>
      <c r="CW116" s="16" t="n">
        <v>50.1955774987483</v>
      </c>
      <c r="CX116" s="16" t="n">
        <v>263.336190966576</v>
      </c>
      <c r="CY116" s="16" t="n">
        <v>213.140613467827</v>
      </c>
      <c r="CZ116" s="16" t="n">
        <v>208.012088327784</v>
      </c>
      <c r="DA116" s="16" t="n">
        <v>24.3354290985755</v>
      </c>
      <c r="DB116" s="16" t="n">
        <v>17468.3108204039</v>
      </c>
      <c r="DC116" s="16" t="n">
        <v>12961.4866287397</v>
      </c>
      <c r="DD116" s="16" t="n">
        <v>11144.3333333333</v>
      </c>
      <c r="DE116" s="16" t="n">
        <v>0</v>
      </c>
      <c r="DF116" s="16" t="n">
        <v>544.14452924142</v>
      </c>
      <c r="DG116" s="16" t="n">
        <v>165.288130995669</v>
      </c>
      <c r="DH116" s="16" t="n">
        <v>0</v>
      </c>
      <c r="DI116" s="16" t="n">
        <v>181.329628887824</v>
      </c>
    </row>
    <row r="117" customFormat="false" ht="15" hidden="false" customHeight="false" outlineLevel="0" collapsed="false">
      <c r="A117" s="0" t="s">
        <v>3335</v>
      </c>
      <c r="B117" s="16" t="n">
        <v>2465.07954157611</v>
      </c>
      <c r="C117" s="16" t="n">
        <v>7998.14833633364</v>
      </c>
      <c r="D117" s="16" t="n">
        <v>19244.3423675407</v>
      </c>
      <c r="E117" s="16" t="n">
        <v>4063.26862503299</v>
      </c>
      <c r="F117" s="16" t="n">
        <v>-1276.74414186971</v>
      </c>
      <c r="G117" s="16" t="n">
        <v>5020.08683344936</v>
      </c>
      <c r="H117" s="16" t="n">
        <v>-2164.53940222304</v>
      </c>
      <c r="I117" s="17" t="n">
        <v>0.01</v>
      </c>
      <c r="J117" s="17" t="n">
        <v>0</v>
      </c>
      <c r="K117" s="16" t="s">
        <v>116</v>
      </c>
      <c r="L117" s="16" t="n">
        <v>1000</v>
      </c>
      <c r="M117" s="16" t="n">
        <v>33775.2250842267</v>
      </c>
      <c r="N117" s="16" t="n">
        <v>11043.6387423523</v>
      </c>
      <c r="O117" s="16" t="n">
        <v>1000</v>
      </c>
      <c r="P117" s="16" t="n">
        <v>951.290832135856</v>
      </c>
      <c r="Q117" s="16" t="n">
        <v>-606.188412773573</v>
      </c>
      <c r="R117" s="16" t="n">
        <v>17617.7170533315</v>
      </c>
      <c r="S117" s="16" t="n">
        <v>26939.5937973508</v>
      </c>
      <c r="T117" s="16" t="n">
        <v>-955.692204749296</v>
      </c>
      <c r="U117" s="16" t="n">
        <v>-1886.8216064815</v>
      </c>
      <c r="V117" s="16" t="n">
        <v>0.750319556751226</v>
      </c>
      <c r="W117" s="16" t="n">
        <v>45713.705061956</v>
      </c>
      <c r="X117" s="16" t="n">
        <v>22143.0601266237</v>
      </c>
      <c r="Y117" s="16" t="n">
        <v>0</v>
      </c>
      <c r="Z117" s="16" t="n">
        <v>0</v>
      </c>
      <c r="AA117" s="16" t="n">
        <v>27.424347870838</v>
      </c>
      <c r="AB117" s="16" t="n">
        <v>25.224347870838</v>
      </c>
      <c r="AC117" s="16" t="n">
        <v>26.674347870838</v>
      </c>
      <c r="AD117" s="16" t="n">
        <v>30.0881031495475</v>
      </c>
      <c r="AE117" s="16" t="n">
        <v>674.686407680941</v>
      </c>
      <c r="AF117" s="16" t="n">
        <v>0.03</v>
      </c>
      <c r="AG117" s="16" t="n">
        <v>0.65255735615235</v>
      </c>
      <c r="AH117" s="16" t="n">
        <v>9819.91719809611</v>
      </c>
      <c r="AI117" s="16" t="n">
        <v>19244.3423675407</v>
      </c>
      <c r="AJ117" s="16" t="n">
        <v>15.26675</v>
      </c>
      <c r="AK117" s="16" t="n">
        <v>0</v>
      </c>
      <c r="AL117" s="16" t="n">
        <v>1000</v>
      </c>
      <c r="AM117" s="16" t="n">
        <v>812.6073</v>
      </c>
      <c r="AN117" s="16" t="n">
        <v>20079.98904</v>
      </c>
      <c r="AO117" s="16" t="n">
        <v>-5508.72242389994</v>
      </c>
      <c r="AP117" s="16" t="n">
        <v>0.447136783498544</v>
      </c>
      <c r="AQ117" s="16" t="n">
        <v>77.1979406527899</v>
      </c>
      <c r="AR117" s="16" t="n">
        <v>509.838924677736</v>
      </c>
      <c r="AS117" s="16" t="n">
        <v>314.925245</v>
      </c>
      <c r="AT117" s="16" t="n">
        <v>1000</v>
      </c>
      <c r="AU117" s="16" t="n">
        <v>12.270507</v>
      </c>
      <c r="AV117" s="16" t="n">
        <v>0</v>
      </c>
      <c r="AW117" s="16" t="n">
        <v>2254.3125</v>
      </c>
      <c r="AX117" s="16" t="n">
        <v>314.925245</v>
      </c>
      <c r="AY117" s="16" t="n">
        <v>314.925245</v>
      </c>
      <c r="AZ117" s="16" t="n">
        <v>5543.76022111533</v>
      </c>
      <c r="BA117" s="16" t="n">
        <v>0</v>
      </c>
      <c r="BB117" s="16" t="n">
        <v>417.928966666667</v>
      </c>
      <c r="BC117" s="16" t="n">
        <v>111408.374612695</v>
      </c>
      <c r="BD117" s="16" t="n">
        <v>16.4726886752343</v>
      </c>
      <c r="BE117" s="16" t="n">
        <v>25.1299812971706</v>
      </c>
      <c r="BF117" s="16" t="n">
        <v>39.3578365059731</v>
      </c>
      <c r="BG117" s="16" t="n">
        <v>-8.27711430924607</v>
      </c>
      <c r="BH117" s="16" t="n">
        <v>-7.28866183200638</v>
      </c>
      <c r="BI117" s="16" t="n">
        <v>1.09242813813745</v>
      </c>
      <c r="BJ117" s="16" t="n">
        <v>2.04083187529388</v>
      </c>
      <c r="BK117" s="16" t="n">
        <v>5.25403316350504</v>
      </c>
      <c r="BL117" s="16" t="n">
        <v>7.88491984612206</v>
      </c>
      <c r="BM117" s="16" t="n">
        <v>3.37118358768332</v>
      </c>
      <c r="BN117" s="16" t="n">
        <v>4.04706880575186</v>
      </c>
      <c r="BO117" s="16" t="n">
        <v>5.7791095890411</v>
      </c>
      <c r="BP117" s="16" t="n">
        <v>8712.70308277889</v>
      </c>
      <c r="BQ117" s="16" t="n">
        <v>7965.78159930341</v>
      </c>
      <c r="BR117" s="16" t="n">
        <v>7965.78159930341</v>
      </c>
      <c r="BS117" s="16" t="n">
        <v>509.838924677736</v>
      </c>
      <c r="BT117" s="16" t="n">
        <v>301.7195</v>
      </c>
      <c r="BU117" s="16" t="n">
        <v>1081.9108</v>
      </c>
      <c r="BV117" s="16" t="s">
        <v>3237</v>
      </c>
      <c r="BW117" s="16" t="n">
        <v>42.7692307692308</v>
      </c>
      <c r="BX117" s="16" t="n">
        <v>0.155994305554286</v>
      </c>
      <c r="BY117" s="16" t="n">
        <v>0.161741466184191</v>
      </c>
      <c r="BZ117" s="16" t="n">
        <v>13510.8578038903</v>
      </c>
      <c r="CA117" s="16" t="n">
        <v>19402.010477409</v>
      </c>
      <c r="CB117" s="16" t="n">
        <v>283.605215636343</v>
      </c>
      <c r="CC117" s="16" t="n">
        <v>0</v>
      </c>
      <c r="CD117" s="16" t="n">
        <v>950.69728</v>
      </c>
      <c r="CE117" s="16" t="n">
        <v>12000</v>
      </c>
      <c r="CF117" s="16" t="n">
        <v>24.2605911555508</v>
      </c>
      <c r="CG117" s="16" t="n">
        <v>27.4144680057724</v>
      </c>
      <c r="CH117" s="16" t="n">
        <v>2643.77364301215</v>
      </c>
      <c r="CI117" s="16" t="n">
        <v>-10.1469983813921</v>
      </c>
      <c r="CJ117" s="16" t="n">
        <v>-1.1075919351101</v>
      </c>
      <c r="CK117" s="16" t="n">
        <v>39531.9136120408</v>
      </c>
      <c r="CL117" s="16" t="n">
        <v>167.845435177736</v>
      </c>
      <c r="CM117" s="16" t="n">
        <v>193.213003427736</v>
      </c>
      <c r="CN117" s="16" t="n">
        <v>1000</v>
      </c>
      <c r="CO117" s="16" t="n">
        <v>1.71426724137931</v>
      </c>
      <c r="CP117" s="16" t="n">
        <v>1.09004417261298</v>
      </c>
      <c r="CQ117" s="16" t="n">
        <v>0</v>
      </c>
      <c r="CR117" s="16" t="n">
        <v>87.2336729376525</v>
      </c>
      <c r="CS117" s="16" t="n">
        <v>27.5016881574967</v>
      </c>
      <c r="CT117" s="16" t="n">
        <v>0</v>
      </c>
      <c r="CU117" s="16" t="n">
        <v>0.0113</v>
      </c>
      <c r="CV117" s="16" t="n">
        <v>3932085.43510715</v>
      </c>
      <c r="CW117" s="16" t="n">
        <v>797942.368891408</v>
      </c>
      <c r="CX117" s="16" t="n">
        <v>4730027.80399856</v>
      </c>
      <c r="CY117" s="16" t="n">
        <v>3932085.43510715</v>
      </c>
      <c r="CZ117" s="16" t="n">
        <v>1297.91010683676</v>
      </c>
      <c r="DA117" s="16" t="n">
        <v>24.2605911555508</v>
      </c>
      <c r="DB117" s="16" t="n">
        <v>16688.0935544487</v>
      </c>
      <c r="DC117" s="16" t="n">
        <v>12382.5654174009</v>
      </c>
      <c r="DD117" s="16" t="n">
        <v>11144.3333333333</v>
      </c>
      <c r="DE117" s="16" t="n">
        <v>1921.25</v>
      </c>
      <c r="DF117" s="16" t="n">
        <v>3932400.36035215</v>
      </c>
      <c r="DG117" s="16" t="n">
        <v>193.213003427736</v>
      </c>
      <c r="DH117" s="16" t="n">
        <v>0</v>
      </c>
      <c r="DI117" s="16" t="n">
        <v>27.5017527153604</v>
      </c>
    </row>
    <row r="118" customFormat="false" ht="15" hidden="false" customHeight="false" outlineLevel="0" collapsed="false">
      <c r="A118" s="0" t="s">
        <v>3336</v>
      </c>
      <c r="B118" s="16" t="n">
        <v>2465.07954157611</v>
      </c>
      <c r="C118" s="16" t="n">
        <v>8490.69646682863</v>
      </c>
      <c r="D118" s="16" t="n">
        <v>20346.7356507876</v>
      </c>
      <c r="E118" s="16" t="n">
        <v>4412.97779768444</v>
      </c>
      <c r="F118" s="16" t="n">
        <v>-947.151653906466</v>
      </c>
      <c r="G118" s="16" t="n">
        <v>5020.50159291776</v>
      </c>
      <c r="H118" s="16" t="n">
        <v>743.652520240535</v>
      </c>
      <c r="I118" s="17" t="n">
        <v>3.24321511913751</v>
      </c>
      <c r="J118" s="17" t="n">
        <v>9.43790140068882</v>
      </c>
      <c r="K118" s="16" t="s">
        <v>116</v>
      </c>
      <c r="L118" s="16" t="n">
        <v>1000</v>
      </c>
      <c r="M118" s="16" t="n">
        <v>33785.0760468366</v>
      </c>
      <c r="N118" s="16" t="n">
        <v>11881.4576376199</v>
      </c>
      <c r="O118" s="16" t="n">
        <v>1000</v>
      </c>
      <c r="P118" s="16" t="n">
        <v>951.290832135856</v>
      </c>
      <c r="Q118" s="16" t="n">
        <v>183.931073600304</v>
      </c>
      <c r="R118" s="16" t="n">
        <v>17617.7170533315</v>
      </c>
      <c r="S118" s="16" t="n">
        <v>26961.6416630157</v>
      </c>
      <c r="T118" s="16" t="n">
        <v>-955.692204749296</v>
      </c>
      <c r="U118" s="16" t="n">
        <v>1021.37031598208</v>
      </c>
      <c r="V118" s="16" t="n">
        <v>0.750319556751226</v>
      </c>
      <c r="W118" s="16" t="n">
        <v>46769.5609261029</v>
      </c>
      <c r="X118" s="16" t="n">
        <v>22158.0311452072</v>
      </c>
      <c r="Y118" s="16" t="n">
        <v>8.87843080137475</v>
      </c>
      <c r="Z118" s="16" t="n">
        <v>12.0512562985395</v>
      </c>
      <c r="AA118" s="16" t="n">
        <v>27.424347870838</v>
      </c>
      <c r="AB118" s="16" t="n">
        <v>25.224347870838</v>
      </c>
      <c r="AC118" s="16" t="n">
        <v>26.674347870838</v>
      </c>
      <c r="AD118" s="16" t="n">
        <v>24.2376386482466</v>
      </c>
      <c r="AE118" s="16" t="n">
        <v>674.686407680941</v>
      </c>
      <c r="AF118" s="16" t="n">
        <v>0.03</v>
      </c>
      <c r="AG118" s="16" t="n">
        <v>0.656804181857681</v>
      </c>
      <c r="AH118" s="16" t="n">
        <v>9819.91719809611</v>
      </c>
      <c r="AI118" s="16" t="n">
        <v>20346.7356507876</v>
      </c>
      <c r="AJ118" s="16" t="n">
        <v>18.59175</v>
      </c>
      <c r="AK118" s="16" t="n">
        <v>0</v>
      </c>
      <c r="AL118" s="16" t="n">
        <v>1000</v>
      </c>
      <c r="AM118" s="16" t="n">
        <v>812.6073</v>
      </c>
      <c r="AN118" s="16" t="n">
        <v>20079.98904</v>
      </c>
      <c r="AO118" s="16" t="n">
        <v>-5508.72242389994</v>
      </c>
      <c r="AP118" s="16" t="n">
        <v>0.377706235085269</v>
      </c>
      <c r="AQ118" s="16" t="n">
        <v>80.5476587858026</v>
      </c>
      <c r="AR118" s="16" t="n">
        <v>502.093471049916</v>
      </c>
      <c r="AS118" s="16" t="n">
        <v>314.925245</v>
      </c>
      <c r="AT118" s="16" t="n">
        <v>1000</v>
      </c>
      <c r="AU118" s="16" t="n">
        <v>12.270507</v>
      </c>
      <c r="AV118" s="16" t="n">
        <v>0</v>
      </c>
      <c r="AW118" s="16" t="n">
        <v>2254.3125</v>
      </c>
      <c r="AX118" s="16" t="n">
        <v>314.925245</v>
      </c>
      <c r="AY118" s="16" t="n">
        <v>314.925245</v>
      </c>
      <c r="AZ118" s="16" t="n">
        <v>5743.14545538266</v>
      </c>
      <c r="BA118" s="16" t="n">
        <v>0</v>
      </c>
      <c r="BB118" s="16" t="n">
        <v>417.928966666667</v>
      </c>
      <c r="BC118" s="16" t="n">
        <v>111486.617268782</v>
      </c>
      <c r="BD118" s="16" t="n">
        <v>17.1058079231603</v>
      </c>
      <c r="BE118" s="16" t="n">
        <v>25.7631005450967</v>
      </c>
      <c r="BF118" s="16" t="n">
        <v>39.9909557538991</v>
      </c>
      <c r="BG118" s="16" t="n">
        <v>-8.27711430924607</v>
      </c>
      <c r="BH118" s="16" t="n">
        <v>-7.28866183200638</v>
      </c>
      <c r="BI118" s="16" t="n">
        <v>1.09242813813745</v>
      </c>
      <c r="BJ118" s="16" t="n">
        <v>2.04083187529388</v>
      </c>
      <c r="BK118" s="16" t="n">
        <v>5.25403316350504</v>
      </c>
      <c r="BL118" s="16" t="n">
        <v>7.88491984612206</v>
      </c>
      <c r="BM118" s="16" t="n">
        <v>4.18491755712413</v>
      </c>
      <c r="BN118" s="16" t="n">
        <v>5.02394748300231</v>
      </c>
      <c r="BO118" s="16" t="n">
        <v>5.7791095890411</v>
      </c>
      <c r="BP118" s="16" t="n">
        <v>8712.70308277889</v>
      </c>
      <c r="BQ118" s="16" t="n">
        <v>8458.32972979839</v>
      </c>
      <c r="BR118" s="16" t="n">
        <v>8458.32972979839</v>
      </c>
      <c r="BS118" s="16" t="n">
        <v>502.093471049916</v>
      </c>
      <c r="BT118" s="16" t="n">
        <v>301.7195</v>
      </c>
      <c r="BU118" s="16" t="n">
        <v>1081.9108</v>
      </c>
      <c r="BV118" s="16" t="s">
        <v>3237</v>
      </c>
      <c r="BW118" s="16" t="n">
        <v>42.7692307692308</v>
      </c>
      <c r="BX118" s="16" t="n">
        <v>0.155994305554286</v>
      </c>
      <c r="BY118" s="16" t="n">
        <v>0.161741466184191</v>
      </c>
      <c r="BZ118" s="16" t="n">
        <v>13510.8578038903</v>
      </c>
      <c r="CA118" s="16" t="n">
        <v>19402.010477409</v>
      </c>
      <c r="CB118" s="16" t="n">
        <v>271.856442718105</v>
      </c>
      <c r="CC118" s="16" t="n">
        <v>0</v>
      </c>
      <c r="CD118" s="16" t="n">
        <v>950.69728</v>
      </c>
      <c r="CE118" s="16" t="n">
        <v>12000</v>
      </c>
      <c r="CF118" s="16" t="n">
        <v>24.2272987325419</v>
      </c>
      <c r="CG118" s="16" t="n">
        <v>27.3768475677724</v>
      </c>
      <c r="CH118" s="16" t="n">
        <v>2643.77364301215</v>
      </c>
      <c r="CI118" s="16" t="n">
        <v>-1.87545149949695</v>
      </c>
      <c r="CJ118" s="16" t="n">
        <v>8.49065261972557</v>
      </c>
      <c r="CK118" s="16" t="n">
        <v>37707.6602245311</v>
      </c>
      <c r="CL118" s="16" t="n">
        <v>160.099981549916</v>
      </c>
      <c r="CM118" s="16" t="n">
        <v>185.467549799916</v>
      </c>
      <c r="CN118" s="16" t="n">
        <v>1000</v>
      </c>
      <c r="CO118" s="16" t="n">
        <v>1.3809375</v>
      </c>
      <c r="CP118" s="16" t="n">
        <v>1.09004417261298</v>
      </c>
      <c r="CQ118" s="16" t="n">
        <v>9.43790140068882</v>
      </c>
      <c r="CR118" s="16" t="n">
        <v>91.0188544279569</v>
      </c>
      <c r="CS118" s="16" t="n">
        <v>33.8898915431011</v>
      </c>
      <c r="CT118" s="16" t="n">
        <v>8.35212513335294</v>
      </c>
      <c r="CU118" s="16" t="n">
        <v>9.43790140068882</v>
      </c>
      <c r="CV118" s="16" t="n">
        <v>4514.59601242405</v>
      </c>
      <c r="CW118" s="16" t="n">
        <v>955.376453478824</v>
      </c>
      <c r="CX118" s="16" t="n">
        <v>5469.97246590288</v>
      </c>
      <c r="CY118" s="16" t="n">
        <v>4514.59601242405</v>
      </c>
      <c r="CZ118" s="16" t="n">
        <v>1030.03466383092</v>
      </c>
      <c r="DA118" s="16" t="n">
        <v>24.2272987325419</v>
      </c>
      <c r="DB118" s="16" t="n">
        <v>16887.478788716</v>
      </c>
      <c r="DC118" s="16" t="n">
        <v>12530.5092612273</v>
      </c>
      <c r="DD118" s="16" t="n">
        <v>11144.3333333333</v>
      </c>
      <c r="DE118" s="16" t="n">
        <v>1921.25</v>
      </c>
      <c r="DF118" s="16" t="n">
        <v>4829.52125742405</v>
      </c>
      <c r="DG118" s="16" t="n">
        <v>185.467549799916</v>
      </c>
      <c r="DH118" s="16" t="n">
        <v>0</v>
      </c>
      <c r="DI118" s="16" t="n">
        <v>33.8899013934948</v>
      </c>
    </row>
    <row r="119" customFormat="false" ht="15" hidden="false" customHeight="false" outlineLevel="0" collapsed="false">
      <c r="A119" s="0" t="s">
        <v>3337</v>
      </c>
      <c r="B119" s="16" t="n">
        <v>2465.07954157611</v>
      </c>
      <c r="C119" s="16" t="n">
        <v>8772.15254139719</v>
      </c>
      <c r="D119" s="16" t="n">
        <v>20976.6746697858</v>
      </c>
      <c r="E119" s="16" t="n">
        <v>4612.81161062812</v>
      </c>
      <c r="F119" s="16" t="n">
        <v>-758.813089356041</v>
      </c>
      <c r="G119" s="16" t="n">
        <v>5020.73859832827</v>
      </c>
      <c r="H119" s="16" t="n">
        <v>2376.8633411704</v>
      </c>
      <c r="I119" s="17" t="n">
        <v>8.4292421108125</v>
      </c>
      <c r="J119" s="17" t="n">
        <v>14.876663590122</v>
      </c>
      <c r="K119" s="16" t="s">
        <v>116</v>
      </c>
      <c r="L119" s="16" t="n">
        <v>1000</v>
      </c>
      <c r="M119" s="16" t="n">
        <v>33790.705168328</v>
      </c>
      <c r="N119" s="16" t="n">
        <v>12360.2112920585</v>
      </c>
      <c r="O119" s="16" t="n">
        <v>1000</v>
      </c>
      <c r="P119" s="16" t="n">
        <v>951.290832135856</v>
      </c>
      <c r="Q119" s="16" t="n">
        <v>635.427922956805</v>
      </c>
      <c r="R119" s="16" t="n">
        <v>17617.7170533315</v>
      </c>
      <c r="S119" s="16" t="n">
        <v>26974.2404433957</v>
      </c>
      <c r="T119" s="16" t="n">
        <v>-955.692204749296</v>
      </c>
      <c r="U119" s="16" t="n">
        <v>2654.58113691194</v>
      </c>
      <c r="V119" s="16" t="n">
        <v>0.750319556751226</v>
      </c>
      <c r="W119" s="16" t="n">
        <v>47372.9071341868</v>
      </c>
      <c r="X119" s="16" t="n">
        <v>22166.5860129692</v>
      </c>
      <c r="Y119" s="16" t="n">
        <v>13.9947878911502</v>
      </c>
      <c r="Z119" s="16" t="n">
        <v>18.9960117382268</v>
      </c>
      <c r="AA119" s="16" t="n">
        <v>27.424347870838</v>
      </c>
      <c r="AB119" s="16" t="n">
        <v>25.224347870838</v>
      </c>
      <c r="AC119" s="16" t="n">
        <v>26.674347870838</v>
      </c>
      <c r="AD119" s="16" t="n">
        <v>21.813874783422</v>
      </c>
      <c r="AE119" s="16" t="n">
        <v>674.686407680941</v>
      </c>
      <c r="AF119" s="16" t="n">
        <v>0.03</v>
      </c>
      <c r="AG119" s="16" t="n">
        <v>0.659129636913101</v>
      </c>
      <c r="AH119" s="16" t="n">
        <v>9819.91719809611</v>
      </c>
      <c r="AI119" s="16" t="n">
        <v>20976.6746697858</v>
      </c>
      <c r="AJ119" s="16" t="n">
        <v>20.49175</v>
      </c>
      <c r="AK119" s="16" t="n">
        <v>0</v>
      </c>
      <c r="AL119" s="16" t="n">
        <v>1000</v>
      </c>
      <c r="AM119" s="16" t="n">
        <v>812.6073</v>
      </c>
      <c r="AN119" s="16" t="n">
        <v>20079.98904</v>
      </c>
      <c r="AO119" s="16" t="n">
        <v>-5508.72242389994</v>
      </c>
      <c r="AP119" s="16" t="n">
        <v>0.346923587045563</v>
      </c>
      <c r="AQ119" s="16" t="n">
        <v>82.4791376808474</v>
      </c>
      <c r="AR119" s="16" t="n">
        <v>497.758660334772</v>
      </c>
      <c r="AS119" s="16" t="n">
        <v>314.925245</v>
      </c>
      <c r="AT119" s="16" t="n">
        <v>1000</v>
      </c>
      <c r="AU119" s="16" t="n">
        <v>12.270507</v>
      </c>
      <c r="AV119" s="16" t="n">
        <v>0</v>
      </c>
      <c r="AW119" s="16" t="n">
        <v>2254.3125</v>
      </c>
      <c r="AX119" s="16" t="n">
        <v>314.925245</v>
      </c>
      <c r="AY119" s="16" t="n">
        <v>314.925245</v>
      </c>
      <c r="AZ119" s="16" t="n">
        <v>5848.73726624437</v>
      </c>
      <c r="BA119" s="16" t="n">
        <v>0</v>
      </c>
      <c r="BB119" s="16" t="n">
        <v>417.928966666667</v>
      </c>
      <c r="BC119" s="16" t="n">
        <v>111531.327357974</v>
      </c>
      <c r="BD119" s="16" t="n">
        <v>17.4410995917013</v>
      </c>
      <c r="BE119" s="16" t="n">
        <v>26.0983922136376</v>
      </c>
      <c r="BF119" s="16" t="n">
        <v>40.3262474224401</v>
      </c>
      <c r="BG119" s="16" t="n">
        <v>-8.27711430924607</v>
      </c>
      <c r="BH119" s="16" t="n">
        <v>-7.28866183200638</v>
      </c>
      <c r="BI119" s="16" t="n">
        <v>1.09242813813745</v>
      </c>
      <c r="BJ119" s="16" t="n">
        <v>2.04083187529388</v>
      </c>
      <c r="BK119" s="16" t="n">
        <v>5.25403316350504</v>
      </c>
      <c r="BL119" s="16" t="n">
        <v>7.88491984612206</v>
      </c>
      <c r="BM119" s="16" t="n">
        <v>4.64990839680458</v>
      </c>
      <c r="BN119" s="16" t="n">
        <v>5.58216387000257</v>
      </c>
      <c r="BO119" s="16" t="n">
        <v>5.7791095890411</v>
      </c>
      <c r="BP119" s="16" t="n">
        <v>8712.70308277889</v>
      </c>
      <c r="BQ119" s="16" t="n">
        <v>8739.78580436696</v>
      </c>
      <c r="BR119" s="16" t="n">
        <v>8739.78580436696</v>
      </c>
      <c r="BS119" s="16" t="n">
        <v>497.758660334772</v>
      </c>
      <c r="BT119" s="16" t="n">
        <v>301.7195</v>
      </c>
      <c r="BU119" s="16" t="n">
        <v>1081.9108</v>
      </c>
      <c r="BV119" s="16" t="s">
        <v>3237</v>
      </c>
      <c r="BW119" s="16" t="n">
        <v>42.7692307692308</v>
      </c>
      <c r="BX119" s="16" t="n">
        <v>0.155994305554286</v>
      </c>
      <c r="BY119" s="16" t="n">
        <v>0.161741466184191</v>
      </c>
      <c r="BZ119" s="16" t="n">
        <v>13510.8578038903</v>
      </c>
      <c r="CA119" s="16" t="n">
        <v>19402.010477409</v>
      </c>
      <c r="CB119" s="16" t="n">
        <v>265.280001210288</v>
      </c>
      <c r="CC119" s="16" t="n">
        <v>0</v>
      </c>
      <c r="CD119" s="16" t="n">
        <v>950.69728</v>
      </c>
      <c r="CE119" s="16" t="n">
        <v>12000</v>
      </c>
      <c r="CF119" s="16" t="n">
        <v>24.189627293862</v>
      </c>
      <c r="CG119" s="16" t="n">
        <v>27.3342788420641</v>
      </c>
      <c r="CH119" s="16" t="n">
        <v>2643.77364301215</v>
      </c>
      <c r="CI119" s="16" t="n">
        <v>2.45747032811458</v>
      </c>
      <c r="CJ119" s="16" t="n">
        <v>13.9753637939174</v>
      </c>
      <c r="CK119" s="16" t="n">
        <v>36686.7008964792</v>
      </c>
      <c r="CL119" s="16" t="n">
        <v>155.765170834772</v>
      </c>
      <c r="CM119" s="16" t="n">
        <v>181.132739084772</v>
      </c>
      <c r="CN119" s="16" t="n">
        <v>1000</v>
      </c>
      <c r="CO119" s="16" t="n">
        <v>1.24284375</v>
      </c>
      <c r="CP119" s="16" t="n">
        <v>1.09004417261298</v>
      </c>
      <c r="CQ119" s="16" t="n">
        <v>14.876663590122</v>
      </c>
      <c r="CR119" s="16" t="n">
        <v>93.2014255793576</v>
      </c>
      <c r="CS119" s="16" t="n">
        <v>37.6035760714043</v>
      </c>
      <c r="CT119" s="16" t="n">
        <v>13.1651890178071</v>
      </c>
      <c r="CU119" s="16" t="n">
        <v>14.876663590122</v>
      </c>
      <c r="CV119" s="16" t="n">
        <v>2795.47577648814</v>
      </c>
      <c r="CW119" s="16" t="n">
        <v>606.100199406267</v>
      </c>
      <c r="CX119" s="16" t="n">
        <v>3401.5759758944</v>
      </c>
      <c r="CY119" s="16" t="n">
        <v>2795.47577648814</v>
      </c>
      <c r="CZ119" s="16" t="n">
        <v>915.606381544925</v>
      </c>
      <c r="DA119" s="16" t="n">
        <v>24.189627293862</v>
      </c>
      <c r="DB119" s="16" t="n">
        <v>16993.0705995777</v>
      </c>
      <c r="DC119" s="16" t="n">
        <v>12608.8583848867</v>
      </c>
      <c r="DD119" s="16" t="n">
        <v>11144.3333333333</v>
      </c>
      <c r="DE119" s="16" t="n">
        <v>1921.25</v>
      </c>
      <c r="DF119" s="16" t="n">
        <v>3110.40102148814</v>
      </c>
      <c r="DG119" s="16" t="n">
        <v>181.132739084772</v>
      </c>
      <c r="DH119" s="16" t="n">
        <v>0</v>
      </c>
      <c r="DI119" s="16" t="n">
        <v>37.6035793798349</v>
      </c>
    </row>
    <row r="120" customFormat="false" ht="15" hidden="false" customHeight="false" outlineLevel="0" collapsed="false">
      <c r="A120" s="0" t="s">
        <v>3338</v>
      </c>
      <c r="B120" s="16" t="n">
        <v>2465.07954157611</v>
      </c>
      <c r="C120" s="16" t="n">
        <v>9053.60861596575</v>
      </c>
      <c r="D120" s="16" t="n">
        <v>21606.613688784</v>
      </c>
      <c r="E120" s="16" t="n">
        <v>4812.6454235718</v>
      </c>
      <c r="F120" s="16" t="n">
        <v>-570.474524805616</v>
      </c>
      <c r="G120" s="16" t="n">
        <v>5020.97560373878</v>
      </c>
      <c r="H120" s="16" t="n">
        <v>4877.97966554995</v>
      </c>
      <c r="I120" s="17" t="n">
        <v>16.3711786944597</v>
      </c>
      <c r="J120" s="17" t="n">
        <v>23.4570560967151</v>
      </c>
      <c r="K120" s="16" t="s">
        <v>116</v>
      </c>
      <c r="L120" s="16" t="n">
        <v>1000</v>
      </c>
      <c r="M120" s="16" t="n">
        <v>33796.3342898193</v>
      </c>
      <c r="N120" s="16" t="n">
        <v>12838.9649464972</v>
      </c>
      <c r="O120" s="16" t="n">
        <v>1000</v>
      </c>
      <c r="P120" s="16" t="n">
        <v>951.290832135856</v>
      </c>
      <c r="Q120" s="16" t="n">
        <v>1086.92477231331</v>
      </c>
      <c r="R120" s="16" t="n">
        <v>17617.7170533315</v>
      </c>
      <c r="S120" s="16" t="n">
        <v>26986.8392237757</v>
      </c>
      <c r="T120" s="16" t="n">
        <v>-955.692204749296</v>
      </c>
      <c r="U120" s="16" t="n">
        <v>5155.6974612915</v>
      </c>
      <c r="V120" s="16" t="n">
        <v>0.750319556751226</v>
      </c>
      <c r="W120" s="16" t="n">
        <v>48863.9886741857</v>
      </c>
      <c r="X120" s="16" t="n">
        <v>22175.1408807311</v>
      </c>
      <c r="Y120" s="16" t="n">
        <v>22.0665421810246</v>
      </c>
      <c r="Z120" s="16" t="n">
        <v>29.9523149298955</v>
      </c>
      <c r="AA120" s="16" t="n">
        <v>27.424347870838</v>
      </c>
      <c r="AB120" s="16" t="n">
        <v>25.224347870838</v>
      </c>
      <c r="AC120" s="16" t="n">
        <v>26.674347870838</v>
      </c>
      <c r="AD120" s="16" t="n">
        <v>19.8307952576563</v>
      </c>
      <c r="AE120" s="16" t="n">
        <v>674.686407680941</v>
      </c>
      <c r="AF120" s="16" t="n">
        <v>0.03</v>
      </c>
      <c r="AG120" s="16" t="n">
        <v>0.66138554854075</v>
      </c>
      <c r="AH120" s="16" t="n">
        <v>9819.91719809611</v>
      </c>
      <c r="AI120" s="16" t="n">
        <v>21606.613688784</v>
      </c>
      <c r="AJ120" s="16" t="n">
        <v>22.39175</v>
      </c>
      <c r="AK120" s="16" t="n">
        <v>0</v>
      </c>
      <c r="AL120" s="16" t="n">
        <v>1000</v>
      </c>
      <c r="AM120" s="16" t="n">
        <v>812.6073</v>
      </c>
      <c r="AN120" s="16" t="n">
        <v>20079.98904</v>
      </c>
      <c r="AO120" s="16" t="n">
        <v>-5508.72242389994</v>
      </c>
      <c r="AP120" s="16" t="n">
        <v>0.320780337821743</v>
      </c>
      <c r="AQ120" s="16" t="n">
        <v>86.2888995283122</v>
      </c>
      <c r="AR120" s="16" t="n">
        <v>493.70621235224</v>
      </c>
      <c r="AS120" s="16" t="n">
        <v>314.925245</v>
      </c>
      <c r="AT120" s="16" t="n">
        <v>1000</v>
      </c>
      <c r="AU120" s="16" t="n">
        <v>12.270507</v>
      </c>
      <c r="AV120" s="16" t="n">
        <v>0</v>
      </c>
      <c r="AW120" s="16" t="n">
        <v>2254.3125</v>
      </c>
      <c r="AX120" s="16" t="n">
        <v>314.925245</v>
      </c>
      <c r="AY120" s="16" t="n">
        <v>314.925245</v>
      </c>
      <c r="AZ120" s="16" t="n">
        <v>5948.89889223152</v>
      </c>
      <c r="BA120" s="16" t="n">
        <v>0</v>
      </c>
      <c r="BB120" s="16" t="n">
        <v>417.928966666667</v>
      </c>
      <c r="BC120" s="16" t="n">
        <v>111576.037447166</v>
      </c>
      <c r="BD120" s="16" t="n">
        <v>17.7591484860893</v>
      </c>
      <c r="BE120" s="16" t="n">
        <v>26.4164411080257</v>
      </c>
      <c r="BF120" s="16" t="n">
        <v>40.6442963168281</v>
      </c>
      <c r="BG120" s="16" t="n">
        <v>-8.27711430924607</v>
      </c>
      <c r="BH120" s="16" t="n">
        <v>-7.28866183200638</v>
      </c>
      <c r="BI120" s="16" t="n">
        <v>1.09242813813745</v>
      </c>
      <c r="BJ120" s="16" t="n">
        <v>2.04083187529388</v>
      </c>
      <c r="BK120" s="16" t="n">
        <v>5.25403316350504</v>
      </c>
      <c r="BL120" s="16" t="n">
        <v>7.88491984612206</v>
      </c>
      <c r="BM120" s="16" t="n">
        <v>5.11489923648504</v>
      </c>
      <c r="BN120" s="16" t="n">
        <v>6.14038025700283</v>
      </c>
      <c r="BO120" s="16" t="n">
        <v>5.7791095890411</v>
      </c>
      <c r="BP120" s="16" t="n">
        <v>8712.70308277889</v>
      </c>
      <c r="BQ120" s="16" t="n">
        <v>9021.24187893552</v>
      </c>
      <c r="BR120" s="16" t="n">
        <v>9021.24187893552</v>
      </c>
      <c r="BS120" s="16" t="n">
        <v>493.70621235224</v>
      </c>
      <c r="BT120" s="16" t="n">
        <v>301.7195</v>
      </c>
      <c r="BU120" s="16" t="n">
        <v>1081.9108</v>
      </c>
      <c r="BV120" s="16" t="s">
        <v>3237</v>
      </c>
      <c r="BW120" s="16" t="n">
        <v>42.7692307692308</v>
      </c>
      <c r="BX120" s="16" t="n">
        <v>0.155994305554286</v>
      </c>
      <c r="BY120" s="16" t="n">
        <v>0.161741466184191</v>
      </c>
      <c r="BZ120" s="16" t="n">
        <v>13510.8578038903</v>
      </c>
      <c r="CA120" s="16" t="n">
        <v>19402.010477409</v>
      </c>
      <c r="CB120" s="16" t="n">
        <v>259.129054984341</v>
      </c>
      <c r="CC120" s="16" t="n">
        <v>0</v>
      </c>
      <c r="CD120" s="16" t="n">
        <v>950.69728</v>
      </c>
      <c r="CE120" s="16" t="n">
        <v>12000</v>
      </c>
      <c r="CF120" s="16" t="n">
        <v>24.1590073095525</v>
      </c>
      <c r="CG120" s="16" t="n">
        <v>27.2996782597943</v>
      </c>
      <c r="CH120" s="16" t="n">
        <v>2643.77364301215</v>
      </c>
      <c r="CI120" s="16" t="n">
        <v>6.79039215572612</v>
      </c>
      <c r="CJ120" s="16" t="n">
        <v>19.4600749681092</v>
      </c>
      <c r="CK120" s="16" t="n">
        <v>35732.2452486798</v>
      </c>
      <c r="CL120" s="16" t="n">
        <v>151.71272285224</v>
      </c>
      <c r="CM120" s="16" t="n">
        <v>177.08029110224</v>
      </c>
      <c r="CN120" s="16" t="n">
        <v>1000</v>
      </c>
      <c r="CO120" s="16" t="n">
        <v>1.12985795454545</v>
      </c>
      <c r="CP120" s="16" t="n">
        <v>1.09004417261298</v>
      </c>
      <c r="CQ120" s="16" t="n">
        <v>23.4570560967151</v>
      </c>
      <c r="CR120" s="16" t="n">
        <v>97.5064564669928</v>
      </c>
      <c r="CS120" s="16" t="n">
        <v>43.9652421281142</v>
      </c>
      <c r="CT120" s="16" t="n">
        <v>20.7584567227567</v>
      </c>
      <c r="CU120" s="16" t="n">
        <v>23.4570560967151</v>
      </c>
      <c r="CV120" s="16" t="n">
        <v>1732.22491713442</v>
      </c>
      <c r="CW120" s="16" t="n">
        <v>384.393878383384</v>
      </c>
      <c r="CX120" s="16" t="n">
        <v>2116.61879551781</v>
      </c>
      <c r="CY120" s="16" t="n">
        <v>1732.22491713442</v>
      </c>
      <c r="CZ120" s="16" t="n">
        <v>777.303840231839</v>
      </c>
      <c r="DA120" s="16" t="n">
        <v>24.1590073095525</v>
      </c>
      <c r="DB120" s="16" t="n">
        <v>17093.2322255649</v>
      </c>
      <c r="DC120" s="16" t="n">
        <v>12683.1783113691</v>
      </c>
      <c r="DD120" s="16" t="n">
        <v>11144.3333333333</v>
      </c>
      <c r="DE120" s="16" t="n">
        <v>1921.25</v>
      </c>
      <c r="DF120" s="16" t="n">
        <v>2047.15016213442</v>
      </c>
      <c r="DG120" s="16" t="n">
        <v>177.08029110224</v>
      </c>
      <c r="DH120" s="16" t="n">
        <v>0</v>
      </c>
      <c r="DI120" s="16" t="n">
        <v>43.9652427235302</v>
      </c>
    </row>
    <row r="121" customFormat="false" ht="15" hidden="false" customHeight="false" outlineLevel="0" collapsed="false">
      <c r="A121" s="0" t="s">
        <v>3339</v>
      </c>
      <c r="B121" s="16" t="n">
        <v>2465.07954157611</v>
      </c>
      <c r="C121" s="16" t="n">
        <v>9674.32592467197</v>
      </c>
      <c r="D121" s="16" t="n">
        <v>22995.867955621</v>
      </c>
      <c r="E121" s="16" t="n">
        <v>5253.35471275321</v>
      </c>
      <c r="F121" s="16" t="n">
        <v>-155.116614721304</v>
      </c>
      <c r="G121" s="16" t="n">
        <v>5021.49829048764</v>
      </c>
      <c r="H121" s="16" t="n">
        <v>13934.8397663646</v>
      </c>
      <c r="I121" s="17" t="n">
        <v>45.1299404787511</v>
      </c>
      <c r="J121" s="17" t="n">
        <v>55.1794752420695</v>
      </c>
      <c r="K121" s="16" t="s">
        <v>116</v>
      </c>
      <c r="L121" s="16" t="n">
        <v>1000</v>
      </c>
      <c r="M121" s="16" t="n">
        <v>33808.7486359935</v>
      </c>
      <c r="N121" s="16" t="n">
        <v>13894.7981892934</v>
      </c>
      <c r="O121" s="16" t="n">
        <v>1000</v>
      </c>
      <c r="P121" s="16" t="n">
        <v>951.290832135856</v>
      </c>
      <c r="Q121" s="16" t="n">
        <v>2082.64643030735</v>
      </c>
      <c r="R121" s="16" t="n">
        <v>17617.7170533315</v>
      </c>
      <c r="S121" s="16" t="n">
        <v>27014.6243091124</v>
      </c>
      <c r="T121" s="16" t="n">
        <v>-955.692204749296</v>
      </c>
      <c r="U121" s="16" t="n">
        <v>14212.5575621061</v>
      </c>
      <c r="V121" s="16" t="n">
        <v>0.750319556751226</v>
      </c>
      <c r="W121" s="16" t="n">
        <v>55748.5328924014</v>
      </c>
      <c r="X121" s="16" t="n">
        <v>22194.0076062111</v>
      </c>
      <c r="Y121" s="16" t="n">
        <v>51.9084838666709</v>
      </c>
      <c r="Z121" s="16" t="n">
        <v>70.4586719365986</v>
      </c>
      <c r="AA121" s="16" t="n">
        <v>27.424347870838</v>
      </c>
      <c r="AB121" s="16" t="n">
        <v>25.224347870838</v>
      </c>
      <c r="AC121" s="16" t="n">
        <v>26.674347870838</v>
      </c>
      <c r="AD121" s="16" t="n">
        <v>19.8307952576563</v>
      </c>
      <c r="AE121" s="16" t="n">
        <v>674.686407680941</v>
      </c>
      <c r="AF121" s="16" t="n">
        <v>0.03</v>
      </c>
      <c r="AG121" s="16" t="n">
        <v>0.666129847845422</v>
      </c>
      <c r="AH121" s="16" t="n">
        <v>9819.91719809611</v>
      </c>
      <c r="AI121" s="16" t="n">
        <v>22995.867955621</v>
      </c>
      <c r="AJ121" s="16" t="n">
        <v>26.5819700488998</v>
      </c>
      <c r="AK121" s="16" t="n">
        <v>0</v>
      </c>
      <c r="AL121" s="16" t="n">
        <v>1000</v>
      </c>
      <c r="AM121" s="16" t="n">
        <v>812.6073</v>
      </c>
      <c r="AN121" s="16" t="n">
        <v>20079.98904</v>
      </c>
      <c r="AO121" s="16" t="n">
        <v>-5508.72242389994</v>
      </c>
      <c r="AP121" s="16" t="n">
        <v>0.27506659182625</v>
      </c>
      <c r="AQ121" s="16" t="n">
        <v>102.296178946917</v>
      </c>
      <c r="AR121" s="16" t="n">
        <v>486.634318203882</v>
      </c>
      <c r="AS121" s="16" t="n">
        <v>314.925245</v>
      </c>
      <c r="AT121" s="16" t="n">
        <v>1000</v>
      </c>
      <c r="AU121" s="16" t="n">
        <v>12.270507</v>
      </c>
      <c r="AV121" s="16" t="n">
        <v>0</v>
      </c>
      <c r="AW121" s="16" t="n">
        <v>2254.3125</v>
      </c>
      <c r="AX121" s="16" t="n">
        <v>314.925245</v>
      </c>
      <c r="AY121" s="16" t="n">
        <v>314.925245</v>
      </c>
      <c r="AZ121" s="16" t="n">
        <v>6152.70869024259</v>
      </c>
      <c r="BA121" s="16" t="n">
        <v>0</v>
      </c>
      <c r="BB121" s="16" t="n">
        <v>417.928966666667</v>
      </c>
      <c r="BC121" s="16" t="n">
        <v>111674.640137757</v>
      </c>
      <c r="BD121" s="16" t="n">
        <v>18.4063173023304</v>
      </c>
      <c r="BE121" s="16" t="n">
        <v>27.0636099242668</v>
      </c>
      <c r="BF121" s="16" t="n">
        <v>41.2914651330692</v>
      </c>
      <c r="BG121" s="16" t="n">
        <v>-8.27711430924607</v>
      </c>
      <c r="BH121" s="16" t="n">
        <v>-7.28866183200638</v>
      </c>
      <c r="BI121" s="16" t="n">
        <v>1.09242813813745</v>
      </c>
      <c r="BJ121" s="16" t="n">
        <v>2.04083187529388</v>
      </c>
      <c r="BK121" s="16" t="n">
        <v>5.25403316350504</v>
      </c>
      <c r="BL121" s="16" t="n">
        <v>7.88491984612206</v>
      </c>
      <c r="BM121" s="16" t="n">
        <v>5.11489923648504</v>
      </c>
      <c r="BN121" s="16" t="n">
        <v>6.14038025700283</v>
      </c>
      <c r="BO121" s="16" t="n">
        <v>5.7791095890411</v>
      </c>
      <c r="BP121" s="16" t="n">
        <v>8712.70308277889</v>
      </c>
      <c r="BQ121" s="16" t="n">
        <v>9641.95918764174</v>
      </c>
      <c r="BR121" s="16" t="n">
        <v>9641.95918764174</v>
      </c>
      <c r="BS121" s="16" t="n">
        <v>486.634318203882</v>
      </c>
      <c r="BT121" s="16" t="n">
        <v>301.7195</v>
      </c>
      <c r="BU121" s="16" t="n">
        <v>1081.9108</v>
      </c>
      <c r="BV121" s="16" t="s">
        <v>3238</v>
      </c>
      <c r="BW121" s="16" t="n">
        <v>42.7692307692308</v>
      </c>
      <c r="BX121" s="16" t="n">
        <v>0.155994305554286</v>
      </c>
      <c r="BY121" s="16" t="n">
        <v>0.161741466184191</v>
      </c>
      <c r="BZ121" s="16" t="n">
        <v>13510.8578038903</v>
      </c>
      <c r="CA121" s="16" t="n">
        <v>19402.010477409</v>
      </c>
      <c r="CB121" s="16" t="n">
        <v>247.92851906965</v>
      </c>
      <c r="CC121" s="16" t="n">
        <v>0</v>
      </c>
      <c r="CD121" s="16" t="n">
        <v>950.69728</v>
      </c>
      <c r="CE121" s="16" t="n">
        <v>12000</v>
      </c>
      <c r="CF121" s="16" t="n">
        <v>24.120351638276</v>
      </c>
      <c r="CG121" s="16" t="n">
        <v>27.2559973512519</v>
      </c>
      <c r="CH121" s="16" t="n">
        <v>2643.77364301215</v>
      </c>
      <c r="CI121" s="16" t="n">
        <v>6.79039215572612</v>
      </c>
      <c r="CJ121" s="16" t="n">
        <v>19.4600749681092</v>
      </c>
      <c r="CK121" s="16" t="n">
        <v>33854.8506903946</v>
      </c>
      <c r="CL121" s="16" t="n">
        <v>143.741641317252</v>
      </c>
      <c r="CM121" s="16" t="n">
        <v>169.109209567252</v>
      </c>
      <c r="CN121" s="16" t="n">
        <v>1000</v>
      </c>
      <c r="CO121" s="16" t="n">
        <v>1.12985795454545</v>
      </c>
      <c r="CP121" s="16" t="n">
        <v>1.09004417261298</v>
      </c>
      <c r="CQ121" s="16" t="n">
        <v>55.1794752420695</v>
      </c>
      <c r="CR121" s="16" t="n">
        <v>115.594682210017</v>
      </c>
      <c r="CS121" s="16" t="n">
        <v>69.5232051558185</v>
      </c>
      <c r="CT121" s="16" t="n">
        <v>48.8313940195306</v>
      </c>
      <c r="CU121" s="16" t="n">
        <v>55.1794752420695</v>
      </c>
      <c r="CV121" s="16" t="n">
        <v>702.3535893563</v>
      </c>
      <c r="CW121" s="16" t="n">
        <v>163.407657084756</v>
      </c>
      <c r="CX121" s="16" t="n">
        <v>865.761246441056</v>
      </c>
      <c r="CY121" s="16" t="n">
        <v>702.3535893563</v>
      </c>
      <c r="CZ121" s="16" t="n">
        <v>492.490103236941</v>
      </c>
      <c r="DA121" s="16" t="n">
        <v>24.120351638276</v>
      </c>
      <c r="DB121" s="16" t="n">
        <v>17297.0420235759</v>
      </c>
      <c r="DC121" s="16" t="n">
        <v>12834.4051814933</v>
      </c>
      <c r="DD121" s="16" t="n">
        <v>11144.3333333333</v>
      </c>
      <c r="DE121" s="16" t="n">
        <v>1921.25</v>
      </c>
      <c r="DF121" s="16" t="n">
        <v>1017.2788343563</v>
      </c>
      <c r="DG121" s="16" t="n">
        <v>169.109209567252</v>
      </c>
      <c r="DH121" s="16" t="n">
        <v>0</v>
      </c>
      <c r="DI121" s="16" t="n">
        <v>69.5232051569719</v>
      </c>
    </row>
    <row r="122" customFormat="false" ht="15" hidden="false" customHeight="false" outlineLevel="0" collapsed="false">
      <c r="A122" s="0" t="s">
        <v>3340</v>
      </c>
      <c r="B122" s="16" t="n">
        <v>2465.07954157611</v>
      </c>
      <c r="C122" s="16" t="n">
        <v>8209.24039226006</v>
      </c>
      <c r="D122" s="16" t="n">
        <v>19716.7966317894</v>
      </c>
      <c r="E122" s="16" t="n">
        <v>4213.14398474076</v>
      </c>
      <c r="F122" s="16" t="n">
        <v>-1135.49021845689</v>
      </c>
      <c r="G122" s="16" t="n">
        <v>5020.26458750724</v>
      </c>
      <c r="H122" s="16" t="n">
        <v>-1502.8233077799</v>
      </c>
      <c r="I122" s="17" t="n">
        <v>0.01</v>
      </c>
      <c r="J122" s="17" t="n">
        <v>5.24686369410321</v>
      </c>
      <c r="K122" s="16" t="s">
        <v>116</v>
      </c>
      <c r="L122" s="16" t="n">
        <v>1000</v>
      </c>
      <c r="M122" s="16" t="n">
        <v>33779.4469253452</v>
      </c>
      <c r="N122" s="16" t="n">
        <v>11402.7039831813</v>
      </c>
      <c r="O122" s="16" t="n">
        <v>1000</v>
      </c>
      <c r="P122" s="16" t="n">
        <v>951.290832135856</v>
      </c>
      <c r="Q122" s="16" t="n">
        <v>-267.565775756198</v>
      </c>
      <c r="R122" s="16" t="n">
        <v>17617.7170533315</v>
      </c>
      <c r="S122" s="16" t="n">
        <v>26949.0428826358</v>
      </c>
      <c r="T122" s="16" t="n">
        <v>-955.692204749296</v>
      </c>
      <c r="U122" s="16" t="n">
        <v>-175.105512038353</v>
      </c>
      <c r="V122" s="16" t="n">
        <v>0.750319556751226</v>
      </c>
      <c r="W122" s="16" t="n">
        <v>46166.2147180189</v>
      </c>
      <c r="X122" s="16" t="n">
        <v>22149.4762774452</v>
      </c>
      <c r="Y122" s="16" t="n">
        <v>4.93583417060714</v>
      </c>
      <c r="Z122" s="16" t="n">
        <v>6.69972025100038</v>
      </c>
      <c r="AA122" s="16" t="n">
        <v>27.424347870838</v>
      </c>
      <c r="AB122" s="16" t="n">
        <v>25.224347870838</v>
      </c>
      <c r="AC122" s="16" t="n">
        <v>26.674347870838</v>
      </c>
      <c r="AD122" s="16" t="n">
        <v>27.2673434792775</v>
      </c>
      <c r="AE122" s="16" t="n">
        <v>674.686407680941</v>
      </c>
      <c r="AF122" s="16" t="n">
        <v>0.03</v>
      </c>
      <c r="AG122" s="16" t="n">
        <v>0.654405917289144</v>
      </c>
      <c r="AH122" s="16" t="n">
        <v>11929.1046980961</v>
      </c>
      <c r="AI122" s="16" t="n">
        <v>19716.7966317894</v>
      </c>
      <c r="AJ122" s="16" t="n">
        <v>16.69175</v>
      </c>
      <c r="AK122" s="16" t="n">
        <v>0</v>
      </c>
      <c r="AL122" s="16" t="n">
        <v>1000</v>
      </c>
      <c r="AM122" s="16" t="n">
        <v>812.6073</v>
      </c>
      <c r="AN122" s="16" t="n">
        <v>22179.98904</v>
      </c>
      <c r="AO122" s="16" t="n">
        <v>-5546.27546044307</v>
      </c>
      <c r="AP122" s="16" t="n">
        <v>0.414483496940676</v>
      </c>
      <c r="AQ122" s="16" t="n">
        <v>78.4931274949576</v>
      </c>
      <c r="AR122" s="16" t="n">
        <v>503.143629486403</v>
      </c>
      <c r="AS122" s="16" t="n">
        <v>314.925245</v>
      </c>
      <c r="AT122" s="16" t="n">
        <v>1000</v>
      </c>
      <c r="AU122" s="16" t="n">
        <v>12.270507</v>
      </c>
      <c r="AV122" s="16" t="n">
        <v>0</v>
      </c>
      <c r="AW122" s="16" t="n">
        <v>2254.3125</v>
      </c>
      <c r="AX122" s="16" t="n">
        <v>314.925245</v>
      </c>
      <c r="AY122" s="16" t="n">
        <v>314.925245</v>
      </c>
      <c r="AZ122" s="16" t="n">
        <v>5631.62619515181</v>
      </c>
      <c r="BA122" s="16" t="n">
        <v>0</v>
      </c>
      <c r="BB122" s="16" t="n">
        <v>417.928966666667</v>
      </c>
      <c r="BC122" s="16" t="n">
        <v>111441.907179589</v>
      </c>
      <c r="BD122" s="16" t="n">
        <v>20.0858190676119</v>
      </c>
      <c r="BE122" s="16" t="n">
        <v>28.7431116895483</v>
      </c>
      <c r="BF122" s="16" t="n">
        <v>42.9709668983507</v>
      </c>
      <c r="BG122" s="16" t="n">
        <v>-8.27711430924607</v>
      </c>
      <c r="BH122" s="16" t="n">
        <v>-7.28866183200638</v>
      </c>
      <c r="BI122" s="16" t="n">
        <v>1.09242813813745</v>
      </c>
      <c r="BJ122" s="16" t="n">
        <v>2.04083187529388</v>
      </c>
      <c r="BK122" s="16" t="n">
        <v>5.25403316350504</v>
      </c>
      <c r="BL122" s="16" t="n">
        <v>7.88491984612206</v>
      </c>
      <c r="BM122" s="16" t="n">
        <v>3.71992671744367</v>
      </c>
      <c r="BN122" s="16" t="n">
        <v>4.46573109600205</v>
      </c>
      <c r="BO122" s="16" t="n">
        <v>5.7791095890411</v>
      </c>
      <c r="BP122" s="16" t="n">
        <v>8712.70308277889</v>
      </c>
      <c r="BQ122" s="16" t="n">
        <v>8176.87365522983</v>
      </c>
      <c r="BR122" s="16" t="n">
        <v>8176.87365522983</v>
      </c>
      <c r="BS122" s="16" t="n">
        <v>503.143629486403</v>
      </c>
      <c r="BT122" s="16" t="n">
        <v>301.7195</v>
      </c>
      <c r="BU122" s="16" t="n">
        <v>1081.9108</v>
      </c>
      <c r="BV122" s="16" t="s">
        <v>3237</v>
      </c>
      <c r="BW122" s="16" t="n">
        <v>42.7692307692308</v>
      </c>
      <c r="BX122" s="16" t="n">
        <v>0.155994305554286</v>
      </c>
      <c r="BY122" s="16" t="n">
        <v>0.161741466184191</v>
      </c>
      <c r="BZ122" s="16" t="n">
        <v>13510.8578038903</v>
      </c>
      <c r="CA122" s="16" t="n">
        <v>19402.010477409</v>
      </c>
      <c r="CB122" s="16" t="n">
        <v>273.294455311411</v>
      </c>
      <c r="CC122" s="16" t="n">
        <v>0</v>
      </c>
      <c r="CD122" s="16" t="n">
        <v>950.69728</v>
      </c>
      <c r="CE122" s="16" t="n">
        <v>14100</v>
      </c>
      <c r="CF122" s="16" t="n">
        <v>27.2976645381966</v>
      </c>
      <c r="CG122" s="16" t="n">
        <v>30.8463609281621</v>
      </c>
      <c r="CH122" s="16" t="n">
        <v>2643.77364301215</v>
      </c>
      <c r="CI122" s="16" t="n">
        <v>-6.2083733271085</v>
      </c>
      <c r="CJ122" s="16" t="n">
        <v>3.00594144553374</v>
      </c>
      <c r="CK122" s="16" t="n">
        <v>37954.9995253957</v>
      </c>
      <c r="CL122" s="16" t="n">
        <v>161.150139986403</v>
      </c>
      <c r="CM122" s="16" t="n">
        <v>186.517708236403</v>
      </c>
      <c r="CN122" s="16" t="n">
        <v>1000</v>
      </c>
      <c r="CO122" s="16" t="n">
        <v>1.5535546875</v>
      </c>
      <c r="CP122" s="16" t="n">
        <v>1.09004417261298</v>
      </c>
      <c r="CQ122" s="16" t="n">
        <v>5.24686369410321</v>
      </c>
      <c r="CR122" s="16" t="n">
        <v>88.6972340693021</v>
      </c>
      <c r="CS122" s="16" t="n">
        <v>28.2677342351805</v>
      </c>
      <c r="CT122" s="16" t="n">
        <v>4.64324220717098</v>
      </c>
      <c r="CU122" s="16" t="n">
        <v>5.24686369410321</v>
      </c>
      <c r="CV122" s="16" t="n">
        <v>8167.8606170444</v>
      </c>
      <c r="CW122" s="16" t="n">
        <v>1718.50257490138</v>
      </c>
      <c r="CX122" s="16" t="n">
        <v>9886.36319194577</v>
      </c>
      <c r="CY122" s="16" t="n">
        <v>8167.8606170444</v>
      </c>
      <c r="CZ122" s="16" t="n">
        <v>1259.59150947763</v>
      </c>
      <c r="DA122" s="16" t="n">
        <v>27.2976645381966</v>
      </c>
      <c r="DB122" s="16" t="n">
        <v>16775.9595284851</v>
      </c>
      <c r="DC122" s="16" t="n">
        <v>12447.761970136</v>
      </c>
      <c r="DD122" s="16" t="n">
        <v>11144.3333333333</v>
      </c>
      <c r="DE122" s="16" t="n">
        <v>1921.25</v>
      </c>
      <c r="DF122" s="16" t="n">
        <v>8482.7858620444</v>
      </c>
      <c r="DG122" s="16" t="n">
        <v>186.517708236403</v>
      </c>
      <c r="DH122" s="16" t="n">
        <v>0</v>
      </c>
      <c r="DI122" s="16" t="n">
        <v>28.2678059270806</v>
      </c>
    </row>
    <row r="123" customFormat="false" ht="15" hidden="false" customHeight="false" outlineLevel="0" collapsed="false">
      <c r="A123" s="0" t="s">
        <v>3341</v>
      </c>
      <c r="B123" s="16" t="n">
        <v>2465.07954157611</v>
      </c>
      <c r="C123" s="16" t="n">
        <v>8209.24039226006</v>
      </c>
      <c r="D123" s="16" t="n">
        <v>19716.7966317894</v>
      </c>
      <c r="E123" s="16" t="n">
        <v>4213.14398474076</v>
      </c>
      <c r="F123" s="16" t="n">
        <v>-1135.49021845689</v>
      </c>
      <c r="G123" s="16" t="n">
        <v>5020.26458750724</v>
      </c>
      <c r="H123" s="16" t="n">
        <v>301.210454837517</v>
      </c>
      <c r="I123" s="17" t="n">
        <v>1.90231429669623</v>
      </c>
      <c r="J123" s="17" t="n">
        <v>6.79107494134748</v>
      </c>
      <c r="K123" s="16" t="s">
        <v>116</v>
      </c>
      <c r="L123" s="16" t="n">
        <v>1000</v>
      </c>
      <c r="M123" s="16" t="n">
        <v>33779.4469253452</v>
      </c>
      <c r="N123" s="16" t="n">
        <v>11402.7039831813</v>
      </c>
      <c r="O123" s="16" t="n">
        <v>1000</v>
      </c>
      <c r="P123" s="16" t="n">
        <v>951.290832135856</v>
      </c>
      <c r="Q123" s="16" t="n">
        <v>-267.565775756198</v>
      </c>
      <c r="R123" s="16" t="n">
        <v>17617.7170533315</v>
      </c>
      <c r="S123" s="16" t="n">
        <v>26949.0428826358</v>
      </c>
      <c r="T123" s="16" t="n">
        <v>-955.692204749296</v>
      </c>
      <c r="U123" s="16" t="n">
        <v>599.086795954063</v>
      </c>
      <c r="V123" s="16" t="n">
        <v>0.750319556751226</v>
      </c>
      <c r="W123" s="16" t="n">
        <v>46166.2147180189</v>
      </c>
      <c r="X123" s="16" t="n">
        <v>22149.4762774452</v>
      </c>
      <c r="Y123" s="16" t="n">
        <v>6.38850591608249</v>
      </c>
      <c r="Z123" s="16" t="n">
        <v>8.6715235926066</v>
      </c>
      <c r="AA123" s="16" t="n">
        <v>27.424347870838</v>
      </c>
      <c r="AB123" s="16" t="n">
        <v>25.224347870838</v>
      </c>
      <c r="AC123" s="16" t="n">
        <v>26.674347870838</v>
      </c>
      <c r="AD123" s="16" t="n">
        <v>27.2673434792775</v>
      </c>
      <c r="AE123" s="16" t="n">
        <v>674.686407680941</v>
      </c>
      <c r="AF123" s="16" t="n">
        <v>0.03</v>
      </c>
      <c r="AG123" s="16" t="n">
        <v>0.654405917289144</v>
      </c>
      <c r="AH123" s="16" t="n">
        <v>10094.6096680652</v>
      </c>
      <c r="AI123" s="16" t="n">
        <v>19716.7966317894</v>
      </c>
      <c r="AJ123" s="16" t="n">
        <v>16.69175</v>
      </c>
      <c r="AK123" s="16" t="n">
        <v>0</v>
      </c>
      <c r="AL123" s="16" t="n">
        <v>1000</v>
      </c>
      <c r="AM123" s="16" t="n">
        <v>812.6073</v>
      </c>
      <c r="AN123" s="16" t="n">
        <v>26305.1737125787</v>
      </c>
      <c r="AO123" s="16" t="n">
        <v>-6543.42534523367</v>
      </c>
      <c r="AP123" s="16" t="n">
        <v>0.414483496940676</v>
      </c>
      <c r="AQ123" s="16" t="n">
        <v>76.0088070017316</v>
      </c>
      <c r="AR123" s="16" t="n">
        <v>490.454300477321</v>
      </c>
      <c r="AS123" s="16" t="n">
        <v>314.925245</v>
      </c>
      <c r="AT123" s="16" t="n">
        <v>1000</v>
      </c>
      <c r="AU123" s="16" t="n">
        <v>12.270507</v>
      </c>
      <c r="AV123" s="16" t="n">
        <v>0</v>
      </c>
      <c r="AW123" s="16" t="n">
        <v>2254.3125</v>
      </c>
      <c r="AX123" s="16" t="n">
        <v>314.925245</v>
      </c>
      <c r="AY123" s="16" t="n">
        <v>314.925245</v>
      </c>
      <c r="AZ123" s="16" t="n">
        <v>5631.62619515181</v>
      </c>
      <c r="BA123" s="16" t="n">
        <v>0</v>
      </c>
      <c r="BB123" s="16" t="n">
        <v>417.928966666667</v>
      </c>
      <c r="BC123" s="16" t="n">
        <v>111441.907179589</v>
      </c>
      <c r="BD123" s="16" t="n">
        <v>16.8157050612705</v>
      </c>
      <c r="BE123" s="16" t="n">
        <v>25.4729976832069</v>
      </c>
      <c r="BF123" s="16" t="n">
        <v>39.7008528920093</v>
      </c>
      <c r="BG123" s="16" t="n">
        <v>-8.27711430924607</v>
      </c>
      <c r="BH123" s="16" t="n">
        <v>-7.28866183200638</v>
      </c>
      <c r="BI123" s="16" t="n">
        <v>1.09242813813745</v>
      </c>
      <c r="BJ123" s="16" t="n">
        <v>2.04083187529388</v>
      </c>
      <c r="BK123" s="16" t="n">
        <v>5.25403316350504</v>
      </c>
      <c r="BL123" s="16" t="n">
        <v>7.88491984612206</v>
      </c>
      <c r="BM123" s="16" t="n">
        <v>3.71992671744367</v>
      </c>
      <c r="BN123" s="16" t="n">
        <v>4.46573109600205</v>
      </c>
      <c r="BO123" s="16" t="n">
        <v>5.7791095890411</v>
      </c>
      <c r="BP123" s="16" t="n">
        <v>8712.70308277889</v>
      </c>
      <c r="BQ123" s="16" t="n">
        <v>8176.87365522983</v>
      </c>
      <c r="BR123" s="16" t="n">
        <v>8176.87365522983</v>
      </c>
      <c r="BS123" s="16" t="n">
        <v>490.454300477321</v>
      </c>
      <c r="BT123" s="16" t="n">
        <v>301.7195</v>
      </c>
      <c r="BU123" s="16" t="n">
        <v>1081.9108</v>
      </c>
      <c r="BV123" s="16" t="s">
        <v>3237</v>
      </c>
      <c r="BW123" s="16" t="n">
        <v>42.7692307692308</v>
      </c>
      <c r="BX123" s="16" t="n">
        <v>0.155994305554286</v>
      </c>
      <c r="BY123" s="16" t="n">
        <v>0.161741466184191</v>
      </c>
      <c r="BZ123" s="16" t="n">
        <v>13510.8578038903</v>
      </c>
      <c r="CA123" s="16" t="n">
        <v>19402.010477409</v>
      </c>
      <c r="CB123" s="16" t="n">
        <v>253.772174776219</v>
      </c>
      <c r="CC123" s="16" t="n">
        <v>0</v>
      </c>
      <c r="CD123" s="16" t="n">
        <v>950.69728</v>
      </c>
      <c r="CE123" s="16" t="n">
        <v>18225.1846725787</v>
      </c>
      <c r="CF123" s="16" t="n">
        <v>22.9357723927913</v>
      </c>
      <c r="CG123" s="16" t="n">
        <v>25.9174228038542</v>
      </c>
      <c r="CH123" s="16" t="n">
        <v>2643.77364301215</v>
      </c>
      <c r="CI123" s="16" t="n">
        <v>-6.2083733271085</v>
      </c>
      <c r="CJ123" s="16" t="n">
        <v>3.00594144553374</v>
      </c>
      <c r="CK123" s="16" t="n">
        <v>34966.3364280012</v>
      </c>
      <c r="CL123" s="16" t="n">
        <v>148.460810977321</v>
      </c>
      <c r="CM123" s="16" t="n">
        <v>173.828379227321</v>
      </c>
      <c r="CN123" s="16" t="n">
        <v>1000</v>
      </c>
      <c r="CO123" s="16" t="n">
        <v>1.5535546875</v>
      </c>
      <c r="CP123" s="16" t="n">
        <v>1.09004417261298</v>
      </c>
      <c r="CQ123" s="16" t="n">
        <v>6.79107494134748</v>
      </c>
      <c r="CR123" s="16" t="n">
        <v>85.8899519119567</v>
      </c>
      <c r="CS123" s="16" t="n">
        <v>23.7033407761968</v>
      </c>
      <c r="CT123" s="16" t="n">
        <v>6.00980083305087</v>
      </c>
      <c r="CU123" s="16" t="n">
        <v>6.79107494134748</v>
      </c>
      <c r="CV123" s="16" t="n">
        <v>5870.49746571649</v>
      </c>
      <c r="CW123" s="16" t="n">
        <v>1327.73512976192</v>
      </c>
      <c r="CX123" s="16" t="n">
        <v>7198.23259547841</v>
      </c>
      <c r="CY123" s="16" t="n">
        <v>5870.49746571649</v>
      </c>
      <c r="CZ123" s="16" t="n">
        <v>1457.21605647305</v>
      </c>
      <c r="DA123" s="16" t="n">
        <v>22.9357723927913</v>
      </c>
      <c r="DB123" s="16" t="n">
        <v>16775.9595284851</v>
      </c>
      <c r="DC123" s="16" t="n">
        <v>12447.761970136</v>
      </c>
      <c r="DD123" s="16" t="n">
        <v>11144.3333333333</v>
      </c>
      <c r="DE123" s="16" t="n">
        <v>1921.25</v>
      </c>
      <c r="DF123" s="16" t="n">
        <v>6185.42271071649</v>
      </c>
      <c r="DG123" s="16" t="n">
        <v>173.828379227321</v>
      </c>
      <c r="DH123" s="16" t="n">
        <v>0</v>
      </c>
      <c r="DI123" s="16" t="n">
        <v>23.7036905869048</v>
      </c>
    </row>
    <row r="124" customFormat="false" ht="15" hidden="false" customHeight="false" outlineLevel="0" collapsed="false">
      <c r="A124" s="0" t="s">
        <v>3342</v>
      </c>
      <c r="B124" s="16" t="n">
        <v>2465.07954157611</v>
      </c>
      <c r="C124" s="16" t="n">
        <v>8209.24039226006</v>
      </c>
      <c r="D124" s="16" t="n">
        <v>19716.7966317894</v>
      </c>
      <c r="E124" s="16" t="n">
        <v>4213.14398474076</v>
      </c>
      <c r="F124" s="16" t="n">
        <v>-1124.70541708709</v>
      </c>
      <c r="G124" s="16" t="n">
        <v>5009.47978613745</v>
      </c>
      <c r="H124" s="16" t="n">
        <v>-898.814009603721</v>
      </c>
      <c r="I124" s="17" t="n">
        <v>0.01</v>
      </c>
      <c r="J124" s="17" t="n">
        <v>11.9554084141197</v>
      </c>
      <c r="K124" s="16" t="s">
        <v>70</v>
      </c>
      <c r="L124" s="16" t="n">
        <v>-19951.7486624859</v>
      </c>
      <c r="M124" s="16" t="n">
        <v>33779.4469253452</v>
      </c>
      <c r="N124" s="16" t="n">
        <v>11402.7039831813</v>
      </c>
      <c r="O124" s="16" t="n">
        <v>-34081.0749002737</v>
      </c>
      <c r="P124" s="16" t="n">
        <v>951.290832135856</v>
      </c>
      <c r="Q124" s="16" t="n">
        <v>-212.115611240194</v>
      </c>
      <c r="R124" s="16" t="n">
        <v>17617.7170533315</v>
      </c>
      <c r="S124" s="16" t="n">
        <v>26949.0428826358</v>
      </c>
      <c r="T124" s="16" t="n">
        <v>-955.692204749296</v>
      </c>
      <c r="U124" s="16" t="n">
        <v>-621.096213862173</v>
      </c>
      <c r="V124" s="16" t="n">
        <v>0.750319556751226</v>
      </c>
      <c r="W124" s="16" t="n">
        <v>46166.2147180189</v>
      </c>
      <c r="X124" s="16" t="n">
        <v>22149.4762774452</v>
      </c>
      <c r="Y124" s="16" t="n">
        <v>11.2467021852112</v>
      </c>
      <c r="Z124" s="16" t="n">
        <v>15.2658610039894</v>
      </c>
      <c r="AA124" s="16" t="n">
        <v>27.424347870838</v>
      </c>
      <c r="AB124" s="16" t="n">
        <v>25.224347870838</v>
      </c>
      <c r="AC124" s="16" t="n">
        <v>26.674347870838</v>
      </c>
      <c r="AD124" s="16" t="n">
        <v>27.2673434792775</v>
      </c>
      <c r="AE124" s="16" t="n">
        <v>674.686407680941</v>
      </c>
      <c r="AF124" s="16" t="n">
        <v>0.03</v>
      </c>
      <c r="AG124" s="16" t="n">
        <v>0.654405917289144</v>
      </c>
      <c r="AH124" s="16" t="n">
        <v>6840.51539342611</v>
      </c>
      <c r="AI124" s="16" t="n">
        <v>19716.7966317894</v>
      </c>
      <c r="AJ124" s="16" t="n">
        <v>16.69175</v>
      </c>
      <c r="AK124" s="16" t="n">
        <v>0</v>
      </c>
      <c r="AL124" s="16" t="n">
        <v>-52788.6985146316</v>
      </c>
      <c r="AM124" s="16" t="n">
        <v>812.6073</v>
      </c>
      <c r="AN124" s="16" t="n">
        <v>20079.98904</v>
      </c>
      <c r="AO124" s="16" t="n">
        <v>-5508.72242389994</v>
      </c>
      <c r="AP124" s="16" t="n">
        <v>0.414483496940676</v>
      </c>
      <c r="AQ124" s="16" t="n">
        <v>10.5800074461236</v>
      </c>
      <c r="AR124" s="16" t="n">
        <v>314.925245</v>
      </c>
      <c r="AS124" s="16" t="n">
        <v>314.925245</v>
      </c>
      <c r="AT124" s="16" t="n">
        <v>-19951.7486624859</v>
      </c>
      <c r="AU124" s="16" t="n">
        <v>0</v>
      </c>
      <c r="AV124" s="16" t="n">
        <v>0</v>
      </c>
      <c r="AW124" s="16" t="n">
        <v>2254.3125</v>
      </c>
      <c r="AX124" s="16" t="n">
        <v>314.925245</v>
      </c>
      <c r="AY124" s="16" t="n">
        <v>314.925245</v>
      </c>
      <c r="AZ124" s="16" t="n">
        <v>5631.62619515181</v>
      </c>
      <c r="BA124" s="16" t="n">
        <v>0</v>
      </c>
      <c r="BB124" s="16" t="n">
        <v>417.928966666667</v>
      </c>
      <c r="BC124" s="16" t="n">
        <v>111441.907179589</v>
      </c>
      <c r="BD124" s="16" t="n">
        <v>16.751694488301</v>
      </c>
      <c r="BE124" s="16" t="n">
        <v>25.4089871102374</v>
      </c>
      <c r="BF124" s="16" t="n">
        <v>39.6368423190398</v>
      </c>
      <c r="BG124" s="16" t="n">
        <v>-8.27711430924607</v>
      </c>
      <c r="BH124" s="16" t="n">
        <v>-7.28866183200638</v>
      </c>
      <c r="BI124" s="16" t="n">
        <v>1.09242813813745</v>
      </c>
      <c r="BJ124" s="16" t="n">
        <v>2.04083187529388</v>
      </c>
      <c r="BK124" s="16" t="n">
        <v>5.25403316350504</v>
      </c>
      <c r="BL124" s="16" t="n">
        <v>7.88491984612206</v>
      </c>
      <c r="BM124" s="16" t="n">
        <v>3.71992671744367</v>
      </c>
      <c r="BN124" s="16" t="n">
        <v>4.46573109600205</v>
      </c>
      <c r="BO124" s="16" t="n">
        <v>5.7791095890411</v>
      </c>
      <c r="BP124" s="16" t="n">
        <v>8712.70308277889</v>
      </c>
      <c r="BQ124" s="16" t="n">
        <v>8176.87365522983</v>
      </c>
      <c r="BR124" s="16" t="n">
        <v>8176.87365522983</v>
      </c>
      <c r="BS124" s="16" t="n">
        <v>314.925245</v>
      </c>
      <c r="BT124" s="16" t="n">
        <v>301.7195</v>
      </c>
      <c r="BU124" s="16" t="n">
        <v>1081.9108</v>
      </c>
      <c r="BV124" s="16" t="s">
        <v>3237</v>
      </c>
      <c r="BW124" s="16" t="n">
        <v>42.7692307692308</v>
      </c>
      <c r="BX124" s="16" t="n">
        <v>0.155994305554286</v>
      </c>
      <c r="BY124" s="16" t="n">
        <v>0.161741466184191</v>
      </c>
      <c r="BZ124" s="16" t="n">
        <v>13510.8578038903</v>
      </c>
      <c r="CA124" s="16" t="n">
        <v>9557.85015295579</v>
      </c>
      <c r="CB124" s="16" t="n">
        <v>121.462655079579</v>
      </c>
      <c r="CC124" s="16" t="n">
        <v>0</v>
      </c>
      <c r="CD124" s="16" t="n">
        <v>950.69728</v>
      </c>
      <c r="CE124" s="16" t="n">
        <v>12000</v>
      </c>
      <c r="CF124" s="16" t="n">
        <v>18.7642752834672</v>
      </c>
      <c r="CG124" s="16" t="n">
        <v>21.2036310703179</v>
      </c>
      <c r="CH124" s="16" t="n">
        <v>2643.77364301215</v>
      </c>
      <c r="CI124" s="16" t="n">
        <v>-6.2083733271085</v>
      </c>
      <c r="CJ124" s="16" t="n">
        <v>3.00594144553374</v>
      </c>
      <c r="CK124" s="16" t="n">
        <v>0</v>
      </c>
      <c r="CL124" s="16" t="n">
        <v>0</v>
      </c>
      <c r="CM124" s="16" t="n">
        <v>0</v>
      </c>
      <c r="CN124" s="16" t="n">
        <v>-52788.6985146316</v>
      </c>
      <c r="CO124" s="16" t="n">
        <v>1.5535546875</v>
      </c>
      <c r="CP124" s="16" t="n">
        <v>1.09004417261298</v>
      </c>
      <c r="CQ124" s="16" t="n">
        <v>11.9554084141197</v>
      </c>
      <c r="CR124" s="16" t="n">
        <v>0.0113</v>
      </c>
      <c r="CS124" s="16" t="n">
        <v>11.9554084141197</v>
      </c>
      <c r="CT124" s="16" t="n">
        <v>10.5800074461236</v>
      </c>
      <c r="CU124" s="16" t="n">
        <v>11.9554084141197</v>
      </c>
      <c r="CV124" s="16" t="n">
        <v>0</v>
      </c>
      <c r="CW124" s="16" t="n">
        <v>0</v>
      </c>
      <c r="CX124" s="16" t="n">
        <v>0</v>
      </c>
      <c r="CY124" s="16" t="n">
        <v>0</v>
      </c>
      <c r="CZ124" s="16" t="n">
        <v>0</v>
      </c>
      <c r="DA124" s="16" t="n">
        <v>31.3164847798335</v>
      </c>
      <c r="DB124" s="16" t="n">
        <v>16775.9595284851</v>
      </c>
      <c r="DC124" s="16" t="n">
        <v>12447.761970136</v>
      </c>
      <c r="DD124" s="16" t="n">
        <v>11144.3333333333</v>
      </c>
      <c r="DE124" s="16" t="n">
        <v>0</v>
      </c>
      <c r="DF124" s="16" t="n">
        <v>314.925245</v>
      </c>
      <c r="DG124" s="16" t="n">
        <v>0</v>
      </c>
      <c r="DH124" s="16" t="n">
        <v>0</v>
      </c>
      <c r="DI124" s="16" t="n">
        <v>11.9554084141197</v>
      </c>
    </row>
    <row r="125" customFormat="false" ht="15" hidden="false" customHeight="false" outlineLevel="0" collapsed="false">
      <c r="A125" s="0" t="s">
        <v>3343</v>
      </c>
      <c r="B125" s="16" t="n">
        <v>2465.07954157611</v>
      </c>
      <c r="C125" s="16" t="n">
        <v>8209.24039226006</v>
      </c>
      <c r="D125" s="16" t="n">
        <v>19716.7966317894</v>
      </c>
      <c r="E125" s="16" t="n">
        <v>4213.14398474076</v>
      </c>
      <c r="F125" s="16" t="n">
        <v>-1124.70541708709</v>
      </c>
      <c r="G125" s="16" t="n">
        <v>5009.47978613745</v>
      </c>
      <c r="H125" s="16" t="n">
        <v>-1502.8233077799</v>
      </c>
      <c r="I125" s="17" t="n">
        <v>0.01</v>
      </c>
      <c r="J125" s="17" t="n">
        <v>13.5556913417742</v>
      </c>
      <c r="K125" s="16" t="s">
        <v>70</v>
      </c>
      <c r="L125" s="16" t="n">
        <v>-18278.4146493714</v>
      </c>
      <c r="M125" s="16" t="n">
        <v>33779.4469253452</v>
      </c>
      <c r="N125" s="16" t="n">
        <v>11402.7039831813</v>
      </c>
      <c r="O125" s="16" t="n">
        <v>-32932.7408871592</v>
      </c>
      <c r="P125" s="16" t="n">
        <v>951.290832135856</v>
      </c>
      <c r="Q125" s="16" t="n">
        <v>-212.115611240194</v>
      </c>
      <c r="R125" s="16" t="n">
        <v>17617.7170533315</v>
      </c>
      <c r="S125" s="16" t="n">
        <v>26949.0428826358</v>
      </c>
      <c r="T125" s="16" t="n">
        <v>-955.692204749296</v>
      </c>
      <c r="U125" s="16" t="n">
        <v>-175.105512038353</v>
      </c>
      <c r="V125" s="16" t="n">
        <v>0.750319556751226</v>
      </c>
      <c r="W125" s="16" t="n">
        <v>46166.2147180189</v>
      </c>
      <c r="X125" s="16" t="n">
        <v>22149.4762774452</v>
      </c>
      <c r="Y125" s="16" t="n">
        <v>12.7521217305738</v>
      </c>
      <c r="Z125" s="16" t="n">
        <v>17.3092622743115</v>
      </c>
      <c r="AA125" s="16" t="n">
        <v>27.424347870838</v>
      </c>
      <c r="AB125" s="16" t="n">
        <v>25.224347870838</v>
      </c>
      <c r="AC125" s="16" t="n">
        <v>26.674347870838</v>
      </c>
      <c r="AD125" s="16" t="n">
        <v>27.2673434792775</v>
      </c>
      <c r="AE125" s="16" t="n">
        <v>674.686407680941</v>
      </c>
      <c r="AF125" s="16" t="n">
        <v>0.03</v>
      </c>
      <c r="AG125" s="16" t="n">
        <v>0.654405917289144</v>
      </c>
      <c r="AH125" s="16" t="n">
        <v>8949.70289342611</v>
      </c>
      <c r="AI125" s="16" t="n">
        <v>19716.7966317894</v>
      </c>
      <c r="AJ125" s="16" t="n">
        <v>16.69175</v>
      </c>
      <c r="AK125" s="16" t="n">
        <v>0</v>
      </c>
      <c r="AL125" s="16" t="n">
        <v>-52034.1145015171</v>
      </c>
      <c r="AM125" s="16" t="n">
        <v>812.6073</v>
      </c>
      <c r="AN125" s="16" t="n">
        <v>22179.98904</v>
      </c>
      <c r="AO125" s="16" t="n">
        <v>-5546.27546044307</v>
      </c>
      <c r="AP125" s="16" t="n">
        <v>0.414483496940676</v>
      </c>
      <c r="AQ125" s="16" t="n">
        <v>11.9961870281188</v>
      </c>
      <c r="AR125" s="16" t="n">
        <v>314.925245</v>
      </c>
      <c r="AS125" s="16" t="n">
        <v>314.925245</v>
      </c>
      <c r="AT125" s="16" t="n">
        <v>-18278.4146493714</v>
      </c>
      <c r="AU125" s="16" t="n">
        <v>0</v>
      </c>
      <c r="AV125" s="16" t="n">
        <v>0</v>
      </c>
      <c r="AW125" s="16" t="n">
        <v>2254.3125</v>
      </c>
      <c r="AX125" s="16" t="n">
        <v>314.925245</v>
      </c>
      <c r="AY125" s="16" t="n">
        <v>314.925245</v>
      </c>
      <c r="AZ125" s="16" t="n">
        <v>5631.62619515181</v>
      </c>
      <c r="BA125" s="16" t="n">
        <v>0</v>
      </c>
      <c r="BB125" s="16" t="n">
        <v>417.928966666667</v>
      </c>
      <c r="BC125" s="16" t="n">
        <v>111441.907179589</v>
      </c>
      <c r="BD125" s="16" t="n">
        <v>20.0858190676119</v>
      </c>
      <c r="BE125" s="16" t="n">
        <v>28.7431116895483</v>
      </c>
      <c r="BF125" s="16" t="n">
        <v>42.9709668983507</v>
      </c>
      <c r="BG125" s="16" t="n">
        <v>-8.27711430924607</v>
      </c>
      <c r="BH125" s="16" t="n">
        <v>-7.28866183200638</v>
      </c>
      <c r="BI125" s="16" t="n">
        <v>1.09242813813745</v>
      </c>
      <c r="BJ125" s="16" t="n">
        <v>2.04083187529388</v>
      </c>
      <c r="BK125" s="16" t="n">
        <v>5.25403316350504</v>
      </c>
      <c r="BL125" s="16" t="n">
        <v>7.88491984612206</v>
      </c>
      <c r="BM125" s="16" t="n">
        <v>3.71992671744367</v>
      </c>
      <c r="BN125" s="16" t="n">
        <v>4.46573109600205</v>
      </c>
      <c r="BO125" s="16" t="n">
        <v>5.7791095890411</v>
      </c>
      <c r="BP125" s="16" t="n">
        <v>8712.70308277889</v>
      </c>
      <c r="BQ125" s="16" t="n">
        <v>8176.87365522983</v>
      </c>
      <c r="BR125" s="16" t="n">
        <v>8176.87365522983</v>
      </c>
      <c r="BS125" s="16" t="n">
        <v>314.925245</v>
      </c>
      <c r="BT125" s="16" t="n">
        <v>301.7195</v>
      </c>
      <c r="BU125" s="16" t="n">
        <v>1081.9108</v>
      </c>
      <c r="BV125" s="16" t="s">
        <v>3237</v>
      </c>
      <c r="BW125" s="16" t="n">
        <v>42.7692307692308</v>
      </c>
      <c r="BX125" s="16" t="n">
        <v>0.155994305554286</v>
      </c>
      <c r="BY125" s="16" t="n">
        <v>0.161741466184191</v>
      </c>
      <c r="BZ125" s="16" t="n">
        <v>13510.8578038903</v>
      </c>
      <c r="CA125" s="16" t="n">
        <v>9557.85015295579</v>
      </c>
      <c r="CB125" s="16" t="n">
        <v>119.585337917946</v>
      </c>
      <c r="CC125" s="16" t="n">
        <v>0</v>
      </c>
      <c r="CD125" s="16" t="n">
        <v>950.69728</v>
      </c>
      <c r="CE125" s="16" t="n">
        <v>14100</v>
      </c>
      <c r="CF125" s="16" t="n">
        <v>22.0983998627781</v>
      </c>
      <c r="CG125" s="16" t="n">
        <v>24.9711918449392</v>
      </c>
      <c r="CH125" s="16" t="n">
        <v>2643.77364301215</v>
      </c>
      <c r="CI125" s="16" t="n">
        <v>-6.2083733271085</v>
      </c>
      <c r="CJ125" s="16" t="n">
        <v>3.00594144553374</v>
      </c>
      <c r="CK125" s="16" t="n">
        <v>0</v>
      </c>
      <c r="CL125" s="16" t="n">
        <v>0</v>
      </c>
      <c r="CM125" s="16" t="n">
        <v>0</v>
      </c>
      <c r="CN125" s="16" t="n">
        <v>-52034.1145015171</v>
      </c>
      <c r="CO125" s="16" t="n">
        <v>1.5535546875</v>
      </c>
      <c r="CP125" s="16" t="n">
        <v>1.09004417261298</v>
      </c>
      <c r="CQ125" s="16" t="n">
        <v>13.5556913417742</v>
      </c>
      <c r="CR125" s="16" t="n">
        <v>0.0113</v>
      </c>
      <c r="CS125" s="16" t="n">
        <v>13.5556913417742</v>
      </c>
      <c r="CT125" s="16" t="n">
        <v>11.9961870281188</v>
      </c>
      <c r="CU125" s="16" t="n">
        <v>13.5556913417742</v>
      </c>
      <c r="CV125" s="16" t="n">
        <v>0</v>
      </c>
      <c r="CW125" s="16" t="n">
        <v>0</v>
      </c>
      <c r="CX125" s="16" t="n">
        <v>0</v>
      </c>
      <c r="CY125" s="16" t="n">
        <v>0</v>
      </c>
      <c r="CZ125" s="16" t="n">
        <v>0</v>
      </c>
      <c r="DA125" s="16" t="n">
        <v>34.6506093591444</v>
      </c>
      <c r="DB125" s="16" t="n">
        <v>16775.9595284851</v>
      </c>
      <c r="DC125" s="16" t="n">
        <v>12447.761970136</v>
      </c>
      <c r="DD125" s="16" t="n">
        <v>11144.3333333333</v>
      </c>
      <c r="DE125" s="16" t="n">
        <v>0</v>
      </c>
      <c r="DF125" s="16" t="n">
        <v>314.925245</v>
      </c>
      <c r="DG125" s="16" t="n">
        <v>0</v>
      </c>
      <c r="DH125" s="16" t="n">
        <v>0</v>
      </c>
      <c r="DI125" s="16" t="n">
        <v>13.5556913417742</v>
      </c>
    </row>
    <row r="126" customFormat="false" ht="15" hidden="false" customHeight="false" outlineLevel="0" collapsed="false">
      <c r="A126" s="0" t="s">
        <v>3344</v>
      </c>
      <c r="B126" s="16" t="n">
        <v>2465.07954157611</v>
      </c>
      <c r="C126" s="16" t="n">
        <v>8209.24039226006</v>
      </c>
      <c r="D126" s="16" t="n">
        <v>19716.7966317894</v>
      </c>
      <c r="E126" s="16" t="n">
        <v>4213.14398474076</v>
      </c>
      <c r="F126" s="16" t="n">
        <v>-1124.70541708709</v>
      </c>
      <c r="G126" s="16" t="n">
        <v>5009.47978613745</v>
      </c>
      <c r="H126" s="16" t="n">
        <v>-3198.47814758658</v>
      </c>
      <c r="I126" s="17" t="n">
        <v>0.01</v>
      </c>
      <c r="J126" s="17" t="n">
        <v>0</v>
      </c>
      <c r="K126" s="16" t="s">
        <v>882</v>
      </c>
      <c r="L126" s="16" t="n">
        <v>-26433.3405374859</v>
      </c>
      <c r="M126" s="16" t="n">
        <v>33779.4469253452</v>
      </c>
      <c r="N126" s="16" t="n">
        <v>11402.7039831813</v>
      </c>
      <c r="O126" s="16" t="n">
        <v>-43412.6667752737</v>
      </c>
      <c r="P126" s="16" t="n">
        <v>951.290832135856</v>
      </c>
      <c r="Q126" s="16" t="n">
        <v>-212.115611240194</v>
      </c>
      <c r="R126" s="16" t="n">
        <v>17617.7170533315</v>
      </c>
      <c r="S126" s="16" t="n">
        <v>26949.0428826358</v>
      </c>
      <c r="T126" s="16" t="n">
        <v>-955.692204749296</v>
      </c>
      <c r="U126" s="16" t="n">
        <v>-4120.76035184503</v>
      </c>
      <c r="V126" s="16" t="n">
        <v>0.750319556751226</v>
      </c>
      <c r="W126" s="16" t="n">
        <v>46166.2147180189</v>
      </c>
      <c r="X126" s="16" t="n">
        <v>22149.4762774452</v>
      </c>
      <c r="Y126" s="16" t="n">
        <v>0</v>
      </c>
      <c r="Z126" s="16" t="n">
        <v>0</v>
      </c>
      <c r="AA126" s="16" t="n">
        <v>27.424347870838</v>
      </c>
      <c r="AB126" s="16" t="n">
        <v>25.224347870838</v>
      </c>
      <c r="AC126" s="16" t="n">
        <v>26.674347870838</v>
      </c>
      <c r="AD126" s="16" t="n">
        <v>27.2673434792775</v>
      </c>
      <c r="AE126" s="16" t="n">
        <v>674.686407680941</v>
      </c>
      <c r="AF126" s="16" t="n">
        <v>0.03</v>
      </c>
      <c r="AG126" s="16" t="n">
        <v>0.654405917289144</v>
      </c>
      <c r="AH126" s="16" t="n">
        <v>4430.01539342611</v>
      </c>
      <c r="AI126" s="16" t="n">
        <v>19716.7966317894</v>
      </c>
      <c r="AJ126" s="16" t="n">
        <v>16.69175</v>
      </c>
      <c r="AK126" s="16" t="n">
        <v>0</v>
      </c>
      <c r="AL126" s="16" t="n">
        <v>-67849.8515786941</v>
      </c>
      <c r="AM126" s="16" t="n">
        <v>812.6073</v>
      </c>
      <c r="AN126" s="16" t="n">
        <v>0</v>
      </c>
      <c r="AO126" s="16" t="n">
        <v>-355.263647296984</v>
      </c>
      <c r="AP126" s="16" t="n">
        <v>0.414483496940676</v>
      </c>
      <c r="AQ126" s="16" t="n">
        <v>0</v>
      </c>
      <c r="AR126" s="16" t="n">
        <v>314.925245</v>
      </c>
      <c r="AS126" s="16" t="n">
        <v>314.925245</v>
      </c>
      <c r="AT126" s="16" t="n">
        <v>-26433.3405374859</v>
      </c>
      <c r="AU126" s="16" t="n">
        <v>0</v>
      </c>
      <c r="AV126" s="16" t="n">
        <v>0</v>
      </c>
      <c r="AW126" s="16" t="n">
        <v>2254.3125</v>
      </c>
      <c r="AX126" s="16" t="n">
        <v>314.925245</v>
      </c>
      <c r="AY126" s="16" t="n">
        <v>314.925245</v>
      </c>
      <c r="AZ126" s="16" t="n">
        <v>5631.62619515181</v>
      </c>
      <c r="BA126" s="16" t="n">
        <v>0</v>
      </c>
      <c r="BB126" s="16" t="n">
        <v>417.928966666667</v>
      </c>
      <c r="BC126" s="16" t="n">
        <v>111441.907179589</v>
      </c>
      <c r="BD126" s="16" t="n">
        <v>12.94126639766</v>
      </c>
      <c r="BE126" s="16" t="n">
        <v>21.5985590195964</v>
      </c>
      <c r="BF126" s="16" t="n">
        <v>35.8264142283988</v>
      </c>
      <c r="BG126" s="16" t="n">
        <v>-8.27711430924607</v>
      </c>
      <c r="BH126" s="16" t="n">
        <v>-7.28866183200638</v>
      </c>
      <c r="BI126" s="16" t="n">
        <v>1.09242813813745</v>
      </c>
      <c r="BJ126" s="16" t="n">
        <v>2.04083187529388</v>
      </c>
      <c r="BK126" s="16" t="n">
        <v>5.25403316350504</v>
      </c>
      <c r="BL126" s="16" t="n">
        <v>7.88491984612206</v>
      </c>
      <c r="BM126" s="16" t="n">
        <v>3.71992671744367</v>
      </c>
      <c r="BN126" s="16" t="n">
        <v>4.46573109600205</v>
      </c>
      <c r="BO126" s="16" t="n">
        <v>5.7791095890411</v>
      </c>
      <c r="BP126" s="16" t="n">
        <v>8712.70308277889</v>
      </c>
      <c r="BQ126" s="16" t="n">
        <v>8176.87365522983</v>
      </c>
      <c r="BR126" s="16" t="n">
        <v>8176.87365522983</v>
      </c>
      <c r="BS126" s="16" t="n">
        <v>314.925245</v>
      </c>
      <c r="BT126" s="16" t="n">
        <v>301.7195</v>
      </c>
      <c r="BU126" s="16" t="n">
        <v>1081.9108</v>
      </c>
      <c r="BV126" s="16" t="s">
        <v>3237</v>
      </c>
      <c r="BW126" s="16" t="n">
        <v>42.7692307692308</v>
      </c>
      <c r="BX126" s="16" t="n">
        <v>0.155994305554286</v>
      </c>
      <c r="BY126" s="16" t="n">
        <v>0.161741466184191</v>
      </c>
      <c r="BZ126" s="16" t="n">
        <v>13510.8578038903</v>
      </c>
      <c r="CA126" s="16" t="n">
        <v>9557.85015295579</v>
      </c>
      <c r="CB126" s="16" t="n">
        <v>154.913084180454</v>
      </c>
      <c r="CC126" s="16" t="n">
        <v>0</v>
      </c>
      <c r="CD126" s="16" t="n">
        <v>950.69728</v>
      </c>
      <c r="CE126" s="16" t="n">
        <v>0</v>
      </c>
      <c r="CF126" s="16" t="n">
        <v>14.9538471928262</v>
      </c>
      <c r="CG126" s="16" t="n">
        <v>16.8978473278936</v>
      </c>
      <c r="CH126" s="16" t="n">
        <v>2643.77364301215</v>
      </c>
      <c r="CI126" s="16" t="n">
        <v>-6.2083733271085</v>
      </c>
      <c r="CJ126" s="16" t="n">
        <v>3.00594144553374</v>
      </c>
      <c r="CK126" s="16" t="n">
        <v>0</v>
      </c>
      <c r="CL126" s="16" t="n">
        <v>0</v>
      </c>
      <c r="CM126" s="16" t="n">
        <v>0</v>
      </c>
      <c r="CN126" s="16" t="n">
        <v>-67849.8515786941</v>
      </c>
      <c r="CO126" s="16" t="n">
        <v>1.5535546875</v>
      </c>
      <c r="CP126" s="16" t="n">
        <v>1.09004417261298</v>
      </c>
      <c r="CQ126" s="16" t="n">
        <v>0</v>
      </c>
      <c r="CR126" s="16" t="n">
        <v>0.0113</v>
      </c>
      <c r="CS126" s="16" t="n">
        <v>0</v>
      </c>
      <c r="CT126" s="16" t="n">
        <v>0</v>
      </c>
      <c r="CU126" s="16" t="n">
        <v>0.0113</v>
      </c>
      <c r="CV126" s="16" t="n">
        <v>0</v>
      </c>
      <c r="CW126" s="16" t="n">
        <v>0</v>
      </c>
      <c r="CX126" s="16" t="n">
        <v>0</v>
      </c>
      <c r="CY126" s="16" t="n">
        <v>0</v>
      </c>
      <c r="CZ126" s="16" t="n">
        <v>0</v>
      </c>
      <c r="DA126" s="16" t="n">
        <v>27.5060566891925</v>
      </c>
      <c r="DB126" s="16" t="n">
        <v>16775.9595284851</v>
      </c>
      <c r="DC126" s="16" t="n">
        <v>12447.761970136</v>
      </c>
      <c r="DD126" s="16" t="n">
        <v>11144.3333333333</v>
      </c>
      <c r="DE126" s="16" t="n">
        <v>0</v>
      </c>
      <c r="DF126" s="16" t="n">
        <v>314.925245</v>
      </c>
      <c r="DG126" s="16" t="n">
        <v>0</v>
      </c>
      <c r="DH126" s="16" t="n">
        <v>0</v>
      </c>
      <c r="DI126" s="16" t="n">
        <v>0.0113</v>
      </c>
    </row>
    <row r="127" customFormat="false" ht="15" hidden="false" customHeight="false" outlineLevel="0" collapsed="false">
      <c r="A127" s="0" t="s">
        <v>3345</v>
      </c>
      <c r="B127" s="16" t="n">
        <v>2465.07954157611</v>
      </c>
      <c r="C127" s="16" t="n">
        <v>8209.24039226006</v>
      </c>
      <c r="D127" s="16" t="n">
        <v>19716.7966317894</v>
      </c>
      <c r="E127" s="16" t="n">
        <v>4213.14398474076</v>
      </c>
      <c r="F127" s="16" t="n">
        <v>-1080.83776245689</v>
      </c>
      <c r="G127" s="16" t="n">
        <v>4965.61213150724</v>
      </c>
      <c r="H127" s="16" t="n">
        <v>-304.216148649922</v>
      </c>
      <c r="I127" s="17" t="n">
        <v>0.641434912884246</v>
      </c>
      <c r="J127" s="17" t="n">
        <v>6.52346300220399</v>
      </c>
      <c r="K127" s="16" t="s">
        <v>116</v>
      </c>
      <c r="L127" s="16" t="n">
        <v>1000</v>
      </c>
      <c r="M127" s="16" t="n">
        <v>33393.1237253452</v>
      </c>
      <c r="N127" s="16" t="n">
        <v>11402.7039831813</v>
      </c>
      <c r="O127" s="16" t="n">
        <v>1000</v>
      </c>
      <c r="P127" s="16" t="n">
        <v>951.290832135856</v>
      </c>
      <c r="Q127" s="16" t="n">
        <v>-179.034287756198</v>
      </c>
      <c r="R127" s="16" t="n">
        <v>17147.1861733315</v>
      </c>
      <c r="S127" s="16" t="n">
        <v>26855.1996826358</v>
      </c>
      <c r="T127" s="16" t="n">
        <v>-955.692204749296</v>
      </c>
      <c r="U127" s="16" t="n">
        <v>202.004047091625</v>
      </c>
      <c r="V127" s="16" t="n">
        <v>0.750319556751226</v>
      </c>
      <c r="W127" s="16" t="n">
        <v>46127.7345676184</v>
      </c>
      <c r="X127" s="16" t="n">
        <v>22051.5544576052</v>
      </c>
      <c r="Y127" s="16" t="n">
        <v>6.13675778030161</v>
      </c>
      <c r="Z127" s="16" t="n">
        <v>8.32980990751427</v>
      </c>
      <c r="AA127" s="16" t="n">
        <v>27.424347870838</v>
      </c>
      <c r="AB127" s="16" t="n">
        <v>25.224347870838</v>
      </c>
      <c r="AC127" s="16" t="n">
        <v>26.674347870838</v>
      </c>
      <c r="AD127" s="16" t="n">
        <v>27.2673434792775</v>
      </c>
      <c r="AE127" s="16" t="n">
        <v>674.686407680941</v>
      </c>
      <c r="AF127" s="16" t="n">
        <v>0.03</v>
      </c>
      <c r="AG127" s="16" t="n">
        <v>0.654405917289144</v>
      </c>
      <c r="AH127" s="16" t="n">
        <v>10292.4474740961</v>
      </c>
      <c r="AI127" s="16" t="n">
        <v>19716.7966317894</v>
      </c>
      <c r="AJ127" s="16" t="n">
        <v>16.69175</v>
      </c>
      <c r="AK127" s="16" t="n">
        <v>0</v>
      </c>
      <c r="AL127" s="16" t="n">
        <v>1000</v>
      </c>
      <c r="AM127" s="16" t="n">
        <v>812.6073</v>
      </c>
      <c r="AN127" s="16" t="n">
        <v>20079.98904</v>
      </c>
      <c r="AO127" s="16" t="n">
        <v>-5508.72242389994</v>
      </c>
      <c r="AP127" s="16" t="n">
        <v>0.414483496940676</v>
      </c>
      <c r="AQ127" s="16" t="n">
        <v>78.9977598484539</v>
      </c>
      <c r="AR127" s="16" t="n">
        <v>502.356504803639</v>
      </c>
      <c r="AS127" s="16" t="n">
        <v>314.925245</v>
      </c>
      <c r="AT127" s="16" t="n">
        <v>1000</v>
      </c>
      <c r="AU127" s="16" t="n">
        <v>12.270507</v>
      </c>
      <c r="AV127" s="16" t="n">
        <v>0</v>
      </c>
      <c r="AW127" s="16" t="n">
        <v>2254.3125</v>
      </c>
      <c r="AX127" s="16" t="n">
        <v>314.925245</v>
      </c>
      <c r="AY127" s="16" t="n">
        <v>314.925245</v>
      </c>
      <c r="AZ127" s="16" t="n">
        <v>5631.62619515181</v>
      </c>
      <c r="BA127" s="16" t="n">
        <v>0</v>
      </c>
      <c r="BB127" s="16" t="n">
        <v>417.928966666667</v>
      </c>
      <c r="BC127" s="16" t="n">
        <v>110491.209899589</v>
      </c>
      <c r="BD127" s="16" t="n">
        <v>17.4772711247501</v>
      </c>
      <c r="BE127" s="16" t="n">
        <v>26.1345637466865</v>
      </c>
      <c r="BF127" s="16" t="n">
        <v>40.3624189554889</v>
      </c>
      <c r="BG127" s="16" t="n">
        <v>-7.04788063944062</v>
      </c>
      <c r="BH127" s="16" t="n">
        <v>-7.28866183200638</v>
      </c>
      <c r="BI127" s="16" t="n">
        <v>2.28161306785965</v>
      </c>
      <c r="BJ127" s="16" t="n">
        <v>2.04083187529388</v>
      </c>
      <c r="BK127" s="16" t="n">
        <v>6.71160484477099</v>
      </c>
      <c r="BL127" s="16" t="n">
        <v>7.88491984612206</v>
      </c>
      <c r="BM127" s="16" t="n">
        <v>3.71992671744367</v>
      </c>
      <c r="BN127" s="16" t="n">
        <v>4.46573109600205</v>
      </c>
      <c r="BO127" s="16" t="n">
        <v>5.7791095890411</v>
      </c>
      <c r="BP127" s="16" t="n">
        <v>8712.70308277889</v>
      </c>
      <c r="BQ127" s="16" t="n">
        <v>8176.87365522983</v>
      </c>
      <c r="BR127" s="16" t="n">
        <v>8176.87365522983</v>
      </c>
      <c r="BS127" s="16" t="n">
        <v>502.356504803639</v>
      </c>
      <c r="BT127" s="16" t="n">
        <v>301.7195</v>
      </c>
      <c r="BU127" s="16" t="n">
        <v>1081.9108</v>
      </c>
      <c r="BV127" s="16" t="s">
        <v>3237</v>
      </c>
      <c r="BW127" s="16" t="n">
        <v>41.1282051282051</v>
      </c>
      <c r="BX127" s="16" t="n">
        <v>0.170777119735353</v>
      </c>
      <c r="BY127" s="16" t="n">
        <v>0.161741466184191</v>
      </c>
      <c r="BZ127" s="16" t="n">
        <v>13510.8578038903</v>
      </c>
      <c r="CA127" s="16" t="n">
        <v>19402.010477409</v>
      </c>
      <c r="CB127" s="16" t="n">
        <v>272.18190693348</v>
      </c>
      <c r="CC127" s="16" t="n">
        <v>0</v>
      </c>
      <c r="CD127" s="16" t="n">
        <v>0</v>
      </c>
      <c r="CE127" s="16" t="n">
        <v>12000</v>
      </c>
      <c r="CF127" s="16" t="n">
        <v>24.6213931151772</v>
      </c>
      <c r="CG127" s="16" t="n">
        <v>27.8221742201502</v>
      </c>
      <c r="CH127" s="16" t="n">
        <v>2643.77364301215</v>
      </c>
      <c r="CI127" s="16" t="n">
        <v>-5.0191883973863</v>
      </c>
      <c r="CJ127" s="16" t="n">
        <v>4.19512637525594</v>
      </c>
      <c r="CK127" s="16" t="n">
        <v>37769.6114335002</v>
      </c>
      <c r="CL127" s="16" t="n">
        <v>160.363015303639</v>
      </c>
      <c r="CM127" s="16" t="n">
        <v>185.730583553639</v>
      </c>
      <c r="CN127" s="16" t="n">
        <v>1000</v>
      </c>
      <c r="CO127" s="16" t="n">
        <v>1.5535546875</v>
      </c>
      <c r="CP127" s="16" t="n">
        <v>1.09004417261298</v>
      </c>
      <c r="CQ127" s="16" t="n">
        <v>6.52346300220399</v>
      </c>
      <c r="CR127" s="16" t="n">
        <v>89.2674686287529</v>
      </c>
      <c r="CS127" s="16" t="n">
        <v>30.4548358667326</v>
      </c>
      <c r="CT127" s="16" t="n">
        <v>5.77297610814513</v>
      </c>
      <c r="CU127" s="16" t="n">
        <v>6.52346300220399</v>
      </c>
      <c r="CV127" s="16" t="n">
        <v>6541.0447217611</v>
      </c>
      <c r="CW127" s="16" t="n">
        <v>1382.20279097567</v>
      </c>
      <c r="CX127" s="16" t="n">
        <v>7923.24751273677</v>
      </c>
      <c r="CY127" s="16" t="n">
        <v>6541.0447217611</v>
      </c>
      <c r="CZ127" s="16" t="n">
        <v>1153.63188721042</v>
      </c>
      <c r="DA127" s="16" t="n">
        <v>24.6213931151772</v>
      </c>
      <c r="DB127" s="16" t="n">
        <v>16775.9595284851</v>
      </c>
      <c r="DC127" s="16" t="n">
        <v>12447.761970136</v>
      </c>
      <c r="DD127" s="16" t="n">
        <v>11144.3333333333</v>
      </c>
      <c r="DE127" s="16" t="n">
        <v>1921.25</v>
      </c>
      <c r="DF127" s="16" t="n">
        <v>6855.9699667611</v>
      </c>
      <c r="DG127" s="16" t="n">
        <v>185.730583553639</v>
      </c>
      <c r="DH127" s="16" t="n">
        <v>0</v>
      </c>
      <c r="DI127" s="16" t="n">
        <v>30.4548674359789</v>
      </c>
    </row>
    <row r="128" customFormat="false" ht="15" hidden="false" customHeight="false" outlineLevel="0" collapsed="false">
      <c r="A128" s="0" t="s">
        <v>3346</v>
      </c>
      <c r="B128" s="16" t="n">
        <v>2465.07954157611</v>
      </c>
      <c r="C128" s="16" t="n">
        <v>8209.24039226006</v>
      </c>
      <c r="D128" s="16" t="n">
        <v>19716.7966317894</v>
      </c>
      <c r="E128" s="16" t="n">
        <v>4213.14398474076</v>
      </c>
      <c r="F128" s="16" t="n">
        <v>-1135.49021845689</v>
      </c>
      <c r="G128" s="16" t="n">
        <v>5020.26458750724</v>
      </c>
      <c r="H128" s="16" t="n">
        <v>-898.814009603721</v>
      </c>
      <c r="I128" s="17" t="n">
        <v>0.01</v>
      </c>
      <c r="J128" s="17" t="n">
        <v>0</v>
      </c>
      <c r="K128" s="16" t="s">
        <v>116</v>
      </c>
      <c r="L128" s="16" t="n">
        <v>1000</v>
      </c>
      <c r="M128" s="16" t="n">
        <v>33779.4469253452</v>
      </c>
      <c r="N128" s="16" t="n">
        <v>11402.7039831813</v>
      </c>
      <c r="O128" s="16" t="n">
        <v>1000</v>
      </c>
      <c r="P128" s="16" t="n">
        <v>951.290832135856</v>
      </c>
      <c r="Q128" s="16" t="n">
        <v>-267.565775756198</v>
      </c>
      <c r="R128" s="16" t="n">
        <v>17617.7170533315</v>
      </c>
      <c r="S128" s="16" t="n">
        <v>26949.0428826358</v>
      </c>
      <c r="T128" s="16" t="n">
        <v>-955.692204749296</v>
      </c>
      <c r="U128" s="16" t="n">
        <v>-2353.63371386217</v>
      </c>
      <c r="V128" s="16" t="n">
        <v>0.750319556751226</v>
      </c>
      <c r="W128" s="16" t="n">
        <v>46166.2147180189</v>
      </c>
      <c r="X128" s="16" t="n">
        <v>22149.4762774452</v>
      </c>
      <c r="Y128" s="16" t="n">
        <v>0</v>
      </c>
      <c r="Z128" s="16" t="n">
        <v>0</v>
      </c>
      <c r="AA128" s="16" t="n">
        <v>27.424347870838</v>
      </c>
      <c r="AB128" s="16" t="n">
        <v>25.224347870838</v>
      </c>
      <c r="AC128" s="16" t="n">
        <v>26.674347870838</v>
      </c>
      <c r="AD128" s="16" t="n">
        <v>27.2673434792775</v>
      </c>
      <c r="AE128" s="16" t="n">
        <v>674.686407680941</v>
      </c>
      <c r="AF128" s="16" t="n">
        <v>0.03</v>
      </c>
      <c r="AG128" s="16" t="n">
        <v>0.654405917289144</v>
      </c>
      <c r="AH128" s="16" t="n">
        <v>9819.91719809611</v>
      </c>
      <c r="AI128" s="16" t="n">
        <v>19716.7966317894</v>
      </c>
      <c r="AJ128" s="16" t="n">
        <v>16.69175</v>
      </c>
      <c r="AK128" s="16" t="n">
        <v>0</v>
      </c>
      <c r="AL128" s="16" t="n">
        <v>1000</v>
      </c>
      <c r="AM128" s="16" t="n">
        <v>812.6073</v>
      </c>
      <c r="AN128" s="16" t="n">
        <v>20079.98904</v>
      </c>
      <c r="AO128" s="16" t="n">
        <v>-5508.72242389994</v>
      </c>
      <c r="AP128" s="16" t="n">
        <v>0.414483496940676</v>
      </c>
      <c r="AQ128" s="16" t="n">
        <v>75.2246506206847</v>
      </c>
      <c r="AR128" s="16" t="n">
        <v>506.474954430797</v>
      </c>
      <c r="AS128" s="16" t="n">
        <v>314.925245</v>
      </c>
      <c r="AT128" s="16" t="n">
        <v>1000</v>
      </c>
      <c r="AU128" s="16" t="n">
        <v>12.270507</v>
      </c>
      <c r="AV128" s="16" t="n">
        <v>0</v>
      </c>
      <c r="AW128" s="16" t="n">
        <v>2254.3125</v>
      </c>
      <c r="AX128" s="16" t="n">
        <v>314.925245</v>
      </c>
      <c r="AY128" s="16" t="n">
        <v>314.925245</v>
      </c>
      <c r="AZ128" s="16" t="n">
        <v>5631.62619515181</v>
      </c>
      <c r="BA128" s="16" t="n">
        <v>1732.5375</v>
      </c>
      <c r="BB128" s="16" t="n">
        <v>417.928966666667</v>
      </c>
      <c r="BC128" s="16" t="n">
        <v>111441.907179589</v>
      </c>
      <c r="BD128" s="16" t="n">
        <v>11.2502698565603</v>
      </c>
      <c r="BE128" s="16" t="n">
        <v>19.9075624784966</v>
      </c>
      <c r="BF128" s="16" t="n">
        <v>34.1354176872991</v>
      </c>
      <c r="BG128" s="16" t="n">
        <v>-8.27711430924607</v>
      </c>
      <c r="BH128" s="16" t="n">
        <v>-7.28866183200638</v>
      </c>
      <c r="BI128" s="16" t="n">
        <v>1.09242813813745</v>
      </c>
      <c r="BJ128" s="16" t="n">
        <v>2.04083187529388</v>
      </c>
      <c r="BK128" s="16" t="n">
        <v>5.25403316350504</v>
      </c>
      <c r="BL128" s="16" t="n">
        <v>7.88491984612206</v>
      </c>
      <c r="BM128" s="16" t="n">
        <v>3.71992671744367</v>
      </c>
      <c r="BN128" s="16" t="n">
        <v>4.46573109600205</v>
      </c>
      <c r="BO128" s="16" t="n">
        <v>5.7791095890411</v>
      </c>
      <c r="BP128" s="16" t="n">
        <v>8712.70308277889</v>
      </c>
      <c r="BQ128" s="16" t="n">
        <v>8176.87365522983</v>
      </c>
      <c r="BR128" s="16" t="n">
        <v>8176.87365522983</v>
      </c>
      <c r="BS128" s="16" t="n">
        <v>506.474954430797</v>
      </c>
      <c r="BT128" s="16" t="n">
        <v>301.7195</v>
      </c>
      <c r="BU128" s="16" t="n">
        <v>1081.9108</v>
      </c>
      <c r="BV128" s="16" t="s">
        <v>3237</v>
      </c>
      <c r="BW128" s="16" t="n">
        <v>42.7692307692308</v>
      </c>
      <c r="BX128" s="16" t="n">
        <v>0.155994305554286</v>
      </c>
      <c r="BY128" s="16" t="n">
        <v>0.161741466184191</v>
      </c>
      <c r="BZ128" s="16" t="n">
        <v>13510.8578038903</v>
      </c>
      <c r="CA128" s="16" t="n">
        <v>19402.010477409</v>
      </c>
      <c r="CB128" s="16" t="n">
        <v>278.503097417438</v>
      </c>
      <c r="CC128" s="16" t="n">
        <v>1732.5375</v>
      </c>
      <c r="CD128" s="16" t="n">
        <v>950.69728</v>
      </c>
      <c r="CE128" s="16" t="n">
        <v>12000</v>
      </c>
      <c r="CF128" s="16" t="n">
        <v>18.7487394461826</v>
      </c>
      <c r="CG128" s="16" t="n">
        <v>21.1860755741863</v>
      </c>
      <c r="CH128" s="16" t="n">
        <v>2643.77364301215</v>
      </c>
      <c r="CI128" s="16" t="n">
        <v>-6.2083733271085</v>
      </c>
      <c r="CJ128" s="16" t="n">
        <v>3.00594144553374</v>
      </c>
      <c r="CK128" s="16" t="n">
        <v>38739.6121648513</v>
      </c>
      <c r="CL128" s="16" t="n">
        <v>164.481464930797</v>
      </c>
      <c r="CM128" s="16" t="n">
        <v>189.849033180797</v>
      </c>
      <c r="CN128" s="16" t="n">
        <v>1000</v>
      </c>
      <c r="CO128" s="16" t="n">
        <v>1.5535546875</v>
      </c>
      <c r="CP128" s="16" t="n">
        <v>1.09004417261298</v>
      </c>
      <c r="CQ128" s="16" t="n">
        <v>0</v>
      </c>
      <c r="CR128" s="16" t="n">
        <v>85.0038552013737</v>
      </c>
      <c r="CS128" s="16" t="n">
        <v>25.514483772916</v>
      </c>
      <c r="CT128" s="16" t="n">
        <v>0</v>
      </c>
      <c r="CU128" s="16" t="n">
        <v>0.0113</v>
      </c>
      <c r="CV128" s="16" t="n">
        <v>3861970.2627895</v>
      </c>
      <c r="CW128" s="16" t="n">
        <v>797942.368891408</v>
      </c>
      <c r="CX128" s="16" t="n">
        <v>4659912.63168091</v>
      </c>
      <c r="CY128" s="16" t="n">
        <v>3861970.2627895</v>
      </c>
      <c r="CZ128" s="16" t="n">
        <v>1367.76200672134</v>
      </c>
      <c r="DA128" s="16" t="n">
        <v>18.7487394461826</v>
      </c>
      <c r="DB128" s="16" t="n">
        <v>16775.9595284851</v>
      </c>
      <c r="DC128" s="16" t="n">
        <v>12447.761970136</v>
      </c>
      <c r="DD128" s="16" t="n">
        <v>11144.3333333333</v>
      </c>
      <c r="DE128" s="16" t="n">
        <v>1921.25</v>
      </c>
      <c r="DF128" s="16" t="n">
        <v>3862285.1880345</v>
      </c>
      <c r="DG128" s="16" t="n">
        <v>189.849033180797</v>
      </c>
      <c r="DH128" s="16" t="n">
        <v>0</v>
      </c>
      <c r="DI128" s="16" t="n">
        <v>25.5145845365289</v>
      </c>
    </row>
    <row r="129" customFormat="false" ht="15" hidden="false" customHeight="false" outlineLevel="0" collapsed="false">
      <c r="A129" s="0" t="s">
        <v>3347</v>
      </c>
      <c r="B129" s="16" t="n">
        <v>2465.07954157611</v>
      </c>
      <c r="C129" s="16" t="n">
        <v>7587.74199281064</v>
      </c>
      <c r="D129" s="16" t="n">
        <v>19796.8821990782</v>
      </c>
      <c r="E129" s="16" t="n">
        <v>3793.67306279833</v>
      </c>
      <c r="F129" s="16" t="n">
        <v>-1529.38087293662</v>
      </c>
      <c r="G129" s="16" t="n">
        <v>5019.54425602253</v>
      </c>
      <c r="H129" s="16" t="n">
        <v>-1218.77877478074</v>
      </c>
      <c r="I129" s="17" t="n">
        <v>0.01</v>
      </c>
      <c r="J129" s="17" t="n">
        <v>2.96639488237299</v>
      </c>
      <c r="K129" s="16" t="s">
        <v>116</v>
      </c>
      <c r="L129" s="16" t="n">
        <v>1000</v>
      </c>
      <c r="M129" s="16" t="n">
        <v>33767.0169573562</v>
      </c>
      <c r="N129" s="16" t="n">
        <v>11463.5690143208</v>
      </c>
      <c r="O129" s="16" t="n">
        <v>1000</v>
      </c>
      <c r="P129" s="16" t="n">
        <v>951.290832135856</v>
      </c>
      <c r="Q129" s="16" t="n">
        <v>-207.658430412343</v>
      </c>
      <c r="R129" s="16" t="n">
        <v>17617.7170533315</v>
      </c>
      <c r="S129" s="16" t="n">
        <v>26950.6445939816</v>
      </c>
      <c r="T129" s="16" t="n">
        <v>-955.692204749296</v>
      </c>
      <c r="U129" s="16" t="n">
        <v>-941.060979039194</v>
      </c>
      <c r="V129" s="16" t="n">
        <v>0.750319556751226</v>
      </c>
      <c r="W129" s="16" t="n">
        <v>46165.3381551993</v>
      </c>
      <c r="X129" s="16" t="n">
        <v>22147.2456565767</v>
      </c>
      <c r="Y129" s="16" t="n">
        <v>2.79054956971458</v>
      </c>
      <c r="Z129" s="16" t="n">
        <v>3.78778962530207</v>
      </c>
      <c r="AA129" s="16" t="n">
        <v>27.424347870838</v>
      </c>
      <c r="AB129" s="16" t="n">
        <v>25.224347870838</v>
      </c>
      <c r="AC129" s="16" t="n">
        <v>26.674347870838</v>
      </c>
      <c r="AD129" s="16" t="n">
        <v>27.2673434792775</v>
      </c>
      <c r="AE129" s="16" t="n">
        <v>674.686407680941</v>
      </c>
      <c r="AF129" s="16" t="n">
        <v>0.03</v>
      </c>
      <c r="AG129" s="16" t="n">
        <v>0.654405917289144</v>
      </c>
      <c r="AH129" s="16" t="n">
        <v>9819.91719809611</v>
      </c>
      <c r="AI129" s="16" t="n">
        <v>19796.8821990782</v>
      </c>
      <c r="AJ129" s="16" t="n">
        <v>16.69175</v>
      </c>
      <c r="AK129" s="16" t="n">
        <v>0</v>
      </c>
      <c r="AL129" s="16" t="n">
        <v>1000</v>
      </c>
      <c r="AM129" s="16" t="n">
        <v>812.6073</v>
      </c>
      <c r="AN129" s="16" t="n">
        <v>20079.98904</v>
      </c>
      <c r="AO129" s="16" t="n">
        <v>-5508.72242389994</v>
      </c>
      <c r="AP129" s="16" t="n">
        <v>0.52523709328255</v>
      </c>
      <c r="AQ129" s="16" t="n">
        <v>78.4729930232947</v>
      </c>
      <c r="AR129" s="16" t="n">
        <v>507.956185413648</v>
      </c>
      <c r="AS129" s="16" t="n">
        <v>314.925245</v>
      </c>
      <c r="AT129" s="16" t="n">
        <v>1000</v>
      </c>
      <c r="AU129" s="16" t="n">
        <v>12.270507</v>
      </c>
      <c r="AV129" s="16" t="n">
        <v>0</v>
      </c>
      <c r="AW129" s="16" t="n">
        <v>2254.3125</v>
      </c>
      <c r="AX129" s="16" t="n">
        <v>314.925245</v>
      </c>
      <c r="AY129" s="16" t="n">
        <v>314.925245</v>
      </c>
      <c r="AZ129" s="16" t="n">
        <v>5555.84501712548</v>
      </c>
      <c r="BA129" s="16" t="n">
        <v>0</v>
      </c>
      <c r="BB129" s="16" t="n">
        <v>497.928966666667</v>
      </c>
      <c r="BC129" s="16" t="n">
        <v>111431.078922946</v>
      </c>
      <c r="BD129" s="16" t="n">
        <v>16.5110622137232</v>
      </c>
      <c r="BE129" s="16" t="n">
        <v>25.1683548356596</v>
      </c>
      <c r="BF129" s="16" t="n">
        <v>39.396210044462</v>
      </c>
      <c r="BG129" s="16" t="n">
        <v>-8.27711430924607</v>
      </c>
      <c r="BH129" s="16" t="n">
        <v>-7.28866183200638</v>
      </c>
      <c r="BI129" s="16" t="n">
        <v>1.09242813813745</v>
      </c>
      <c r="BJ129" s="16" t="n">
        <v>2.04083187529388</v>
      </c>
      <c r="BK129" s="16" t="n">
        <v>5.25403316350504</v>
      </c>
      <c r="BL129" s="16" t="n">
        <v>7.88491984612206</v>
      </c>
      <c r="BM129" s="16" t="n">
        <v>3.71992671744367</v>
      </c>
      <c r="BN129" s="16" t="n">
        <v>4.46573109600205</v>
      </c>
      <c r="BO129" s="16" t="n">
        <v>5.7791095890411</v>
      </c>
      <c r="BP129" s="16" t="n">
        <v>8712.70308277889</v>
      </c>
      <c r="BQ129" s="16" t="n">
        <v>7555.37525578041</v>
      </c>
      <c r="BR129" s="16" t="n">
        <v>7555.37525578041</v>
      </c>
      <c r="BS129" s="16" t="n">
        <v>507.956185413648</v>
      </c>
      <c r="BT129" s="16" t="n">
        <v>301.7195</v>
      </c>
      <c r="BU129" s="16" t="n">
        <v>1081.9108</v>
      </c>
      <c r="BV129" s="16" t="s">
        <v>3237</v>
      </c>
      <c r="BW129" s="16" t="n">
        <v>42.7692307692308</v>
      </c>
      <c r="BX129" s="16" t="n">
        <v>0.155994305554286</v>
      </c>
      <c r="BY129" s="16" t="n">
        <v>0.161741466184191</v>
      </c>
      <c r="BZ129" s="16" t="n">
        <v>13510.8578038903</v>
      </c>
      <c r="CA129" s="16" t="n">
        <v>19402.010477409</v>
      </c>
      <c r="CB129" s="16" t="n">
        <v>280.779702478788</v>
      </c>
      <c r="CC129" s="16" t="n">
        <v>0</v>
      </c>
      <c r="CD129" s="16" t="n">
        <v>950.69728</v>
      </c>
      <c r="CE129" s="16" t="n">
        <v>12000</v>
      </c>
      <c r="CF129" s="16" t="n">
        <v>24.136975547993</v>
      </c>
      <c r="CG129" s="16" t="n">
        <v>27.2747823692321</v>
      </c>
      <c r="CH129" s="16" t="n">
        <v>1646.7014937066</v>
      </c>
      <c r="CI129" s="16" t="n">
        <v>-6.2083733271085</v>
      </c>
      <c r="CJ129" s="16" t="n">
        <v>3.00594144553374</v>
      </c>
      <c r="CK129" s="16" t="n">
        <v>39088.4801289491</v>
      </c>
      <c r="CL129" s="16" t="n">
        <v>165.962695913648</v>
      </c>
      <c r="CM129" s="16" t="n">
        <v>191.330264163648</v>
      </c>
      <c r="CN129" s="16" t="n">
        <v>1000</v>
      </c>
      <c r="CO129" s="16" t="n">
        <v>1.5535546875</v>
      </c>
      <c r="CP129" s="16" t="n">
        <v>1.09004417261298</v>
      </c>
      <c r="CQ129" s="16" t="n">
        <v>2.96639488237299</v>
      </c>
      <c r="CR129" s="16" t="n">
        <v>88.674482116323</v>
      </c>
      <c r="CS129" s="16" t="n">
        <v>30.1510083667808</v>
      </c>
      <c r="CT129" s="16" t="n">
        <v>2.62512821448937</v>
      </c>
      <c r="CU129" s="16" t="n">
        <v>2.96639488237299</v>
      </c>
      <c r="CV129" s="16" t="n">
        <v>14829.1558197503</v>
      </c>
      <c r="CW129" s="16" t="n">
        <v>3039.63198630517</v>
      </c>
      <c r="CX129" s="16" t="n">
        <v>17868.7878060555</v>
      </c>
      <c r="CY129" s="16" t="n">
        <v>14829.1558197503</v>
      </c>
      <c r="CZ129" s="16" t="n">
        <v>1175.01910519334</v>
      </c>
      <c r="DA129" s="16" t="n">
        <v>24.136975547993</v>
      </c>
      <c r="DB129" s="16" t="n">
        <v>16700.1783504588</v>
      </c>
      <c r="DC129" s="16" t="n">
        <v>12391.5323360404</v>
      </c>
      <c r="DD129" s="16" t="n">
        <v>11144.3333333333</v>
      </c>
      <c r="DE129" s="16" t="n">
        <v>1921.25</v>
      </c>
      <c r="DF129" s="16" t="n">
        <v>15144.0810647503</v>
      </c>
      <c r="DG129" s="16" t="n">
        <v>191.330264163648</v>
      </c>
      <c r="DH129" s="16" t="n">
        <v>0</v>
      </c>
      <c r="DI129" s="16" t="n">
        <v>30.1510363454505</v>
      </c>
    </row>
    <row r="130" customFormat="false" ht="15" hidden="false" customHeight="false" outlineLevel="0" collapsed="false">
      <c r="A130" s="0" t="s">
        <v>3348</v>
      </c>
      <c r="B130" s="16" t="n">
        <v>2465.07954157611</v>
      </c>
      <c r="C130" s="16" t="n">
        <v>7212.1682429545</v>
      </c>
      <c r="D130" s="16" t="n">
        <v>19716.7966317894</v>
      </c>
      <c r="E130" s="16" t="n">
        <v>3527.01570040048</v>
      </c>
      <c r="F130" s="16" t="n">
        <v>-1780.81977193432</v>
      </c>
      <c r="G130" s="16" t="n">
        <v>5019.34874261662</v>
      </c>
      <c r="H130" s="16" t="n">
        <v>-1501.85606975523</v>
      </c>
      <c r="I130" s="17" t="n">
        <v>0.01</v>
      </c>
      <c r="J130" s="17" t="n">
        <v>2.08216785320255</v>
      </c>
      <c r="K130" s="16" t="s">
        <v>116</v>
      </c>
      <c r="L130" s="16" t="n">
        <v>1000</v>
      </c>
      <c r="M130" s="16" t="n">
        <v>33759.5054823591</v>
      </c>
      <c r="N130" s="16" t="n">
        <v>11402.7039831813</v>
      </c>
      <c r="O130" s="16" t="n">
        <v>1000</v>
      </c>
      <c r="P130" s="16" t="n">
        <v>951.290832135856</v>
      </c>
      <c r="Q130" s="16" t="n">
        <v>-263.577487158976</v>
      </c>
      <c r="R130" s="16" t="n">
        <v>17617.7170533315</v>
      </c>
      <c r="S130" s="16" t="n">
        <v>26949.0428826358</v>
      </c>
      <c r="T130" s="16" t="n">
        <v>-955.692204749296</v>
      </c>
      <c r="U130" s="16" t="n">
        <v>-1224.13827401368</v>
      </c>
      <c r="V130" s="16" t="n">
        <v>0.750319556751226</v>
      </c>
      <c r="W130" s="16" t="n">
        <v>46164.6004297666</v>
      </c>
      <c r="X130" s="16" t="n">
        <v>22145.3683401901</v>
      </c>
      <c r="Y130" s="16" t="n">
        <v>1.95873875098511</v>
      </c>
      <c r="Z130" s="16" t="n">
        <v>2.65872013175433</v>
      </c>
      <c r="AA130" s="16" t="n">
        <v>27.424347870838</v>
      </c>
      <c r="AB130" s="16" t="n">
        <v>25.224347870838</v>
      </c>
      <c r="AC130" s="16" t="n">
        <v>26.674347870838</v>
      </c>
      <c r="AD130" s="16" t="n">
        <v>27.2673434792775</v>
      </c>
      <c r="AE130" s="16" t="n">
        <v>674.686407680941</v>
      </c>
      <c r="AF130" s="16" t="n">
        <v>0.03</v>
      </c>
      <c r="AG130" s="16" t="n">
        <v>0.654405917289145</v>
      </c>
      <c r="AH130" s="16" t="n">
        <v>9819.91719809611</v>
      </c>
      <c r="AI130" s="16" t="n">
        <v>19716.7966317894</v>
      </c>
      <c r="AJ130" s="16" t="n">
        <v>16.69175</v>
      </c>
      <c r="AK130" s="16" t="n">
        <v>0</v>
      </c>
      <c r="AL130" s="16" t="n">
        <v>1000</v>
      </c>
      <c r="AM130" s="16" t="n">
        <v>812.6073</v>
      </c>
      <c r="AN130" s="16" t="n">
        <v>20079.98904</v>
      </c>
      <c r="AO130" s="16" t="n">
        <v>-5508.72242389994</v>
      </c>
      <c r="AP130" s="16" t="n">
        <v>0.560121524032637</v>
      </c>
      <c r="AQ130" s="16" t="n">
        <v>78.3342553368133</v>
      </c>
      <c r="AR130" s="16" t="n">
        <v>509.308705771431</v>
      </c>
      <c r="AS130" s="16" t="n">
        <v>314.925245</v>
      </c>
      <c r="AT130" s="16" t="n">
        <v>1000</v>
      </c>
      <c r="AU130" s="16" t="n">
        <v>12.270507</v>
      </c>
      <c r="AV130" s="16" t="n">
        <v>0</v>
      </c>
      <c r="AW130" s="16" t="n">
        <v>2254.3125</v>
      </c>
      <c r="AX130" s="16" t="n">
        <v>314.925245</v>
      </c>
      <c r="AY130" s="16" t="n">
        <v>314.925245</v>
      </c>
      <c r="AZ130" s="16" t="n">
        <v>5498.82766118178</v>
      </c>
      <c r="BA130" s="16" t="n">
        <v>0</v>
      </c>
      <c r="BB130" s="16" t="n">
        <v>497.928966666667</v>
      </c>
      <c r="BC130" s="16" t="n">
        <v>111421.965736603</v>
      </c>
      <c r="BD130" s="16" t="n">
        <v>16.3300117681049</v>
      </c>
      <c r="BE130" s="16" t="n">
        <v>24.9873043900413</v>
      </c>
      <c r="BF130" s="16" t="n">
        <v>39.2151595988437</v>
      </c>
      <c r="BG130" s="16" t="n">
        <v>-8.27711430924607</v>
      </c>
      <c r="BH130" s="16" t="n">
        <v>-7.28866183200638</v>
      </c>
      <c r="BI130" s="16" t="n">
        <v>1.09242813813745</v>
      </c>
      <c r="BJ130" s="16" t="n">
        <v>2.04083187529388</v>
      </c>
      <c r="BK130" s="16" t="n">
        <v>5.25403316350504</v>
      </c>
      <c r="BL130" s="16" t="n">
        <v>7.88491984612206</v>
      </c>
      <c r="BM130" s="16" t="n">
        <v>3.71992671744367</v>
      </c>
      <c r="BN130" s="16" t="n">
        <v>4.46573109600205</v>
      </c>
      <c r="BO130" s="16" t="n">
        <v>5.7791095890411</v>
      </c>
      <c r="BP130" s="16" t="n">
        <v>8712.70308277889</v>
      </c>
      <c r="BQ130" s="16" t="n">
        <v>7179.80150592427</v>
      </c>
      <c r="BR130" s="16" t="n">
        <v>7179.80150592427</v>
      </c>
      <c r="BS130" s="16" t="n">
        <v>509.308705771431</v>
      </c>
      <c r="BT130" s="16" t="n">
        <v>301.7195</v>
      </c>
      <c r="BU130" s="16" t="n">
        <v>1081.9108</v>
      </c>
      <c r="BV130" s="16" t="s">
        <v>3237</v>
      </c>
      <c r="BW130" s="16" t="n">
        <v>42.7692307692308</v>
      </c>
      <c r="BX130" s="16" t="n">
        <v>0.155994305554286</v>
      </c>
      <c r="BY130" s="16" t="n">
        <v>0.161741466184191</v>
      </c>
      <c r="BZ130" s="16" t="n">
        <v>13510.8578038903</v>
      </c>
      <c r="CA130" s="16" t="n">
        <v>19402.010477409</v>
      </c>
      <c r="CB130" s="16" t="n">
        <v>282.85218851897</v>
      </c>
      <c r="CC130" s="16" t="n">
        <v>0</v>
      </c>
      <c r="CD130" s="16" t="n">
        <v>950.69728</v>
      </c>
      <c r="CE130" s="16" t="n">
        <v>12000</v>
      </c>
      <c r="CF130" s="16" t="n">
        <v>24.0722947038098</v>
      </c>
      <c r="CG130" s="16" t="n">
        <v>27.2016930153051</v>
      </c>
      <c r="CH130" s="16" t="n">
        <v>1646.7014937066</v>
      </c>
      <c r="CI130" s="16" t="n">
        <v>-6.2083733271085</v>
      </c>
      <c r="CJ130" s="16" t="n">
        <v>3.00594144553374</v>
      </c>
      <c r="CK130" s="16" t="n">
        <v>39407.0334329802</v>
      </c>
      <c r="CL130" s="16" t="n">
        <v>167.315216271431</v>
      </c>
      <c r="CM130" s="16" t="n">
        <v>192.682784521431</v>
      </c>
      <c r="CN130" s="16" t="n">
        <v>1000</v>
      </c>
      <c r="CO130" s="16" t="n">
        <v>1.5535546875</v>
      </c>
      <c r="CP130" s="16" t="n">
        <v>1.09004417261298</v>
      </c>
      <c r="CQ130" s="16" t="n">
        <v>2.08216785320255</v>
      </c>
      <c r="CR130" s="16" t="n">
        <v>88.5177085305991</v>
      </c>
      <c r="CS130" s="16" t="n">
        <v>30.0333555802742</v>
      </c>
      <c r="CT130" s="16" t="n">
        <v>1.84262641876332</v>
      </c>
      <c r="CU130" s="16" t="n">
        <v>2.08216785320255</v>
      </c>
      <c r="CV130" s="16" t="n">
        <v>21279.593366837</v>
      </c>
      <c r="CW130" s="16" t="n">
        <v>4330.46200122838</v>
      </c>
      <c r="CX130" s="16" t="n">
        <v>25610.0553680654</v>
      </c>
      <c r="CY130" s="16" t="n">
        <v>21279.593366837</v>
      </c>
      <c r="CZ130" s="16" t="n">
        <v>1182.19059804229</v>
      </c>
      <c r="DA130" s="16" t="n">
        <v>24.0722947038098</v>
      </c>
      <c r="DB130" s="16" t="n">
        <v>16643.1609945151</v>
      </c>
      <c r="DC130" s="16" t="n">
        <v>12349.2254579302</v>
      </c>
      <c r="DD130" s="16" t="n">
        <v>11144.3333333333</v>
      </c>
      <c r="DE130" s="16" t="n">
        <v>1921.25</v>
      </c>
      <c r="DF130" s="16" t="n">
        <v>21594.518611837</v>
      </c>
      <c r="DG130" s="16" t="n">
        <v>192.682784521431</v>
      </c>
      <c r="DH130" s="16" t="n">
        <v>0</v>
      </c>
      <c r="DI130" s="16" t="n">
        <v>30.0333829774336</v>
      </c>
    </row>
    <row r="131" customFormat="false" ht="15" hidden="false" customHeight="false" outlineLevel="0" collapsed="false">
      <c r="A131" s="0" t="s">
        <v>3349</v>
      </c>
      <c r="B131" s="16" t="n">
        <v>2436.09137490944</v>
      </c>
      <c r="C131" s="16" t="n">
        <v>8175.42086448228</v>
      </c>
      <c r="D131" s="16" t="n">
        <v>19716.7966317894</v>
      </c>
      <c r="E131" s="16" t="n">
        <v>4189.13212001853</v>
      </c>
      <c r="F131" s="16" t="n">
        <v>-1157.931890818</v>
      </c>
      <c r="G131" s="16" t="n">
        <v>5020.04717625724</v>
      </c>
      <c r="H131" s="16" t="n">
        <v>-937.876626793111</v>
      </c>
      <c r="I131" s="17" t="n">
        <v>0.01</v>
      </c>
      <c r="J131" s="17" t="n">
        <v>3.84735249695845</v>
      </c>
      <c r="K131" s="16" t="s">
        <v>116</v>
      </c>
      <c r="L131" s="16" t="n">
        <v>1000</v>
      </c>
      <c r="M131" s="16" t="n">
        <v>33778.7705347897</v>
      </c>
      <c r="N131" s="16" t="n">
        <v>11402.7039831813</v>
      </c>
      <c r="O131" s="16" t="n">
        <v>1000</v>
      </c>
      <c r="P131" s="16" t="n">
        <v>933.608050469189</v>
      </c>
      <c r="Q131" s="16" t="n">
        <v>-267.31454497842</v>
      </c>
      <c r="R131" s="16" t="n">
        <v>17617.1372899982</v>
      </c>
      <c r="S131" s="16" t="n">
        <v>26949.0428826358</v>
      </c>
      <c r="T131" s="16" t="n">
        <v>-972.215459749296</v>
      </c>
      <c r="U131" s="16" t="n">
        <v>-660.158831051562</v>
      </c>
      <c r="V131" s="16" t="n">
        <v>0.750319556751226</v>
      </c>
      <c r="W131" s="16" t="n">
        <v>46166.11303057</v>
      </c>
      <c r="X131" s="16" t="n">
        <v>22149.2175097441</v>
      </c>
      <c r="Y131" s="16" t="n">
        <v>3.61928478191655</v>
      </c>
      <c r="Z131" s="16" t="n">
        <v>4.91268440336624</v>
      </c>
      <c r="AA131" s="16" t="n">
        <v>27.424347870838</v>
      </c>
      <c r="AB131" s="16" t="n">
        <v>25.224347870838</v>
      </c>
      <c r="AC131" s="16" t="n">
        <v>26.674347870838</v>
      </c>
      <c r="AD131" s="16" t="n">
        <v>27.2673434792775</v>
      </c>
      <c r="AE131" s="16" t="n">
        <v>674.686407680941</v>
      </c>
      <c r="AF131" s="16" t="n">
        <v>0.03</v>
      </c>
      <c r="AG131" s="16" t="n">
        <v>0.654405917289144</v>
      </c>
      <c r="AH131" s="16" t="n">
        <v>9802.81417976278</v>
      </c>
      <c r="AI131" s="16" t="n">
        <v>19716.7966317894</v>
      </c>
      <c r="AJ131" s="16" t="n">
        <v>16.69175</v>
      </c>
      <c r="AK131" s="16" t="n">
        <v>0</v>
      </c>
      <c r="AL131" s="16" t="n">
        <v>1000</v>
      </c>
      <c r="AM131" s="16" t="n">
        <v>812.6073</v>
      </c>
      <c r="AN131" s="16" t="n">
        <v>20079.98904</v>
      </c>
      <c r="AO131" s="16" t="n">
        <v>-5508.72242389994</v>
      </c>
      <c r="AP131" s="16" t="n">
        <v>0.423657545891351</v>
      </c>
      <c r="AQ131" s="16" t="n">
        <v>78.6226256422125</v>
      </c>
      <c r="AR131" s="16" t="n">
        <v>506.650313399939</v>
      </c>
      <c r="AS131" s="16" t="n">
        <v>314.925245</v>
      </c>
      <c r="AT131" s="16" t="n">
        <v>1000</v>
      </c>
      <c r="AU131" s="16" t="n">
        <v>12.270507</v>
      </c>
      <c r="AV131" s="16" t="n">
        <v>0</v>
      </c>
      <c r="AW131" s="16" t="n">
        <v>2254.3125</v>
      </c>
      <c r="AX131" s="16" t="n">
        <v>314.925245</v>
      </c>
      <c r="AY131" s="16" t="n">
        <v>314.925245</v>
      </c>
      <c r="AZ131" s="16" t="n">
        <v>5606.68086696334</v>
      </c>
      <c r="BA131" s="16" t="n">
        <v>0</v>
      </c>
      <c r="BB131" s="16" t="n">
        <v>417.928966666667</v>
      </c>
      <c r="BC131" s="16" t="n">
        <v>111440.6510257</v>
      </c>
      <c r="BD131" s="16" t="n">
        <v>16.6724841722514</v>
      </c>
      <c r="BE131" s="16" t="n">
        <v>25.3297767941877</v>
      </c>
      <c r="BF131" s="16" t="n">
        <v>39.5576320029902</v>
      </c>
      <c r="BG131" s="16" t="n">
        <v>-8.27711430924607</v>
      </c>
      <c r="BH131" s="16" t="n">
        <v>-7.28866183200638</v>
      </c>
      <c r="BI131" s="16" t="n">
        <v>1.09242813813745</v>
      </c>
      <c r="BJ131" s="16" t="n">
        <v>2.04083187529388</v>
      </c>
      <c r="BK131" s="16" t="n">
        <v>5.25403316350504</v>
      </c>
      <c r="BL131" s="16" t="n">
        <v>7.88491984612206</v>
      </c>
      <c r="BM131" s="16" t="n">
        <v>3.71992671744367</v>
      </c>
      <c r="BN131" s="16" t="n">
        <v>4.46573109600205</v>
      </c>
      <c r="BO131" s="16" t="n">
        <v>5.7791095890411</v>
      </c>
      <c r="BP131" s="16" t="n">
        <v>8712.70308277889</v>
      </c>
      <c r="BQ131" s="16" t="n">
        <v>8143.05412745205</v>
      </c>
      <c r="BR131" s="16" t="n">
        <v>8143.05412745205</v>
      </c>
      <c r="BS131" s="16" t="n">
        <v>506.650313399939</v>
      </c>
      <c r="BT131" s="16" t="n">
        <v>301.7195</v>
      </c>
      <c r="BU131" s="16" t="n">
        <v>1081.9108</v>
      </c>
      <c r="BV131" s="16" t="s">
        <v>3237</v>
      </c>
      <c r="BW131" s="16" t="n">
        <v>42.7692307692308</v>
      </c>
      <c r="BX131" s="16" t="n">
        <v>0.155994305554286</v>
      </c>
      <c r="BY131" s="16" t="n">
        <v>0.161741466184191</v>
      </c>
      <c r="BZ131" s="16" t="n">
        <v>13510.8578038903</v>
      </c>
      <c r="CA131" s="16" t="n">
        <v>19402.010477409</v>
      </c>
      <c r="CB131" s="16" t="n">
        <v>278.772464723548</v>
      </c>
      <c r="CC131" s="16" t="n">
        <v>0</v>
      </c>
      <c r="CD131" s="16" t="n">
        <v>950.69728</v>
      </c>
      <c r="CE131" s="16" t="n">
        <v>12000</v>
      </c>
      <c r="CF131" s="16" t="n">
        <v>24.1860414854926</v>
      </c>
      <c r="CG131" s="16" t="n">
        <v>27.3302268786066</v>
      </c>
      <c r="CH131" s="16" t="n">
        <v>2609.95411523438</v>
      </c>
      <c r="CI131" s="16" t="n">
        <v>-6.2083733271085</v>
      </c>
      <c r="CJ131" s="16" t="n">
        <v>3.00594144553374</v>
      </c>
      <c r="CK131" s="16" t="n">
        <v>38780.91370881</v>
      </c>
      <c r="CL131" s="16" t="n">
        <v>164.656823899939</v>
      </c>
      <c r="CM131" s="16" t="n">
        <v>190.024392149939</v>
      </c>
      <c r="CN131" s="16" t="n">
        <v>1000</v>
      </c>
      <c r="CO131" s="16" t="n">
        <v>1.5535546875</v>
      </c>
      <c r="CP131" s="16" t="n">
        <v>1.09004417261298</v>
      </c>
      <c r="CQ131" s="16" t="n">
        <v>3.84735249695845</v>
      </c>
      <c r="CR131" s="16" t="n">
        <v>88.8435669757002</v>
      </c>
      <c r="CS131" s="16" t="n">
        <v>30.2342792532854</v>
      </c>
      <c r="CT131" s="16" t="n">
        <v>3.40473672297208</v>
      </c>
      <c r="CU131" s="16" t="n">
        <v>3.84735249695845</v>
      </c>
      <c r="CV131" s="16" t="n">
        <v>11353.6686716418</v>
      </c>
      <c r="CW131" s="16" t="n">
        <v>2343.62429114597</v>
      </c>
      <c r="CX131" s="16" t="n">
        <v>13697.2929627878</v>
      </c>
      <c r="CY131" s="16" t="n">
        <v>11353.6686716418</v>
      </c>
      <c r="CZ131" s="16" t="n">
        <v>1169.91894675654</v>
      </c>
      <c r="DA131" s="16" t="n">
        <v>24.1860414854926</v>
      </c>
      <c r="DB131" s="16" t="n">
        <v>16751.0142002967</v>
      </c>
      <c r="DC131" s="16" t="n">
        <v>12429.2525366201</v>
      </c>
      <c r="DD131" s="16" t="n">
        <v>11144.3333333333</v>
      </c>
      <c r="DE131" s="16" t="n">
        <v>1921.25</v>
      </c>
      <c r="DF131" s="16" t="n">
        <v>11668.5939166418</v>
      </c>
      <c r="DG131" s="16" t="n">
        <v>190.024392149939</v>
      </c>
      <c r="DH131" s="16" t="n">
        <v>0</v>
      </c>
      <c r="DI131" s="16" t="n">
        <v>30.2343079187028</v>
      </c>
    </row>
    <row r="132" customFormat="false" ht="15" hidden="false" customHeight="false" outlineLevel="0" collapsed="false">
      <c r="A132" s="0" t="s">
        <v>3350</v>
      </c>
      <c r="B132" s="16" t="n">
        <v>2436.09137490944</v>
      </c>
      <c r="C132" s="16" t="n">
        <v>7149.4058200317</v>
      </c>
      <c r="D132" s="16" t="n">
        <v>19727.9487415808</v>
      </c>
      <c r="E132" s="16" t="n">
        <v>3490.52978845862</v>
      </c>
      <c r="F132" s="16" t="n">
        <v>-1814.33409393323</v>
      </c>
      <c r="G132" s="16" t="n">
        <v>5018.88764959058</v>
      </c>
      <c r="H132" s="16" t="n">
        <v>-1476.74432442517</v>
      </c>
      <c r="I132" s="17" t="n">
        <v>0.01</v>
      </c>
      <c r="J132" s="17" t="n">
        <v>2.11999772766407</v>
      </c>
      <c r="K132" s="16" t="s">
        <v>116</v>
      </c>
      <c r="L132" s="16" t="n">
        <v>1000</v>
      </c>
      <c r="M132" s="16" t="n">
        <v>33758.2502339006</v>
      </c>
      <c r="N132" s="16" t="n">
        <v>11483.9932532895</v>
      </c>
      <c r="O132" s="16" t="n">
        <v>1000</v>
      </c>
      <c r="P132" s="16" t="n">
        <v>933.608050469189</v>
      </c>
      <c r="Q132" s="16" t="n">
        <v>-182.279721987762</v>
      </c>
      <c r="R132" s="16" t="n">
        <v>17617.1372899982</v>
      </c>
      <c r="S132" s="16" t="n">
        <v>26949.2659248316</v>
      </c>
      <c r="T132" s="16" t="n">
        <v>-972.215459749296</v>
      </c>
      <c r="U132" s="16" t="n">
        <v>-1199.02652868363</v>
      </c>
      <c r="V132" s="16" t="n">
        <v>0.750319556751226</v>
      </c>
      <c r="W132" s="16" t="n">
        <v>46079.4599851476</v>
      </c>
      <c r="X132" s="16" t="n">
        <v>22145.5767573931</v>
      </c>
      <c r="Y132" s="16" t="n">
        <v>1.9943261033394</v>
      </c>
      <c r="Z132" s="16" t="n">
        <v>2.70702509845425</v>
      </c>
      <c r="AA132" s="16" t="n">
        <v>27.424347870838</v>
      </c>
      <c r="AB132" s="16" t="n">
        <v>25.224347870838</v>
      </c>
      <c r="AC132" s="16" t="n">
        <v>26.674347870838</v>
      </c>
      <c r="AD132" s="16" t="n">
        <v>27.2673434792775</v>
      </c>
      <c r="AE132" s="16" t="n">
        <v>674.686407680941</v>
      </c>
      <c r="AF132" s="16" t="n">
        <v>0.03</v>
      </c>
      <c r="AG132" s="16" t="n">
        <v>0.656144258695291</v>
      </c>
      <c r="AH132" s="16" t="n">
        <v>9802.81417976278</v>
      </c>
      <c r="AI132" s="16" t="n">
        <v>19727.9487415808</v>
      </c>
      <c r="AJ132" s="16" t="n">
        <v>16.69175</v>
      </c>
      <c r="AK132" s="16" t="n">
        <v>0</v>
      </c>
      <c r="AL132" s="16" t="n">
        <v>1000</v>
      </c>
      <c r="AM132" s="16" t="n">
        <v>812.6073</v>
      </c>
      <c r="AN132" s="16" t="n">
        <v>20079.98904</v>
      </c>
      <c r="AO132" s="16" t="n">
        <v>-5508.72242389994</v>
      </c>
      <c r="AP132" s="16" t="n">
        <v>0.625808346893775</v>
      </c>
      <c r="AQ132" s="16" t="n">
        <v>78.2174915597608</v>
      </c>
      <c r="AR132" s="16" t="n">
        <v>508.77103164533</v>
      </c>
      <c r="AS132" s="16" t="n">
        <v>314.925245</v>
      </c>
      <c r="AT132" s="16" t="n">
        <v>1000</v>
      </c>
      <c r="AU132" s="16" t="n">
        <v>12.270507</v>
      </c>
      <c r="AV132" s="16" t="n">
        <v>0</v>
      </c>
      <c r="AW132" s="16" t="n">
        <v>2254.3125</v>
      </c>
      <c r="AX132" s="16" t="n">
        <v>314.925245</v>
      </c>
      <c r="AY132" s="16" t="n">
        <v>314.925245</v>
      </c>
      <c r="AZ132" s="16" t="n">
        <v>5508.72038654974</v>
      </c>
      <c r="BA132" s="16" t="n">
        <v>0</v>
      </c>
      <c r="BB132" s="16" t="n">
        <v>524.595633333333</v>
      </c>
      <c r="BC132" s="16" t="n">
        <v>111422.173651237</v>
      </c>
      <c r="BD132" s="16" t="n">
        <v>16.3614247003008</v>
      </c>
      <c r="BE132" s="16" t="n">
        <v>25.0187173222372</v>
      </c>
      <c r="BF132" s="16" t="n">
        <v>39.2465725310396</v>
      </c>
      <c r="BG132" s="16" t="n">
        <v>-8.27711430924607</v>
      </c>
      <c r="BH132" s="16" t="n">
        <v>-7.28866183200638</v>
      </c>
      <c r="BI132" s="16" t="n">
        <v>1.09242813813745</v>
      </c>
      <c r="BJ132" s="16" t="n">
        <v>2.04083187529388</v>
      </c>
      <c r="BK132" s="16" t="n">
        <v>5.25403316350504</v>
      </c>
      <c r="BL132" s="16" t="n">
        <v>7.88491984612206</v>
      </c>
      <c r="BM132" s="16" t="n">
        <v>3.71992671744367</v>
      </c>
      <c r="BN132" s="16" t="n">
        <v>4.46573109600205</v>
      </c>
      <c r="BO132" s="16" t="n">
        <v>5.7791095890411</v>
      </c>
      <c r="BP132" s="16" t="n">
        <v>8712.70308277889</v>
      </c>
      <c r="BQ132" s="16" t="n">
        <v>7117.03908300146</v>
      </c>
      <c r="BR132" s="16" t="n">
        <v>7117.03908300146</v>
      </c>
      <c r="BS132" s="16" t="n">
        <v>508.77103164533</v>
      </c>
      <c r="BT132" s="16" t="n">
        <v>301.7195</v>
      </c>
      <c r="BU132" s="16" t="n">
        <v>1081.9108</v>
      </c>
      <c r="BV132" s="16" t="s">
        <v>3237</v>
      </c>
      <c r="BW132" s="16" t="n">
        <v>42.7692307692308</v>
      </c>
      <c r="BX132" s="16" t="n">
        <v>0.155994305554286</v>
      </c>
      <c r="BY132" s="16" t="n">
        <v>0.161741466184191</v>
      </c>
      <c r="BZ132" s="16" t="n">
        <v>13510.8578038903</v>
      </c>
      <c r="CA132" s="16" t="n">
        <v>19402.010477409</v>
      </c>
      <c r="CB132" s="16" t="n">
        <v>282.047299864854</v>
      </c>
      <c r="CC132" s="16" t="n">
        <v>0</v>
      </c>
      <c r="CD132" s="16" t="n">
        <v>950.69728</v>
      </c>
      <c r="CE132" s="16" t="n">
        <v>12000</v>
      </c>
      <c r="CF132" s="16" t="n">
        <v>24.0574466511737</v>
      </c>
      <c r="CG132" s="16" t="n">
        <v>27.1849147158263</v>
      </c>
      <c r="CH132" s="16" t="n">
        <v>1450.42744856771</v>
      </c>
      <c r="CI132" s="16" t="n">
        <v>-6.2083733271085</v>
      </c>
      <c r="CJ132" s="16" t="n">
        <v>3.00594144553374</v>
      </c>
      <c r="CK132" s="16" t="n">
        <v>39280.3973580583</v>
      </c>
      <c r="CL132" s="16" t="n">
        <v>166.77754214533</v>
      </c>
      <c r="CM132" s="16" t="n">
        <v>192.14511039533</v>
      </c>
      <c r="CN132" s="16" t="n">
        <v>1000</v>
      </c>
      <c r="CO132" s="16" t="n">
        <v>1.5535546875</v>
      </c>
      <c r="CP132" s="16" t="n">
        <v>1.09004417261298</v>
      </c>
      <c r="CQ132" s="16" t="n">
        <v>2.11999772766407</v>
      </c>
      <c r="CR132" s="16" t="n">
        <v>88.3857654625297</v>
      </c>
      <c r="CS132" s="16" t="n">
        <v>30.1706345314101</v>
      </c>
      <c r="CT132" s="16" t="n">
        <v>1.87610418377351</v>
      </c>
      <c r="CU132" s="16" t="n">
        <v>2.11999772766407</v>
      </c>
      <c r="CV132" s="16" t="n">
        <v>20840.1398672297</v>
      </c>
      <c r="CW132" s="16" t="n">
        <v>4253.18794016259</v>
      </c>
      <c r="CX132" s="16" t="n">
        <v>25093.3278073923</v>
      </c>
      <c r="CY132" s="16" t="n">
        <v>20840.1398672297</v>
      </c>
      <c r="CZ132" s="16" t="n">
        <v>1171.57613831765</v>
      </c>
      <c r="DA132" s="16" t="n">
        <v>24.0574466511737</v>
      </c>
      <c r="DB132" s="16" t="n">
        <v>16653.0537198831</v>
      </c>
      <c r="DC132" s="16" t="n">
        <v>12356.5658601532</v>
      </c>
      <c r="DD132" s="16" t="n">
        <v>11144.3333333333</v>
      </c>
      <c r="DE132" s="16" t="n">
        <v>1921.25</v>
      </c>
      <c r="DF132" s="16" t="n">
        <v>21155.0651122297</v>
      </c>
      <c r="DG132" s="16" t="n">
        <v>192.14511039533</v>
      </c>
      <c r="DH132" s="16" t="n">
        <v>0</v>
      </c>
      <c r="DI132" s="16" t="n">
        <v>30.1706594446113</v>
      </c>
    </row>
    <row r="133" customFormat="false" ht="15" hidden="false" customHeight="false" outlineLevel="0" collapsed="false">
      <c r="A133" s="0" t="s">
        <v>3351</v>
      </c>
      <c r="B133" s="16" t="n">
        <v>2134.03500541342</v>
      </c>
      <c r="C133" s="16" t="n">
        <v>4256.27952434585</v>
      </c>
      <c r="D133" s="16" t="n">
        <v>10944.1398681103</v>
      </c>
      <c r="E133" s="16" t="n">
        <v>1819.60762555907</v>
      </c>
      <c r="F133" s="16" t="n">
        <v>-3949.62284851025</v>
      </c>
      <c r="G133" s="16" t="n">
        <v>5598.97929309549</v>
      </c>
      <c r="H133" s="16" t="n">
        <v>-34397.5171980697</v>
      </c>
      <c r="I133" s="17" t="n">
        <v>0.01</v>
      </c>
      <c r="J133" s="17" t="n">
        <v>0</v>
      </c>
      <c r="K133" s="16" t="s">
        <v>116</v>
      </c>
      <c r="L133" s="16" t="n">
        <v>1000</v>
      </c>
      <c r="M133" s="16" t="n">
        <v>23392.6581477369</v>
      </c>
      <c r="N133" s="16" t="n">
        <v>5268.34038131425</v>
      </c>
      <c r="O133" s="16" t="n">
        <v>1000</v>
      </c>
      <c r="P133" s="16" t="n">
        <v>731.039520202602</v>
      </c>
      <c r="Q133" s="16" t="n">
        <v>-6256.40760521089</v>
      </c>
      <c r="R133" s="16" t="n">
        <v>10749.2862478583</v>
      </c>
      <c r="S133" s="16" t="n">
        <v>27562.9798373622</v>
      </c>
      <c r="T133" s="16" t="n">
        <v>-1451.03184051911</v>
      </c>
      <c r="U133" s="16" t="n">
        <v>-34122.3636087585</v>
      </c>
      <c r="V133" s="16" t="n">
        <v>0.750319556751226</v>
      </c>
      <c r="W133" s="16" t="n">
        <v>16992.5164114785</v>
      </c>
      <c r="X133" s="16" t="n">
        <v>14072.7441668294</v>
      </c>
      <c r="Y133" s="16" t="n">
        <v>0</v>
      </c>
      <c r="Z133" s="16" t="n">
        <v>0</v>
      </c>
      <c r="AA133" s="16" t="n">
        <v>22.27279275</v>
      </c>
      <c r="AB133" s="16" t="n">
        <v>20.07279275</v>
      </c>
      <c r="AC133" s="16" t="n">
        <v>21.52279275</v>
      </c>
      <c r="AD133" s="16" t="n">
        <v>21.8718824805</v>
      </c>
      <c r="AE133" s="16" t="n">
        <v>594.149368983825</v>
      </c>
      <c r="AF133" s="16" t="n">
        <v>0.02</v>
      </c>
      <c r="AG133" s="16" t="n">
        <v>0.572671227358019</v>
      </c>
      <c r="AH133" s="16" t="n">
        <v>15302.4593204618</v>
      </c>
      <c r="AI133" s="16" t="n">
        <v>10944.1398681103</v>
      </c>
      <c r="AJ133" s="16" t="n">
        <v>14.7365561910928</v>
      </c>
      <c r="AK133" s="16" t="n">
        <v>0</v>
      </c>
      <c r="AL133" s="16" t="n">
        <v>1000</v>
      </c>
      <c r="AM133" s="16" t="n">
        <v>470.44678</v>
      </c>
      <c r="AN133" s="16" t="n">
        <v>12000</v>
      </c>
      <c r="AO133" s="16" t="n">
        <v>-2079.00657489433</v>
      </c>
      <c r="AP133" s="16" t="n">
        <v>1</v>
      </c>
      <c r="AQ133" s="16" t="n">
        <v>29.4687207391797</v>
      </c>
      <c r="AR133" s="16" t="n">
        <v>703.446287730488</v>
      </c>
      <c r="AS133" s="16" t="n">
        <v>314.925245</v>
      </c>
      <c r="AT133" s="16" t="n">
        <v>1000</v>
      </c>
      <c r="AU133" s="16" t="n">
        <v>12.270507</v>
      </c>
      <c r="AV133" s="16" t="n">
        <v>0</v>
      </c>
      <c r="AW133" s="16" t="n">
        <v>998.76</v>
      </c>
      <c r="AX133" s="16" t="n">
        <v>314.925245</v>
      </c>
      <c r="AY133" s="16" t="n">
        <v>314.925245</v>
      </c>
      <c r="AZ133" s="16" t="n">
        <v>1624.73018625668</v>
      </c>
      <c r="BA133" s="16" t="n">
        <v>1732.5375</v>
      </c>
      <c r="BB133" s="16" t="n">
        <v>155.768446666667</v>
      </c>
      <c r="BC133" s="16" t="n">
        <v>88717.3982736757</v>
      </c>
      <c r="BD133" s="16" t="n">
        <v>8.00705505704337</v>
      </c>
      <c r="BE133" s="16" t="n">
        <v>16.6643476789797</v>
      </c>
      <c r="BF133" s="16" t="n">
        <v>29.5390647262157</v>
      </c>
      <c r="BG133" s="16" t="n">
        <v>-13.6535979204585</v>
      </c>
      <c r="BH133" s="16" t="n">
        <v>-20.0976093877166</v>
      </c>
      <c r="BI133" s="16" t="n">
        <v>-3.59741167595651</v>
      </c>
      <c r="BJ133" s="16" t="n">
        <v>-9.93933550584831</v>
      </c>
      <c r="BK133" s="16" t="n">
        <v>-0.548394239950376</v>
      </c>
      <c r="BL133" s="16" t="n">
        <v>-6.73470781259538</v>
      </c>
      <c r="BM133" s="16" t="n">
        <v>3.37118358768332</v>
      </c>
      <c r="BN133" s="16" t="n">
        <v>4.04706880575186</v>
      </c>
      <c r="BO133" s="16" t="n">
        <v>5.1726598173516</v>
      </c>
      <c r="BP133" s="16" t="n">
        <v>5354.49215439957</v>
      </c>
      <c r="BQ133" s="16" t="n">
        <v>4226.67952434585</v>
      </c>
      <c r="BR133" s="16" t="n">
        <v>4226.67952434585</v>
      </c>
      <c r="BS133" s="16" t="n">
        <v>703.446287730488</v>
      </c>
      <c r="BT133" s="16" t="n">
        <v>189.4897</v>
      </c>
      <c r="BU133" s="16" t="n">
        <v>794.6073</v>
      </c>
      <c r="BV133" s="16" t="s">
        <v>3237</v>
      </c>
      <c r="BW133" s="16" t="n">
        <v>42.7692307692308</v>
      </c>
      <c r="BX133" s="16" t="n">
        <v>0.124596585374074</v>
      </c>
      <c r="BY133" s="16" t="n">
        <v>0.0866148510447071</v>
      </c>
      <c r="BZ133" s="16" t="n">
        <v>13510.8578038903</v>
      </c>
      <c r="CA133" s="16" t="n">
        <v>9557.85015295579</v>
      </c>
      <c r="CB133" s="16" t="n">
        <v>553.793170075783</v>
      </c>
      <c r="CC133" s="16" t="n">
        <v>1732.5375</v>
      </c>
      <c r="CD133" s="16" t="n">
        <v>1028.66496</v>
      </c>
      <c r="CE133" s="16" t="n">
        <v>12000</v>
      </c>
      <c r="CF133" s="16" t="n">
        <v>23.8826252943399</v>
      </c>
      <c r="CG133" s="16" t="n">
        <v>27.4650190884908</v>
      </c>
      <c r="CH133" s="16" t="n">
        <v>1952.74557309028</v>
      </c>
      <c r="CI133" s="16" t="n">
        <v>-14.9451536418179</v>
      </c>
      <c r="CJ133" s="16" t="n">
        <v>-5.32272994264565</v>
      </c>
      <c r="CK133" s="16" t="n">
        <v>52906.3770831644</v>
      </c>
      <c r="CL133" s="16" t="n">
        <v>363.153474480488</v>
      </c>
      <c r="CM133" s="16" t="n">
        <v>388.521042730488</v>
      </c>
      <c r="CN133" s="16" t="n">
        <v>1000</v>
      </c>
      <c r="CO133" s="16" t="n">
        <v>1.534375</v>
      </c>
      <c r="CP133" s="16" t="n">
        <v>1.31022765885151</v>
      </c>
      <c r="CQ133" s="16" t="n">
        <v>0</v>
      </c>
      <c r="CR133" s="16" t="n">
        <v>33.8890288500567</v>
      </c>
      <c r="CS133" s="16" t="n">
        <v>0</v>
      </c>
      <c r="CT133" s="16" t="n">
        <v>0</v>
      </c>
      <c r="CU133" s="16" t="n">
        <v>0.0115</v>
      </c>
      <c r="CV133" s="16" t="n">
        <v>4923066.79704056</v>
      </c>
      <c r="CW133" s="16" t="n">
        <v>0</v>
      </c>
      <c r="CX133" s="16" t="n">
        <v>4923066.79704056</v>
      </c>
      <c r="CY133" s="16" t="n">
        <v>4923066.79704056</v>
      </c>
      <c r="CZ133" s="16" t="n">
        <v>6306107.78753731</v>
      </c>
      <c r="DA133" s="16" t="n">
        <v>23.8826252943399</v>
      </c>
      <c r="DB133" s="16" t="n">
        <v>13633.06351959</v>
      </c>
      <c r="DC133" s="16" t="n">
        <v>10115.7331315358</v>
      </c>
      <c r="DD133" s="16" t="n">
        <v>12008.3333333333</v>
      </c>
      <c r="DE133" s="16" t="n">
        <v>1921.25</v>
      </c>
      <c r="DF133" s="16" t="n">
        <v>4923381.72228556</v>
      </c>
      <c r="DG133" s="16" t="n">
        <v>388.521042730488</v>
      </c>
      <c r="DH133" s="16" t="n">
        <v>0</v>
      </c>
      <c r="DI133" s="16" t="n">
        <v>0.0115</v>
      </c>
    </row>
    <row r="134" customFormat="false" ht="15" hidden="false" customHeight="false" outlineLevel="0" collapsed="false">
      <c r="A134" s="0" t="s">
        <v>3352</v>
      </c>
      <c r="B134" s="16" t="n">
        <v>2134.03500541342</v>
      </c>
      <c r="C134" s="16" t="n">
        <v>3239.72732208775</v>
      </c>
      <c r="D134" s="16" t="n">
        <v>10617.3537004594</v>
      </c>
      <c r="E134" s="16" t="n">
        <v>1171.68228920098</v>
      </c>
      <c r="F134" s="16" t="n">
        <v>-4554.81503962125</v>
      </c>
      <c r="G134" s="16" t="n">
        <v>5596.90823593871</v>
      </c>
      <c r="H134" s="16" t="n">
        <v>-35470.4519405276</v>
      </c>
      <c r="I134" s="17" t="n">
        <v>0.01</v>
      </c>
      <c r="J134" s="17" t="n">
        <v>0</v>
      </c>
      <c r="K134" s="16" t="s">
        <v>116</v>
      </c>
      <c r="L134" s="16" t="n">
        <v>1000</v>
      </c>
      <c r="M134" s="16" t="n">
        <v>23372.3271036918</v>
      </c>
      <c r="N134" s="16" t="n">
        <v>5152.78415325258</v>
      </c>
      <c r="O134" s="16" t="n">
        <v>1000</v>
      </c>
      <c r="P134" s="16" t="n">
        <v>731.039520202602</v>
      </c>
      <c r="Q134" s="16" t="n">
        <v>-6353.90481197971</v>
      </c>
      <c r="R134" s="16" t="n">
        <v>10749.2862478583</v>
      </c>
      <c r="S134" s="16" t="n">
        <v>27556.4441140092</v>
      </c>
      <c r="T134" s="16" t="n">
        <v>-1451.03184051911</v>
      </c>
      <c r="U134" s="16" t="n">
        <v>-35195.2983512164</v>
      </c>
      <c r="V134" s="16" t="n">
        <v>0.750319556751226</v>
      </c>
      <c r="W134" s="16" t="n">
        <v>16678.1929003194</v>
      </c>
      <c r="X134" s="16" t="n">
        <v>14027.8216035666</v>
      </c>
      <c r="Y134" s="16" t="n">
        <v>0</v>
      </c>
      <c r="Z134" s="16" t="n">
        <v>0</v>
      </c>
      <c r="AA134" s="16" t="n">
        <v>22.27279275</v>
      </c>
      <c r="AB134" s="16" t="n">
        <v>20.07279275</v>
      </c>
      <c r="AC134" s="16" t="n">
        <v>21.52279275</v>
      </c>
      <c r="AD134" s="16" t="n">
        <v>21.8718824805</v>
      </c>
      <c r="AE134" s="16" t="n">
        <v>594.149368983825</v>
      </c>
      <c r="AF134" s="16" t="n">
        <v>0.02</v>
      </c>
      <c r="AG134" s="16" t="n">
        <v>0.575079824509446</v>
      </c>
      <c r="AH134" s="16" t="n">
        <v>15302.4593204618</v>
      </c>
      <c r="AI134" s="16" t="n">
        <v>10617.3537004594</v>
      </c>
      <c r="AJ134" s="16" t="n">
        <v>14.7365561910928</v>
      </c>
      <c r="AK134" s="16" t="n">
        <v>0</v>
      </c>
      <c r="AL134" s="16" t="n">
        <v>1000</v>
      </c>
      <c r="AM134" s="16" t="n">
        <v>470.44678</v>
      </c>
      <c r="AN134" s="16" t="n">
        <v>12000</v>
      </c>
      <c r="AO134" s="16" t="n">
        <v>-2079.00657489433</v>
      </c>
      <c r="AP134" s="16" t="n">
        <v>1</v>
      </c>
      <c r="AQ134" s="16" t="n">
        <v>28.8938438234274</v>
      </c>
      <c r="AR134" s="16" t="n">
        <v>709.170471032313</v>
      </c>
      <c r="AS134" s="16" t="n">
        <v>314.925245</v>
      </c>
      <c r="AT134" s="16" t="n">
        <v>1000</v>
      </c>
      <c r="AU134" s="16" t="n">
        <v>12.270507</v>
      </c>
      <c r="AV134" s="16" t="n">
        <v>0</v>
      </c>
      <c r="AW134" s="16" t="n">
        <v>998.76</v>
      </c>
      <c r="AX134" s="16" t="n">
        <v>314.925245</v>
      </c>
      <c r="AY134" s="16" t="n">
        <v>314.925245</v>
      </c>
      <c r="AZ134" s="16" t="n">
        <v>1218.42704888612</v>
      </c>
      <c r="BA134" s="16" t="n">
        <v>1732.5375</v>
      </c>
      <c r="BB134" s="16" t="n">
        <v>262.435113333333</v>
      </c>
      <c r="BC134" s="16" t="n">
        <v>88679.4350050062</v>
      </c>
      <c r="BD134" s="16" t="n">
        <v>6.7168976504164</v>
      </c>
      <c r="BE134" s="16" t="n">
        <v>15.3741902723528</v>
      </c>
      <c r="BF134" s="16" t="n">
        <v>28.2489073195887</v>
      </c>
      <c r="BG134" s="16" t="n">
        <v>-13.6535979204585</v>
      </c>
      <c r="BH134" s="16" t="n">
        <v>-20.0976093877166</v>
      </c>
      <c r="BI134" s="16" t="n">
        <v>-3.59741167595651</v>
      </c>
      <c r="BJ134" s="16" t="n">
        <v>-9.93933550584831</v>
      </c>
      <c r="BK134" s="16" t="n">
        <v>-0.548394239950376</v>
      </c>
      <c r="BL134" s="16" t="n">
        <v>-6.73470781259538</v>
      </c>
      <c r="BM134" s="16" t="n">
        <v>3.37118358768332</v>
      </c>
      <c r="BN134" s="16" t="n">
        <v>4.04706880575186</v>
      </c>
      <c r="BO134" s="16" t="n">
        <v>5.1726598173516</v>
      </c>
      <c r="BP134" s="16" t="n">
        <v>5354.49215439957</v>
      </c>
      <c r="BQ134" s="16" t="n">
        <v>3210.12732208775</v>
      </c>
      <c r="BR134" s="16" t="n">
        <v>3210.12732208775</v>
      </c>
      <c r="BS134" s="16" t="n">
        <v>709.170471032313</v>
      </c>
      <c r="BT134" s="16" t="n">
        <v>189.4897</v>
      </c>
      <c r="BU134" s="16" t="n">
        <v>794.6073</v>
      </c>
      <c r="BV134" s="16" t="s">
        <v>3237</v>
      </c>
      <c r="BW134" s="16" t="n">
        <v>42.7692307692308</v>
      </c>
      <c r="BX134" s="16" t="n">
        <v>0.124596585374074</v>
      </c>
      <c r="BY134" s="16" t="n">
        <v>0.0866148510447071</v>
      </c>
      <c r="BZ134" s="16" t="n">
        <v>13510.8578038903</v>
      </c>
      <c r="CA134" s="16" t="n">
        <v>9557.85015295579</v>
      </c>
      <c r="CB134" s="16" t="n">
        <v>562.121601932167</v>
      </c>
      <c r="CC134" s="16" t="n">
        <v>1732.5375</v>
      </c>
      <c r="CD134" s="16" t="n">
        <v>1028.66496</v>
      </c>
      <c r="CE134" s="16" t="n">
        <v>12000</v>
      </c>
      <c r="CF134" s="16" t="n">
        <v>22.9378638804403</v>
      </c>
      <c r="CG134" s="16" t="n">
        <v>26.3785434625063</v>
      </c>
      <c r="CH134" s="16" t="n">
        <v>845.7297625</v>
      </c>
      <c r="CI134" s="16" t="n">
        <v>-14.9451536418179</v>
      </c>
      <c r="CJ134" s="16" t="n">
        <v>-5.32272994264565</v>
      </c>
      <c r="CK134" s="16" t="n">
        <v>53740.310451674</v>
      </c>
      <c r="CL134" s="16" t="n">
        <v>368.877657782313</v>
      </c>
      <c r="CM134" s="16" t="n">
        <v>394.245226032313</v>
      </c>
      <c r="CN134" s="16" t="n">
        <v>1000</v>
      </c>
      <c r="CO134" s="16" t="n">
        <v>1.534375</v>
      </c>
      <c r="CP134" s="16" t="n">
        <v>1.31022765885151</v>
      </c>
      <c r="CQ134" s="16" t="n">
        <v>0</v>
      </c>
      <c r="CR134" s="16" t="n">
        <v>33.2279203969415</v>
      </c>
      <c r="CS134" s="16" t="n">
        <v>0</v>
      </c>
      <c r="CT134" s="16" t="n">
        <v>0</v>
      </c>
      <c r="CU134" s="16" t="n">
        <v>0.0115</v>
      </c>
      <c r="CV134" s="16" t="n">
        <v>4995582.74212835</v>
      </c>
      <c r="CW134" s="16" t="n">
        <v>0</v>
      </c>
      <c r="CX134" s="16" t="n">
        <v>4995582.74212835</v>
      </c>
      <c r="CY134" s="16" t="n">
        <v>4995582.74212835</v>
      </c>
      <c r="CZ134" s="16" t="n">
        <v>6324283.99793776</v>
      </c>
      <c r="DA134" s="16" t="n">
        <v>22.9378638804403</v>
      </c>
      <c r="DB134" s="16" t="n">
        <v>13226.7603822195</v>
      </c>
      <c r="DC134" s="16" t="n">
        <v>9814.25620360683</v>
      </c>
      <c r="DD134" s="16" t="n">
        <v>12008.3333333333</v>
      </c>
      <c r="DE134" s="16" t="n">
        <v>1921.25</v>
      </c>
      <c r="DF134" s="16" t="n">
        <v>4995897.66737335</v>
      </c>
      <c r="DG134" s="16" t="n">
        <v>394.245226032313</v>
      </c>
      <c r="DH134" s="16" t="n">
        <v>0</v>
      </c>
      <c r="DI134" s="16" t="n">
        <v>0.0115</v>
      </c>
    </row>
    <row r="135" customFormat="false" ht="15" hidden="false" customHeight="false" outlineLevel="0" collapsed="false">
      <c r="A135" s="0" t="s">
        <v>3353</v>
      </c>
      <c r="B135" s="16" t="n">
        <v>2134.03500541342</v>
      </c>
      <c r="C135" s="16" t="n">
        <v>2659.96398875442</v>
      </c>
      <c r="D135" s="16" t="n">
        <v>10230.8448115705</v>
      </c>
      <c r="E135" s="16" t="n">
        <v>823.706773200979</v>
      </c>
      <c r="F135" s="16" t="n">
        <v>-4878.82700451013</v>
      </c>
      <c r="G135" s="16" t="n">
        <v>5596.13521816094</v>
      </c>
      <c r="H135" s="16" t="n">
        <v>-35963.8458813319</v>
      </c>
      <c r="I135" s="17" t="n">
        <v>0.01</v>
      </c>
      <c r="J135" s="17" t="n">
        <v>0</v>
      </c>
      <c r="K135" s="16" t="s">
        <v>116</v>
      </c>
      <c r="L135" s="16" t="n">
        <v>1000</v>
      </c>
      <c r="M135" s="16" t="n">
        <v>23360.7318370251</v>
      </c>
      <c r="N135" s="16" t="n">
        <v>4901.7238634748</v>
      </c>
      <c r="O135" s="16" t="n">
        <v>1000</v>
      </c>
      <c r="P135" s="16" t="n">
        <v>731.039520202602</v>
      </c>
      <c r="Q135" s="16" t="n">
        <v>-6585.73628453527</v>
      </c>
      <c r="R135" s="16" t="n">
        <v>10749.2862478583</v>
      </c>
      <c r="S135" s="16" t="n">
        <v>27548.7139362314</v>
      </c>
      <c r="T135" s="16" t="n">
        <v>-1451.03184051911</v>
      </c>
      <c r="U135" s="16" t="n">
        <v>-35688.6922920207</v>
      </c>
      <c r="V135" s="16" t="n">
        <v>0.750319556751226</v>
      </c>
      <c r="W135" s="16" t="n">
        <v>16678.1929003194</v>
      </c>
      <c r="X135" s="16" t="n">
        <v>14027.8216035666</v>
      </c>
      <c r="Y135" s="16" t="n">
        <v>0</v>
      </c>
      <c r="Z135" s="16" t="n">
        <v>0</v>
      </c>
      <c r="AA135" s="16" t="n">
        <v>22.27279275</v>
      </c>
      <c r="AB135" s="16" t="n">
        <v>20.07279275</v>
      </c>
      <c r="AC135" s="16" t="n">
        <v>21.52279275</v>
      </c>
      <c r="AD135" s="16" t="n">
        <v>21.8718824805</v>
      </c>
      <c r="AE135" s="16" t="n">
        <v>594.149368983825</v>
      </c>
      <c r="AF135" s="16" t="n">
        <v>0.02</v>
      </c>
      <c r="AG135" s="16" t="n">
        <v>0.575079824509446</v>
      </c>
      <c r="AH135" s="16" t="n">
        <v>15302.4593204618</v>
      </c>
      <c r="AI135" s="16" t="n">
        <v>10230.8448115705</v>
      </c>
      <c r="AJ135" s="16" t="n">
        <v>14.7365561910928</v>
      </c>
      <c r="AK135" s="16" t="n">
        <v>0</v>
      </c>
      <c r="AL135" s="16" t="n">
        <v>1000</v>
      </c>
      <c r="AM135" s="16" t="n">
        <v>470.44678</v>
      </c>
      <c r="AN135" s="16" t="n">
        <v>12000</v>
      </c>
      <c r="AO135" s="16" t="n">
        <v>-2079.00657489433</v>
      </c>
      <c r="AP135" s="16" t="n">
        <v>1</v>
      </c>
      <c r="AQ135" s="16" t="n">
        <v>28.8536907094074</v>
      </c>
      <c r="AR135" s="16" t="n">
        <v>713.149837192618</v>
      </c>
      <c r="AS135" s="16" t="n">
        <v>314.925245</v>
      </c>
      <c r="AT135" s="16" t="n">
        <v>1000</v>
      </c>
      <c r="AU135" s="16" t="n">
        <v>12.270507</v>
      </c>
      <c r="AV135" s="16" t="n">
        <v>0</v>
      </c>
      <c r="AW135" s="16" t="n">
        <v>998.76</v>
      </c>
      <c r="AX135" s="16" t="n">
        <v>314.925245</v>
      </c>
      <c r="AY135" s="16" t="n">
        <v>314.925245</v>
      </c>
      <c r="AZ135" s="16" t="n">
        <v>930.665761415416</v>
      </c>
      <c r="BA135" s="16" t="n">
        <v>1732.5375</v>
      </c>
      <c r="BB135" s="16" t="n">
        <v>369.10178</v>
      </c>
      <c r="BC135" s="16" t="n">
        <v>88660.1095605618</v>
      </c>
      <c r="BD135" s="16" t="n">
        <v>5.80315290610192</v>
      </c>
      <c r="BE135" s="16" t="n">
        <v>14.4604455280383</v>
      </c>
      <c r="BF135" s="16" t="n">
        <v>27.3351625752742</v>
      </c>
      <c r="BG135" s="16" t="n">
        <v>-13.6535979204585</v>
      </c>
      <c r="BH135" s="16" t="n">
        <v>-20.0976093877166</v>
      </c>
      <c r="BI135" s="16" t="n">
        <v>-3.59741167595651</v>
      </c>
      <c r="BJ135" s="16" t="n">
        <v>-9.93933550584831</v>
      </c>
      <c r="BK135" s="16" t="n">
        <v>-0.548394239950376</v>
      </c>
      <c r="BL135" s="16" t="n">
        <v>-6.73470781259538</v>
      </c>
      <c r="BM135" s="16" t="n">
        <v>3.37118358768332</v>
      </c>
      <c r="BN135" s="16" t="n">
        <v>4.04706880575186</v>
      </c>
      <c r="BO135" s="16" t="n">
        <v>5.1726598173516</v>
      </c>
      <c r="BP135" s="16" t="n">
        <v>5354.49215439957</v>
      </c>
      <c r="BQ135" s="16" t="n">
        <v>2630.36398875442</v>
      </c>
      <c r="BR135" s="16" t="n">
        <v>2630.36398875442</v>
      </c>
      <c r="BS135" s="16" t="n">
        <v>713.149837192618</v>
      </c>
      <c r="BT135" s="16" t="n">
        <v>189.4897</v>
      </c>
      <c r="BU135" s="16" t="n">
        <v>794.6073</v>
      </c>
      <c r="BV135" s="16" t="s">
        <v>3237</v>
      </c>
      <c r="BW135" s="16" t="n">
        <v>42.7692307692308</v>
      </c>
      <c r="BX135" s="16" t="n">
        <v>0.124596585374074</v>
      </c>
      <c r="BY135" s="16" t="n">
        <v>0.0866148510447071</v>
      </c>
      <c r="BZ135" s="16" t="n">
        <v>13510.8578038903</v>
      </c>
      <c r="CA135" s="16" t="n">
        <v>9557.85015295579</v>
      </c>
      <c r="CB135" s="16" t="n">
        <v>567.913439100114</v>
      </c>
      <c r="CC135" s="16" t="n">
        <v>1732.5375</v>
      </c>
      <c r="CD135" s="16" t="n">
        <v>1028.66496</v>
      </c>
      <c r="CE135" s="16" t="n">
        <v>12000</v>
      </c>
      <c r="CF135" s="16" t="n">
        <v>22.2642332367568</v>
      </c>
      <c r="CG135" s="16" t="n">
        <v>25.6038682222703</v>
      </c>
      <c r="CH135" s="16" t="n">
        <v>265.966429166667</v>
      </c>
      <c r="CI135" s="16" t="n">
        <v>-14.9451536418179</v>
      </c>
      <c r="CJ135" s="16" t="n">
        <v>-5.32272994264565</v>
      </c>
      <c r="CK135" s="16" t="n">
        <v>54320.0483901043</v>
      </c>
      <c r="CL135" s="16" t="n">
        <v>372.857023942618</v>
      </c>
      <c r="CM135" s="16" t="n">
        <v>398.224592192618</v>
      </c>
      <c r="CN135" s="16" t="n">
        <v>1000</v>
      </c>
      <c r="CO135" s="16" t="n">
        <v>1.534375</v>
      </c>
      <c r="CP135" s="16" t="n">
        <v>1.31022765885151</v>
      </c>
      <c r="CQ135" s="16" t="n">
        <v>0</v>
      </c>
      <c r="CR135" s="16" t="n">
        <v>33.1817443158185</v>
      </c>
      <c r="CS135" s="16" t="n">
        <v>0</v>
      </c>
      <c r="CT135" s="16" t="n">
        <v>0</v>
      </c>
      <c r="CU135" s="16" t="n">
        <v>0.0115</v>
      </c>
      <c r="CV135" s="16" t="n">
        <v>5045994.73677446</v>
      </c>
      <c r="CW135" s="16" t="n">
        <v>0</v>
      </c>
      <c r="CX135" s="16" t="n">
        <v>5045994.73677446</v>
      </c>
      <c r="CY135" s="16" t="n">
        <v>5045994.73677446</v>
      </c>
      <c r="CZ135" s="16" t="n">
        <v>6324301.98766223</v>
      </c>
      <c r="DA135" s="16" t="n">
        <v>22.2642332367568</v>
      </c>
      <c r="DB135" s="16" t="n">
        <v>12938.9990947488</v>
      </c>
      <c r="DC135" s="16" t="n">
        <v>9600.73732830357</v>
      </c>
      <c r="DD135" s="16" t="n">
        <v>12008.3333333333</v>
      </c>
      <c r="DE135" s="16" t="n">
        <v>1921.25</v>
      </c>
      <c r="DF135" s="16" t="n">
        <v>5046309.66201946</v>
      </c>
      <c r="DG135" s="16" t="n">
        <v>398.224592192618</v>
      </c>
      <c r="DH135" s="16" t="n">
        <v>0</v>
      </c>
      <c r="DI135" s="16" t="n">
        <v>0.0115</v>
      </c>
    </row>
    <row r="136" customFormat="false" ht="15" hidden="false" customHeight="false" outlineLevel="0" collapsed="false">
      <c r="A136" s="0" t="s">
        <v>3354</v>
      </c>
      <c r="B136" s="16" t="n">
        <v>2161.09062763565</v>
      </c>
      <c r="C136" s="16" t="n">
        <v>4287.20023545696</v>
      </c>
      <c r="D136" s="16" t="n">
        <v>10944.1398681103</v>
      </c>
      <c r="E136" s="16" t="n">
        <v>1840.94291622573</v>
      </c>
      <c r="F136" s="16" t="n">
        <v>-3929.75629162136</v>
      </c>
      <c r="G136" s="16" t="n">
        <v>5599.21119842882</v>
      </c>
      <c r="H136" s="16" t="n">
        <v>-34450.6181107294</v>
      </c>
      <c r="I136" s="17" t="n">
        <v>0.01</v>
      </c>
      <c r="J136" s="17" t="n">
        <v>0</v>
      </c>
      <c r="K136" s="16" t="s">
        <v>116</v>
      </c>
      <c r="L136" s="16" t="n">
        <v>1000</v>
      </c>
      <c r="M136" s="16" t="n">
        <v>23393.2765619591</v>
      </c>
      <c r="N136" s="16" t="n">
        <v>5268.34038131425</v>
      </c>
      <c r="O136" s="16" t="n">
        <v>1000</v>
      </c>
      <c r="P136" s="16" t="n">
        <v>747.002337313713</v>
      </c>
      <c r="Q136" s="16" t="n">
        <v>-6256.63951054422</v>
      </c>
      <c r="R136" s="16" t="n">
        <v>10749.8273603027</v>
      </c>
      <c r="S136" s="16" t="n">
        <v>27562.9798373622</v>
      </c>
      <c r="T136" s="16" t="n">
        <v>-1436.17830391911</v>
      </c>
      <c r="U136" s="16" t="n">
        <v>-34175.4645214182</v>
      </c>
      <c r="V136" s="16" t="n">
        <v>0.750319556751226</v>
      </c>
      <c r="W136" s="16" t="n">
        <v>16922.517571796</v>
      </c>
      <c r="X136" s="16" t="n">
        <v>14063.2464257957</v>
      </c>
      <c r="Y136" s="16" t="n">
        <v>0</v>
      </c>
      <c r="Z136" s="16" t="n">
        <v>0</v>
      </c>
      <c r="AA136" s="16" t="n">
        <v>22.27279275</v>
      </c>
      <c r="AB136" s="16" t="n">
        <v>20.07279275</v>
      </c>
      <c r="AC136" s="16" t="n">
        <v>21.52279275</v>
      </c>
      <c r="AD136" s="16" t="n">
        <v>21.8718824805</v>
      </c>
      <c r="AE136" s="16" t="n">
        <v>594.149368983825</v>
      </c>
      <c r="AF136" s="16" t="n">
        <v>0.02</v>
      </c>
      <c r="AG136" s="16" t="n">
        <v>0.572323381718701</v>
      </c>
      <c r="AH136" s="16" t="n">
        <v>15317.8810251285</v>
      </c>
      <c r="AI136" s="16" t="n">
        <v>10944.1398681103</v>
      </c>
      <c r="AJ136" s="16" t="n">
        <v>14.7365561910928</v>
      </c>
      <c r="AK136" s="16" t="n">
        <v>0</v>
      </c>
      <c r="AL136" s="16" t="n">
        <v>1000</v>
      </c>
      <c r="AM136" s="16" t="n">
        <v>470.44678</v>
      </c>
      <c r="AN136" s="16" t="n">
        <v>12000</v>
      </c>
      <c r="AO136" s="16" t="n">
        <v>-2079.00657489433</v>
      </c>
      <c r="AP136" s="16" t="n">
        <v>1</v>
      </c>
      <c r="AQ136" s="16" t="n">
        <v>29.3561765986749</v>
      </c>
      <c r="AR136" s="16" t="n">
        <v>703.222202071094</v>
      </c>
      <c r="AS136" s="16" t="n">
        <v>314.925245</v>
      </c>
      <c r="AT136" s="16" t="n">
        <v>1000</v>
      </c>
      <c r="AU136" s="16" t="n">
        <v>12.270507</v>
      </c>
      <c r="AV136" s="16" t="n">
        <v>0</v>
      </c>
      <c r="AW136" s="16" t="n">
        <v>998.76</v>
      </c>
      <c r="AX136" s="16" t="n">
        <v>314.925245</v>
      </c>
      <c r="AY136" s="16" t="n">
        <v>314.925245</v>
      </c>
      <c r="AZ136" s="16" t="n">
        <v>1665.82194596276</v>
      </c>
      <c r="BA136" s="16" t="n">
        <v>1732.5375</v>
      </c>
      <c r="BB136" s="16" t="n">
        <v>155.768446666667</v>
      </c>
      <c r="BC136" s="16" t="n">
        <v>88717.8059770988</v>
      </c>
      <c r="BD136" s="16" t="n">
        <v>8.13753605327496</v>
      </c>
      <c r="BE136" s="16" t="n">
        <v>16.7948286752113</v>
      </c>
      <c r="BF136" s="16" t="n">
        <v>29.6695457224473</v>
      </c>
      <c r="BG136" s="16" t="n">
        <v>-13.6535979204585</v>
      </c>
      <c r="BH136" s="16" t="n">
        <v>-20.0976093877166</v>
      </c>
      <c r="BI136" s="16" t="n">
        <v>-3.59741167595651</v>
      </c>
      <c r="BJ136" s="16" t="n">
        <v>-9.93933550584831</v>
      </c>
      <c r="BK136" s="16" t="n">
        <v>-0.548394239950376</v>
      </c>
      <c r="BL136" s="16" t="n">
        <v>-6.73470781259538</v>
      </c>
      <c r="BM136" s="16" t="n">
        <v>3.37118358768332</v>
      </c>
      <c r="BN136" s="16" t="n">
        <v>4.04706880575186</v>
      </c>
      <c r="BO136" s="16" t="n">
        <v>5.1726598173516</v>
      </c>
      <c r="BP136" s="16" t="n">
        <v>5354.49215439957</v>
      </c>
      <c r="BQ136" s="16" t="n">
        <v>4257.60023545696</v>
      </c>
      <c r="BR136" s="16" t="n">
        <v>4257.60023545696</v>
      </c>
      <c r="BS136" s="16" t="n">
        <v>703.222202071094</v>
      </c>
      <c r="BT136" s="16" t="n">
        <v>189.4897</v>
      </c>
      <c r="BU136" s="16" t="n">
        <v>794.6073</v>
      </c>
      <c r="BV136" s="16" t="s">
        <v>3237</v>
      </c>
      <c r="BW136" s="16" t="n">
        <v>42.7692307692308</v>
      </c>
      <c r="BX136" s="16" t="n">
        <v>0.124596585374074</v>
      </c>
      <c r="BY136" s="16" t="n">
        <v>0.0866148510447071</v>
      </c>
      <c r="BZ136" s="16" t="n">
        <v>13510.8578038903</v>
      </c>
      <c r="CA136" s="16" t="n">
        <v>9557.85015295579</v>
      </c>
      <c r="CB136" s="16" t="n">
        <v>553.465558125809</v>
      </c>
      <c r="CC136" s="16" t="n">
        <v>1732.5375</v>
      </c>
      <c r="CD136" s="16" t="n">
        <v>1028.66496</v>
      </c>
      <c r="CE136" s="16" t="n">
        <v>12000</v>
      </c>
      <c r="CF136" s="16" t="n">
        <v>23.9995850099448</v>
      </c>
      <c r="CG136" s="16" t="n">
        <v>27.5995227614365</v>
      </c>
      <c r="CH136" s="16" t="n">
        <v>1983.66628420139</v>
      </c>
      <c r="CI136" s="16" t="n">
        <v>-14.9451536418179</v>
      </c>
      <c r="CJ136" s="16" t="n">
        <v>-5.32272994264565</v>
      </c>
      <c r="CK136" s="16" t="n">
        <v>52873.7309397898</v>
      </c>
      <c r="CL136" s="16" t="n">
        <v>362.929388821093</v>
      </c>
      <c r="CM136" s="16" t="n">
        <v>388.296957071093</v>
      </c>
      <c r="CN136" s="16" t="n">
        <v>1000</v>
      </c>
      <c r="CO136" s="16" t="n">
        <v>1.534375</v>
      </c>
      <c r="CP136" s="16" t="n">
        <v>1.31022765885151</v>
      </c>
      <c r="CQ136" s="16" t="n">
        <v>0</v>
      </c>
      <c r="CR136" s="16" t="n">
        <v>33.7596030884762</v>
      </c>
      <c r="CS136" s="16" t="n">
        <v>0</v>
      </c>
      <c r="CT136" s="16" t="n">
        <v>0</v>
      </c>
      <c r="CU136" s="16" t="n">
        <v>0.0115</v>
      </c>
      <c r="CV136" s="16" t="n">
        <v>4920228.00196451</v>
      </c>
      <c r="CW136" s="16" t="n">
        <v>0</v>
      </c>
      <c r="CX136" s="16" t="n">
        <v>4920228.00196451</v>
      </c>
      <c r="CY136" s="16" t="n">
        <v>4920228.00196451</v>
      </c>
      <c r="CZ136" s="16" t="n">
        <v>6306725.38829844</v>
      </c>
      <c r="DA136" s="16" t="n">
        <v>23.9995850099448</v>
      </c>
      <c r="DB136" s="16" t="n">
        <v>13674.1552792961</v>
      </c>
      <c r="DC136" s="16" t="n">
        <v>10146.2232172377</v>
      </c>
      <c r="DD136" s="16" t="n">
        <v>12008.3333333333</v>
      </c>
      <c r="DE136" s="16" t="n">
        <v>1921.25</v>
      </c>
      <c r="DF136" s="16" t="n">
        <v>4920542.92720951</v>
      </c>
      <c r="DG136" s="16" t="n">
        <v>388.296957071093</v>
      </c>
      <c r="DH136" s="16" t="n">
        <v>0</v>
      </c>
      <c r="DI136" s="16" t="n">
        <v>0.0115</v>
      </c>
    </row>
    <row r="137" customFormat="false" ht="15" hidden="false" customHeight="false" outlineLevel="0" collapsed="false">
      <c r="A137" s="0" t="s">
        <v>3355</v>
      </c>
      <c r="B137" s="16" t="n">
        <v>2465.07954157611</v>
      </c>
      <c r="C137" s="16" t="n">
        <v>8209.24039226006</v>
      </c>
      <c r="D137" s="16" t="n">
        <v>19716.7966317894</v>
      </c>
      <c r="E137" s="16" t="n">
        <v>4213.14398474076</v>
      </c>
      <c r="F137" s="16" t="n">
        <v>-1135.49021845689</v>
      </c>
      <c r="G137" s="16" t="n">
        <v>5020.26458750724</v>
      </c>
      <c r="H137" s="16" t="n">
        <v>-975.954046831958</v>
      </c>
      <c r="I137" s="17" t="n">
        <v>0.01</v>
      </c>
      <c r="J137" s="17" t="n">
        <v>3.69367575580509</v>
      </c>
      <c r="K137" s="16" t="s">
        <v>116</v>
      </c>
      <c r="L137" s="16" t="n">
        <v>1000</v>
      </c>
      <c r="M137" s="16" t="n">
        <v>33779.4469253452</v>
      </c>
      <c r="N137" s="16" t="n">
        <v>11402.7039831813</v>
      </c>
      <c r="O137" s="16" t="n">
        <v>1000</v>
      </c>
      <c r="P137" s="16" t="n">
        <v>951.290832135856</v>
      </c>
      <c r="Q137" s="16" t="n">
        <v>-267.565775756198</v>
      </c>
      <c r="R137" s="16" t="n">
        <v>17617.7170533315</v>
      </c>
      <c r="S137" s="16" t="n">
        <v>26949.0428826358</v>
      </c>
      <c r="T137" s="16" t="n">
        <v>-955.692204749296</v>
      </c>
      <c r="U137" s="16" t="n">
        <v>-698.23625109041</v>
      </c>
      <c r="V137" s="16" t="n">
        <v>0.750319556751226</v>
      </c>
      <c r="W137" s="16" t="n">
        <v>46102.9062761502</v>
      </c>
      <c r="X137" s="16" t="n">
        <v>22149.3985066913</v>
      </c>
      <c r="Y137" s="16" t="n">
        <v>3.47471786452841</v>
      </c>
      <c r="Z137" s="16" t="n">
        <v>4.71645457258752</v>
      </c>
      <c r="AA137" s="16" t="n">
        <v>27.424347870838</v>
      </c>
      <c r="AB137" s="16" t="n">
        <v>25.224347870838</v>
      </c>
      <c r="AC137" s="16" t="n">
        <v>26.674347870838</v>
      </c>
      <c r="AD137" s="16" t="n">
        <v>27.2673434792775</v>
      </c>
      <c r="AE137" s="16" t="n">
        <v>674.686407680941</v>
      </c>
      <c r="AF137" s="16" t="n">
        <v>0.03</v>
      </c>
      <c r="AG137" s="16" t="n">
        <v>0.654270470333735</v>
      </c>
      <c r="AH137" s="16" t="n">
        <v>9819.91719809611</v>
      </c>
      <c r="AI137" s="16" t="n">
        <v>19716.7966317894</v>
      </c>
      <c r="AJ137" s="16" t="n">
        <v>16.69175</v>
      </c>
      <c r="AK137" s="16" t="n">
        <v>0</v>
      </c>
      <c r="AL137" s="16" t="n">
        <v>1000</v>
      </c>
      <c r="AM137" s="16" t="n">
        <v>812.6073</v>
      </c>
      <c r="AN137" s="16" t="n">
        <v>20079.98904</v>
      </c>
      <c r="AO137" s="16" t="n">
        <v>-5508.72242389994</v>
      </c>
      <c r="AP137" s="16" t="n">
        <v>0.414483496940676</v>
      </c>
      <c r="AQ137" s="16" t="n">
        <v>78.4931191763158</v>
      </c>
      <c r="AR137" s="16" t="n">
        <v>506.474954430797</v>
      </c>
      <c r="AS137" s="16" t="n">
        <v>314.925245</v>
      </c>
      <c r="AT137" s="16" t="n">
        <v>1000</v>
      </c>
      <c r="AU137" s="16" t="n">
        <v>12.270507</v>
      </c>
      <c r="AV137" s="16" t="n">
        <v>0</v>
      </c>
      <c r="AW137" s="16" t="n">
        <v>2254.3125</v>
      </c>
      <c r="AX137" s="16" t="n">
        <v>314.925245</v>
      </c>
      <c r="AY137" s="16" t="n">
        <v>314.925245</v>
      </c>
      <c r="AZ137" s="16" t="n">
        <v>5630.59953669272</v>
      </c>
      <c r="BA137" s="16" t="n">
        <v>0</v>
      </c>
      <c r="BB137" s="16" t="n">
        <v>417.928966666667</v>
      </c>
      <c r="BC137" s="16" t="n">
        <v>111441.194100918</v>
      </c>
      <c r="BD137" s="16" t="n">
        <v>16.748434481441</v>
      </c>
      <c r="BE137" s="16" t="n">
        <v>25.4057271033774</v>
      </c>
      <c r="BF137" s="16" t="n">
        <v>39.6335823121798</v>
      </c>
      <c r="BG137" s="16" t="n">
        <v>-8.27711430924607</v>
      </c>
      <c r="BH137" s="16" t="n">
        <v>-7.28866183200638</v>
      </c>
      <c r="BI137" s="16" t="n">
        <v>1.09242813813745</v>
      </c>
      <c r="BJ137" s="16" t="n">
        <v>2.04083187529388</v>
      </c>
      <c r="BK137" s="16" t="n">
        <v>5.25403316350504</v>
      </c>
      <c r="BL137" s="16" t="n">
        <v>7.88491984612206</v>
      </c>
      <c r="BM137" s="16" t="n">
        <v>3.71992671744367</v>
      </c>
      <c r="BN137" s="16" t="n">
        <v>4.46573109600205</v>
      </c>
      <c r="BO137" s="16" t="n">
        <v>5.7791095890411</v>
      </c>
      <c r="BP137" s="16" t="n">
        <v>8712.70308277889</v>
      </c>
      <c r="BQ137" s="16" t="n">
        <v>8176.87365522983</v>
      </c>
      <c r="BR137" s="16" t="n">
        <v>8176.87365522983</v>
      </c>
      <c r="BS137" s="16" t="n">
        <v>506.474954430797</v>
      </c>
      <c r="BT137" s="16" t="n">
        <v>301.7195</v>
      </c>
      <c r="BU137" s="16" t="n">
        <v>1081.9108</v>
      </c>
      <c r="BV137" s="16" t="s">
        <v>3237</v>
      </c>
      <c r="BW137" s="16" t="n">
        <v>42.7692307692308</v>
      </c>
      <c r="BX137" s="16" t="n">
        <v>0.155994305554286</v>
      </c>
      <c r="BY137" s="16" t="n">
        <v>0.161741466184191</v>
      </c>
      <c r="BZ137" s="16" t="n">
        <v>13510.8578038903</v>
      </c>
      <c r="CA137" s="16" t="n">
        <v>19402.010477409</v>
      </c>
      <c r="CB137" s="16" t="n">
        <v>278.503097417438</v>
      </c>
      <c r="CC137" s="16" t="n">
        <v>0</v>
      </c>
      <c r="CD137" s="16" t="n">
        <v>950.69728</v>
      </c>
      <c r="CE137" s="16" t="n">
        <v>12000</v>
      </c>
      <c r="CF137" s="16" t="n">
        <v>24.2469040710633</v>
      </c>
      <c r="CG137" s="16" t="n">
        <v>27.3990016003016</v>
      </c>
      <c r="CH137" s="16" t="n">
        <v>2643.77364301215</v>
      </c>
      <c r="CI137" s="16" t="n">
        <v>-6.2083733271085</v>
      </c>
      <c r="CJ137" s="16" t="n">
        <v>3.00594144553374</v>
      </c>
      <c r="CK137" s="16" t="n">
        <v>38739.6121648513</v>
      </c>
      <c r="CL137" s="16" t="n">
        <v>164.481464930797</v>
      </c>
      <c r="CM137" s="16" t="n">
        <v>189.849033180797</v>
      </c>
      <c r="CN137" s="16" t="n">
        <v>1000</v>
      </c>
      <c r="CO137" s="16" t="n">
        <v>1.5535546875</v>
      </c>
      <c r="CP137" s="16" t="n">
        <v>1.09004417261298</v>
      </c>
      <c r="CQ137" s="16" t="n">
        <v>3.69367575580509</v>
      </c>
      <c r="CR137" s="16" t="n">
        <v>88.6972246692368</v>
      </c>
      <c r="CS137" s="16" t="n">
        <v>30.0386343634106</v>
      </c>
      <c r="CT137" s="16" t="n">
        <v>3.26873960690716</v>
      </c>
      <c r="CU137" s="16" t="n">
        <v>3.69367575580509</v>
      </c>
      <c r="CV137" s="16" t="n">
        <v>11814.8605493958</v>
      </c>
      <c r="CW137" s="16" t="n">
        <v>2441.13164354016</v>
      </c>
      <c r="CX137" s="16" t="n">
        <v>14255.992192936</v>
      </c>
      <c r="CY137" s="16" t="n">
        <v>11814.8605493958</v>
      </c>
      <c r="CZ137" s="16" t="n">
        <v>1176.60380288651</v>
      </c>
      <c r="DA137" s="16" t="n">
        <v>24.2469040710633</v>
      </c>
      <c r="DB137" s="16" t="n">
        <v>16774.9328700261</v>
      </c>
      <c r="DC137" s="16" t="n">
        <v>12447.0001895593</v>
      </c>
      <c r="DD137" s="16" t="n">
        <v>11144.3333333333</v>
      </c>
      <c r="DE137" s="16" t="n">
        <v>1921.25</v>
      </c>
      <c r="DF137" s="16" t="n">
        <v>12129.7857943958</v>
      </c>
      <c r="DG137" s="16" t="n">
        <v>189.849033180797</v>
      </c>
      <c r="DH137" s="16" t="n">
        <v>0</v>
      </c>
      <c r="DI137" s="16" t="n">
        <v>30.0386647109066</v>
      </c>
    </row>
    <row r="138" customFormat="false" ht="15" hidden="false" customHeight="false" outlineLevel="0" collapsed="false">
      <c r="A138" s="0" t="s">
        <v>3356</v>
      </c>
      <c r="B138" s="16" t="n">
        <v>2465.07954157611</v>
      </c>
      <c r="C138" s="16" t="n">
        <v>8209.24039226006</v>
      </c>
      <c r="D138" s="16" t="n">
        <v>19716.7966317894</v>
      </c>
      <c r="E138" s="16" t="n">
        <v>4213.14398474076</v>
      </c>
      <c r="F138" s="16" t="n">
        <v>-1135.49021845689</v>
      </c>
      <c r="G138" s="16" t="n">
        <v>5020.26458750724</v>
      </c>
      <c r="H138" s="16" t="n">
        <v>8665.72204233086</v>
      </c>
      <c r="I138" s="17" t="n">
        <v>28.3986119882908</v>
      </c>
      <c r="J138" s="17" t="n">
        <v>38.289485884504</v>
      </c>
      <c r="K138" s="16" t="s">
        <v>116</v>
      </c>
      <c r="L138" s="16" t="n">
        <v>1000</v>
      </c>
      <c r="M138" s="16" t="n">
        <v>33779.4469253452</v>
      </c>
      <c r="N138" s="16" t="n">
        <v>11402.7039831813</v>
      </c>
      <c r="O138" s="16" t="n">
        <v>1000</v>
      </c>
      <c r="P138" s="16" t="n">
        <v>951.290832135856</v>
      </c>
      <c r="Q138" s="16" t="n">
        <v>-267.565775756198</v>
      </c>
      <c r="R138" s="16" t="n">
        <v>17617.7170533315</v>
      </c>
      <c r="S138" s="16" t="n">
        <v>26949.0428826358</v>
      </c>
      <c r="T138" s="16" t="n">
        <v>-955.692204749296</v>
      </c>
      <c r="U138" s="16" t="n">
        <v>8943.43983807241</v>
      </c>
      <c r="V138" s="16" t="n">
        <v>0.750319556751226</v>
      </c>
      <c r="W138" s="16" t="n">
        <v>56886.8456523553</v>
      </c>
      <c r="X138" s="16" t="n">
        <v>22149.4762774452</v>
      </c>
      <c r="Y138" s="16" t="n">
        <v>36.0197184112321</v>
      </c>
      <c r="Z138" s="16" t="n">
        <v>48.8918445259232</v>
      </c>
      <c r="AA138" s="16" t="n">
        <v>27.424347870838</v>
      </c>
      <c r="AB138" s="16" t="n">
        <v>25.224347870838</v>
      </c>
      <c r="AC138" s="16" t="n">
        <v>26.674347870838</v>
      </c>
      <c r="AD138" s="16" t="n">
        <v>27.2673434792775</v>
      </c>
      <c r="AE138" s="16" t="n">
        <v>674.686407680941</v>
      </c>
      <c r="AF138" s="16" t="n">
        <v>0.03</v>
      </c>
      <c r="AG138" s="16" t="n">
        <v>0.654405917289144</v>
      </c>
      <c r="AH138" s="16" t="n">
        <v>9819.91719809611</v>
      </c>
      <c r="AI138" s="16" t="n">
        <v>19716.7966317894</v>
      </c>
      <c r="AJ138" s="16" t="n">
        <v>16.69175</v>
      </c>
      <c r="AK138" s="16" t="n">
        <v>0</v>
      </c>
      <c r="AL138" s="16" t="n">
        <v>1000</v>
      </c>
      <c r="AM138" s="16" t="n">
        <v>812.6073</v>
      </c>
      <c r="AN138" s="16" t="n">
        <v>20079.98904</v>
      </c>
      <c r="AO138" s="16" t="n">
        <v>-6069.8249718136</v>
      </c>
      <c r="AP138" s="16" t="n">
        <v>0.414483496940676</v>
      </c>
      <c r="AQ138" s="16" t="n">
        <v>97.4133165012242</v>
      </c>
      <c r="AR138" s="16" t="n">
        <v>507.081339813512</v>
      </c>
      <c r="AS138" s="16" t="n">
        <v>314.925245</v>
      </c>
      <c r="AT138" s="16" t="n">
        <v>1000</v>
      </c>
      <c r="AU138" s="16" t="n">
        <v>12.270507</v>
      </c>
      <c r="AV138" s="16" t="n">
        <v>0</v>
      </c>
      <c r="AW138" s="16" t="n">
        <v>2254.3125</v>
      </c>
      <c r="AX138" s="16" t="n">
        <v>314.925245</v>
      </c>
      <c r="AY138" s="16" t="n">
        <v>314.925245</v>
      </c>
      <c r="AZ138" s="16" t="n">
        <v>6399.12757118525</v>
      </c>
      <c r="BA138" s="16" t="n">
        <v>0</v>
      </c>
      <c r="BB138" s="16" t="n">
        <v>417.928966666667</v>
      </c>
      <c r="BC138" s="16" t="n">
        <v>111441.907179589</v>
      </c>
      <c r="BD138" s="16" t="n">
        <v>19.1887851573372</v>
      </c>
      <c r="BE138" s="16" t="n">
        <v>27.8460777792736</v>
      </c>
      <c r="BF138" s="16" t="n">
        <v>43.851682716091</v>
      </c>
      <c r="BG138" s="16" t="n">
        <v>-6.40720576730569</v>
      </c>
      <c r="BH138" s="16" t="n">
        <v>-4.58304933887342</v>
      </c>
      <c r="BI138" s="16" t="n">
        <v>3.45352694344252</v>
      </c>
      <c r="BJ138" s="16" t="n">
        <v>5.23553511078511</v>
      </c>
      <c r="BK138" s="16" t="n">
        <v>7.87424060251126</v>
      </c>
      <c r="BL138" s="16" t="n">
        <v>11.4374085386455</v>
      </c>
      <c r="BM138" s="16" t="n">
        <v>3.71992671744367</v>
      </c>
      <c r="BN138" s="16" t="n">
        <v>4.46573109600205</v>
      </c>
      <c r="BO138" s="16" t="n">
        <v>5.7791095890411</v>
      </c>
      <c r="BP138" s="16" t="n">
        <v>8712.70308277889</v>
      </c>
      <c r="BQ138" s="16" t="n">
        <v>8176.87365522983</v>
      </c>
      <c r="BR138" s="16" t="n">
        <v>8176.87365522983</v>
      </c>
      <c r="BS138" s="16" t="n">
        <v>507.081339813512</v>
      </c>
      <c r="BT138" s="16" t="n">
        <v>301.7195</v>
      </c>
      <c r="BU138" s="16" t="n">
        <v>1081.9108</v>
      </c>
      <c r="BV138" s="16" t="s">
        <v>3238</v>
      </c>
      <c r="BW138" s="16" t="n">
        <v>42.7692307692308</v>
      </c>
      <c r="BX138" s="16" t="n">
        <v>0.155994305554286</v>
      </c>
      <c r="BY138" s="16" t="n">
        <v>0.161741466184191</v>
      </c>
      <c r="BZ138" s="16" t="n">
        <v>13510.8578038903</v>
      </c>
      <c r="CA138" s="16" t="n">
        <v>19402.010477409</v>
      </c>
      <c r="CB138" s="16" t="n">
        <v>279.109482800154</v>
      </c>
      <c r="CC138" s="16" t="n">
        <v>0</v>
      </c>
      <c r="CD138" s="16" t="n">
        <v>950.69728</v>
      </c>
      <c r="CE138" s="16" t="n">
        <v>12000</v>
      </c>
      <c r="CF138" s="16" t="n">
        <v>26.6872547469595</v>
      </c>
      <c r="CG138" s="16" t="n">
        <v>30.1565978640643</v>
      </c>
      <c r="CH138" s="16" t="n">
        <v>2643.77364301215</v>
      </c>
      <c r="CI138" s="16" t="n">
        <v>-4.41302081982942</v>
      </c>
      <c r="CJ138" s="16" t="n">
        <v>5.28434653785802</v>
      </c>
      <c r="CK138" s="16" t="n">
        <v>38739.6121648513</v>
      </c>
      <c r="CL138" s="16" t="n">
        <v>164.481464930797</v>
      </c>
      <c r="CM138" s="16" t="n">
        <v>189.849033180797</v>
      </c>
      <c r="CN138" s="16" t="n">
        <v>1000</v>
      </c>
      <c r="CO138" s="16" t="n">
        <v>1.5535546875</v>
      </c>
      <c r="CP138" s="16" t="n">
        <v>1.09004417261298</v>
      </c>
      <c r="CQ138" s="16" t="n">
        <v>38.289485884504</v>
      </c>
      <c r="CR138" s="16" t="n">
        <v>110.077047646383</v>
      </c>
      <c r="CS138" s="16" t="n">
        <v>57.546210569444</v>
      </c>
      <c r="CT138" s="16" t="n">
        <v>33.8845007827469</v>
      </c>
      <c r="CU138" s="16" t="n">
        <v>38.289485884504</v>
      </c>
      <c r="CV138" s="16" t="n">
        <v>1139.74536250388</v>
      </c>
      <c r="CW138" s="16" t="n">
        <v>235.488896238276</v>
      </c>
      <c r="CX138" s="16" t="n">
        <v>1375.23425874216</v>
      </c>
      <c r="CY138" s="16" t="n">
        <v>1139.74536250388</v>
      </c>
      <c r="CZ138" s="16" t="n">
        <v>652.968020976366</v>
      </c>
      <c r="DA138" s="16" t="n">
        <v>26.6872547469595</v>
      </c>
      <c r="DB138" s="16" t="n">
        <v>17543.4609045186</v>
      </c>
      <c r="DC138" s="16" t="n">
        <v>13017.2479911528</v>
      </c>
      <c r="DD138" s="16" t="n">
        <v>11144.3333333333</v>
      </c>
      <c r="DE138" s="16" t="n">
        <v>1921.25</v>
      </c>
      <c r="DF138" s="16" t="n">
        <v>1454.67060750388</v>
      </c>
      <c r="DG138" s="16" t="n">
        <v>189.849033180797</v>
      </c>
      <c r="DH138" s="16" t="n">
        <v>0</v>
      </c>
      <c r="DI138" s="16" t="n">
        <v>57.5462106328596</v>
      </c>
    </row>
    <row r="139" customFormat="false" ht="15" hidden="false" customHeight="false" outlineLevel="0" collapsed="false">
      <c r="A139" s="0" t="s">
        <v>3357</v>
      </c>
      <c r="B139" s="16" t="n">
        <v>2465.07954157611</v>
      </c>
      <c r="C139" s="16" t="n">
        <v>8209.24039226006</v>
      </c>
      <c r="D139" s="16" t="n">
        <v>19716.7966317894</v>
      </c>
      <c r="E139" s="16" t="n">
        <v>4213.14398474076</v>
      </c>
      <c r="F139" s="16" t="n">
        <v>-1135.49021845689</v>
      </c>
      <c r="G139" s="16" t="n">
        <v>5020.26458750724</v>
      </c>
      <c r="H139" s="16" t="n">
        <v>1325.91224089607</v>
      </c>
      <c r="I139" s="17" t="n">
        <v>5.09209744883302</v>
      </c>
      <c r="J139" s="17" t="n">
        <v>11.9531244549167</v>
      </c>
      <c r="K139" s="16" t="s">
        <v>116</v>
      </c>
      <c r="L139" s="16" t="n">
        <v>1000</v>
      </c>
      <c r="M139" s="16" t="n">
        <v>33779.4469253452</v>
      </c>
      <c r="N139" s="16" t="n">
        <v>11402.7039831813</v>
      </c>
      <c r="O139" s="16" t="n">
        <v>1000</v>
      </c>
      <c r="P139" s="16" t="n">
        <v>951.290832135856</v>
      </c>
      <c r="Q139" s="16" t="n">
        <v>-267.565775756198</v>
      </c>
      <c r="R139" s="16" t="n">
        <v>17617.7170533315</v>
      </c>
      <c r="S139" s="16" t="n">
        <v>26949.0428826358</v>
      </c>
      <c r="T139" s="16" t="n">
        <v>-955.692204749296</v>
      </c>
      <c r="U139" s="16" t="n">
        <v>1603.63003663761</v>
      </c>
      <c r="V139" s="16" t="n">
        <v>0.750319556751226</v>
      </c>
      <c r="W139" s="16" t="n">
        <v>48960.2368399612</v>
      </c>
      <c r="X139" s="16" t="n">
        <v>22149.4762774452</v>
      </c>
      <c r="Y139" s="16" t="n">
        <v>11.2445536171265</v>
      </c>
      <c r="Z139" s="16" t="n">
        <v>15.2629446164832</v>
      </c>
      <c r="AA139" s="16" t="n">
        <v>27.424347870838</v>
      </c>
      <c r="AB139" s="16" t="n">
        <v>25.224347870838</v>
      </c>
      <c r="AC139" s="16" t="n">
        <v>26.674347870838</v>
      </c>
      <c r="AD139" s="16" t="n">
        <v>27.2673434792775</v>
      </c>
      <c r="AE139" s="16" t="n">
        <v>674.686407680941</v>
      </c>
      <c r="AF139" s="16" t="n">
        <v>0.03</v>
      </c>
      <c r="AG139" s="16" t="n">
        <v>0.654405917289144</v>
      </c>
      <c r="AH139" s="16" t="n">
        <v>9819.91719809611</v>
      </c>
      <c r="AI139" s="16" t="n">
        <v>19716.7966317894</v>
      </c>
      <c r="AJ139" s="16" t="n">
        <v>16.69175</v>
      </c>
      <c r="AK139" s="16" t="n">
        <v>0</v>
      </c>
      <c r="AL139" s="16" t="n">
        <v>1000</v>
      </c>
      <c r="AM139" s="16" t="n">
        <v>812.6073</v>
      </c>
      <c r="AN139" s="16" t="n">
        <v>20079.98904</v>
      </c>
      <c r="AO139" s="16" t="n">
        <v>-5781.1190158175</v>
      </c>
      <c r="AP139" s="16" t="n">
        <v>0.414483496940676</v>
      </c>
      <c r="AQ139" s="16" t="n">
        <v>83.0379960109758</v>
      </c>
      <c r="AR139" s="16" t="n">
        <v>506.474954430797</v>
      </c>
      <c r="AS139" s="16" t="n">
        <v>314.925245</v>
      </c>
      <c r="AT139" s="16" t="n">
        <v>1000</v>
      </c>
      <c r="AU139" s="16" t="n">
        <v>12.270507</v>
      </c>
      <c r="AV139" s="16" t="n">
        <v>0</v>
      </c>
      <c r="AW139" s="16" t="n">
        <v>2254.3125</v>
      </c>
      <c r="AX139" s="16" t="n">
        <v>314.925245</v>
      </c>
      <c r="AY139" s="16" t="n">
        <v>314.925245</v>
      </c>
      <c r="AZ139" s="16" t="n">
        <v>6007.97069933245</v>
      </c>
      <c r="BA139" s="16" t="n">
        <v>0</v>
      </c>
      <c r="BB139" s="16" t="n">
        <v>417.928966666667</v>
      </c>
      <c r="BC139" s="16" t="n">
        <v>111441.907179589</v>
      </c>
      <c r="BD139" s="16" t="n">
        <v>17.9467225470413</v>
      </c>
      <c r="BE139" s="16" t="n">
        <v>26.6040151689776</v>
      </c>
      <c r="BF139" s="16" t="n">
        <v>41.5934100127676</v>
      </c>
      <c r="BG139" s="16" t="n">
        <v>-7.36222513365331</v>
      </c>
      <c r="BH139" s="16" t="n">
        <v>-5.96608980620354</v>
      </c>
      <c r="BI139" s="16" t="n">
        <v>2.24787422120944</v>
      </c>
      <c r="BJ139" s="16" t="n">
        <v>3.60293258322591</v>
      </c>
      <c r="BK139" s="16" t="n">
        <v>6.53606807781388</v>
      </c>
      <c r="BL139" s="16" t="n">
        <v>9.62185691351051</v>
      </c>
      <c r="BM139" s="16" t="n">
        <v>3.71992671744367</v>
      </c>
      <c r="BN139" s="16" t="n">
        <v>4.46573109600205</v>
      </c>
      <c r="BO139" s="16" t="n">
        <v>5.7791095890411</v>
      </c>
      <c r="BP139" s="16" t="n">
        <v>8712.70308277889</v>
      </c>
      <c r="BQ139" s="16" t="n">
        <v>8176.87365522983</v>
      </c>
      <c r="BR139" s="16" t="n">
        <v>8176.87365522983</v>
      </c>
      <c r="BS139" s="16" t="n">
        <v>506.474954430797</v>
      </c>
      <c r="BT139" s="16" t="n">
        <v>301.7195</v>
      </c>
      <c r="BU139" s="16" t="n">
        <v>1081.9108</v>
      </c>
      <c r="BV139" s="16" t="s">
        <v>3237</v>
      </c>
      <c r="BW139" s="16" t="n">
        <v>42.7692307692308</v>
      </c>
      <c r="BX139" s="16" t="n">
        <v>0.155994305554286</v>
      </c>
      <c r="BY139" s="16" t="n">
        <v>0.161741466184191</v>
      </c>
      <c r="BZ139" s="16" t="n">
        <v>13510.8578038903</v>
      </c>
      <c r="CA139" s="16" t="n">
        <v>19402.010477409</v>
      </c>
      <c r="CB139" s="16" t="n">
        <v>278.503097417438</v>
      </c>
      <c r="CC139" s="16" t="n">
        <v>0</v>
      </c>
      <c r="CD139" s="16" t="n">
        <v>950.69728</v>
      </c>
      <c r="CE139" s="16" t="n">
        <v>12000</v>
      </c>
      <c r="CF139" s="16" t="n">
        <v>25.4451921366636</v>
      </c>
      <c r="CG139" s="16" t="n">
        <v>28.7530671144298</v>
      </c>
      <c r="CH139" s="16" t="n">
        <v>2643.77364301215</v>
      </c>
      <c r="CI139" s="16" t="n">
        <v>-5.32992712401661</v>
      </c>
      <c r="CJ139" s="16" t="n">
        <v>4.12095918653099</v>
      </c>
      <c r="CK139" s="16" t="n">
        <v>38739.6121648513</v>
      </c>
      <c r="CL139" s="16" t="n">
        <v>164.481464930797</v>
      </c>
      <c r="CM139" s="16" t="n">
        <v>189.849033180797</v>
      </c>
      <c r="CN139" s="16" t="n">
        <v>1000</v>
      </c>
      <c r="CO139" s="16" t="n">
        <v>1.5535546875</v>
      </c>
      <c r="CP139" s="16" t="n">
        <v>1.09004417261298</v>
      </c>
      <c r="CQ139" s="16" t="n">
        <v>11.9531244549167</v>
      </c>
      <c r="CR139" s="16" t="n">
        <v>93.8329354924027</v>
      </c>
      <c r="CS139" s="16" t="n">
        <v>36.4376793222351</v>
      </c>
      <c r="CT139" s="16" t="n">
        <v>10.5779862432891</v>
      </c>
      <c r="CU139" s="16" t="n">
        <v>11.9531244549167</v>
      </c>
      <c r="CV139" s="16" t="n">
        <v>3650.9503547895</v>
      </c>
      <c r="CW139" s="16" t="n">
        <v>754.342415029738</v>
      </c>
      <c r="CX139" s="16" t="n">
        <v>4405.29276981924</v>
      </c>
      <c r="CY139" s="16" t="n">
        <v>3650.9503547895</v>
      </c>
      <c r="CZ139" s="16" t="n">
        <v>986.052355625464</v>
      </c>
      <c r="DA139" s="16" t="n">
        <v>25.4451921366636</v>
      </c>
      <c r="DB139" s="16" t="n">
        <v>17152.3040326658</v>
      </c>
      <c r="DC139" s="16" t="n">
        <v>12727.009592238</v>
      </c>
      <c r="DD139" s="16" t="n">
        <v>11144.3333333333</v>
      </c>
      <c r="DE139" s="16" t="n">
        <v>1921.25</v>
      </c>
      <c r="DF139" s="16" t="n">
        <v>3965.8755997895</v>
      </c>
      <c r="DG139" s="16" t="n">
        <v>189.849033180797</v>
      </c>
      <c r="DH139" s="16" t="n">
        <v>0</v>
      </c>
      <c r="DI139" s="16" t="n">
        <v>36.4376853730435</v>
      </c>
    </row>
    <row r="140" customFormat="false" ht="15" hidden="false" customHeight="false" outlineLevel="0" collapsed="false">
      <c r="A140" s="0" t="s">
        <v>3358</v>
      </c>
      <c r="B140" s="16" t="n">
        <v>2465.07954157611</v>
      </c>
      <c r="C140" s="16" t="n">
        <v>8209.24039226006</v>
      </c>
      <c r="D140" s="16" t="n">
        <v>19716.7966317894</v>
      </c>
      <c r="E140" s="16" t="n">
        <v>4213.14398474076</v>
      </c>
      <c r="F140" s="16" t="n">
        <v>-1135.49021845689</v>
      </c>
      <c r="G140" s="16" t="n">
        <v>5020.26458750724</v>
      </c>
      <c r="H140" s="16" t="n">
        <v>-898.814009603721</v>
      </c>
      <c r="I140" s="17" t="n">
        <v>0.01</v>
      </c>
      <c r="J140" s="17" t="n">
        <v>3.97046602096122</v>
      </c>
      <c r="K140" s="16" t="s">
        <v>116</v>
      </c>
      <c r="L140" s="16" t="n">
        <v>1000</v>
      </c>
      <c r="M140" s="16" t="n">
        <v>33779.4469253452</v>
      </c>
      <c r="N140" s="16" t="n">
        <v>11402.7039831813</v>
      </c>
      <c r="O140" s="16" t="n">
        <v>1000</v>
      </c>
      <c r="P140" s="16" t="n">
        <v>951.290832135856</v>
      </c>
      <c r="Q140" s="16" t="n">
        <v>-267.565775756198</v>
      </c>
      <c r="R140" s="16" t="n">
        <v>17617.7170533315</v>
      </c>
      <c r="S140" s="16" t="n">
        <v>26949.0428826358</v>
      </c>
      <c r="T140" s="16" t="n">
        <v>-955.692204749296</v>
      </c>
      <c r="U140" s="16" t="n">
        <v>-621.096213862173</v>
      </c>
      <c r="V140" s="16" t="n">
        <v>0.750319556751226</v>
      </c>
      <c r="W140" s="16" t="n">
        <v>46166.2147180189</v>
      </c>
      <c r="X140" s="16" t="n">
        <v>22149.4762774452</v>
      </c>
      <c r="Y140" s="16" t="n">
        <v>3.7351002431262</v>
      </c>
      <c r="Z140" s="16" t="n">
        <v>5.06988806216538</v>
      </c>
      <c r="AA140" s="16" t="n">
        <v>27.424347870838</v>
      </c>
      <c r="AB140" s="16" t="n">
        <v>25.224347870838</v>
      </c>
      <c r="AC140" s="16" t="n">
        <v>26.674347870838</v>
      </c>
      <c r="AD140" s="16" t="n">
        <v>27.2673434792775</v>
      </c>
      <c r="AE140" s="16" t="n">
        <v>674.686407680941</v>
      </c>
      <c r="AF140" s="16" t="n">
        <v>0.03</v>
      </c>
      <c r="AG140" s="16" t="n">
        <v>0.654405917289144</v>
      </c>
      <c r="AH140" s="16" t="n">
        <v>9819.91719809611</v>
      </c>
      <c r="AI140" s="16" t="n">
        <v>19716.7966317894</v>
      </c>
      <c r="AJ140" s="16" t="n">
        <v>16.69175</v>
      </c>
      <c r="AK140" s="16" t="n">
        <v>0</v>
      </c>
      <c r="AL140" s="16" t="n">
        <v>1000</v>
      </c>
      <c r="AM140" s="16" t="n">
        <v>812.6073</v>
      </c>
      <c r="AN140" s="16" t="n">
        <v>20079.98904</v>
      </c>
      <c r="AO140" s="16" t="n">
        <v>-5508.72242389994</v>
      </c>
      <c r="AP140" s="16" t="n">
        <v>0.414483496940676</v>
      </c>
      <c r="AQ140" s="16" t="n">
        <v>78.645426879892</v>
      </c>
      <c r="AR140" s="16" t="n">
        <v>506.474954430797</v>
      </c>
      <c r="AS140" s="16" t="n">
        <v>314.925245</v>
      </c>
      <c r="AT140" s="16" t="n">
        <v>1000</v>
      </c>
      <c r="AU140" s="16" t="n">
        <v>12.270507</v>
      </c>
      <c r="AV140" s="16" t="n">
        <v>0</v>
      </c>
      <c r="AW140" s="16" t="n">
        <v>2254.3125</v>
      </c>
      <c r="AX140" s="16" t="n">
        <v>314.925245</v>
      </c>
      <c r="AY140" s="16" t="n">
        <v>314.925245</v>
      </c>
      <c r="AZ140" s="16" t="n">
        <v>5631.62619515181</v>
      </c>
      <c r="BA140" s="16" t="n">
        <v>0</v>
      </c>
      <c r="BB140" s="16" t="n">
        <v>417.928966666667</v>
      </c>
      <c r="BC140" s="16" t="n">
        <v>111441.907179589</v>
      </c>
      <c r="BD140" s="16" t="n">
        <v>16.751694488301</v>
      </c>
      <c r="BE140" s="16" t="n">
        <v>25.4089871102374</v>
      </c>
      <c r="BF140" s="16" t="n">
        <v>39.6368423190398</v>
      </c>
      <c r="BG140" s="16" t="n">
        <v>-8.27711430924607</v>
      </c>
      <c r="BH140" s="16" t="n">
        <v>-7.28866183200638</v>
      </c>
      <c r="BI140" s="16" t="n">
        <v>1.09242813813745</v>
      </c>
      <c r="BJ140" s="16" t="n">
        <v>2.04083187529388</v>
      </c>
      <c r="BK140" s="16" t="n">
        <v>5.25403316350504</v>
      </c>
      <c r="BL140" s="16" t="n">
        <v>7.88491984612206</v>
      </c>
      <c r="BM140" s="16" t="n">
        <v>3.71992671744367</v>
      </c>
      <c r="BN140" s="16" t="n">
        <v>4.46573109600205</v>
      </c>
      <c r="BO140" s="16" t="n">
        <v>5.7791095890411</v>
      </c>
      <c r="BP140" s="16" t="n">
        <v>8712.70308277889</v>
      </c>
      <c r="BQ140" s="16" t="n">
        <v>8176.87365522983</v>
      </c>
      <c r="BR140" s="16" t="n">
        <v>8176.87365522983</v>
      </c>
      <c r="BS140" s="16" t="n">
        <v>506.474954430797</v>
      </c>
      <c r="BT140" s="16" t="n">
        <v>301.7195</v>
      </c>
      <c r="BU140" s="16" t="n">
        <v>1081.9108</v>
      </c>
      <c r="BV140" s="16" t="s">
        <v>3237</v>
      </c>
      <c r="BW140" s="16" t="n">
        <v>42.7692307692308</v>
      </c>
      <c r="BX140" s="16" t="n">
        <v>0.155994305554286</v>
      </c>
      <c r="BY140" s="16" t="n">
        <v>0.161741466184191</v>
      </c>
      <c r="BZ140" s="16" t="n">
        <v>13510.8578038903</v>
      </c>
      <c r="CA140" s="16" t="n">
        <v>19402.010477409</v>
      </c>
      <c r="CB140" s="16" t="n">
        <v>278.503097417438</v>
      </c>
      <c r="CC140" s="16" t="n">
        <v>0</v>
      </c>
      <c r="CD140" s="16" t="n">
        <v>950.69728</v>
      </c>
      <c r="CE140" s="16" t="n">
        <v>12000</v>
      </c>
      <c r="CF140" s="16" t="n">
        <v>24.2501640779233</v>
      </c>
      <c r="CG140" s="16" t="n">
        <v>27.4026854080534</v>
      </c>
      <c r="CH140" s="16" t="n">
        <v>2643.77364301215</v>
      </c>
      <c r="CI140" s="16" t="n">
        <v>-6.2083733271085</v>
      </c>
      <c r="CJ140" s="16" t="n">
        <v>3.00594144553374</v>
      </c>
      <c r="CK140" s="16" t="n">
        <v>38739.6121648513</v>
      </c>
      <c r="CL140" s="16" t="n">
        <v>164.481464930797</v>
      </c>
      <c r="CM140" s="16" t="n">
        <v>189.849033180797</v>
      </c>
      <c r="CN140" s="16" t="n">
        <v>1000</v>
      </c>
      <c r="CO140" s="16" t="n">
        <v>1.5535546875</v>
      </c>
      <c r="CP140" s="16" t="n">
        <v>1.09004417261298</v>
      </c>
      <c r="CQ140" s="16" t="n">
        <v>3.97046602096122</v>
      </c>
      <c r="CR140" s="16" t="n">
        <v>88.869332374278</v>
      </c>
      <c r="CS140" s="16" t="n">
        <v>30.251102221468</v>
      </c>
      <c r="CT140" s="16" t="n">
        <v>3.51368674421347</v>
      </c>
      <c r="CU140" s="16" t="n">
        <v>3.97046602096122</v>
      </c>
      <c r="CV140" s="16" t="n">
        <v>10991.2196047346</v>
      </c>
      <c r="CW140" s="16" t="n">
        <v>2270.95477479745</v>
      </c>
      <c r="CX140" s="16" t="n">
        <v>13262.174379532</v>
      </c>
      <c r="CY140" s="16" t="n">
        <v>10991.2196047346</v>
      </c>
      <c r="CZ140" s="16" t="n">
        <v>1169.00957579736</v>
      </c>
      <c r="DA140" s="16" t="n">
        <v>24.2501640779233</v>
      </c>
      <c r="DB140" s="16" t="n">
        <v>16775.9595284851</v>
      </c>
      <c r="DC140" s="16" t="n">
        <v>12447.761970136</v>
      </c>
      <c r="DD140" s="16" t="n">
        <v>11144.3333333333</v>
      </c>
      <c r="DE140" s="16" t="n">
        <v>1921.25</v>
      </c>
      <c r="DF140" s="16" t="n">
        <v>11306.1448497346</v>
      </c>
      <c r="DG140" s="16" t="n">
        <v>189.849033180797</v>
      </c>
      <c r="DH140" s="16" t="n">
        <v>0</v>
      </c>
      <c r="DI140" s="16" t="n">
        <v>30.2511309413356</v>
      </c>
    </row>
    <row r="141" customFormat="false" ht="15" hidden="false" customHeight="false" outlineLevel="0" collapsed="false">
      <c r="A141" s="0" t="s">
        <v>3359</v>
      </c>
      <c r="B141" s="16" t="n">
        <v>2465.07954157611</v>
      </c>
      <c r="C141" s="16" t="n">
        <v>8660.67116222822</v>
      </c>
      <c r="D141" s="16" t="n">
        <v>20727.1633713073</v>
      </c>
      <c r="E141" s="16" t="n">
        <v>4533.65983141815</v>
      </c>
      <c r="F141" s="16" t="n">
        <v>-833.411738395574</v>
      </c>
      <c r="G141" s="16" t="n">
        <v>5020.64472332459</v>
      </c>
      <c r="H141" s="16" t="n">
        <v>17617.3356867613</v>
      </c>
      <c r="I141" s="17" t="n">
        <v>56.7874650129042</v>
      </c>
      <c r="J141" s="17" t="n">
        <v>69.681833468595</v>
      </c>
      <c r="K141" s="16" t="s">
        <v>116</v>
      </c>
      <c r="L141" s="16" t="n">
        <v>1000</v>
      </c>
      <c r="M141" s="16" t="n">
        <v>33788.4755407446</v>
      </c>
      <c r="N141" s="16" t="n">
        <v>12170.5827052149</v>
      </c>
      <c r="O141" s="16" t="n">
        <v>1000</v>
      </c>
      <c r="P141" s="16" t="n">
        <v>951.290832135856</v>
      </c>
      <c r="Q141" s="16" t="n">
        <v>456.59543005765</v>
      </c>
      <c r="R141" s="16" t="n">
        <v>17617.7170533315</v>
      </c>
      <c r="S141" s="16" t="n">
        <v>26969.2502174261</v>
      </c>
      <c r="T141" s="16" t="n">
        <v>-955.692204749296</v>
      </c>
      <c r="U141" s="16" t="n">
        <v>18076.9605182081</v>
      </c>
      <c r="V141" s="16" t="n">
        <v>0.750319556751226</v>
      </c>
      <c r="W141" s="16" t="n">
        <v>64097.9148236299</v>
      </c>
      <c r="X141" s="16" t="n">
        <v>22163.1975323397</v>
      </c>
      <c r="Y141" s="16" t="n">
        <v>65.5511548911379</v>
      </c>
      <c r="Z141" s="16" t="n">
        <v>88.9767331560489</v>
      </c>
      <c r="AA141" s="16" t="n">
        <v>27.424347870838</v>
      </c>
      <c r="AB141" s="16" t="n">
        <v>25.224347870838</v>
      </c>
      <c r="AC141" s="16" t="n">
        <v>26.674347870838</v>
      </c>
      <c r="AD141" s="16" t="n">
        <v>27.2673434792775</v>
      </c>
      <c r="AE141" s="16" t="n">
        <v>674.686407680941</v>
      </c>
      <c r="AF141" s="16" t="n">
        <v>0.03</v>
      </c>
      <c r="AG141" s="16" t="n">
        <v>0.658217046830445</v>
      </c>
      <c r="AH141" s="16" t="n">
        <v>9819.91719809611</v>
      </c>
      <c r="AI141" s="16" t="n">
        <v>20727.1633713073</v>
      </c>
      <c r="AJ141" s="16" t="n">
        <v>19.7391827628362</v>
      </c>
      <c r="AK141" s="16" t="n">
        <v>0</v>
      </c>
      <c r="AL141" s="16" t="n">
        <v>1000</v>
      </c>
      <c r="AM141" s="16" t="n">
        <v>812.6073</v>
      </c>
      <c r="AN141" s="16" t="n">
        <v>20079.98904</v>
      </c>
      <c r="AO141" s="16" t="n">
        <v>-6069.8249718136</v>
      </c>
      <c r="AP141" s="16" t="n">
        <v>0.358496107957722</v>
      </c>
      <c r="AQ141" s="16" t="n">
        <v>113.187049967564</v>
      </c>
      <c r="AR141" s="16" t="n">
        <v>500.936875709055</v>
      </c>
      <c r="AS141" s="16" t="n">
        <v>318.3265975</v>
      </c>
      <c r="AT141" s="16" t="n">
        <v>1000</v>
      </c>
      <c r="AU141" s="16" t="n">
        <v>12.270507</v>
      </c>
      <c r="AV141" s="16" t="n">
        <v>0</v>
      </c>
      <c r="AW141" s="16" t="n">
        <v>2254.3125</v>
      </c>
      <c r="AX141" s="16" t="n">
        <v>318.3265975</v>
      </c>
      <c r="AY141" s="16" t="n">
        <v>315.123301919472</v>
      </c>
      <c r="AZ141" s="16" t="n">
        <v>6582.06579641682</v>
      </c>
      <c r="BA141" s="16" t="n">
        <v>0</v>
      </c>
      <c r="BB141" s="16" t="n">
        <v>417.928966666667</v>
      </c>
      <c r="BC141" s="16" t="n">
        <v>111513.618227291</v>
      </c>
      <c r="BD141" s="16" t="n">
        <v>19.7696792842326</v>
      </c>
      <c r="BE141" s="16" t="n">
        <v>28.4269719061689</v>
      </c>
      <c r="BF141" s="16" t="n">
        <v>44.4325768429863</v>
      </c>
      <c r="BG141" s="16" t="n">
        <v>-6.40720576730569</v>
      </c>
      <c r="BH141" s="16" t="n">
        <v>-4.58304933887342</v>
      </c>
      <c r="BI141" s="16" t="n">
        <v>3.45352694344252</v>
      </c>
      <c r="BJ141" s="16" t="n">
        <v>5.23553511078511</v>
      </c>
      <c r="BK141" s="16" t="n">
        <v>7.87424060251126</v>
      </c>
      <c r="BL141" s="16" t="n">
        <v>11.4374085386455</v>
      </c>
      <c r="BM141" s="16" t="n">
        <v>3.71992671744367</v>
      </c>
      <c r="BN141" s="16" t="n">
        <v>4.46573109600205</v>
      </c>
      <c r="BO141" s="16" t="n">
        <v>5.7791095890411</v>
      </c>
      <c r="BP141" s="16" t="n">
        <v>8712.70308277889</v>
      </c>
      <c r="BQ141" s="16" t="n">
        <v>8628.30442519799</v>
      </c>
      <c r="BR141" s="16" t="n">
        <v>8628.30442519799</v>
      </c>
      <c r="BS141" s="16" t="n">
        <v>500.936875709055</v>
      </c>
      <c r="BT141" s="16" t="n">
        <v>301.7195</v>
      </c>
      <c r="BU141" s="16" t="n">
        <v>1081.9108</v>
      </c>
      <c r="BV141" s="16" t="s">
        <v>3238</v>
      </c>
      <c r="BW141" s="16" t="n">
        <v>42.7692307692308</v>
      </c>
      <c r="BX141" s="16" t="n">
        <v>0.155994305554286</v>
      </c>
      <c r="BY141" s="16" t="n">
        <v>0.161741466184191</v>
      </c>
      <c r="BZ141" s="16" t="n">
        <v>13328.9507681851</v>
      </c>
      <c r="CA141" s="16" t="n">
        <v>19402.010477409</v>
      </c>
      <c r="CB141" s="16" t="n">
        <v>265.944747185826</v>
      </c>
      <c r="CC141" s="16" t="n">
        <v>0</v>
      </c>
      <c r="CD141" s="16" t="n">
        <v>950.69728</v>
      </c>
      <c r="CE141" s="16" t="n">
        <v>12000</v>
      </c>
      <c r="CF141" s="16" t="n">
        <v>26.6659332049014</v>
      </c>
      <c r="CG141" s="16" t="n">
        <v>30.1325045215385</v>
      </c>
      <c r="CH141" s="16" t="n">
        <v>2643.77364301215</v>
      </c>
      <c r="CI141" s="16" t="n">
        <v>-4.41302081982942</v>
      </c>
      <c r="CJ141" s="16" t="n">
        <v>5.28434653785802</v>
      </c>
      <c r="CK141" s="16" t="n">
        <v>37091.0906547785</v>
      </c>
      <c r="CL141" s="16" t="n">
        <v>157.4821374261</v>
      </c>
      <c r="CM141" s="16" t="n">
        <v>182.8497056761</v>
      </c>
      <c r="CN141" s="16" t="n">
        <v>1000</v>
      </c>
      <c r="CO141" s="16" t="n">
        <v>1.5535546875</v>
      </c>
      <c r="CP141" s="16" t="n">
        <v>1.09004417261298</v>
      </c>
      <c r="CQ141" s="16" t="n">
        <v>69.681833468595</v>
      </c>
      <c r="CR141" s="16" t="n">
        <v>127.901366463347</v>
      </c>
      <c r="CS141" s="16" t="n">
        <v>83.1461803164679</v>
      </c>
      <c r="CT141" s="16" t="n">
        <v>61.6653393527389</v>
      </c>
      <c r="CU141" s="16" t="n">
        <v>69.681833468595</v>
      </c>
      <c r="CV141" s="16" t="n">
        <v>602.846310259867</v>
      </c>
      <c r="CW141" s="16" t="n">
        <v>129.398845002215</v>
      </c>
      <c r="CX141" s="16" t="n">
        <v>732.245155262082</v>
      </c>
      <c r="CY141" s="16" t="n">
        <v>602.846310259867</v>
      </c>
      <c r="CZ141" s="16" t="n">
        <v>453.950798825476</v>
      </c>
      <c r="DA141" s="16" t="n">
        <v>26.6659332049014</v>
      </c>
      <c r="DB141" s="16" t="n">
        <v>17726.3991297502</v>
      </c>
      <c r="DC141" s="16" t="n">
        <v>13152.9881542746</v>
      </c>
      <c r="DD141" s="16" t="n">
        <v>11144.3333333333</v>
      </c>
      <c r="DE141" s="16" t="n">
        <v>1818.4375</v>
      </c>
      <c r="DF141" s="16" t="n">
        <v>919.472231509867</v>
      </c>
      <c r="DG141" s="16" t="n">
        <v>182.8497056761</v>
      </c>
      <c r="DH141" s="16" t="n">
        <v>0</v>
      </c>
      <c r="DI141" s="16" t="n">
        <v>83.1461803167024</v>
      </c>
    </row>
    <row r="142" customFormat="false" ht="15" hidden="false" customHeight="false" outlineLevel="0" collapsed="false">
      <c r="A142" s="0" t="s">
        <v>3360</v>
      </c>
      <c r="B142" s="16" t="n">
        <v>2465.07954157611</v>
      </c>
      <c r="C142" s="16" t="n">
        <v>8660.67116222822</v>
      </c>
      <c r="D142" s="16" t="n">
        <v>20727.1633713073</v>
      </c>
      <c r="E142" s="16" t="n">
        <v>4533.65983141815</v>
      </c>
      <c r="F142" s="16" t="n">
        <v>-833.411738395574</v>
      </c>
      <c r="G142" s="16" t="n">
        <v>5020.64472332459</v>
      </c>
      <c r="H142" s="16" t="n">
        <v>6920.84257213231</v>
      </c>
      <c r="I142" s="17" t="n">
        <v>22.857997198268</v>
      </c>
      <c r="J142" s="17" t="n">
        <v>31.3480874658608</v>
      </c>
      <c r="K142" s="16" t="s">
        <v>116</v>
      </c>
      <c r="L142" s="16" t="n">
        <v>1000</v>
      </c>
      <c r="M142" s="16" t="n">
        <v>33788.4755407446</v>
      </c>
      <c r="N142" s="16" t="n">
        <v>12170.5827052149</v>
      </c>
      <c r="O142" s="16" t="n">
        <v>1000</v>
      </c>
      <c r="P142" s="16" t="n">
        <v>951.290832135856</v>
      </c>
      <c r="Q142" s="16" t="n">
        <v>456.59543005765</v>
      </c>
      <c r="R142" s="16" t="n">
        <v>17617.7170533315</v>
      </c>
      <c r="S142" s="16" t="n">
        <v>26969.2502174261</v>
      </c>
      <c r="T142" s="16" t="n">
        <v>-955.692204749296</v>
      </c>
      <c r="U142" s="16" t="n">
        <v>7198.56036787386</v>
      </c>
      <c r="V142" s="16" t="n">
        <v>0.750319556751226</v>
      </c>
      <c r="W142" s="16" t="n">
        <v>52853.8692766489</v>
      </c>
      <c r="X142" s="16" t="n">
        <v>22163.1975323397</v>
      </c>
      <c r="Y142" s="16" t="n">
        <v>29.4898000630495</v>
      </c>
      <c r="Z142" s="16" t="n">
        <v>40.0283728851576</v>
      </c>
      <c r="AA142" s="16" t="n">
        <v>27.424347870838</v>
      </c>
      <c r="AB142" s="16" t="n">
        <v>25.224347870838</v>
      </c>
      <c r="AC142" s="16" t="n">
        <v>26.674347870838</v>
      </c>
      <c r="AD142" s="16" t="n">
        <v>27.2673434792775</v>
      </c>
      <c r="AE142" s="16" t="n">
        <v>674.686407680941</v>
      </c>
      <c r="AF142" s="16" t="n">
        <v>0.03</v>
      </c>
      <c r="AG142" s="16" t="n">
        <v>0.658217046830445</v>
      </c>
      <c r="AH142" s="16" t="n">
        <v>9819.91719809611</v>
      </c>
      <c r="AI142" s="16" t="n">
        <v>20727.1633713073</v>
      </c>
      <c r="AJ142" s="16" t="n">
        <v>19.7391827628362</v>
      </c>
      <c r="AK142" s="16" t="n">
        <v>0</v>
      </c>
      <c r="AL142" s="16" t="n">
        <v>1000</v>
      </c>
      <c r="AM142" s="16" t="n">
        <v>812.6073</v>
      </c>
      <c r="AN142" s="16" t="n">
        <v>20079.98904</v>
      </c>
      <c r="AO142" s="16" t="n">
        <v>-5781.1190158175</v>
      </c>
      <c r="AP142" s="16" t="n">
        <v>0.358496107957722</v>
      </c>
      <c r="AQ142" s="16" t="n">
        <v>92.0567650306674</v>
      </c>
      <c r="AR142" s="16" t="n">
        <v>499.725077798701</v>
      </c>
      <c r="AS142" s="16" t="n">
        <v>314.925245</v>
      </c>
      <c r="AT142" s="16" t="n">
        <v>1000</v>
      </c>
      <c r="AU142" s="16" t="n">
        <v>12.270507</v>
      </c>
      <c r="AV142" s="16" t="n">
        <v>0</v>
      </c>
      <c r="AW142" s="16" t="n">
        <v>2254.3125</v>
      </c>
      <c r="AX142" s="16" t="n">
        <v>314.925245</v>
      </c>
      <c r="AY142" s="16" t="n">
        <v>314.925245</v>
      </c>
      <c r="AZ142" s="16" t="n">
        <v>6187.36177260897</v>
      </c>
      <c r="BA142" s="16" t="n">
        <v>0</v>
      </c>
      <c r="BB142" s="16" t="n">
        <v>417.928966666667</v>
      </c>
      <c r="BC142" s="16" t="n">
        <v>111513.618227291</v>
      </c>
      <c r="BD142" s="16" t="n">
        <v>18.5163532010605</v>
      </c>
      <c r="BE142" s="16" t="n">
        <v>27.1736458229969</v>
      </c>
      <c r="BF142" s="16" t="n">
        <v>42.1630406667869</v>
      </c>
      <c r="BG142" s="16" t="n">
        <v>-7.36222513365331</v>
      </c>
      <c r="BH142" s="16" t="n">
        <v>-5.96608980620354</v>
      </c>
      <c r="BI142" s="16" t="n">
        <v>2.24787422120944</v>
      </c>
      <c r="BJ142" s="16" t="n">
        <v>3.60293258322591</v>
      </c>
      <c r="BK142" s="16" t="n">
        <v>6.53606807781388</v>
      </c>
      <c r="BL142" s="16" t="n">
        <v>9.62185691351051</v>
      </c>
      <c r="BM142" s="16" t="n">
        <v>3.71992671744367</v>
      </c>
      <c r="BN142" s="16" t="n">
        <v>4.46573109600205</v>
      </c>
      <c r="BO142" s="16" t="n">
        <v>5.7791095890411</v>
      </c>
      <c r="BP142" s="16" t="n">
        <v>8712.70308277889</v>
      </c>
      <c r="BQ142" s="16" t="n">
        <v>8628.30442519799</v>
      </c>
      <c r="BR142" s="16" t="n">
        <v>8628.30442519799</v>
      </c>
      <c r="BS142" s="16" t="n">
        <v>499.725077798701</v>
      </c>
      <c r="BT142" s="16" t="n">
        <v>301.7195</v>
      </c>
      <c r="BU142" s="16" t="n">
        <v>1081.9108</v>
      </c>
      <c r="BV142" s="16" t="s">
        <v>3238</v>
      </c>
      <c r="BW142" s="16" t="n">
        <v>42.7692307692308</v>
      </c>
      <c r="BX142" s="16" t="n">
        <v>0.155994305554286</v>
      </c>
      <c r="BY142" s="16" t="n">
        <v>0.161741466184191</v>
      </c>
      <c r="BZ142" s="16" t="n">
        <v>13510.8578038903</v>
      </c>
      <c r="CA142" s="16" t="n">
        <v>19402.010477409</v>
      </c>
      <c r="CB142" s="16" t="n">
        <v>268.134301775472</v>
      </c>
      <c r="CC142" s="16" t="n">
        <v>0</v>
      </c>
      <c r="CD142" s="16" t="n">
        <v>950.69728</v>
      </c>
      <c r="CE142" s="16" t="n">
        <v>12000</v>
      </c>
      <c r="CF142" s="16" t="n">
        <v>25.4126071217293</v>
      </c>
      <c r="CG142" s="16" t="n">
        <v>28.7162460475541</v>
      </c>
      <c r="CH142" s="16" t="n">
        <v>2643.77364301215</v>
      </c>
      <c r="CI142" s="16" t="n">
        <v>-5.32992712401661</v>
      </c>
      <c r="CJ142" s="16" t="n">
        <v>4.12095918653099</v>
      </c>
      <c r="CK142" s="16" t="n">
        <v>37091.0906547785</v>
      </c>
      <c r="CL142" s="16" t="n">
        <v>157.4821374261</v>
      </c>
      <c r="CM142" s="16" t="n">
        <v>182.8497056761</v>
      </c>
      <c r="CN142" s="16" t="n">
        <v>1000</v>
      </c>
      <c r="CO142" s="16" t="n">
        <v>1.5535546875</v>
      </c>
      <c r="CP142" s="16" t="n">
        <v>1.09004417261298</v>
      </c>
      <c r="CQ142" s="16" t="n">
        <v>31.3480874658608</v>
      </c>
      <c r="CR142" s="16" t="n">
        <v>104.024144484654</v>
      </c>
      <c r="CS142" s="16" t="n">
        <v>51.1153382399904</v>
      </c>
      <c r="CT142" s="16" t="n">
        <v>27.7416703237706</v>
      </c>
      <c r="CU142" s="16" t="n">
        <v>31.3480874658608</v>
      </c>
      <c r="CV142" s="16" t="n">
        <v>1339.53123951115</v>
      </c>
      <c r="CW142" s="16" t="n">
        <v>287.633138011768</v>
      </c>
      <c r="CX142" s="16" t="n">
        <v>1627.16437752292</v>
      </c>
      <c r="CY142" s="16" t="n">
        <v>1339.53123951115</v>
      </c>
      <c r="CZ142" s="16" t="n">
        <v>699.722185119907</v>
      </c>
      <c r="DA142" s="16" t="n">
        <v>25.4126071217293</v>
      </c>
      <c r="DB142" s="16" t="n">
        <v>17331.6951059423</v>
      </c>
      <c r="DC142" s="16" t="n">
        <v>12860.1177686092</v>
      </c>
      <c r="DD142" s="16" t="n">
        <v>11144.3333333333</v>
      </c>
      <c r="DE142" s="16" t="n">
        <v>1921.25</v>
      </c>
      <c r="DF142" s="16" t="n">
        <v>1654.45648451115</v>
      </c>
      <c r="DG142" s="16" t="n">
        <v>182.8497056761</v>
      </c>
      <c r="DH142" s="16" t="n">
        <v>0</v>
      </c>
      <c r="DI142" s="16" t="n">
        <v>51.1153383907031</v>
      </c>
    </row>
    <row r="143" customFormat="false" ht="15" hidden="false" customHeight="false" outlineLevel="0" collapsed="false">
      <c r="A143" s="0" t="s">
        <v>3361</v>
      </c>
      <c r="B143" s="16" t="n">
        <v>2465.07954157611</v>
      </c>
      <c r="C143" s="16" t="n">
        <v>8660.67116222822</v>
      </c>
      <c r="D143" s="16" t="n">
        <v>20727.1633713073</v>
      </c>
      <c r="E143" s="16" t="n">
        <v>4533.65983141815</v>
      </c>
      <c r="F143" s="16" t="n">
        <v>-833.411738395574</v>
      </c>
      <c r="G143" s="16" t="n">
        <v>5020.64472332459</v>
      </c>
      <c r="H143" s="16" t="n">
        <v>1732.32509534632</v>
      </c>
      <c r="I143" s="17" t="n">
        <v>6.38260324632871</v>
      </c>
      <c r="J143" s="17" t="n">
        <v>12.7308923001694</v>
      </c>
      <c r="K143" s="16" t="s">
        <v>116</v>
      </c>
      <c r="L143" s="16" t="n">
        <v>1000</v>
      </c>
      <c r="M143" s="16" t="n">
        <v>33788.4755407446</v>
      </c>
      <c r="N143" s="16" t="n">
        <v>12170.5827052149</v>
      </c>
      <c r="O143" s="16" t="n">
        <v>1000</v>
      </c>
      <c r="P143" s="16" t="n">
        <v>951.290832135856</v>
      </c>
      <c r="Q143" s="16" t="n">
        <v>456.59543005765</v>
      </c>
      <c r="R143" s="16" t="n">
        <v>17617.7170533315</v>
      </c>
      <c r="S143" s="16" t="n">
        <v>26969.2502174261</v>
      </c>
      <c r="T143" s="16" t="n">
        <v>-955.692204749296</v>
      </c>
      <c r="U143" s="16" t="n">
        <v>2010.04289108787</v>
      </c>
      <c r="V143" s="16" t="n">
        <v>0.750319556751226</v>
      </c>
      <c r="W143" s="16" t="n">
        <v>47133.9289295179</v>
      </c>
      <c r="X143" s="16" t="n">
        <v>22163.1975323397</v>
      </c>
      <c r="Y143" s="16" t="n">
        <v>11.9762160599134</v>
      </c>
      <c r="Z143" s="16" t="n">
        <v>16.2560763780863</v>
      </c>
      <c r="AA143" s="16" t="n">
        <v>27.424347870838</v>
      </c>
      <c r="AB143" s="16" t="n">
        <v>25.224347870838</v>
      </c>
      <c r="AC143" s="16" t="n">
        <v>26.674347870838</v>
      </c>
      <c r="AD143" s="16" t="n">
        <v>27.2673434792775</v>
      </c>
      <c r="AE143" s="16" t="n">
        <v>674.686407680941</v>
      </c>
      <c r="AF143" s="16" t="n">
        <v>0.03</v>
      </c>
      <c r="AG143" s="16" t="n">
        <v>0.658217046830445</v>
      </c>
      <c r="AH143" s="16" t="n">
        <v>9819.91719809611</v>
      </c>
      <c r="AI143" s="16" t="n">
        <v>20727.1633713073</v>
      </c>
      <c r="AJ143" s="16" t="n">
        <v>19.7391827628362</v>
      </c>
      <c r="AK143" s="16" t="n">
        <v>0</v>
      </c>
      <c r="AL143" s="16" t="n">
        <v>1000</v>
      </c>
      <c r="AM143" s="16" t="n">
        <v>812.6073</v>
      </c>
      <c r="AN143" s="16" t="n">
        <v>20079.98904</v>
      </c>
      <c r="AO143" s="16" t="n">
        <v>-5508.72242389994</v>
      </c>
      <c r="AP143" s="16" t="n">
        <v>0.358496107957722</v>
      </c>
      <c r="AQ143" s="16" t="n">
        <v>81.7148112736635</v>
      </c>
      <c r="AR143" s="16" t="n">
        <v>499.4756269261</v>
      </c>
      <c r="AS143" s="16" t="n">
        <v>314.925245</v>
      </c>
      <c r="AT143" s="16" t="n">
        <v>1000</v>
      </c>
      <c r="AU143" s="16" t="n">
        <v>12.270507</v>
      </c>
      <c r="AV143" s="16" t="n">
        <v>0</v>
      </c>
      <c r="AW143" s="16" t="n">
        <v>2254.3125</v>
      </c>
      <c r="AX143" s="16" t="n">
        <v>314.925245</v>
      </c>
      <c r="AY143" s="16" t="n">
        <v>314.925245</v>
      </c>
      <c r="AZ143" s="16" t="n">
        <v>5807.5893766769</v>
      </c>
      <c r="BA143" s="16" t="n">
        <v>0</v>
      </c>
      <c r="BB143" s="16" t="n">
        <v>417.928966666667</v>
      </c>
      <c r="BC143" s="16" t="n">
        <v>111513.618227291</v>
      </c>
      <c r="BD143" s="16" t="n">
        <v>17.3104403631359</v>
      </c>
      <c r="BE143" s="16" t="n">
        <v>25.9677329850722</v>
      </c>
      <c r="BF143" s="16" t="n">
        <v>40.1955881938747</v>
      </c>
      <c r="BG143" s="16" t="n">
        <v>-8.27711430924607</v>
      </c>
      <c r="BH143" s="16" t="n">
        <v>-7.28866183200638</v>
      </c>
      <c r="BI143" s="16" t="n">
        <v>1.09242813813745</v>
      </c>
      <c r="BJ143" s="16" t="n">
        <v>2.04083187529388</v>
      </c>
      <c r="BK143" s="16" t="n">
        <v>5.25403316350504</v>
      </c>
      <c r="BL143" s="16" t="n">
        <v>7.88491984612206</v>
      </c>
      <c r="BM143" s="16" t="n">
        <v>3.71992671744367</v>
      </c>
      <c r="BN143" s="16" t="n">
        <v>4.46573109600205</v>
      </c>
      <c r="BO143" s="16" t="n">
        <v>5.7791095890411</v>
      </c>
      <c r="BP143" s="16" t="n">
        <v>8712.70308277889</v>
      </c>
      <c r="BQ143" s="16" t="n">
        <v>8628.30442519799</v>
      </c>
      <c r="BR143" s="16" t="n">
        <v>8628.30442519799</v>
      </c>
      <c r="BS143" s="16" t="n">
        <v>499.4756269261</v>
      </c>
      <c r="BT143" s="16" t="n">
        <v>301.7195</v>
      </c>
      <c r="BU143" s="16" t="n">
        <v>1081.9108</v>
      </c>
      <c r="BV143" s="16" t="s">
        <v>3237</v>
      </c>
      <c r="BW143" s="16" t="n">
        <v>42.7692307692308</v>
      </c>
      <c r="BX143" s="16" t="n">
        <v>0.155994305554286</v>
      </c>
      <c r="BY143" s="16" t="n">
        <v>0.161741466184191</v>
      </c>
      <c r="BZ143" s="16" t="n">
        <v>13510.8578038903</v>
      </c>
      <c r="CA143" s="16" t="n">
        <v>19402.010477409</v>
      </c>
      <c r="CB143" s="16" t="n">
        <v>267.884850902871</v>
      </c>
      <c r="CC143" s="16" t="n">
        <v>0</v>
      </c>
      <c r="CD143" s="16" t="n">
        <v>950.69728</v>
      </c>
      <c r="CE143" s="16" t="n">
        <v>12000</v>
      </c>
      <c r="CF143" s="16" t="n">
        <v>24.2066942838047</v>
      </c>
      <c r="CG143" s="16" t="n">
        <v>27.3535645406993</v>
      </c>
      <c r="CH143" s="16" t="n">
        <v>2643.77364301215</v>
      </c>
      <c r="CI143" s="16" t="n">
        <v>-6.2083733271085</v>
      </c>
      <c r="CJ143" s="16" t="n">
        <v>3.00594144553374</v>
      </c>
      <c r="CK143" s="16" t="n">
        <v>37091.0906547785</v>
      </c>
      <c r="CL143" s="16" t="n">
        <v>157.4821374261</v>
      </c>
      <c r="CM143" s="16" t="n">
        <v>182.8497056761</v>
      </c>
      <c r="CN143" s="16" t="n">
        <v>1000</v>
      </c>
      <c r="CO143" s="16" t="n">
        <v>1.5535546875</v>
      </c>
      <c r="CP143" s="16" t="n">
        <v>1.09004417261298</v>
      </c>
      <c r="CQ143" s="16" t="n">
        <v>12.7308923001694</v>
      </c>
      <c r="CR143" s="16" t="n">
        <v>92.3377367392397</v>
      </c>
      <c r="CS143" s="16" t="n">
        <v>36.1278890867122</v>
      </c>
      <c r="CT143" s="16" t="n">
        <v>11.2662763718313</v>
      </c>
      <c r="CU143" s="16" t="n">
        <v>12.7308923001694</v>
      </c>
      <c r="CV143" s="16" t="n">
        <v>3298.41314099325</v>
      </c>
      <c r="CW143" s="16" t="n">
        <v>708.257406933914</v>
      </c>
      <c r="CX143" s="16" t="n">
        <v>4006.67054792716</v>
      </c>
      <c r="CY143" s="16" t="n">
        <v>3298.41314099325</v>
      </c>
      <c r="CZ143" s="16" t="n">
        <v>958.357612067537</v>
      </c>
      <c r="DA143" s="16" t="n">
        <v>24.2066942838047</v>
      </c>
      <c r="DB143" s="16" t="n">
        <v>16951.9227100102</v>
      </c>
      <c r="DC143" s="16" t="n">
        <v>12578.3266508276</v>
      </c>
      <c r="DD143" s="16" t="n">
        <v>11144.3333333333</v>
      </c>
      <c r="DE143" s="16" t="n">
        <v>1921.25</v>
      </c>
      <c r="DF143" s="16" t="n">
        <v>3613.33838599325</v>
      </c>
      <c r="DG143" s="16" t="n">
        <v>182.8497056761</v>
      </c>
      <c r="DH143" s="16" t="n">
        <v>0</v>
      </c>
      <c r="DI143" s="16" t="n">
        <v>36.1278941933852</v>
      </c>
    </row>
    <row r="144" customFormat="false" ht="15" hidden="false" customHeight="false" outlineLevel="0" collapsed="false">
      <c r="A144" s="0" t="s">
        <v>3362</v>
      </c>
      <c r="B144" s="16" t="n">
        <v>2822.95391308961</v>
      </c>
      <c r="C144" s="16" t="n">
        <v>13514.6499380133</v>
      </c>
      <c r="D144" s="16" t="n">
        <v>28701.9254919039</v>
      </c>
      <c r="E144" s="16" t="n">
        <v>7841.10089763175</v>
      </c>
      <c r="F144" s="16" t="n">
        <v>2018.4216296884</v>
      </c>
      <c r="G144" s="16" t="n">
        <v>5282.09327042282</v>
      </c>
      <c r="H144" s="16" t="n">
        <v>160931.723278668</v>
      </c>
      <c r="I144" s="17" t="n">
        <v>445.978178127498</v>
      </c>
      <c r="J144" s="17" t="n">
        <v>502.879845103152</v>
      </c>
      <c r="K144" s="16" t="s">
        <v>116</v>
      </c>
      <c r="L144" s="16" t="n">
        <v>1000</v>
      </c>
      <c r="M144" s="16" t="n">
        <v>37641.1606487603</v>
      </c>
      <c r="N144" s="16" t="n">
        <v>18116.2303461208</v>
      </c>
      <c r="O144" s="16" t="n">
        <v>1000</v>
      </c>
      <c r="P144" s="16" t="n">
        <v>1212.1769462832</v>
      </c>
      <c r="Q144" s="16" t="n">
        <v>6323.58224228652</v>
      </c>
      <c r="R144" s="16" t="n">
        <v>23963.3261282618</v>
      </c>
      <c r="S144" s="16" t="n">
        <v>22480.1453098381</v>
      </c>
      <c r="T144" s="16" t="n">
        <v>-533.47336857847</v>
      </c>
      <c r="U144" s="16" t="n">
        <v>173235.121567215</v>
      </c>
      <c r="V144" s="16" t="n">
        <v>0.750319556751226</v>
      </c>
      <c r="W144" s="16" t="n">
        <v>191090.070755513</v>
      </c>
      <c r="X144" s="16" t="n">
        <v>23092.6812313472</v>
      </c>
      <c r="Y144" s="16" t="n">
        <v>475.176789103437</v>
      </c>
      <c r="Z144" s="16" t="n">
        <v>630.812477697395</v>
      </c>
      <c r="AA144" s="16" t="n">
        <v>43.041696075</v>
      </c>
      <c r="AB144" s="16" t="n">
        <v>40.841696075</v>
      </c>
      <c r="AC144" s="16" t="n">
        <v>42.291696075</v>
      </c>
      <c r="AD144" s="16" t="n">
        <v>46.9632728285</v>
      </c>
      <c r="AE144" s="16" t="n">
        <v>785.656190328325</v>
      </c>
      <c r="AF144" s="16" t="n">
        <v>0.035</v>
      </c>
      <c r="AG144" s="16" t="n">
        <v>0.702162322639483</v>
      </c>
      <c r="AH144" s="16" t="n">
        <v>3709.5941014662</v>
      </c>
      <c r="AI144" s="16" t="n">
        <v>28701.9254919039</v>
      </c>
      <c r="AJ144" s="16" t="n">
        <v>19.0921875</v>
      </c>
      <c r="AK144" s="16" t="n">
        <v>0</v>
      </c>
      <c r="AL144" s="16" t="n">
        <v>1000</v>
      </c>
      <c r="AM144" s="16" t="n">
        <v>1071.7478</v>
      </c>
      <c r="AN144" s="16" t="n">
        <v>26532.1623755</v>
      </c>
      <c r="AO144" s="16" t="n">
        <v>-8841.06712376408</v>
      </c>
      <c r="AP144" s="16" t="n">
        <v>0</v>
      </c>
      <c r="AQ144" s="16" t="n">
        <v>395.799548352313</v>
      </c>
      <c r="AR144" s="16" t="n">
        <v>522.802348562222</v>
      </c>
      <c r="AS144" s="16" t="n">
        <v>388.438560591836</v>
      </c>
      <c r="AT144" s="16" t="n">
        <v>1000</v>
      </c>
      <c r="AU144" s="16" t="n">
        <v>12.270507</v>
      </c>
      <c r="AV144" s="16" t="n">
        <v>0</v>
      </c>
      <c r="AW144" s="16" t="n">
        <v>3694.865</v>
      </c>
      <c r="AX144" s="16" t="n">
        <v>388.438560591836</v>
      </c>
      <c r="AY144" s="16" t="n">
        <v>358.143675176999</v>
      </c>
      <c r="AZ144" s="16" t="n">
        <v>8847.3609743976</v>
      </c>
      <c r="BA144" s="16" t="n">
        <v>0</v>
      </c>
      <c r="BB144" s="16" t="n">
        <v>677.069466666667</v>
      </c>
      <c r="BC144" s="16" t="n">
        <v>116510.551420808</v>
      </c>
      <c r="BD144" s="16" t="n">
        <v>17.6725637192223</v>
      </c>
      <c r="BE144" s="16" t="n">
        <v>26.3298563411587</v>
      </c>
      <c r="BF144" s="16" t="n">
        <v>42.8754513771278</v>
      </c>
      <c r="BG144" s="16" t="n">
        <v>-5.89750586575608</v>
      </c>
      <c r="BH144" s="16" t="n">
        <v>0.827807395895624</v>
      </c>
      <c r="BI144" s="16" t="n">
        <v>3.45352694344252</v>
      </c>
      <c r="BJ144" s="16" t="n">
        <v>10.1788402050942</v>
      </c>
      <c r="BK144" s="16" t="n">
        <v>7.87424060251126</v>
      </c>
      <c r="BL144" s="16" t="n">
        <v>17.5744785246212</v>
      </c>
      <c r="BM144" s="16" t="n">
        <v>4.18491755712413</v>
      </c>
      <c r="BN144" s="16" t="n">
        <v>5.02394748300231</v>
      </c>
      <c r="BO144" s="16" t="n">
        <v>7.13470319634703</v>
      </c>
      <c r="BP144" s="16" t="n">
        <v>12077.6391665806</v>
      </c>
      <c r="BQ144" s="16" t="n">
        <v>13480.8203778751</v>
      </c>
      <c r="BR144" s="16" t="n">
        <v>13480.8203778751</v>
      </c>
      <c r="BS144" s="16" t="n">
        <v>522.802348562222</v>
      </c>
      <c r="BT144" s="16" t="n">
        <v>413.9493</v>
      </c>
      <c r="BU144" s="16" t="n">
        <v>1369.2143</v>
      </c>
      <c r="BV144" s="16" t="s">
        <v>3238</v>
      </c>
      <c r="BW144" s="16" t="n">
        <v>42.7692307692308</v>
      </c>
      <c r="BX144" s="16" t="n">
        <v>0.155994305554286</v>
      </c>
      <c r="BY144" s="16" t="n">
        <v>0.213851354521278</v>
      </c>
      <c r="BZ144" s="16" t="n">
        <v>0</v>
      </c>
      <c r="CA144" s="16" t="n">
        <v>0</v>
      </c>
      <c r="CB144" s="16" t="n">
        <v>183.078351905854</v>
      </c>
      <c r="CC144" s="16" t="n">
        <v>0</v>
      </c>
      <c r="CD144" s="16" t="n">
        <v>872.7296</v>
      </c>
      <c r="CE144" s="16" t="n">
        <v>12000</v>
      </c>
      <c r="CF144" s="16" t="n">
        <v>24.345147550856</v>
      </c>
      <c r="CG144" s="16" t="n">
        <v>27.2665652569587</v>
      </c>
      <c r="CH144" s="16" t="n">
        <v>3188.69833333333</v>
      </c>
      <c r="CI144" s="16" t="n">
        <v>0.666552558006871</v>
      </c>
      <c r="CJ144" s="16" t="n">
        <v>11.056589012672</v>
      </c>
      <c r="CK144" s="16" t="n">
        <v>26085.2361535278</v>
      </c>
      <c r="CL144" s="16" t="n">
        <v>107.430650111312</v>
      </c>
      <c r="CM144" s="16" t="n">
        <v>132.798218361312</v>
      </c>
      <c r="CN144" s="16" t="n">
        <v>1000</v>
      </c>
      <c r="CO144" s="16" t="n">
        <v>1.70486111111111</v>
      </c>
      <c r="CP144" s="16" t="n">
        <v>0.90519877675841</v>
      </c>
      <c r="CQ144" s="16" t="n">
        <v>502.879845103152</v>
      </c>
      <c r="CR144" s="16" t="n">
        <v>443.29549415459</v>
      </c>
      <c r="CS144" s="16" t="n">
        <v>481.664205934298</v>
      </c>
      <c r="CT144" s="16" t="n">
        <v>448.999861699243</v>
      </c>
      <c r="CU144" s="16" t="n">
        <v>502.879845103152</v>
      </c>
      <c r="CV144" s="16" t="n">
        <v>74.3531035840389</v>
      </c>
      <c r="CW144" s="16" t="n">
        <v>17.9302249956416</v>
      </c>
      <c r="CX144" s="16" t="n">
        <v>92.2833285796805</v>
      </c>
      <c r="CY144" s="16" t="n">
        <v>74.3531035840389</v>
      </c>
      <c r="CZ144" s="16" t="n">
        <v>91.0322346335011</v>
      </c>
      <c r="DA144" s="16" t="n">
        <v>24.345147550856</v>
      </c>
      <c r="DB144" s="16" t="n">
        <v>19266.3609743976</v>
      </c>
      <c r="DC144" s="16" t="n">
        <v>14295.639843003</v>
      </c>
      <c r="DD144" s="16" t="n">
        <v>10419</v>
      </c>
      <c r="DE144" s="16" t="n">
        <v>-3795</v>
      </c>
      <c r="DF144" s="16" t="n">
        <v>438.697430017094</v>
      </c>
      <c r="DG144" s="16" t="n">
        <v>132.798218361312</v>
      </c>
      <c r="DH144" s="16" t="n">
        <v>0</v>
      </c>
      <c r="DI144" s="16" t="n">
        <v>481.664205934298</v>
      </c>
    </row>
    <row r="145" customFormat="false" ht="15" hidden="false" customHeight="false" outlineLevel="0" collapsed="false">
      <c r="A145" s="0" t="s">
        <v>3363</v>
      </c>
      <c r="B145" s="16" t="n">
        <v>2822.95391308961</v>
      </c>
      <c r="C145" s="16" t="n">
        <v>13514.6499380133</v>
      </c>
      <c r="D145" s="16" t="n">
        <v>28701.9254919039</v>
      </c>
      <c r="E145" s="16" t="n">
        <v>7841.10089763175</v>
      </c>
      <c r="F145" s="16" t="n">
        <v>2018.4216296884</v>
      </c>
      <c r="G145" s="16" t="n">
        <v>5282.09327042282</v>
      </c>
      <c r="H145" s="16" t="n">
        <v>125480.859518724</v>
      </c>
      <c r="I145" s="17" t="n">
        <v>355.026856324297</v>
      </c>
      <c r="J145" s="17" t="n">
        <v>401.014364683567</v>
      </c>
      <c r="K145" s="16" t="s">
        <v>116</v>
      </c>
      <c r="L145" s="16" t="n">
        <v>1000</v>
      </c>
      <c r="M145" s="16" t="n">
        <v>37641.1606487603</v>
      </c>
      <c r="N145" s="16" t="n">
        <v>18116.2303461208</v>
      </c>
      <c r="O145" s="16" t="n">
        <v>1000</v>
      </c>
      <c r="P145" s="16" t="n">
        <v>1212.1769462832</v>
      </c>
      <c r="Q145" s="16" t="n">
        <v>6323.58224228652</v>
      </c>
      <c r="R145" s="16" t="n">
        <v>23963.3261282618</v>
      </c>
      <c r="S145" s="16" t="n">
        <v>22480.1453098381</v>
      </c>
      <c r="T145" s="16" t="n">
        <v>-533.47336857847</v>
      </c>
      <c r="U145" s="16" t="n">
        <v>137784.257807271</v>
      </c>
      <c r="V145" s="16" t="n">
        <v>0.750319556751226</v>
      </c>
      <c r="W145" s="16" t="n">
        <v>155548.965916848</v>
      </c>
      <c r="X145" s="16" t="n">
        <v>23092.6812313472</v>
      </c>
      <c r="Y145" s="16" t="n">
        <v>378.922957541886</v>
      </c>
      <c r="Z145" s="16" t="n">
        <v>503.032419059066</v>
      </c>
      <c r="AA145" s="16" t="n">
        <v>43.041696075</v>
      </c>
      <c r="AB145" s="16" t="n">
        <v>40.841696075</v>
      </c>
      <c r="AC145" s="16" t="n">
        <v>42.291696075</v>
      </c>
      <c r="AD145" s="16" t="n">
        <v>46.9632728285</v>
      </c>
      <c r="AE145" s="16" t="n">
        <v>785.656190328325</v>
      </c>
      <c r="AF145" s="16" t="n">
        <v>0.035</v>
      </c>
      <c r="AG145" s="16" t="n">
        <v>0.702162322639483</v>
      </c>
      <c r="AH145" s="16" t="n">
        <v>3709.5941014662</v>
      </c>
      <c r="AI145" s="16" t="n">
        <v>28701.9254919039</v>
      </c>
      <c r="AJ145" s="16" t="n">
        <v>19.0921875</v>
      </c>
      <c r="AK145" s="16" t="n">
        <v>0</v>
      </c>
      <c r="AL145" s="16" t="n">
        <v>1000</v>
      </c>
      <c r="AM145" s="16" t="n">
        <v>1071.7478</v>
      </c>
      <c r="AN145" s="16" t="n">
        <v>26532.1623755</v>
      </c>
      <c r="AO145" s="16" t="n">
        <v>-8420.54944033089</v>
      </c>
      <c r="AP145" s="16" t="n">
        <v>0</v>
      </c>
      <c r="AQ145" s="16" t="n">
        <v>325.236563386159</v>
      </c>
      <c r="AR145" s="16" t="n">
        <v>496.636109925205</v>
      </c>
      <c r="AS145" s="16" t="n">
        <v>388.09530984161</v>
      </c>
      <c r="AT145" s="16" t="n">
        <v>1000</v>
      </c>
      <c r="AU145" s="16" t="n">
        <v>12.270507</v>
      </c>
      <c r="AV145" s="16" t="n">
        <v>0</v>
      </c>
      <c r="AW145" s="16" t="n">
        <v>3694.865</v>
      </c>
      <c r="AX145" s="16" t="n">
        <v>388.09530984161</v>
      </c>
      <c r="AY145" s="16" t="n">
        <v>350.039434452992</v>
      </c>
      <c r="AZ145" s="16" t="n">
        <v>8424.25061720007</v>
      </c>
      <c r="BA145" s="16" t="n">
        <v>0</v>
      </c>
      <c r="BB145" s="16" t="n">
        <v>677.069466666667</v>
      </c>
      <c r="BC145" s="16" t="n">
        <v>116510.551420808</v>
      </c>
      <c r="BD145" s="16" t="n">
        <v>16.3290373938001</v>
      </c>
      <c r="BE145" s="16" t="n">
        <v>24.9863300157365</v>
      </c>
      <c r="BF145" s="16" t="n">
        <v>40.3559441977689</v>
      </c>
      <c r="BG145" s="16" t="n">
        <v>-6.86548043539002</v>
      </c>
      <c r="BH145" s="16" t="n">
        <v>-0.510471429167696</v>
      </c>
      <c r="BI145" s="16" t="n">
        <v>2.24787422120944</v>
      </c>
      <c r="BJ145" s="16" t="n">
        <v>8.60288322743177</v>
      </c>
      <c r="BK145" s="16" t="n">
        <v>6.53606807781388</v>
      </c>
      <c r="BL145" s="16" t="n">
        <v>15.7885171639902</v>
      </c>
      <c r="BM145" s="16" t="n">
        <v>4.18491755712413</v>
      </c>
      <c r="BN145" s="16" t="n">
        <v>5.02394748300231</v>
      </c>
      <c r="BO145" s="16" t="n">
        <v>7.13470319634703</v>
      </c>
      <c r="BP145" s="16" t="n">
        <v>12077.6391665806</v>
      </c>
      <c r="BQ145" s="16" t="n">
        <v>13480.8203778751</v>
      </c>
      <c r="BR145" s="16" t="n">
        <v>13480.8203778751</v>
      </c>
      <c r="BS145" s="16" t="n">
        <v>496.636109925205</v>
      </c>
      <c r="BT145" s="16" t="n">
        <v>413.9493</v>
      </c>
      <c r="BU145" s="16" t="n">
        <v>1369.2143</v>
      </c>
      <c r="BV145" s="16" t="s">
        <v>3238</v>
      </c>
      <c r="BW145" s="16" t="n">
        <v>42.7692307692308</v>
      </c>
      <c r="BX145" s="16" t="n">
        <v>0.155994305554286</v>
      </c>
      <c r="BY145" s="16" t="n">
        <v>0.213851354521278</v>
      </c>
      <c r="BZ145" s="16" t="n">
        <v>0</v>
      </c>
      <c r="CA145" s="16" t="n">
        <v>9949.84803296745</v>
      </c>
      <c r="CB145" s="16" t="n">
        <v>157.255364019063</v>
      </c>
      <c r="CC145" s="16" t="n">
        <v>0</v>
      </c>
      <c r="CD145" s="16" t="n">
        <v>872.7296</v>
      </c>
      <c r="CE145" s="16" t="n">
        <v>12000</v>
      </c>
      <c r="CF145" s="16" t="n">
        <v>23.0016212254338</v>
      </c>
      <c r="CG145" s="16" t="n">
        <v>25.7618157724858</v>
      </c>
      <c r="CH145" s="16" t="n">
        <v>3188.69833333333</v>
      </c>
      <c r="CI145" s="16" t="n">
        <v>-0.379462866110714</v>
      </c>
      <c r="CJ145" s="16" t="n">
        <v>9.74648675233316</v>
      </c>
      <c r="CK145" s="16" t="n">
        <v>26085.2361535278</v>
      </c>
      <c r="CL145" s="16" t="n">
        <v>107.430650111312</v>
      </c>
      <c r="CM145" s="16" t="n">
        <v>132.798218361312</v>
      </c>
      <c r="CN145" s="16" t="n">
        <v>1000</v>
      </c>
      <c r="CO145" s="16" t="n">
        <v>1.70486111111111</v>
      </c>
      <c r="CP145" s="16" t="n">
        <v>0.90519877675841</v>
      </c>
      <c r="CQ145" s="16" t="n">
        <v>401.014364683567</v>
      </c>
      <c r="CR145" s="16" t="n">
        <v>364.264950992498</v>
      </c>
      <c r="CS145" s="16" t="n">
        <v>389.667065564172</v>
      </c>
      <c r="CT145" s="16" t="n">
        <v>358.048539896042</v>
      </c>
      <c r="CU145" s="16" t="n">
        <v>401.014364683567</v>
      </c>
      <c r="CV145" s="16" t="n">
        <v>87.1175474539217</v>
      </c>
      <c r="CW145" s="16" t="n">
        <v>22.4848523209084</v>
      </c>
      <c r="CX145" s="16" t="n">
        <v>109.60239977483</v>
      </c>
      <c r="CY145" s="16" t="n">
        <v>87.1175474539217</v>
      </c>
      <c r="CZ145" s="16" t="n">
        <v>101.108810454883</v>
      </c>
      <c r="DA145" s="16" t="n">
        <v>23.0016212254338</v>
      </c>
      <c r="DB145" s="16" t="n">
        <v>18843.2506172001</v>
      </c>
      <c r="DC145" s="16" t="n">
        <v>13981.6919579624</v>
      </c>
      <c r="DD145" s="16" t="n">
        <v>10419</v>
      </c>
      <c r="DE145" s="16" t="n">
        <v>-3795</v>
      </c>
      <c r="DF145" s="16" t="n">
        <v>451.123810454422</v>
      </c>
      <c r="DG145" s="16" t="n">
        <v>132.798218361312</v>
      </c>
      <c r="DH145" s="16" t="n">
        <v>0</v>
      </c>
      <c r="DI145" s="16" t="n">
        <v>389.667065564172</v>
      </c>
    </row>
    <row r="146" customFormat="false" ht="15" hidden="false" customHeight="false" outlineLevel="0" collapsed="false">
      <c r="A146" s="0" t="s">
        <v>3364</v>
      </c>
      <c r="B146" s="16" t="n">
        <v>2822.95391308961</v>
      </c>
      <c r="C146" s="16" t="n">
        <v>13514.6499380133</v>
      </c>
      <c r="D146" s="16" t="n">
        <v>28701.9254919039</v>
      </c>
      <c r="E146" s="16" t="n">
        <v>7841.10089763175</v>
      </c>
      <c r="F146" s="16" t="n">
        <v>2018.4216296884</v>
      </c>
      <c r="G146" s="16" t="n">
        <v>5282.09327042282</v>
      </c>
      <c r="H146" s="16" t="n">
        <v>99753.6983915344</v>
      </c>
      <c r="I146" s="17" t="n">
        <v>287.571518179557</v>
      </c>
      <c r="J146" s="17" t="n">
        <v>324.860093475035</v>
      </c>
      <c r="K146" s="16" t="s">
        <v>116</v>
      </c>
      <c r="L146" s="16" t="n">
        <v>1000</v>
      </c>
      <c r="M146" s="16" t="n">
        <v>37641.1606487603</v>
      </c>
      <c r="N146" s="16" t="n">
        <v>18116.2303461208</v>
      </c>
      <c r="O146" s="16" t="n">
        <v>1000</v>
      </c>
      <c r="P146" s="16" t="n">
        <v>1212.1769462832</v>
      </c>
      <c r="Q146" s="16" t="n">
        <v>6323.58224228652</v>
      </c>
      <c r="R146" s="16" t="n">
        <v>23963.3261282618</v>
      </c>
      <c r="S146" s="16" t="n">
        <v>22480.1453098381</v>
      </c>
      <c r="T146" s="16" t="n">
        <v>-533.47336857847</v>
      </c>
      <c r="U146" s="16" t="n">
        <v>106289.266071782</v>
      </c>
      <c r="V146" s="16" t="n">
        <v>0.750319556751226</v>
      </c>
      <c r="W146" s="16" t="n">
        <v>129733.196244723</v>
      </c>
      <c r="X146" s="16" t="n">
        <v>23092.6812313472</v>
      </c>
      <c r="Y146" s="16" t="n">
        <v>306.96393508005</v>
      </c>
      <c r="Z146" s="16" t="n">
        <v>407.504501255085</v>
      </c>
      <c r="AA146" s="16" t="n">
        <v>43.041696075</v>
      </c>
      <c r="AB146" s="16" t="n">
        <v>40.841696075</v>
      </c>
      <c r="AC146" s="16" t="n">
        <v>42.291696075</v>
      </c>
      <c r="AD146" s="16" t="n">
        <v>46.9632728285</v>
      </c>
      <c r="AE146" s="16" t="n">
        <v>785.656190328325</v>
      </c>
      <c r="AF146" s="16" t="n">
        <v>0.035</v>
      </c>
      <c r="AG146" s="16" t="n">
        <v>0.702162322639483</v>
      </c>
      <c r="AH146" s="16" t="n">
        <v>3709.5941014662</v>
      </c>
      <c r="AI146" s="16" t="n">
        <v>28701.9254919039</v>
      </c>
      <c r="AJ146" s="16" t="n">
        <v>19.0921875</v>
      </c>
      <c r="AK146" s="16" t="n">
        <v>0</v>
      </c>
      <c r="AL146" s="16" t="n">
        <v>1000</v>
      </c>
      <c r="AM146" s="16" t="n">
        <v>1071.7478</v>
      </c>
      <c r="AN146" s="16" t="n">
        <v>26532.1623755</v>
      </c>
      <c r="AO146" s="16" t="n">
        <v>-8023.78733193221</v>
      </c>
      <c r="AP146" s="16" t="n">
        <v>0</v>
      </c>
      <c r="AQ146" s="16" t="n">
        <v>272.207936802858</v>
      </c>
      <c r="AR146" s="16" t="n">
        <v>489.193728638559</v>
      </c>
      <c r="AS146" s="16" t="n">
        <v>369.609851297639</v>
      </c>
      <c r="AT146" s="16" t="n">
        <v>1000</v>
      </c>
      <c r="AU146" s="16" t="n">
        <v>12.270507</v>
      </c>
      <c r="AV146" s="16" t="n">
        <v>0</v>
      </c>
      <c r="AW146" s="16" t="n">
        <v>3694.865</v>
      </c>
      <c r="AX146" s="16" t="n">
        <v>369.609851297639</v>
      </c>
      <c r="AY146" s="16" t="n">
        <v>342.684280766149</v>
      </c>
      <c r="AZ146" s="16" t="n">
        <v>8017.11054464611</v>
      </c>
      <c r="BA146" s="16" t="n">
        <v>0</v>
      </c>
      <c r="BB146" s="16" t="n">
        <v>677.069466666667</v>
      </c>
      <c r="BC146" s="16" t="n">
        <v>116510.551420808</v>
      </c>
      <c r="BD146" s="16" t="n">
        <v>15.0362224193958</v>
      </c>
      <c r="BE146" s="16" t="n">
        <v>23.6935150413322</v>
      </c>
      <c r="BF146" s="16" t="n">
        <v>38.2013692873197</v>
      </c>
      <c r="BG146" s="16" t="n">
        <v>-7.79280396405328</v>
      </c>
      <c r="BH146" s="16" t="n">
        <v>-1.79036427557753</v>
      </c>
      <c r="BI146" s="16" t="n">
        <v>1.09242813813745</v>
      </c>
      <c r="BJ146" s="16" t="n">
        <v>7.09486782661321</v>
      </c>
      <c r="BK146" s="16" t="n">
        <v>5.25403316350504</v>
      </c>
      <c r="BL146" s="16" t="n">
        <v>14.0795994915023</v>
      </c>
      <c r="BM146" s="16" t="n">
        <v>4.18491755712413</v>
      </c>
      <c r="BN146" s="16" t="n">
        <v>5.02394748300231</v>
      </c>
      <c r="BO146" s="16" t="n">
        <v>7.13470319634703</v>
      </c>
      <c r="BP146" s="16" t="n">
        <v>12077.6391665806</v>
      </c>
      <c r="BQ146" s="16" t="n">
        <v>13480.8203778751</v>
      </c>
      <c r="BR146" s="16" t="n">
        <v>13480.8203778751</v>
      </c>
      <c r="BS146" s="16" t="n">
        <v>489.193728638559</v>
      </c>
      <c r="BT146" s="16" t="n">
        <v>413.9493</v>
      </c>
      <c r="BU146" s="16" t="n">
        <v>1369.2143</v>
      </c>
      <c r="BV146" s="16" t="s">
        <v>3238</v>
      </c>
      <c r="BW146" s="16" t="n">
        <v>42.7692307692308</v>
      </c>
      <c r="BX146" s="16" t="n">
        <v>0.155994305554286</v>
      </c>
      <c r="BY146" s="16" t="n">
        <v>0.213851354521278</v>
      </c>
      <c r="BZ146" s="16" t="n">
        <v>5767.83060829888</v>
      </c>
      <c r="CA146" s="16" t="n">
        <v>12584.4929817229</v>
      </c>
      <c r="CB146" s="16" t="n">
        <v>168.298441276387</v>
      </c>
      <c r="CC146" s="16" t="n">
        <v>0</v>
      </c>
      <c r="CD146" s="16" t="n">
        <v>872.7296</v>
      </c>
      <c r="CE146" s="16" t="n">
        <v>12000</v>
      </c>
      <c r="CF146" s="16" t="n">
        <v>21.7088062510294</v>
      </c>
      <c r="CG146" s="16" t="n">
        <v>24.313863001153</v>
      </c>
      <c r="CH146" s="16" t="n">
        <v>3188.69833333333</v>
      </c>
      <c r="CI146" s="16" t="n">
        <v>-1.38182749381969</v>
      </c>
      <c r="CJ146" s="16" t="n">
        <v>8.49065261972557</v>
      </c>
      <c r="CK146" s="16" t="n">
        <v>26085.2361535278</v>
      </c>
      <c r="CL146" s="16" t="n">
        <v>107.430650111312</v>
      </c>
      <c r="CM146" s="16" t="n">
        <v>132.798218361312</v>
      </c>
      <c r="CN146" s="16" t="n">
        <v>1000</v>
      </c>
      <c r="CO146" s="16" t="n">
        <v>1.70486111111111</v>
      </c>
      <c r="CP146" s="16" t="n">
        <v>0.90519877675841</v>
      </c>
      <c r="CQ146" s="16" t="n">
        <v>324.860093475035</v>
      </c>
      <c r="CR146" s="16" t="n">
        <v>304.872889219201</v>
      </c>
      <c r="CS146" s="16" t="n">
        <v>317.746579264984</v>
      </c>
      <c r="CT146" s="16" t="n">
        <v>290.053654888425</v>
      </c>
      <c r="CU146" s="16" t="n">
        <v>324.860093475035</v>
      </c>
      <c r="CV146" s="16" t="n">
        <v>102.565230908183</v>
      </c>
      <c r="CW146" s="16" t="n">
        <v>27.7557907221553</v>
      </c>
      <c r="CX146" s="16" t="n">
        <v>130.321021630339</v>
      </c>
      <c r="CY146" s="16" t="n">
        <v>102.565230908183</v>
      </c>
      <c r="CZ146" s="16" t="n">
        <v>112.889305632157</v>
      </c>
      <c r="DA146" s="16" t="n">
        <v>21.7088062510294</v>
      </c>
      <c r="DB146" s="16" t="n">
        <v>18436.1105446461</v>
      </c>
      <c r="DC146" s="16" t="n">
        <v>13679.5940241274</v>
      </c>
      <c r="DD146" s="16" t="n">
        <v>10419</v>
      </c>
      <c r="DE146" s="16" t="n">
        <v>0</v>
      </c>
      <c r="DF146" s="16" t="n">
        <v>459.095802881103</v>
      </c>
      <c r="DG146" s="16" t="n">
        <v>132.798218361312</v>
      </c>
      <c r="DH146" s="16" t="n">
        <v>0</v>
      </c>
      <c r="DI146" s="16" t="n">
        <v>317.746579264984</v>
      </c>
    </row>
    <row r="147" customFormat="false" ht="15" hidden="false" customHeight="false" outlineLevel="0" collapsed="false">
      <c r="A147" s="0" t="s">
        <v>3365</v>
      </c>
      <c r="B147" s="16" t="n">
        <v>2465.07954157611</v>
      </c>
      <c r="C147" s="16" t="n">
        <v>8209.24039226006</v>
      </c>
      <c r="D147" s="16" t="n">
        <v>19716.7966317894</v>
      </c>
      <c r="E147" s="16" t="n">
        <v>4213.14398474076</v>
      </c>
      <c r="F147" s="16" t="n">
        <v>-1135.49021845689</v>
      </c>
      <c r="G147" s="16" t="n">
        <v>5020.26458750724</v>
      </c>
      <c r="H147" s="16" t="n">
        <v>-898.814009603721</v>
      </c>
      <c r="I147" s="17" t="n">
        <v>0.01</v>
      </c>
      <c r="J147" s="17" t="n">
        <v>0</v>
      </c>
      <c r="K147" s="16" t="s">
        <v>72</v>
      </c>
      <c r="L147" s="16" t="n">
        <v>-4432.26231270565</v>
      </c>
      <c r="M147" s="16" t="n">
        <v>33779.4469253452</v>
      </c>
      <c r="N147" s="16" t="n">
        <v>11402.7039831813</v>
      </c>
      <c r="O147" s="16" t="n">
        <v>-18830.3885504935</v>
      </c>
      <c r="P147" s="16" t="n">
        <v>951.290832135856</v>
      </c>
      <c r="Q147" s="16" t="n">
        <v>-267.565775756198</v>
      </c>
      <c r="R147" s="16" t="n">
        <v>17617.7170533315</v>
      </c>
      <c r="S147" s="16" t="n">
        <v>26949.0428826358</v>
      </c>
      <c r="T147" s="16" t="n">
        <v>-955.692204749296</v>
      </c>
      <c r="U147" s="16" t="n">
        <v>-621.096213862173</v>
      </c>
      <c r="V147" s="16" t="n">
        <v>0.750319556751226</v>
      </c>
      <c r="W147" s="16" t="n">
        <v>46166.2147180189</v>
      </c>
      <c r="X147" s="16" t="n">
        <v>22149.4762774452</v>
      </c>
      <c r="Y147" s="16" t="n">
        <v>0</v>
      </c>
      <c r="Z147" s="16" t="n">
        <v>0</v>
      </c>
      <c r="AA147" s="16" t="n">
        <v>27.424347870838</v>
      </c>
      <c r="AB147" s="16" t="n">
        <v>25.224347870838</v>
      </c>
      <c r="AC147" s="16" t="n">
        <v>26.674347870838</v>
      </c>
      <c r="AD147" s="16" t="n">
        <v>27.2673434792775</v>
      </c>
      <c r="AE147" s="16" t="n">
        <v>674.686407680941</v>
      </c>
      <c r="AF147" s="16" t="n">
        <v>0.03</v>
      </c>
      <c r="AG147" s="16" t="n">
        <v>0.654405917289144</v>
      </c>
      <c r="AH147" s="16" t="n">
        <v>9819.91719809611</v>
      </c>
      <c r="AI147" s="16" t="n">
        <v>19716.7966317894</v>
      </c>
      <c r="AJ147" s="16" t="n">
        <v>16.69175</v>
      </c>
      <c r="AK147" s="16" t="n">
        <v>0</v>
      </c>
      <c r="AL147" s="16" t="n">
        <v>-37739.6121648513</v>
      </c>
      <c r="AM147" s="16" t="n">
        <v>812.6073</v>
      </c>
      <c r="AN147" s="16" t="n">
        <v>20079.98904</v>
      </c>
      <c r="AO147" s="16" t="n">
        <v>-5508.72242389994</v>
      </c>
      <c r="AP147" s="16" t="n">
        <v>0.414483496940676</v>
      </c>
      <c r="AQ147" s="16" t="n">
        <v>4.29795191500378</v>
      </c>
      <c r="AR147" s="16" t="n">
        <v>327.195752</v>
      </c>
      <c r="AS147" s="16" t="n">
        <v>314.925245</v>
      </c>
      <c r="AT147" s="16" t="n">
        <v>-4432.26231270565</v>
      </c>
      <c r="AU147" s="16" t="n">
        <v>12.270507</v>
      </c>
      <c r="AV147" s="16" t="n">
        <v>0</v>
      </c>
      <c r="AW147" s="16" t="n">
        <v>2254.3125</v>
      </c>
      <c r="AX147" s="16" t="n">
        <v>314.925245</v>
      </c>
      <c r="AY147" s="16" t="n">
        <v>314.925245</v>
      </c>
      <c r="AZ147" s="16" t="n">
        <v>5631.62619515181</v>
      </c>
      <c r="BA147" s="16" t="n">
        <v>0</v>
      </c>
      <c r="BB147" s="16" t="n">
        <v>417.928966666667</v>
      </c>
      <c r="BC147" s="16" t="n">
        <v>111441.907179589</v>
      </c>
      <c r="BD147" s="16" t="n">
        <v>16.751694488301</v>
      </c>
      <c r="BE147" s="16" t="n">
        <v>25.4089871102374</v>
      </c>
      <c r="BF147" s="16" t="n">
        <v>39.6368423190398</v>
      </c>
      <c r="BG147" s="16" t="n">
        <v>-8.27711430924607</v>
      </c>
      <c r="BH147" s="16" t="n">
        <v>-7.28866183200638</v>
      </c>
      <c r="BI147" s="16" t="n">
        <v>1.09242813813745</v>
      </c>
      <c r="BJ147" s="16" t="n">
        <v>2.04083187529388</v>
      </c>
      <c r="BK147" s="16" t="n">
        <v>5.25403316350504</v>
      </c>
      <c r="BL147" s="16" t="n">
        <v>7.88491984612206</v>
      </c>
      <c r="BM147" s="16" t="n">
        <v>3.71992671744367</v>
      </c>
      <c r="BN147" s="16" t="n">
        <v>4.46573109600205</v>
      </c>
      <c r="BO147" s="16" t="n">
        <v>5.7791095890411</v>
      </c>
      <c r="BP147" s="16" t="n">
        <v>8712.70308277889</v>
      </c>
      <c r="BQ147" s="16" t="n">
        <v>8176.87365522983</v>
      </c>
      <c r="BR147" s="16" t="n">
        <v>8176.87365522983</v>
      </c>
      <c r="BS147" s="16" t="n">
        <v>327.195752</v>
      </c>
      <c r="BT147" s="16" t="n">
        <v>301.7195</v>
      </c>
      <c r="BU147" s="16" t="n">
        <v>1081.9108</v>
      </c>
      <c r="BV147" s="16" t="s">
        <v>3237</v>
      </c>
      <c r="BW147" s="16" t="n">
        <v>42.7692307692308</v>
      </c>
      <c r="BX147" s="16" t="n">
        <v>0.155994305554286</v>
      </c>
      <c r="BY147" s="16" t="n">
        <v>0.161741466184191</v>
      </c>
      <c r="BZ147" s="16" t="n">
        <v>13510.8578038903</v>
      </c>
      <c r="CA147" s="16" t="n">
        <v>27107.0656988521</v>
      </c>
      <c r="CB147" s="16" t="n">
        <v>99.2238949866417</v>
      </c>
      <c r="CC147" s="16" t="n">
        <v>0</v>
      </c>
      <c r="CD147" s="16" t="n">
        <v>950.69728</v>
      </c>
      <c r="CE147" s="16" t="n">
        <v>12000</v>
      </c>
      <c r="CF147" s="16" t="n">
        <v>16.8296226885537</v>
      </c>
      <c r="CG147" s="16" t="n">
        <v>19.0174736380657</v>
      </c>
      <c r="CH147" s="16" t="n">
        <v>2643.77364301215</v>
      </c>
      <c r="CI147" s="16" t="n">
        <v>-6.2083733271085</v>
      </c>
      <c r="CJ147" s="16" t="n">
        <v>3.00594144553374</v>
      </c>
      <c r="CK147" s="16" t="n">
        <v>0</v>
      </c>
      <c r="CL147" s="16" t="n">
        <v>0</v>
      </c>
      <c r="CM147" s="16" t="n">
        <v>12.270507</v>
      </c>
      <c r="CN147" s="16" t="n">
        <v>-37739.6121648513</v>
      </c>
      <c r="CO147" s="16" t="n">
        <v>1.5535546875</v>
      </c>
      <c r="CP147" s="16" t="n">
        <v>1.09004417261298</v>
      </c>
      <c r="CQ147" s="16" t="n">
        <v>0</v>
      </c>
      <c r="CR147" s="16" t="n">
        <v>4.85668566395427</v>
      </c>
      <c r="CS147" s="16" t="n">
        <v>4.83138875825507</v>
      </c>
      <c r="CT147" s="16" t="n">
        <v>0</v>
      </c>
      <c r="CU147" s="16" t="n">
        <v>0.0113</v>
      </c>
      <c r="CV147" s="16" t="n">
        <v>263663.876519469</v>
      </c>
      <c r="CW147" s="16" t="n">
        <v>797942.368891408</v>
      </c>
      <c r="CX147" s="16" t="n">
        <v>1061606.24541088</v>
      </c>
      <c r="CY147" s="16" t="n">
        <v>263663.876519469</v>
      </c>
      <c r="CZ147" s="16" t="n">
        <v>13.9836873085355</v>
      </c>
      <c r="DA147" s="16" t="n">
        <v>16.8296226885537</v>
      </c>
      <c r="DB147" s="16" t="n">
        <v>16775.9595284851</v>
      </c>
      <c r="DC147" s="16" t="n">
        <v>12447.761970136</v>
      </c>
      <c r="DD147" s="16" t="n">
        <v>11144.3333333333</v>
      </c>
      <c r="DE147" s="16" t="n">
        <v>0</v>
      </c>
      <c r="DF147" s="16" t="n">
        <v>263978.801764469</v>
      </c>
      <c r="DG147" s="16" t="n">
        <v>12.270507</v>
      </c>
      <c r="DH147" s="16" t="n">
        <v>0</v>
      </c>
      <c r="DI147" s="16" t="n">
        <v>4.83138875825507</v>
      </c>
    </row>
    <row r="148" customFormat="false" ht="15" hidden="false" customHeight="false" outlineLevel="0" collapsed="false">
      <c r="A148" s="0" t="s">
        <v>3366</v>
      </c>
      <c r="B148" s="16" t="n">
        <v>2822.95391308961</v>
      </c>
      <c r="C148" s="16" t="n">
        <v>13514.6499380133</v>
      </c>
      <c r="D148" s="16" t="n">
        <v>28701.9254919039</v>
      </c>
      <c r="E148" s="16" t="n">
        <v>7841.10089763175</v>
      </c>
      <c r="F148" s="16" t="n">
        <v>2018.4216296884</v>
      </c>
      <c r="G148" s="16" t="n">
        <v>5282.09327042282</v>
      </c>
      <c r="H148" s="16" t="n">
        <v>125480.859518724</v>
      </c>
      <c r="I148" s="17" t="n">
        <v>355.026856324297</v>
      </c>
      <c r="J148" s="17" t="n">
        <v>397.39507748115</v>
      </c>
      <c r="K148" s="16" t="s">
        <v>70</v>
      </c>
      <c r="L148" s="16" t="n">
        <v>-11202.6893436322</v>
      </c>
      <c r="M148" s="16" t="n">
        <v>37641.1606487603</v>
      </c>
      <c r="N148" s="16" t="n">
        <v>18116.2303461208</v>
      </c>
      <c r="O148" s="16" t="n">
        <v>-15690.7473623727</v>
      </c>
      <c r="P148" s="16" t="n">
        <v>1212.1769462832</v>
      </c>
      <c r="Q148" s="16" t="n">
        <v>6323.58224228652</v>
      </c>
      <c r="R148" s="16" t="n">
        <v>23963.3261282618</v>
      </c>
      <c r="S148" s="16" t="n">
        <v>22480.1453098381</v>
      </c>
      <c r="T148" s="16" t="n">
        <v>-533.47336857847</v>
      </c>
      <c r="U148" s="16" t="n">
        <v>137784.257807271</v>
      </c>
      <c r="V148" s="16" t="n">
        <v>0.750319556751226</v>
      </c>
      <c r="W148" s="16" t="n">
        <v>155548.965916848</v>
      </c>
      <c r="X148" s="16" t="n">
        <v>23092.6812313472</v>
      </c>
      <c r="Y148" s="16" t="n">
        <v>375.50305259156</v>
      </c>
      <c r="Z148" s="16" t="n">
        <v>498.492385192355</v>
      </c>
      <c r="AA148" s="16" t="n">
        <v>43.041696075</v>
      </c>
      <c r="AB148" s="16" t="n">
        <v>40.841696075</v>
      </c>
      <c r="AC148" s="16" t="n">
        <v>42.291696075</v>
      </c>
      <c r="AD148" s="16" t="n">
        <v>46.9632728285</v>
      </c>
      <c r="AE148" s="16" t="n">
        <v>785.656190328325</v>
      </c>
      <c r="AF148" s="16" t="n">
        <v>0.035</v>
      </c>
      <c r="AG148" s="16" t="n">
        <v>0.702162322639483</v>
      </c>
      <c r="AH148" s="16" t="n">
        <v>3709.5941014662</v>
      </c>
      <c r="AI148" s="16" t="n">
        <v>28701.9254919039</v>
      </c>
      <c r="AJ148" s="16" t="n">
        <v>19.0921875</v>
      </c>
      <c r="AK148" s="16" t="n">
        <v>0</v>
      </c>
      <c r="AL148" s="16" t="n">
        <v>-25085.2361535278</v>
      </c>
      <c r="AM148" s="16" t="n">
        <v>1071.7478</v>
      </c>
      <c r="AN148" s="16" t="n">
        <v>26532.1623755</v>
      </c>
      <c r="AO148" s="16" t="n">
        <v>-8420.54944033089</v>
      </c>
      <c r="AP148" s="16" t="n">
        <v>0</v>
      </c>
      <c r="AQ148" s="16" t="n">
        <v>350.3616855071</v>
      </c>
      <c r="AR148" s="16" t="n">
        <v>422.936026463007</v>
      </c>
      <c r="AS148" s="16" t="n">
        <v>388.09530984161</v>
      </c>
      <c r="AT148" s="16" t="n">
        <v>-11202.6893436322</v>
      </c>
      <c r="AU148" s="16" t="n">
        <v>12.270507</v>
      </c>
      <c r="AV148" s="16" t="n">
        <v>0</v>
      </c>
      <c r="AW148" s="16" t="n">
        <v>3694.865</v>
      </c>
      <c r="AX148" s="16" t="n">
        <v>388.09530984161</v>
      </c>
      <c r="AY148" s="16" t="n">
        <v>350.039434452992</v>
      </c>
      <c r="AZ148" s="16" t="n">
        <v>8424.25061720007</v>
      </c>
      <c r="BA148" s="16" t="n">
        <v>0</v>
      </c>
      <c r="BB148" s="16" t="n">
        <v>677.069466666667</v>
      </c>
      <c r="BC148" s="16" t="n">
        <v>116510.551420808</v>
      </c>
      <c r="BD148" s="16" t="n">
        <v>16.3290373938001</v>
      </c>
      <c r="BE148" s="16" t="n">
        <v>24.9863300157365</v>
      </c>
      <c r="BF148" s="16" t="n">
        <v>40.3559441977689</v>
      </c>
      <c r="BG148" s="16" t="n">
        <v>-6.86548043539002</v>
      </c>
      <c r="BH148" s="16" t="n">
        <v>-0.510471429167696</v>
      </c>
      <c r="BI148" s="16" t="n">
        <v>2.24787422120944</v>
      </c>
      <c r="BJ148" s="16" t="n">
        <v>8.60288322743177</v>
      </c>
      <c r="BK148" s="16" t="n">
        <v>6.53606807781388</v>
      </c>
      <c r="BL148" s="16" t="n">
        <v>15.7885171639902</v>
      </c>
      <c r="BM148" s="16" t="n">
        <v>4.18491755712413</v>
      </c>
      <c r="BN148" s="16" t="n">
        <v>5.02394748300231</v>
      </c>
      <c r="BO148" s="16" t="n">
        <v>7.13470319634703</v>
      </c>
      <c r="BP148" s="16" t="n">
        <v>12077.6391665806</v>
      </c>
      <c r="BQ148" s="16" t="n">
        <v>13480.8203778751</v>
      </c>
      <c r="BR148" s="16" t="n">
        <v>13480.8203778751</v>
      </c>
      <c r="BS148" s="16" t="n">
        <v>422.936026463007</v>
      </c>
      <c r="BT148" s="16" t="n">
        <v>413.9493</v>
      </c>
      <c r="BU148" s="16" t="n">
        <v>1369.2143</v>
      </c>
      <c r="BV148" s="16" t="s">
        <v>3238</v>
      </c>
      <c r="BW148" s="16" t="n">
        <v>42.7692307692308</v>
      </c>
      <c r="BX148" s="16" t="n">
        <v>0.155994305554286</v>
      </c>
      <c r="BY148" s="16" t="n">
        <v>0.213851354521278</v>
      </c>
      <c r="BZ148" s="16" t="n">
        <v>0</v>
      </c>
      <c r="CA148" s="16" t="n">
        <v>5227.25443172942</v>
      </c>
      <c r="CB148" s="16" t="n">
        <v>83.5552805568644</v>
      </c>
      <c r="CC148" s="16" t="n">
        <v>0</v>
      </c>
      <c r="CD148" s="16" t="n">
        <v>872.7296</v>
      </c>
      <c r="CE148" s="16" t="n">
        <v>12000</v>
      </c>
      <c r="CF148" s="16" t="n">
        <v>20.9064812884952</v>
      </c>
      <c r="CG148" s="16" t="n">
        <v>23.4152590431147</v>
      </c>
      <c r="CH148" s="16" t="n">
        <v>3188.69833333333</v>
      </c>
      <c r="CI148" s="16" t="n">
        <v>-0.379462866110714</v>
      </c>
      <c r="CJ148" s="16" t="n">
        <v>9.74648675233316</v>
      </c>
      <c r="CK148" s="16" t="n">
        <v>0</v>
      </c>
      <c r="CL148" s="16" t="n">
        <v>0</v>
      </c>
      <c r="CM148" s="16" t="n">
        <v>12.270507</v>
      </c>
      <c r="CN148" s="16" t="n">
        <v>-25085.2361535278</v>
      </c>
      <c r="CO148" s="16" t="n">
        <v>1.70486111111111</v>
      </c>
      <c r="CP148" s="16" t="n">
        <v>0.90519877675841</v>
      </c>
      <c r="CQ148" s="16" t="n">
        <v>397.39507748115</v>
      </c>
      <c r="CR148" s="16" t="n">
        <v>392.405087767952</v>
      </c>
      <c r="CS148" s="16" t="n">
        <v>393.221693312694</v>
      </c>
      <c r="CT148" s="16" t="n">
        <v>354.817033465313</v>
      </c>
      <c r="CU148" s="16" t="n">
        <v>397.39507748115</v>
      </c>
      <c r="CV148" s="16" t="n">
        <v>7.49732941725058</v>
      </c>
      <c r="CW148" s="16" t="n">
        <v>22.6896337660363</v>
      </c>
      <c r="CX148" s="16" t="n">
        <v>30.1869631832868</v>
      </c>
      <c r="CY148" s="16" t="n">
        <v>7.49732941725058</v>
      </c>
      <c r="CZ148" s="16" t="n">
        <v>11.3886516504984</v>
      </c>
      <c r="DA148" s="16" t="n">
        <v>20.9064812884952</v>
      </c>
      <c r="DB148" s="16" t="n">
        <v>18843.2506172001</v>
      </c>
      <c r="DC148" s="16" t="n">
        <v>13981.6919579624</v>
      </c>
      <c r="DD148" s="16" t="n">
        <v>10419</v>
      </c>
      <c r="DE148" s="16" t="n">
        <v>0</v>
      </c>
      <c r="DF148" s="16" t="n">
        <v>395.591643934969</v>
      </c>
      <c r="DG148" s="16" t="n">
        <v>12.270507</v>
      </c>
      <c r="DH148" s="16" t="n">
        <v>0</v>
      </c>
      <c r="DI148" s="16" t="n">
        <v>393.221693312694</v>
      </c>
    </row>
    <row r="149" customFormat="false" ht="15" hidden="false" customHeight="false" outlineLevel="0" collapsed="false">
      <c r="A149" s="0" t="s">
        <v>3367</v>
      </c>
      <c r="B149" s="16" t="n">
        <v>2161.09062763565</v>
      </c>
      <c r="C149" s="16" t="n">
        <v>4287.20023545696</v>
      </c>
      <c r="D149" s="16" t="n">
        <v>10944.1398681103</v>
      </c>
      <c r="E149" s="16" t="n">
        <v>1840.94291622573</v>
      </c>
      <c r="F149" s="16" t="n">
        <v>-3929.75629162136</v>
      </c>
      <c r="G149" s="16" t="n">
        <v>5599.21119842882</v>
      </c>
      <c r="H149" s="16" t="n">
        <v>-34363.0239982634</v>
      </c>
      <c r="I149" s="17" t="n">
        <v>0.01</v>
      </c>
      <c r="J149" s="17" t="n">
        <v>0</v>
      </c>
      <c r="K149" s="16" t="s">
        <v>1471</v>
      </c>
      <c r="L149" s="16" t="n">
        <v>4180.49397221856</v>
      </c>
      <c r="M149" s="16" t="n">
        <v>23393.2765619591</v>
      </c>
      <c r="N149" s="16" t="n">
        <v>5268.34038131425</v>
      </c>
      <c r="O149" s="16" t="n">
        <v>-16694.5151199058</v>
      </c>
      <c r="P149" s="16" t="n">
        <v>747.002337313713</v>
      </c>
      <c r="Q149" s="16" t="n">
        <v>-6256.63951054422</v>
      </c>
      <c r="R149" s="16" t="n">
        <v>10749.8273603027</v>
      </c>
      <c r="S149" s="16" t="n">
        <v>27562.9798373622</v>
      </c>
      <c r="T149" s="16" t="n">
        <v>-1436.17830391911</v>
      </c>
      <c r="U149" s="16" t="n">
        <v>-34087.8704089523</v>
      </c>
      <c r="V149" s="16" t="n">
        <v>0.750319556751226</v>
      </c>
      <c r="W149" s="16" t="n">
        <v>16992.5164114785</v>
      </c>
      <c r="X149" s="16" t="n">
        <v>14072.7441668294</v>
      </c>
      <c r="Y149" s="16" t="n">
        <v>0</v>
      </c>
      <c r="Z149" s="16" t="n">
        <v>0</v>
      </c>
      <c r="AA149" s="16" t="n">
        <v>22.27279275</v>
      </c>
      <c r="AB149" s="16" t="n">
        <v>20.07279275</v>
      </c>
      <c r="AC149" s="16" t="n">
        <v>21.52279275</v>
      </c>
      <c r="AD149" s="16" t="n">
        <v>21.8718824805</v>
      </c>
      <c r="AE149" s="16" t="n">
        <v>594.149368983825</v>
      </c>
      <c r="AF149" s="16" t="n">
        <v>0.02</v>
      </c>
      <c r="AG149" s="16" t="n">
        <v>0.572671227358019</v>
      </c>
      <c r="AH149" s="16" t="n">
        <v>22530.2399423265</v>
      </c>
      <c r="AI149" s="16" t="n">
        <v>10944.1398681103</v>
      </c>
      <c r="AJ149" s="16" t="n">
        <v>14.7365561910928</v>
      </c>
      <c r="AK149" s="16" t="n">
        <v>0</v>
      </c>
      <c r="AL149" s="16" t="n">
        <v>-44407.2692133762</v>
      </c>
      <c r="AM149" s="16" t="n">
        <v>470.44678</v>
      </c>
      <c r="AN149" s="16" t="n">
        <v>12000</v>
      </c>
      <c r="AO149" s="16" t="n">
        <v>-2079.00657489433</v>
      </c>
      <c r="AP149" s="16" t="n">
        <v>1</v>
      </c>
      <c r="AQ149" s="16" t="n">
        <v>0</v>
      </c>
      <c r="AR149" s="16" t="n">
        <v>376.701942829579</v>
      </c>
      <c r="AS149" s="16" t="n">
        <v>314.925245</v>
      </c>
      <c r="AT149" s="16" t="n">
        <v>4180.49397221856</v>
      </c>
      <c r="AU149" s="16" t="n">
        <v>61.7766978295787</v>
      </c>
      <c r="AV149" s="16" t="n">
        <v>0</v>
      </c>
      <c r="AW149" s="16" t="n">
        <v>998.76</v>
      </c>
      <c r="AX149" s="16" t="n">
        <v>314.925245</v>
      </c>
      <c r="AY149" s="16" t="n">
        <v>314.925245</v>
      </c>
      <c r="AZ149" s="16" t="n">
        <v>1668.24598467516</v>
      </c>
      <c r="BA149" s="16" t="n">
        <v>1732.5375</v>
      </c>
      <c r="BB149" s="16" t="n">
        <v>155.768446666667</v>
      </c>
      <c r="BC149" s="16" t="n">
        <v>88718.5578003424</v>
      </c>
      <c r="BD149" s="16" t="n">
        <v>8.14523324094375</v>
      </c>
      <c r="BE149" s="16" t="n">
        <v>16.8025258628801</v>
      </c>
      <c r="BF149" s="16" t="n">
        <v>29.677242910116</v>
      </c>
      <c r="BG149" s="16" t="n">
        <v>-13.6535979204585</v>
      </c>
      <c r="BH149" s="16" t="n">
        <v>-20.0976093877166</v>
      </c>
      <c r="BI149" s="16" t="n">
        <v>-3.59741167595651</v>
      </c>
      <c r="BJ149" s="16" t="n">
        <v>-9.93933550584831</v>
      </c>
      <c r="BK149" s="16" t="n">
        <v>-0.548394239950376</v>
      </c>
      <c r="BL149" s="16" t="n">
        <v>-6.73470781259538</v>
      </c>
      <c r="BM149" s="16" t="n">
        <v>3.37118358768332</v>
      </c>
      <c r="BN149" s="16" t="n">
        <v>4.04706880575186</v>
      </c>
      <c r="BO149" s="16" t="n">
        <v>5.1726598173516</v>
      </c>
      <c r="BP149" s="16" t="n">
        <v>5354.49215439957</v>
      </c>
      <c r="BQ149" s="16" t="n">
        <v>4257.60023545696</v>
      </c>
      <c r="BR149" s="16" t="n">
        <v>4257.60023545696</v>
      </c>
      <c r="BS149" s="16" t="n">
        <v>376.701942829579</v>
      </c>
      <c r="BT149" s="16" t="n">
        <v>189.4897</v>
      </c>
      <c r="BU149" s="16" t="n">
        <v>794.6073</v>
      </c>
      <c r="BV149" s="16" t="s">
        <v>3237</v>
      </c>
      <c r="BW149" s="16" t="n">
        <v>42.7692307692308</v>
      </c>
      <c r="BX149" s="16" t="n">
        <v>0.124596585374074</v>
      </c>
      <c r="BY149" s="16" t="n">
        <v>0.0866148510447071</v>
      </c>
      <c r="BZ149" s="16" t="n">
        <v>13510.8578038903</v>
      </c>
      <c r="CA149" s="16" t="n">
        <v>14061.88573854</v>
      </c>
      <c r="CB149" s="16" t="n">
        <v>203.551162370089</v>
      </c>
      <c r="CC149" s="16" t="n">
        <v>1732.5375</v>
      </c>
      <c r="CD149" s="16" t="n">
        <v>1028.66496</v>
      </c>
      <c r="CE149" s="16" t="n">
        <v>12000</v>
      </c>
      <c r="CF149" s="16" t="n">
        <v>8.14886936998285</v>
      </c>
      <c r="CG149" s="16" t="n">
        <v>9.37119977548028</v>
      </c>
      <c r="CH149" s="16" t="n">
        <v>1983.66628420139</v>
      </c>
      <c r="CI149" s="16" t="n">
        <v>-14.9451536418179</v>
      </c>
      <c r="CJ149" s="16" t="n">
        <v>-5.32272994264565</v>
      </c>
      <c r="CK149" s="16" t="n">
        <v>0</v>
      </c>
      <c r="CL149" s="16" t="n">
        <v>0</v>
      </c>
      <c r="CM149" s="16" t="n">
        <v>61.7766978295787</v>
      </c>
      <c r="CN149" s="16" t="n">
        <v>-44407.2692133762</v>
      </c>
      <c r="CO149" s="16" t="n">
        <v>1.534375</v>
      </c>
      <c r="CP149" s="16" t="n">
        <v>1.31022765885151</v>
      </c>
      <c r="CQ149" s="16" t="n">
        <v>0</v>
      </c>
      <c r="CR149" s="16" t="n">
        <v>0</v>
      </c>
      <c r="CS149" s="16" t="n">
        <v>0</v>
      </c>
      <c r="CT149" s="16" t="n">
        <v>0</v>
      </c>
      <c r="CU149" s="16" t="n">
        <v>0.0115</v>
      </c>
      <c r="CV149" s="16" t="n">
        <v>782608.695652174</v>
      </c>
      <c r="CW149" s="16" t="n">
        <v>0</v>
      </c>
      <c r="CX149" s="16" t="n">
        <v>782608.695652174</v>
      </c>
      <c r="CY149" s="16" t="n">
        <v>782608.695652174</v>
      </c>
      <c r="CZ149" s="16" t="n">
        <v>70.6014626858032</v>
      </c>
      <c r="DA149" s="16" t="n">
        <v>8.14886936998285</v>
      </c>
      <c r="DB149" s="16" t="n">
        <v>13676.5793180085</v>
      </c>
      <c r="DC149" s="16" t="n">
        <v>10148.0218539623</v>
      </c>
      <c r="DD149" s="16" t="n">
        <v>12008.3333333333</v>
      </c>
      <c r="DE149" s="16" t="n">
        <v>0</v>
      </c>
      <c r="DF149" s="16" t="n">
        <v>782923.620897174</v>
      </c>
      <c r="DG149" s="16" t="n">
        <v>61.7766978295787</v>
      </c>
      <c r="DH149" s="16" t="n">
        <v>0</v>
      </c>
      <c r="DI149" s="16" t="n">
        <v>0.0115</v>
      </c>
    </row>
    <row r="150" customFormat="false" ht="15" hidden="false" customHeight="false" outlineLevel="0" collapsed="false">
      <c r="A150" s="0" t="s">
        <v>3368</v>
      </c>
      <c r="B150" s="16" t="n">
        <v>2465.07954157611</v>
      </c>
      <c r="C150" s="16" t="n">
        <v>8209.24039226006</v>
      </c>
      <c r="D150" s="16" t="n">
        <v>19716.7966317894</v>
      </c>
      <c r="E150" s="16" t="n">
        <v>4213.14398474076</v>
      </c>
      <c r="F150" s="16" t="n">
        <v>-1135.49021845689</v>
      </c>
      <c r="G150" s="16" t="n">
        <v>5020.26458750724</v>
      </c>
      <c r="H150" s="16" t="n">
        <v>-898.814009603721</v>
      </c>
      <c r="I150" s="17" t="n">
        <v>0.01</v>
      </c>
      <c r="J150" s="17" t="n">
        <v>0</v>
      </c>
      <c r="K150" s="16" t="s">
        <v>95</v>
      </c>
      <c r="L150" s="16" t="n">
        <v>1000</v>
      </c>
      <c r="M150" s="16" t="n">
        <v>33779.4469253452</v>
      </c>
      <c r="N150" s="16" t="n">
        <v>11402.7039831813</v>
      </c>
      <c r="O150" s="16" t="n">
        <v>-13398.1262377878</v>
      </c>
      <c r="P150" s="16" t="n">
        <v>951.290832135856</v>
      </c>
      <c r="Q150" s="16" t="n">
        <v>-267.565775756198</v>
      </c>
      <c r="R150" s="16" t="n">
        <v>17617.7170533315</v>
      </c>
      <c r="S150" s="16" t="n">
        <v>26949.0428826358</v>
      </c>
      <c r="T150" s="16" t="n">
        <v>-955.692204749296</v>
      </c>
      <c r="U150" s="16" t="n">
        <v>-621.096213862173</v>
      </c>
      <c r="V150" s="16" t="n">
        <v>0.750319556751226</v>
      </c>
      <c r="W150" s="16" t="n">
        <v>46166.2147180189</v>
      </c>
      <c r="X150" s="16" t="n">
        <v>22149.4762774452</v>
      </c>
      <c r="Y150" s="16" t="n">
        <v>0</v>
      </c>
      <c r="Z150" s="16" t="n">
        <v>0</v>
      </c>
      <c r="AA150" s="16" t="n">
        <v>27.424347870838</v>
      </c>
      <c r="AB150" s="16" t="n">
        <v>25.224347870838</v>
      </c>
      <c r="AC150" s="16" t="n">
        <v>26.674347870838</v>
      </c>
      <c r="AD150" s="16" t="n">
        <v>27.2673434792775</v>
      </c>
      <c r="AE150" s="16" t="n">
        <v>674.686407680941</v>
      </c>
      <c r="AF150" s="16" t="n">
        <v>0.03</v>
      </c>
      <c r="AG150" s="16" t="n">
        <v>0.654405917289144</v>
      </c>
      <c r="AH150" s="16" t="n">
        <v>9819.91719809611</v>
      </c>
      <c r="AI150" s="16" t="n">
        <v>19716.7966317894</v>
      </c>
      <c r="AJ150" s="16" t="n">
        <v>16.69175</v>
      </c>
      <c r="AK150" s="16" t="n">
        <v>0</v>
      </c>
      <c r="AL150" s="16" t="n">
        <v>-32307.3498521457</v>
      </c>
      <c r="AM150" s="16" t="n">
        <v>812.6073</v>
      </c>
      <c r="AN150" s="16" t="n">
        <v>20079.98904</v>
      </c>
      <c r="AO150" s="16" t="n">
        <v>-5508.72242389994</v>
      </c>
      <c r="AP150" s="16" t="n">
        <v>0.414483496940676</v>
      </c>
      <c r="AQ150" s="16" t="n">
        <v>19.5241554148049</v>
      </c>
      <c r="AR150" s="16" t="n">
        <v>350.260166255878</v>
      </c>
      <c r="AS150" s="16" t="n">
        <v>314.925245</v>
      </c>
      <c r="AT150" s="16" t="n">
        <v>1000</v>
      </c>
      <c r="AU150" s="16" t="n">
        <v>12.270507</v>
      </c>
      <c r="AV150" s="16" t="n">
        <v>0</v>
      </c>
      <c r="AW150" s="16" t="n">
        <v>2254.3125</v>
      </c>
      <c r="AX150" s="16" t="n">
        <v>314.925245</v>
      </c>
      <c r="AY150" s="16" t="n">
        <v>314.925245</v>
      </c>
      <c r="AZ150" s="16" t="n">
        <v>5631.62619515181</v>
      </c>
      <c r="BA150" s="16" t="n">
        <v>0</v>
      </c>
      <c r="BB150" s="16" t="n">
        <v>417.928966666667</v>
      </c>
      <c r="BC150" s="16" t="n">
        <v>111441.907179589</v>
      </c>
      <c r="BD150" s="16" t="n">
        <v>16.751694488301</v>
      </c>
      <c r="BE150" s="16" t="n">
        <v>25.4089871102374</v>
      </c>
      <c r="BF150" s="16" t="n">
        <v>39.6368423190398</v>
      </c>
      <c r="BG150" s="16" t="n">
        <v>-8.27711430924607</v>
      </c>
      <c r="BH150" s="16" t="n">
        <v>-7.28866183200638</v>
      </c>
      <c r="BI150" s="16" t="n">
        <v>1.09242813813745</v>
      </c>
      <c r="BJ150" s="16" t="n">
        <v>2.04083187529388</v>
      </c>
      <c r="BK150" s="16" t="n">
        <v>5.25403316350504</v>
      </c>
      <c r="BL150" s="16" t="n">
        <v>7.88491984612206</v>
      </c>
      <c r="BM150" s="16" t="n">
        <v>3.71992671744367</v>
      </c>
      <c r="BN150" s="16" t="n">
        <v>4.46573109600205</v>
      </c>
      <c r="BO150" s="16" t="n">
        <v>5.7791095890411</v>
      </c>
      <c r="BP150" s="16" t="n">
        <v>8712.70308277889</v>
      </c>
      <c r="BQ150" s="16" t="n">
        <v>8176.87365522983</v>
      </c>
      <c r="BR150" s="16" t="n">
        <v>8176.87365522983</v>
      </c>
      <c r="BS150" s="16" t="n">
        <v>350.260166255878</v>
      </c>
      <c r="BT150" s="16" t="n">
        <v>301.7195</v>
      </c>
      <c r="BU150" s="16" t="n">
        <v>1081.9108</v>
      </c>
      <c r="BV150" s="16" t="s">
        <v>3237</v>
      </c>
      <c r="BW150" s="16" t="n">
        <v>42.7692307692308</v>
      </c>
      <c r="BX150" s="16" t="n">
        <v>0.155994305554286</v>
      </c>
      <c r="BY150" s="16" t="n">
        <v>0.161741466184191</v>
      </c>
      <c r="BZ150" s="16" t="n">
        <v>13510.8578038903</v>
      </c>
      <c r="CA150" s="16" t="n">
        <v>27107.0656988521</v>
      </c>
      <c r="CB150" s="16" t="n">
        <v>122.28830924252</v>
      </c>
      <c r="CC150" s="16" t="n">
        <v>0</v>
      </c>
      <c r="CD150" s="16" t="n">
        <v>950.69728</v>
      </c>
      <c r="CE150" s="16" t="n">
        <v>12000</v>
      </c>
      <c r="CF150" s="16" t="n">
        <v>18.8140635724537</v>
      </c>
      <c r="CG150" s="16" t="n">
        <v>21.2598918368726</v>
      </c>
      <c r="CH150" s="16" t="n">
        <v>2643.77364301215</v>
      </c>
      <c r="CI150" s="16" t="n">
        <v>-6.2083733271085</v>
      </c>
      <c r="CJ150" s="16" t="n">
        <v>3.00594144553374</v>
      </c>
      <c r="CK150" s="16" t="n">
        <v>5432.26231270565</v>
      </c>
      <c r="CL150" s="16" t="n">
        <v>23.064414255878</v>
      </c>
      <c r="CM150" s="16" t="n">
        <v>35.334921255878</v>
      </c>
      <c r="CN150" s="16" t="n">
        <v>-32307.3498521457</v>
      </c>
      <c r="CO150" s="16" t="n">
        <v>1.5535546875</v>
      </c>
      <c r="CP150" s="16" t="n">
        <v>1.09004417261298</v>
      </c>
      <c r="CQ150" s="16" t="n">
        <v>0</v>
      </c>
      <c r="CR150" s="16" t="n">
        <v>22.0622956187295</v>
      </c>
      <c r="CS150" s="16" t="n">
        <v>20.39886015614</v>
      </c>
      <c r="CT150" s="16" t="n">
        <v>0</v>
      </c>
      <c r="CU150" s="16" t="n">
        <v>0.0113</v>
      </c>
      <c r="CV150" s="16" t="n">
        <v>744395.054635013</v>
      </c>
      <c r="CW150" s="16" t="n">
        <v>797942.368891408</v>
      </c>
      <c r="CX150" s="16" t="n">
        <v>1542337.42352642</v>
      </c>
      <c r="CY150" s="16" t="n">
        <v>744395.054635013</v>
      </c>
      <c r="CZ150" s="16" t="n">
        <v>63.8970652787705</v>
      </c>
      <c r="DA150" s="16" t="n">
        <v>18.8140635724537</v>
      </c>
      <c r="DB150" s="16" t="n">
        <v>16775.9595284851</v>
      </c>
      <c r="DC150" s="16" t="n">
        <v>12447.761970136</v>
      </c>
      <c r="DD150" s="16" t="n">
        <v>11144.3333333333</v>
      </c>
      <c r="DE150" s="16" t="n">
        <v>0</v>
      </c>
      <c r="DF150" s="16" t="n">
        <v>744709.979880013</v>
      </c>
      <c r="DG150" s="16" t="n">
        <v>35.334921255878</v>
      </c>
      <c r="DH150" s="16" t="n">
        <v>0</v>
      </c>
      <c r="DI150" s="16" t="n">
        <v>20.39886015614</v>
      </c>
    </row>
    <row r="151" customFormat="false" ht="15" hidden="false" customHeight="false" outlineLevel="0" collapsed="false">
      <c r="A151" s="0" t="s">
        <v>3369</v>
      </c>
      <c r="B151" s="16" t="n">
        <v>2161.09062763565</v>
      </c>
      <c r="C151" s="16" t="n">
        <v>4287.20023545696</v>
      </c>
      <c r="D151" s="16" t="n">
        <v>10944.1398681103</v>
      </c>
      <c r="E151" s="16" t="n">
        <v>1840.94291622573</v>
      </c>
      <c r="F151" s="16" t="n">
        <v>-3929.75629162136</v>
      </c>
      <c r="G151" s="16" t="n">
        <v>5599.21119842882</v>
      </c>
      <c r="H151" s="16" t="n">
        <v>-34363.0239982634</v>
      </c>
      <c r="I151" s="17" t="n">
        <v>0.01</v>
      </c>
      <c r="J151" s="17" t="n">
        <v>0</v>
      </c>
      <c r="K151" s="16" t="s">
        <v>95</v>
      </c>
      <c r="L151" s="16" t="n">
        <v>1000</v>
      </c>
      <c r="M151" s="16" t="n">
        <v>23393.2765619591</v>
      </c>
      <c r="N151" s="16" t="n">
        <v>5268.34038131425</v>
      </c>
      <c r="O151" s="16" t="n">
        <v>-19893.4759143813</v>
      </c>
      <c r="P151" s="16" t="n">
        <v>747.002337313713</v>
      </c>
      <c r="Q151" s="16" t="n">
        <v>-6256.63951054422</v>
      </c>
      <c r="R151" s="16" t="n">
        <v>10749.8273603027</v>
      </c>
      <c r="S151" s="16" t="n">
        <v>27562.9798373622</v>
      </c>
      <c r="T151" s="16" t="n">
        <v>-1436.17830391911</v>
      </c>
      <c r="U151" s="16" t="n">
        <v>-34087.8704089523</v>
      </c>
      <c r="V151" s="16" t="n">
        <v>0.750319556751226</v>
      </c>
      <c r="W151" s="16" t="n">
        <v>16992.5164114785</v>
      </c>
      <c r="X151" s="16" t="n">
        <v>14072.7441668294</v>
      </c>
      <c r="Y151" s="16" t="n">
        <v>0</v>
      </c>
      <c r="Z151" s="16" t="n">
        <v>0</v>
      </c>
      <c r="AA151" s="16" t="n">
        <v>22.27279275</v>
      </c>
      <c r="AB151" s="16" t="n">
        <v>20.07279275</v>
      </c>
      <c r="AC151" s="16" t="n">
        <v>21.52279275</v>
      </c>
      <c r="AD151" s="16" t="n">
        <v>21.8718824805</v>
      </c>
      <c r="AE151" s="16" t="n">
        <v>594.149368983825</v>
      </c>
      <c r="AF151" s="16" t="n">
        <v>0.02</v>
      </c>
      <c r="AG151" s="16" t="n">
        <v>0.572671227358019</v>
      </c>
      <c r="AH151" s="16" t="n">
        <v>15317.8810251285</v>
      </c>
      <c r="AI151" s="16" t="n">
        <v>10944.1398681103</v>
      </c>
      <c r="AJ151" s="16" t="n">
        <v>14.7365561910928</v>
      </c>
      <c r="AK151" s="16" t="n">
        <v>0</v>
      </c>
      <c r="AL151" s="16" t="n">
        <v>-47606.5857611952</v>
      </c>
      <c r="AM151" s="16" t="n">
        <v>470.44678</v>
      </c>
      <c r="AN151" s="16" t="n">
        <v>12000</v>
      </c>
      <c r="AO151" s="16" t="n">
        <v>-2079.00657489433</v>
      </c>
      <c r="AP151" s="16" t="n">
        <v>1</v>
      </c>
      <c r="AQ151" s="16" t="n">
        <v>0</v>
      </c>
      <c r="AR151" s="16" t="n">
        <v>356.456480340349</v>
      </c>
      <c r="AS151" s="16" t="n">
        <v>314.925245</v>
      </c>
      <c r="AT151" s="16" t="n">
        <v>1000</v>
      </c>
      <c r="AU151" s="16" t="n">
        <v>12.270507</v>
      </c>
      <c r="AV151" s="16" t="n">
        <v>0</v>
      </c>
      <c r="AW151" s="16" t="n">
        <v>998.76</v>
      </c>
      <c r="AX151" s="16" t="n">
        <v>314.925245</v>
      </c>
      <c r="AY151" s="16" t="n">
        <v>314.925245</v>
      </c>
      <c r="AZ151" s="16" t="n">
        <v>1668.24598467516</v>
      </c>
      <c r="BA151" s="16" t="n">
        <v>1732.5375</v>
      </c>
      <c r="BB151" s="16" t="n">
        <v>155.768446666667</v>
      </c>
      <c r="BC151" s="16" t="n">
        <v>88718.5578003424</v>
      </c>
      <c r="BD151" s="16" t="n">
        <v>8.14523324094375</v>
      </c>
      <c r="BE151" s="16" t="n">
        <v>16.8025258628801</v>
      </c>
      <c r="BF151" s="16" t="n">
        <v>29.677242910116</v>
      </c>
      <c r="BG151" s="16" t="n">
        <v>-13.6535979204585</v>
      </c>
      <c r="BH151" s="16" t="n">
        <v>-20.0976093877166</v>
      </c>
      <c r="BI151" s="16" t="n">
        <v>-3.59741167595651</v>
      </c>
      <c r="BJ151" s="16" t="n">
        <v>-9.93933550584831</v>
      </c>
      <c r="BK151" s="16" t="n">
        <v>-0.548394239950376</v>
      </c>
      <c r="BL151" s="16" t="n">
        <v>-6.73470781259538</v>
      </c>
      <c r="BM151" s="16" t="n">
        <v>3.37118358768332</v>
      </c>
      <c r="BN151" s="16" t="n">
        <v>4.04706880575186</v>
      </c>
      <c r="BO151" s="16" t="n">
        <v>5.1726598173516</v>
      </c>
      <c r="BP151" s="16" t="n">
        <v>5354.49215439957</v>
      </c>
      <c r="BQ151" s="16" t="n">
        <v>4257.60023545696</v>
      </c>
      <c r="BR151" s="16" t="n">
        <v>4257.60023545696</v>
      </c>
      <c r="BS151" s="16" t="n">
        <v>356.456480340349</v>
      </c>
      <c r="BT151" s="16" t="n">
        <v>189.4897</v>
      </c>
      <c r="BU151" s="16" t="n">
        <v>794.6073</v>
      </c>
      <c r="BV151" s="16" t="s">
        <v>3237</v>
      </c>
      <c r="BW151" s="16" t="n">
        <v>42.7692307692308</v>
      </c>
      <c r="BX151" s="16" t="n">
        <v>0.124596585374074</v>
      </c>
      <c r="BY151" s="16" t="n">
        <v>0.0866148510447071</v>
      </c>
      <c r="BZ151" s="16" t="n">
        <v>13510.8578038903</v>
      </c>
      <c r="CA151" s="16" t="n">
        <v>14061.88573854</v>
      </c>
      <c r="CB151" s="16" t="n">
        <v>206.687153798355</v>
      </c>
      <c r="CC151" s="16" t="n">
        <v>1732.5375</v>
      </c>
      <c r="CD151" s="16" t="n">
        <v>1028.66496</v>
      </c>
      <c r="CE151" s="16" t="n">
        <v>12000</v>
      </c>
      <c r="CF151" s="16" t="n">
        <v>6.92726250556546</v>
      </c>
      <c r="CG151" s="16" t="n">
        <v>7.96635188140028</v>
      </c>
      <c r="CH151" s="16" t="n">
        <v>1983.66628420139</v>
      </c>
      <c r="CI151" s="16" t="n">
        <v>-14.9451536418179</v>
      </c>
      <c r="CJ151" s="16" t="n">
        <v>-5.32272994264565</v>
      </c>
      <c r="CK151" s="16" t="n">
        <v>4262.87846899215</v>
      </c>
      <c r="CL151" s="16" t="n">
        <v>29.2607283403494</v>
      </c>
      <c r="CM151" s="16" t="n">
        <v>41.5312353403494</v>
      </c>
      <c r="CN151" s="16" t="n">
        <v>-47606.5857611952</v>
      </c>
      <c r="CO151" s="16" t="n">
        <v>1.534375</v>
      </c>
      <c r="CP151" s="16" t="n">
        <v>1.31022765885151</v>
      </c>
      <c r="CQ151" s="16" t="n">
        <v>0</v>
      </c>
      <c r="CR151" s="16" t="n">
        <v>0</v>
      </c>
      <c r="CS151" s="16" t="n">
        <v>0</v>
      </c>
      <c r="CT151" s="16" t="n">
        <v>0</v>
      </c>
      <c r="CU151" s="16" t="n">
        <v>0.0115</v>
      </c>
      <c r="CV151" s="16" t="n">
        <v>526132.134938621</v>
      </c>
      <c r="CW151" s="16" t="n">
        <v>0</v>
      </c>
      <c r="CX151" s="16" t="n">
        <v>526132.134938621</v>
      </c>
      <c r="CY151" s="16" t="n">
        <v>526132.134938621</v>
      </c>
      <c r="CZ151" s="16" t="n">
        <v>83.999046774532</v>
      </c>
      <c r="DA151" s="16" t="n">
        <v>6.92726250556546</v>
      </c>
      <c r="DB151" s="16" t="n">
        <v>13676.5793180085</v>
      </c>
      <c r="DC151" s="16" t="n">
        <v>10148.0218539623</v>
      </c>
      <c r="DD151" s="16" t="n">
        <v>12008.3333333333</v>
      </c>
      <c r="DE151" s="16" t="n">
        <v>0</v>
      </c>
      <c r="DF151" s="16" t="n">
        <v>526447.060183621</v>
      </c>
      <c r="DG151" s="16" t="n">
        <v>41.5312353403494</v>
      </c>
      <c r="DH151" s="16" t="n">
        <v>0</v>
      </c>
      <c r="DI151" s="16" t="n">
        <v>0.0115</v>
      </c>
    </row>
    <row r="152" customFormat="false" ht="15" hidden="false" customHeight="false" outlineLevel="0" collapsed="false">
      <c r="A152" s="0" t="s">
        <v>3370</v>
      </c>
      <c r="B152" s="16" t="n">
        <v>2465.07954157611</v>
      </c>
      <c r="C152" s="16" t="n">
        <v>8209.24039226006</v>
      </c>
      <c r="D152" s="16" t="n">
        <v>19716.7966317894</v>
      </c>
      <c r="E152" s="16" t="n">
        <v>4213.14398474076</v>
      </c>
      <c r="F152" s="16" t="n">
        <v>-1135.49021845689</v>
      </c>
      <c r="G152" s="16" t="n">
        <v>5020.26458750724</v>
      </c>
      <c r="H152" s="16" t="n">
        <v>-5976.12642143689</v>
      </c>
      <c r="I152" s="17" t="n">
        <v>0.01</v>
      </c>
      <c r="J152" s="17" t="n">
        <v>0</v>
      </c>
      <c r="K152" s="16" t="s">
        <v>116</v>
      </c>
      <c r="L152" s="16" t="n">
        <v>1000</v>
      </c>
      <c r="M152" s="16" t="n">
        <v>33779.4469253452</v>
      </c>
      <c r="N152" s="16" t="n">
        <v>11402.7039831813</v>
      </c>
      <c r="O152" s="16" t="n">
        <v>1000</v>
      </c>
      <c r="P152" s="16" t="n">
        <v>951.290832135856</v>
      </c>
      <c r="Q152" s="16" t="n">
        <v>-267.565775756198</v>
      </c>
      <c r="R152" s="16" t="n">
        <v>17617.7170533315</v>
      </c>
      <c r="S152" s="16" t="n">
        <v>26949.0428826358</v>
      </c>
      <c r="T152" s="16" t="n">
        <v>-955.692204749296</v>
      </c>
      <c r="U152" s="16" t="n">
        <v>-5698.40862569534</v>
      </c>
      <c r="V152" s="16" t="n">
        <v>0.750319556751226</v>
      </c>
      <c r="W152" s="16" t="n">
        <v>41088.9023061858</v>
      </c>
      <c r="X152" s="16" t="n">
        <v>22149.4762774452</v>
      </c>
      <c r="Y152" s="16" t="n">
        <v>0</v>
      </c>
      <c r="Z152" s="16" t="n">
        <v>0</v>
      </c>
      <c r="AA152" s="16" t="n">
        <v>27.424347870838</v>
      </c>
      <c r="AB152" s="16" t="n">
        <v>25.224347870838</v>
      </c>
      <c r="AC152" s="16" t="n">
        <v>26.674347870838</v>
      </c>
      <c r="AD152" s="16" t="n">
        <v>27.2673434792775</v>
      </c>
      <c r="AE152" s="16" t="n">
        <v>674.686407680941</v>
      </c>
      <c r="AF152" s="16" t="n">
        <v>0.03</v>
      </c>
      <c r="AG152" s="16" t="n">
        <v>0.654405917289144</v>
      </c>
      <c r="AH152" s="16" t="n">
        <v>9819.91719809611</v>
      </c>
      <c r="AI152" s="16" t="n">
        <v>19716.7966317894</v>
      </c>
      <c r="AJ152" s="16" t="n">
        <v>16.69175</v>
      </c>
      <c r="AK152" s="16" t="n">
        <v>0</v>
      </c>
      <c r="AL152" s="16" t="n">
        <v>1000</v>
      </c>
      <c r="AM152" s="16" t="n">
        <v>812.6073</v>
      </c>
      <c r="AN152" s="16" t="n">
        <v>20079.98904</v>
      </c>
      <c r="AO152" s="16" t="n">
        <v>-5508.72242389994</v>
      </c>
      <c r="AP152" s="16" t="n">
        <v>0.414483496940676</v>
      </c>
      <c r="AQ152" s="16" t="n">
        <v>68.6206223610993</v>
      </c>
      <c r="AR152" s="16" t="n">
        <v>506.474954430797</v>
      </c>
      <c r="AS152" s="16" t="n">
        <v>314.925245</v>
      </c>
      <c r="AT152" s="16" t="n">
        <v>1000</v>
      </c>
      <c r="AU152" s="16" t="n">
        <v>12.270507</v>
      </c>
      <c r="AV152" s="16" t="n">
        <v>0</v>
      </c>
      <c r="AW152" s="16" t="n">
        <v>2254.3125</v>
      </c>
      <c r="AX152" s="16" t="n">
        <v>314.925245</v>
      </c>
      <c r="AY152" s="16" t="n">
        <v>314.925245</v>
      </c>
      <c r="AZ152" s="16" t="n">
        <v>5631.62619515181</v>
      </c>
      <c r="BA152" s="16" t="n">
        <v>0</v>
      </c>
      <c r="BB152" s="16" t="n">
        <v>417.928966666667</v>
      </c>
      <c r="BC152" s="16" t="n">
        <v>111441.907179589</v>
      </c>
      <c r="BD152" s="16" t="n">
        <v>16.751694488301</v>
      </c>
      <c r="BE152" s="16" t="n">
        <v>25.4089871102374</v>
      </c>
      <c r="BF152" s="16" t="n">
        <v>39.6368423190398</v>
      </c>
      <c r="BG152" s="16" t="n">
        <v>-8.27711430924607</v>
      </c>
      <c r="BH152" s="16" t="n">
        <v>-7.28866183200638</v>
      </c>
      <c r="BI152" s="16" t="n">
        <v>1.09242813813745</v>
      </c>
      <c r="BJ152" s="16" t="n">
        <v>2.04083187529388</v>
      </c>
      <c r="BK152" s="16" t="n">
        <v>5.25403316350504</v>
      </c>
      <c r="BL152" s="16" t="n">
        <v>7.88491984612206</v>
      </c>
      <c r="BM152" s="16" t="n">
        <v>3.71992671744367</v>
      </c>
      <c r="BN152" s="16" t="n">
        <v>4.46573109600205</v>
      </c>
      <c r="BO152" s="16" t="n">
        <v>5.7791095890411</v>
      </c>
      <c r="BP152" s="16" t="n">
        <v>8712.70308277889</v>
      </c>
      <c r="BQ152" s="16" t="n">
        <v>8176.87365522983</v>
      </c>
      <c r="BR152" s="16" t="n">
        <v>8176.87365522983</v>
      </c>
      <c r="BS152" s="16" t="n">
        <v>506.474954430797</v>
      </c>
      <c r="BT152" s="16" t="n">
        <v>301.7195</v>
      </c>
      <c r="BU152" s="16" t="n">
        <v>1081.9108</v>
      </c>
      <c r="BV152" s="16" t="s">
        <v>3237</v>
      </c>
      <c r="BW152" s="16" t="n">
        <v>42.7692307692308</v>
      </c>
      <c r="BX152" s="16" t="n">
        <v>0.155994305554286</v>
      </c>
      <c r="BY152" s="16" t="n">
        <v>0.161741466184191</v>
      </c>
      <c r="BZ152" s="16" t="n">
        <v>13510.8578038903</v>
      </c>
      <c r="CA152" s="16" t="n">
        <v>19402.010477409</v>
      </c>
      <c r="CB152" s="16" t="n">
        <v>278.503097417438</v>
      </c>
      <c r="CC152" s="16" t="n">
        <v>0</v>
      </c>
      <c r="CD152" s="16" t="n">
        <v>950.69728</v>
      </c>
      <c r="CE152" s="16" t="n">
        <v>12000</v>
      </c>
      <c r="CF152" s="16" t="n">
        <v>24.2501640779233</v>
      </c>
      <c r="CG152" s="16" t="n">
        <v>27.4026854080534</v>
      </c>
      <c r="CH152" s="16" t="n">
        <v>2643.77364301215</v>
      </c>
      <c r="CI152" s="16" t="n">
        <v>-6.2083733271085</v>
      </c>
      <c r="CJ152" s="16" t="n">
        <v>3.00594144553374</v>
      </c>
      <c r="CK152" s="16" t="n">
        <v>38739.6121648513</v>
      </c>
      <c r="CL152" s="16" t="n">
        <v>164.481464930797</v>
      </c>
      <c r="CM152" s="16" t="n">
        <v>189.849033180797</v>
      </c>
      <c r="CN152" s="16" t="n">
        <v>1000</v>
      </c>
      <c r="CO152" s="16" t="n">
        <v>1.5535546875</v>
      </c>
      <c r="CP152" s="16" t="n">
        <v>1.09004417261298</v>
      </c>
      <c r="CQ152" s="16" t="n">
        <v>0</v>
      </c>
      <c r="CR152" s="16" t="n">
        <v>77.5413032680422</v>
      </c>
      <c r="CS152" s="16" t="n">
        <v>16.6023291706442</v>
      </c>
      <c r="CT152" s="16" t="n">
        <v>0</v>
      </c>
      <c r="CU152" s="16" t="n">
        <v>0.0113</v>
      </c>
      <c r="CV152" s="16" t="n">
        <v>3861970.2627895</v>
      </c>
      <c r="CW152" s="16" t="n">
        <v>797942.368891408</v>
      </c>
      <c r="CX152" s="16" t="n">
        <v>4659912.63168091</v>
      </c>
      <c r="CY152" s="16" t="n">
        <v>3861970.2627895</v>
      </c>
      <c r="CZ152" s="16" t="n">
        <v>2043.37644424702</v>
      </c>
      <c r="DA152" s="16" t="n">
        <v>24.2501640779233</v>
      </c>
      <c r="DB152" s="16" t="n">
        <v>16775.9595284851</v>
      </c>
      <c r="DC152" s="16" t="n">
        <v>12447.761970136</v>
      </c>
      <c r="DD152" s="16" t="n">
        <v>11144.3333333333</v>
      </c>
      <c r="DE152" s="16" t="n">
        <v>1921.25</v>
      </c>
      <c r="DF152" s="16" t="n">
        <v>3862285.1880345</v>
      </c>
      <c r="DG152" s="16" t="n">
        <v>189.849033180797</v>
      </c>
      <c r="DH152" s="16" t="n">
        <v>0</v>
      </c>
      <c r="DI152" s="16" t="n">
        <v>16.6035519029286</v>
      </c>
    </row>
    <row r="153" customFormat="false" ht="15" hidden="false" customHeight="false" outlineLevel="0" collapsed="false">
      <c r="A153" s="0" t="s">
        <v>3371</v>
      </c>
      <c r="B153" s="16" t="n">
        <v>2465.07954157611</v>
      </c>
      <c r="C153" s="16" t="n">
        <v>8209.24039226006</v>
      </c>
      <c r="D153" s="16" t="n">
        <v>19716.7966317894</v>
      </c>
      <c r="E153" s="16" t="n">
        <v>4213.14398474076</v>
      </c>
      <c r="F153" s="16" t="n">
        <v>-1135.49021845689</v>
      </c>
      <c r="G153" s="16" t="n">
        <v>5020.26458750724</v>
      </c>
      <c r="H153" s="16" t="n">
        <v>-3517.37383130102</v>
      </c>
      <c r="I153" s="17" t="n">
        <v>0.01</v>
      </c>
      <c r="J153" s="17" t="n">
        <v>0</v>
      </c>
      <c r="K153" s="16" t="s">
        <v>116</v>
      </c>
      <c r="L153" s="16" t="n">
        <v>1000</v>
      </c>
      <c r="M153" s="16" t="n">
        <v>33779.4469253452</v>
      </c>
      <c r="N153" s="16" t="n">
        <v>11402.7039831813</v>
      </c>
      <c r="O153" s="16" t="n">
        <v>1000</v>
      </c>
      <c r="P153" s="16" t="n">
        <v>951.290832135856</v>
      </c>
      <c r="Q153" s="16" t="n">
        <v>-267.565775756198</v>
      </c>
      <c r="R153" s="16" t="n">
        <v>17617.7170533315</v>
      </c>
      <c r="S153" s="16" t="n">
        <v>26949.0428826358</v>
      </c>
      <c r="T153" s="16" t="n">
        <v>-955.692204749296</v>
      </c>
      <c r="U153" s="16" t="n">
        <v>-3239.65603555947</v>
      </c>
      <c r="V153" s="16" t="n">
        <v>0.750319556751226</v>
      </c>
      <c r="W153" s="16" t="n">
        <v>43695.2560109268</v>
      </c>
      <c r="X153" s="16" t="n">
        <v>22515.9537453116</v>
      </c>
      <c r="Y153" s="16" t="n">
        <v>0</v>
      </c>
      <c r="Z153" s="16" t="n">
        <v>0</v>
      </c>
      <c r="AA153" s="16" t="n">
        <v>27.424347870838</v>
      </c>
      <c r="AB153" s="16" t="n">
        <v>25.224347870838</v>
      </c>
      <c r="AC153" s="16" t="n">
        <v>26.674347870838</v>
      </c>
      <c r="AD153" s="16" t="n">
        <v>27.2673434792775</v>
      </c>
      <c r="AE153" s="16" t="n">
        <v>674.686407680941</v>
      </c>
      <c r="AF153" s="16" t="n">
        <v>0.03</v>
      </c>
      <c r="AG153" s="16" t="n">
        <v>0.654405917289144</v>
      </c>
      <c r="AH153" s="16" t="n">
        <v>9819.91719809611</v>
      </c>
      <c r="AI153" s="16" t="n">
        <v>19716.7966317894</v>
      </c>
      <c r="AJ153" s="16" t="n">
        <v>16.69175</v>
      </c>
      <c r="AK153" s="16" t="n">
        <v>0</v>
      </c>
      <c r="AL153" s="16" t="n">
        <v>1000</v>
      </c>
      <c r="AM153" s="16" t="n">
        <v>812.6073</v>
      </c>
      <c r="AN153" s="16" t="n">
        <v>20079.98904</v>
      </c>
      <c r="AO153" s="16" t="n">
        <v>-5508.72242389994</v>
      </c>
      <c r="AP153" s="16" t="n">
        <v>0.414483496940676</v>
      </c>
      <c r="AQ153" s="16" t="n">
        <v>73.5086840015271</v>
      </c>
      <c r="AR153" s="16" t="n">
        <v>506.579438557667</v>
      </c>
      <c r="AS153" s="16" t="n">
        <v>314.925245</v>
      </c>
      <c r="AT153" s="16" t="n">
        <v>1000</v>
      </c>
      <c r="AU153" s="16" t="n">
        <v>12.270507</v>
      </c>
      <c r="AV153" s="16" t="n">
        <v>0</v>
      </c>
      <c r="AW153" s="16" t="n">
        <v>2254.3125</v>
      </c>
      <c r="AX153" s="16" t="n">
        <v>314.925245</v>
      </c>
      <c r="AY153" s="16" t="n">
        <v>314.925245</v>
      </c>
      <c r="AZ153" s="16" t="n">
        <v>5631.62619515181</v>
      </c>
      <c r="BA153" s="16" t="n">
        <v>0</v>
      </c>
      <c r="BB153" s="16" t="n">
        <v>417.928966666667</v>
      </c>
      <c r="BC153" s="16" t="n">
        <v>111441.907179589</v>
      </c>
      <c r="BD153" s="16" t="n">
        <v>16.751694488301</v>
      </c>
      <c r="BE153" s="16" t="n">
        <v>25.4089871102374</v>
      </c>
      <c r="BF153" s="16" t="n">
        <v>39.6368423190398</v>
      </c>
      <c r="BG153" s="16" t="n">
        <v>-9.61755599855142</v>
      </c>
      <c r="BH153" s="16" t="n">
        <v>-8.57767170589474</v>
      </c>
      <c r="BI153" s="16" t="n">
        <v>-0.248013551167896</v>
      </c>
      <c r="BJ153" s="16" t="n">
        <v>0.751822001405527</v>
      </c>
      <c r="BK153" s="16" t="n">
        <v>3.44750797576199</v>
      </c>
      <c r="BL153" s="16" t="n">
        <v>6.14770977349624</v>
      </c>
      <c r="BM153" s="16" t="n">
        <v>3.71992671744367</v>
      </c>
      <c r="BN153" s="16" t="n">
        <v>4.46573109600205</v>
      </c>
      <c r="BO153" s="16" t="n">
        <v>5.7791095890411</v>
      </c>
      <c r="BP153" s="16" t="n">
        <v>8712.70308277889</v>
      </c>
      <c r="BQ153" s="16" t="n">
        <v>8176.87365522983</v>
      </c>
      <c r="BR153" s="16" t="n">
        <v>8176.87365522983</v>
      </c>
      <c r="BS153" s="16" t="n">
        <v>506.579438557667</v>
      </c>
      <c r="BT153" s="16" t="n">
        <v>301.7195</v>
      </c>
      <c r="BU153" s="16" t="n">
        <v>1081.9108</v>
      </c>
      <c r="BV153" s="16" t="s">
        <v>3237</v>
      </c>
      <c r="BW153" s="16" t="n">
        <v>42.7692307692308</v>
      </c>
      <c r="BX153" s="16" t="n">
        <v>0.141300305219053</v>
      </c>
      <c r="BY153" s="16" t="n">
        <v>0.151363111697547</v>
      </c>
      <c r="BZ153" s="16" t="n">
        <v>13510.8578038903</v>
      </c>
      <c r="CA153" s="16" t="n">
        <v>19402.010477409</v>
      </c>
      <c r="CB153" s="16" t="n">
        <v>278.660572047907</v>
      </c>
      <c r="CC153" s="16" t="n">
        <v>0</v>
      </c>
      <c r="CD153" s="16" t="n">
        <v>950.69728</v>
      </c>
      <c r="CE153" s="16" t="n">
        <v>12000</v>
      </c>
      <c r="CF153" s="16" t="n">
        <v>24.2591537956235</v>
      </c>
      <c r="CG153" s="16" t="n">
        <v>27.4128437890546</v>
      </c>
      <c r="CH153" s="16" t="n">
        <v>2643.77364301215</v>
      </c>
      <c r="CI153" s="16" t="n">
        <v>-7.44233508605835</v>
      </c>
      <c r="CJ153" s="16" t="n">
        <v>1.77197968658388</v>
      </c>
      <c r="CK153" s="16" t="n">
        <v>38764.2208619713</v>
      </c>
      <c r="CL153" s="16" t="n">
        <v>164.585949057667</v>
      </c>
      <c r="CM153" s="16" t="n">
        <v>189.953517307667</v>
      </c>
      <c r="CN153" s="16" t="n">
        <v>1000</v>
      </c>
      <c r="CO153" s="16" t="n">
        <v>1.5535546875</v>
      </c>
      <c r="CP153" s="16" t="n">
        <v>1.09004417261298</v>
      </c>
      <c r="CQ153" s="16" t="n">
        <v>0</v>
      </c>
      <c r="CR153" s="16" t="n">
        <v>83.0648129217257</v>
      </c>
      <c r="CS153" s="16" t="n">
        <v>23.1279311517451</v>
      </c>
      <c r="CT153" s="16" t="n">
        <v>0</v>
      </c>
      <c r="CU153" s="16" t="n">
        <v>0.0113</v>
      </c>
      <c r="CV153" s="16" t="n">
        <v>3864148.02359658</v>
      </c>
      <c r="CW153" s="16" t="n">
        <v>797942.368891408</v>
      </c>
      <c r="CX153" s="16" t="n">
        <v>4662090.39248799</v>
      </c>
      <c r="CY153" s="16" t="n">
        <v>3864148.02359658</v>
      </c>
      <c r="CZ153" s="16" t="n">
        <v>1499.30962572247</v>
      </c>
      <c r="DA153" s="16" t="n">
        <v>24.2591537956235</v>
      </c>
      <c r="DB153" s="16" t="n">
        <v>16775.9595284851</v>
      </c>
      <c r="DC153" s="16" t="n">
        <v>12447.761970136</v>
      </c>
      <c r="DD153" s="16" t="n">
        <v>11144.3333333333</v>
      </c>
      <c r="DE153" s="16" t="n">
        <v>1921.25</v>
      </c>
      <c r="DF153" s="16" t="n">
        <v>3864462.94884158</v>
      </c>
      <c r="DG153" s="16" t="n">
        <v>189.953517307667</v>
      </c>
      <c r="DH153" s="16" t="n">
        <v>0</v>
      </c>
      <c r="DI153" s="16" t="n">
        <v>23.1281257339733</v>
      </c>
    </row>
    <row r="154" customFormat="false" ht="15" hidden="false" customHeight="false" outlineLevel="0" collapsed="false">
      <c r="A154" s="0" t="s">
        <v>3372</v>
      </c>
      <c r="B154" s="16" t="n">
        <v>2161.09062763565</v>
      </c>
      <c r="C154" s="16" t="n">
        <v>4287.20023545696</v>
      </c>
      <c r="D154" s="16" t="n">
        <v>10944.1398681103</v>
      </c>
      <c r="E154" s="16" t="n">
        <v>1840.94291622573</v>
      </c>
      <c r="F154" s="16" t="n">
        <v>-3929.75629162136</v>
      </c>
      <c r="G154" s="16" t="n">
        <v>5599.21119842882</v>
      </c>
      <c r="H154" s="16" t="n">
        <v>-34363.0239982634</v>
      </c>
      <c r="I154" s="17" t="n">
        <v>0.01</v>
      </c>
      <c r="J154" s="17" t="n">
        <v>0</v>
      </c>
      <c r="K154" s="16" t="s">
        <v>116</v>
      </c>
      <c r="L154" s="16" t="n">
        <v>1000</v>
      </c>
      <c r="M154" s="16" t="n">
        <v>23393.2765619591</v>
      </c>
      <c r="N154" s="16" t="n">
        <v>5268.34038131425</v>
      </c>
      <c r="O154" s="16" t="n">
        <v>1000</v>
      </c>
      <c r="P154" s="16" t="n">
        <v>747.002337313713</v>
      </c>
      <c r="Q154" s="16" t="n">
        <v>-6256.63951054422</v>
      </c>
      <c r="R154" s="16" t="n">
        <v>10749.8273603027</v>
      </c>
      <c r="S154" s="16" t="n">
        <v>27562.9798373622</v>
      </c>
      <c r="T154" s="16" t="n">
        <v>-1436.17830391911</v>
      </c>
      <c r="U154" s="16" t="n">
        <v>-32355.3329089523</v>
      </c>
      <c r="V154" s="16" t="n">
        <v>0.750319556751226</v>
      </c>
      <c r="W154" s="16" t="n">
        <v>16992.5164114785</v>
      </c>
      <c r="X154" s="16" t="n">
        <v>14072.7441668294</v>
      </c>
      <c r="Y154" s="16" t="n">
        <v>0</v>
      </c>
      <c r="Z154" s="16" t="n">
        <v>0</v>
      </c>
      <c r="AA154" s="16" t="n">
        <v>22.27279275</v>
      </c>
      <c r="AB154" s="16" t="n">
        <v>20.07279275</v>
      </c>
      <c r="AC154" s="16" t="n">
        <v>21.52279275</v>
      </c>
      <c r="AD154" s="16" t="n">
        <v>21.8718824805</v>
      </c>
      <c r="AE154" s="16" t="n">
        <v>594.149368983825</v>
      </c>
      <c r="AF154" s="16" t="n">
        <v>0.02</v>
      </c>
      <c r="AG154" s="16" t="n">
        <v>0.572671227358019</v>
      </c>
      <c r="AH154" s="16" t="n">
        <v>15317.8810251285</v>
      </c>
      <c r="AI154" s="16" t="n">
        <v>10944.1398681103</v>
      </c>
      <c r="AJ154" s="16" t="n">
        <v>14.7365561910928</v>
      </c>
      <c r="AK154" s="16" t="n">
        <v>0</v>
      </c>
      <c r="AL154" s="16" t="n">
        <v>1000</v>
      </c>
      <c r="AM154" s="16" t="n">
        <v>470.44678</v>
      </c>
      <c r="AN154" s="16" t="n">
        <v>12000</v>
      </c>
      <c r="AO154" s="16" t="n">
        <v>-2079.00657489433</v>
      </c>
      <c r="AP154" s="16" t="n">
        <v>1</v>
      </c>
      <c r="AQ154" s="16" t="n">
        <v>31.9397132343356</v>
      </c>
      <c r="AR154" s="16" t="n">
        <v>703.192915045556</v>
      </c>
      <c r="AS154" s="16" t="n">
        <v>314.925245</v>
      </c>
      <c r="AT154" s="16" t="n">
        <v>1000</v>
      </c>
      <c r="AU154" s="16" t="n">
        <v>12.270507</v>
      </c>
      <c r="AV154" s="16" t="n">
        <v>0</v>
      </c>
      <c r="AW154" s="16" t="n">
        <v>998.76</v>
      </c>
      <c r="AX154" s="16" t="n">
        <v>314.925245</v>
      </c>
      <c r="AY154" s="16" t="n">
        <v>314.925245</v>
      </c>
      <c r="AZ154" s="16" t="n">
        <v>1668.24598467516</v>
      </c>
      <c r="BA154" s="16" t="n">
        <v>0</v>
      </c>
      <c r="BB154" s="16" t="n">
        <v>155.768446666667</v>
      </c>
      <c r="BC154" s="16" t="n">
        <v>88718.5578003424</v>
      </c>
      <c r="BD154" s="16" t="n">
        <v>13.6466578726845</v>
      </c>
      <c r="BE154" s="16" t="n">
        <v>22.3039504946209</v>
      </c>
      <c r="BF154" s="16" t="n">
        <v>35.1786675418568</v>
      </c>
      <c r="BG154" s="16" t="n">
        <v>-13.6535979204585</v>
      </c>
      <c r="BH154" s="16" t="n">
        <v>-20.0976093877166</v>
      </c>
      <c r="BI154" s="16" t="n">
        <v>-3.59741167595651</v>
      </c>
      <c r="BJ154" s="16" t="n">
        <v>-9.93933550584831</v>
      </c>
      <c r="BK154" s="16" t="n">
        <v>-0.548394239950376</v>
      </c>
      <c r="BL154" s="16" t="n">
        <v>-6.73470781259538</v>
      </c>
      <c r="BM154" s="16" t="n">
        <v>3.37118358768332</v>
      </c>
      <c r="BN154" s="16" t="n">
        <v>4.04706880575186</v>
      </c>
      <c r="BO154" s="16" t="n">
        <v>5.1726598173516</v>
      </c>
      <c r="BP154" s="16" t="n">
        <v>5354.49215439957</v>
      </c>
      <c r="BQ154" s="16" t="n">
        <v>4257.60023545696</v>
      </c>
      <c r="BR154" s="16" t="n">
        <v>4257.60023545696</v>
      </c>
      <c r="BS154" s="16" t="n">
        <v>703.192915045556</v>
      </c>
      <c r="BT154" s="16" t="n">
        <v>189.4897</v>
      </c>
      <c r="BU154" s="16" t="n">
        <v>794.6073</v>
      </c>
      <c r="BV154" s="16" t="s">
        <v>3237</v>
      </c>
      <c r="BW154" s="16" t="n">
        <v>42.7692307692308</v>
      </c>
      <c r="BX154" s="16" t="n">
        <v>0.124596585374074</v>
      </c>
      <c r="BY154" s="16" t="n">
        <v>0.0866148510447071</v>
      </c>
      <c r="BZ154" s="16" t="n">
        <v>13510.8578038903</v>
      </c>
      <c r="CA154" s="16" t="n">
        <v>9557.85015295579</v>
      </c>
      <c r="CB154" s="16" t="n">
        <v>553.423588503561</v>
      </c>
      <c r="CC154" s="16" t="n">
        <v>0</v>
      </c>
      <c r="CD154" s="16" t="n">
        <v>1028.66496</v>
      </c>
      <c r="CE154" s="16" t="n">
        <v>12000</v>
      </c>
      <c r="CF154" s="16" t="n">
        <v>29.5069396565148</v>
      </c>
      <c r="CG154" s="16" t="n">
        <v>33.932980604992</v>
      </c>
      <c r="CH154" s="16" t="n">
        <v>1983.66628420139</v>
      </c>
      <c r="CI154" s="16" t="n">
        <v>-14.9451536418179</v>
      </c>
      <c r="CJ154" s="16" t="n">
        <v>-5.32272994264565</v>
      </c>
      <c r="CK154" s="16" t="n">
        <v>52869.4642301874</v>
      </c>
      <c r="CL154" s="16" t="n">
        <v>362.900101795556</v>
      </c>
      <c r="CM154" s="16" t="n">
        <v>388.267670045556</v>
      </c>
      <c r="CN154" s="16" t="n">
        <v>1000</v>
      </c>
      <c r="CO154" s="16" t="n">
        <v>1.534375</v>
      </c>
      <c r="CP154" s="16" t="n">
        <v>1.31022765885151</v>
      </c>
      <c r="CQ154" s="16" t="n">
        <v>0</v>
      </c>
      <c r="CR154" s="16" t="n">
        <v>36.7306702194859</v>
      </c>
      <c r="CS154" s="16" t="n">
        <v>0</v>
      </c>
      <c r="CT154" s="16" t="n">
        <v>0</v>
      </c>
      <c r="CU154" s="16" t="n">
        <v>0.0115</v>
      </c>
      <c r="CV154" s="16" t="n">
        <v>4919856.98373821</v>
      </c>
      <c r="CW154" s="16" t="n">
        <v>0</v>
      </c>
      <c r="CX154" s="16" t="n">
        <v>4919856.98373821</v>
      </c>
      <c r="CY154" s="16" t="n">
        <v>4919856.98373821</v>
      </c>
      <c r="CZ154" s="16" t="n">
        <v>6306107.02458794</v>
      </c>
      <c r="DA154" s="16" t="n">
        <v>29.5069396565148</v>
      </c>
      <c r="DB154" s="16" t="n">
        <v>13676.5793180085</v>
      </c>
      <c r="DC154" s="16" t="n">
        <v>10148.0218539623</v>
      </c>
      <c r="DD154" s="16" t="n">
        <v>12008.3333333333</v>
      </c>
      <c r="DE154" s="16" t="n">
        <v>1921.25</v>
      </c>
      <c r="DF154" s="16" t="n">
        <v>4920171.90898321</v>
      </c>
      <c r="DG154" s="16" t="n">
        <v>388.267670045556</v>
      </c>
      <c r="DH154" s="16" t="n">
        <v>0</v>
      </c>
      <c r="DI154" s="16" t="n">
        <v>0.0115</v>
      </c>
    </row>
    <row r="155" customFormat="false" ht="15" hidden="false" customHeight="false" outlineLevel="0" collapsed="false">
      <c r="A155" s="0" t="s">
        <v>3373</v>
      </c>
      <c r="B155" s="16" t="n">
        <v>2465.07954157611</v>
      </c>
      <c r="C155" s="16" t="n">
        <v>7897.89373173501</v>
      </c>
      <c r="D155" s="16" t="n">
        <v>18443.6133977381</v>
      </c>
      <c r="E155" s="16" t="n">
        <v>3992.08785576797</v>
      </c>
      <c r="F155" s="16" t="n">
        <v>-1343.76544515863</v>
      </c>
      <c r="G155" s="16" t="n">
        <v>5019.9375516572</v>
      </c>
      <c r="H155" s="16" t="n">
        <v>-5514.58395182561</v>
      </c>
      <c r="I155" s="17" t="n">
        <v>0.01</v>
      </c>
      <c r="J155" s="17" t="n">
        <v>0</v>
      </c>
      <c r="K155" s="16" t="s">
        <v>116</v>
      </c>
      <c r="L155" s="16" t="n">
        <v>1000</v>
      </c>
      <c r="M155" s="16" t="n">
        <v>33773.2199921347</v>
      </c>
      <c r="N155" s="16" t="n">
        <v>10435.0847253023</v>
      </c>
      <c r="O155" s="16" t="n">
        <v>1000</v>
      </c>
      <c r="P155" s="16" t="n">
        <v>951.290832135856</v>
      </c>
      <c r="Q155" s="16" t="n">
        <v>-1181.26531238763</v>
      </c>
      <c r="R155" s="16" t="n">
        <v>17617.7170533315</v>
      </c>
      <c r="S155" s="16" t="n">
        <v>26923.5792179548</v>
      </c>
      <c r="T155" s="16" t="n">
        <v>-955.692204749296</v>
      </c>
      <c r="U155" s="16" t="n">
        <v>-5236.86615608406</v>
      </c>
      <c r="V155" s="16" t="n">
        <v>0.750319556751226</v>
      </c>
      <c r="W155" s="16" t="n">
        <v>44145.1398544729</v>
      </c>
      <c r="X155" s="16" t="n">
        <v>22129.128988859</v>
      </c>
      <c r="Y155" s="16" t="n">
        <v>0</v>
      </c>
      <c r="Z155" s="16" t="n">
        <v>0</v>
      </c>
      <c r="AA155" s="16" t="n">
        <v>27.424347870838</v>
      </c>
      <c r="AB155" s="16" t="n">
        <v>25.224347870838</v>
      </c>
      <c r="AC155" s="16" t="n">
        <v>26.674347870838</v>
      </c>
      <c r="AD155" s="16" t="n">
        <v>27.2673434792775</v>
      </c>
      <c r="AE155" s="16" t="n">
        <v>674.686407680941</v>
      </c>
      <c r="AF155" s="16" t="n">
        <v>0.03</v>
      </c>
      <c r="AG155" s="16" t="n">
        <v>0.645813345764207</v>
      </c>
      <c r="AH155" s="16" t="n">
        <v>9819.91719809611</v>
      </c>
      <c r="AI155" s="16" t="n">
        <v>18443.6133977381</v>
      </c>
      <c r="AJ155" s="16" t="n">
        <v>16</v>
      </c>
      <c r="AK155" s="16" t="n">
        <v>0</v>
      </c>
      <c r="AL155" s="16" t="n">
        <v>1000</v>
      </c>
      <c r="AM155" s="16" t="n">
        <v>812.6073</v>
      </c>
      <c r="AN155" s="16" t="n">
        <v>20079.98904</v>
      </c>
      <c r="AO155" s="16" t="n">
        <v>-5508.72242389994</v>
      </c>
      <c r="AP155" s="16" t="n">
        <v>0.414483496940676</v>
      </c>
      <c r="AQ155" s="16" t="n">
        <v>72.4400504161704</v>
      </c>
      <c r="AR155" s="16" t="n">
        <v>515.506418476169</v>
      </c>
      <c r="AS155" s="16" t="n">
        <v>314.925245</v>
      </c>
      <c r="AT155" s="16" t="n">
        <v>1000</v>
      </c>
      <c r="AU155" s="16" t="n">
        <v>12.270507</v>
      </c>
      <c r="AV155" s="16" t="n">
        <v>0</v>
      </c>
      <c r="AW155" s="16" t="n">
        <v>2254.3125</v>
      </c>
      <c r="AX155" s="16" t="n">
        <v>314.925245</v>
      </c>
      <c r="AY155" s="16" t="n">
        <v>314.925245</v>
      </c>
      <c r="AZ155" s="16" t="n">
        <v>5378.26838305987</v>
      </c>
      <c r="BA155" s="16" t="n">
        <v>0</v>
      </c>
      <c r="BB155" s="16" t="n">
        <v>417.928966666667</v>
      </c>
      <c r="BC155" s="16" t="n">
        <v>111332.458953258</v>
      </c>
      <c r="BD155" s="16" t="n">
        <v>15.9471930514857</v>
      </c>
      <c r="BE155" s="16" t="n">
        <v>24.604485673422</v>
      </c>
      <c r="BF155" s="16" t="n">
        <v>38.8323408822245</v>
      </c>
      <c r="BG155" s="16" t="n">
        <v>-8.27711430924607</v>
      </c>
      <c r="BH155" s="16" t="n">
        <v>-7.28866183200638</v>
      </c>
      <c r="BI155" s="16" t="n">
        <v>1.09242813813745</v>
      </c>
      <c r="BJ155" s="16" t="n">
        <v>2.04083187529388</v>
      </c>
      <c r="BK155" s="16" t="n">
        <v>5.25403316350504</v>
      </c>
      <c r="BL155" s="16" t="n">
        <v>7.88491984612206</v>
      </c>
      <c r="BM155" s="16" t="n">
        <v>3.71992671744367</v>
      </c>
      <c r="BN155" s="16" t="n">
        <v>4.46573109600205</v>
      </c>
      <c r="BO155" s="16" t="n">
        <v>5.7791095890411</v>
      </c>
      <c r="BP155" s="16" t="n">
        <v>8712.70308277889</v>
      </c>
      <c r="BQ155" s="16" t="n">
        <v>7865.52699470478</v>
      </c>
      <c r="BR155" s="16" t="n">
        <v>7865.52699470478</v>
      </c>
      <c r="BS155" s="16" t="n">
        <v>515.506418476169</v>
      </c>
      <c r="BT155" s="16" t="n">
        <v>301.7195</v>
      </c>
      <c r="BU155" s="16" t="n">
        <v>1081.9108</v>
      </c>
      <c r="BV155" s="16" t="s">
        <v>3237</v>
      </c>
      <c r="BW155" s="16" t="n">
        <v>42.7692307692308</v>
      </c>
      <c r="BX155" s="16" t="n">
        <v>0.155994305554286</v>
      </c>
      <c r="BY155" s="16" t="n">
        <v>0.161741466184191</v>
      </c>
      <c r="BZ155" s="16" t="n">
        <v>13510.8578038903</v>
      </c>
      <c r="CA155" s="16" t="n">
        <v>19402.010477409</v>
      </c>
      <c r="CB155" s="16" t="n">
        <v>292.176658497736</v>
      </c>
      <c r="CC155" s="16" t="n">
        <v>0</v>
      </c>
      <c r="CD155" s="16" t="n">
        <v>950.69728</v>
      </c>
      <c r="CE155" s="16" t="n">
        <v>12000</v>
      </c>
      <c r="CF155" s="16" t="n">
        <v>24.2227214596965</v>
      </c>
      <c r="CG155" s="16" t="n">
        <v>27.371675249457</v>
      </c>
      <c r="CH155" s="16" t="n">
        <v>2643.77364301215</v>
      </c>
      <c r="CI155" s="16" t="n">
        <v>-6.2083733271085</v>
      </c>
      <c r="CJ155" s="16" t="n">
        <v>3.00594144553374</v>
      </c>
      <c r="CK155" s="16" t="n">
        <v>40866.7540561625</v>
      </c>
      <c r="CL155" s="16" t="n">
        <v>173.512928976169</v>
      </c>
      <c r="CM155" s="16" t="n">
        <v>198.880497226169</v>
      </c>
      <c r="CN155" s="16" t="n">
        <v>1000</v>
      </c>
      <c r="CO155" s="16" t="n">
        <v>1.5535546875</v>
      </c>
      <c r="CP155" s="16" t="n">
        <v>1.09004417261298</v>
      </c>
      <c r="CQ155" s="16" t="n">
        <v>0</v>
      </c>
      <c r="CR155" s="16" t="n">
        <v>81.8572569702725</v>
      </c>
      <c r="CS155" s="16" t="n">
        <v>19.4120452433497</v>
      </c>
      <c r="CT155" s="16" t="n">
        <v>0</v>
      </c>
      <c r="CU155" s="16" t="n">
        <v>0.0113</v>
      </c>
      <c r="CV155" s="16" t="n">
        <v>4050212.90803827</v>
      </c>
      <c r="CW155" s="16" t="n">
        <v>797942.368891408</v>
      </c>
      <c r="CX155" s="16" t="n">
        <v>4848155.27692968</v>
      </c>
      <c r="CY155" s="16" t="n">
        <v>4050212.90803827</v>
      </c>
      <c r="CZ155" s="16" t="n">
        <v>1852.72446572912</v>
      </c>
      <c r="DA155" s="16" t="n">
        <v>24.2227214596965</v>
      </c>
      <c r="DB155" s="16" t="n">
        <v>16522.6017163932</v>
      </c>
      <c r="DC155" s="16" t="n">
        <v>12259.7704735638</v>
      </c>
      <c r="DD155" s="16" t="n">
        <v>11144.3333333333</v>
      </c>
      <c r="DE155" s="16" t="n">
        <v>1921.25</v>
      </c>
      <c r="DF155" s="16" t="n">
        <v>4050527.83328327</v>
      </c>
      <c r="DG155" s="16" t="n">
        <v>198.880497226169</v>
      </c>
      <c r="DH155" s="16" t="n">
        <v>0</v>
      </c>
      <c r="DI155" s="16" t="n">
        <v>19.4127344995484</v>
      </c>
    </row>
    <row r="156" customFormat="false" ht="15" hidden="false" customHeight="false" outlineLevel="0" collapsed="false">
      <c r="A156" s="0" t="s">
        <v>3374</v>
      </c>
      <c r="B156" s="16" t="n">
        <v>2465.07954157611</v>
      </c>
      <c r="C156" s="16" t="n">
        <v>8022.43239594503</v>
      </c>
      <c r="D156" s="16" t="n">
        <v>18952.8866913586</v>
      </c>
      <c r="E156" s="16" t="n">
        <v>4080.51030735709</v>
      </c>
      <c r="F156" s="16" t="n">
        <v>-1260.45535447793</v>
      </c>
      <c r="G156" s="16" t="n">
        <v>5020.06836599722</v>
      </c>
      <c r="H156" s="16" t="n">
        <v>-3642.51167230043</v>
      </c>
      <c r="I156" s="17" t="n">
        <v>0.01</v>
      </c>
      <c r="J156" s="17" t="n">
        <v>0</v>
      </c>
      <c r="K156" s="16" t="s">
        <v>116</v>
      </c>
      <c r="L156" s="16" t="n">
        <v>1000</v>
      </c>
      <c r="M156" s="16" t="n">
        <v>33775.7107654189</v>
      </c>
      <c r="N156" s="16" t="n">
        <v>10822.1324284539</v>
      </c>
      <c r="O156" s="16" t="n">
        <v>1000</v>
      </c>
      <c r="P156" s="16" t="n">
        <v>951.290832135856</v>
      </c>
      <c r="Q156" s="16" t="n">
        <v>-815.785497735054</v>
      </c>
      <c r="R156" s="16" t="n">
        <v>17617.7170533315</v>
      </c>
      <c r="S156" s="16" t="n">
        <v>26933.7646838272</v>
      </c>
      <c r="T156" s="16" t="n">
        <v>-955.692204749296</v>
      </c>
      <c r="U156" s="16" t="n">
        <v>-3364.79387655888</v>
      </c>
      <c r="V156" s="16" t="n">
        <v>0.750319556751226</v>
      </c>
      <c r="W156" s="16" t="n">
        <v>44953.5697998913</v>
      </c>
      <c r="X156" s="16" t="n">
        <v>22137.2679042935</v>
      </c>
      <c r="Y156" s="16" t="n">
        <v>0</v>
      </c>
      <c r="Z156" s="16" t="n">
        <v>0</v>
      </c>
      <c r="AA156" s="16" t="n">
        <v>27.424347870838</v>
      </c>
      <c r="AB156" s="16" t="n">
        <v>25.224347870838</v>
      </c>
      <c r="AC156" s="16" t="n">
        <v>26.674347870838</v>
      </c>
      <c r="AD156" s="16" t="n">
        <v>27.2673434792775</v>
      </c>
      <c r="AE156" s="16" t="n">
        <v>674.686407680941</v>
      </c>
      <c r="AF156" s="16" t="n">
        <v>0.03</v>
      </c>
      <c r="AG156" s="16" t="n">
        <v>0.64936179753127</v>
      </c>
      <c r="AH156" s="16" t="n">
        <v>9819.91719809611</v>
      </c>
      <c r="AI156" s="16" t="n">
        <v>18952.8866913586</v>
      </c>
      <c r="AJ156" s="16" t="n">
        <v>16.2767</v>
      </c>
      <c r="AK156" s="16" t="n">
        <v>0</v>
      </c>
      <c r="AL156" s="16" t="n">
        <v>1000</v>
      </c>
      <c r="AM156" s="16" t="n">
        <v>812.6073</v>
      </c>
      <c r="AN156" s="16" t="n">
        <v>20079.98904</v>
      </c>
      <c r="AO156" s="16" t="n">
        <v>-5508.72242389994</v>
      </c>
      <c r="AP156" s="16" t="n">
        <v>0.414483496940676</v>
      </c>
      <c r="AQ156" s="16" t="n">
        <v>74.9462564396917</v>
      </c>
      <c r="AR156" s="16" t="n">
        <v>511.89383285802</v>
      </c>
      <c r="AS156" s="16" t="n">
        <v>314.925245</v>
      </c>
      <c r="AT156" s="16" t="n">
        <v>1000</v>
      </c>
      <c r="AU156" s="16" t="n">
        <v>12.270507</v>
      </c>
      <c r="AV156" s="16" t="n">
        <v>0</v>
      </c>
      <c r="AW156" s="16" t="n">
        <v>2254.3125</v>
      </c>
      <c r="AX156" s="16" t="n">
        <v>314.925245</v>
      </c>
      <c r="AY156" s="16" t="n">
        <v>314.925245</v>
      </c>
      <c r="AZ156" s="16" t="n">
        <v>5483.06174299578</v>
      </c>
      <c r="BA156" s="16" t="n">
        <v>0</v>
      </c>
      <c r="BB156" s="16" t="n">
        <v>417.928966666667</v>
      </c>
      <c r="BC156" s="16" t="n">
        <v>111376.238243791</v>
      </c>
      <c r="BD156" s="16" t="n">
        <v>16.279949353496</v>
      </c>
      <c r="BE156" s="16" t="n">
        <v>24.9372419754324</v>
      </c>
      <c r="BF156" s="16" t="n">
        <v>39.1650971842348</v>
      </c>
      <c r="BG156" s="16" t="n">
        <v>-8.27711430924607</v>
      </c>
      <c r="BH156" s="16" t="n">
        <v>-7.28866183200638</v>
      </c>
      <c r="BI156" s="16" t="n">
        <v>1.09242813813745</v>
      </c>
      <c r="BJ156" s="16" t="n">
        <v>2.04083187529388</v>
      </c>
      <c r="BK156" s="16" t="n">
        <v>5.25403316350504</v>
      </c>
      <c r="BL156" s="16" t="n">
        <v>7.88491984612206</v>
      </c>
      <c r="BM156" s="16" t="n">
        <v>3.71992671744367</v>
      </c>
      <c r="BN156" s="16" t="n">
        <v>4.46573109600205</v>
      </c>
      <c r="BO156" s="16" t="n">
        <v>5.7791095890411</v>
      </c>
      <c r="BP156" s="16" t="n">
        <v>8712.70308277889</v>
      </c>
      <c r="BQ156" s="16" t="n">
        <v>7990.0656589148</v>
      </c>
      <c r="BR156" s="16" t="n">
        <v>7990.0656589148</v>
      </c>
      <c r="BS156" s="16" t="n">
        <v>511.89383285802</v>
      </c>
      <c r="BT156" s="16" t="n">
        <v>301.7195</v>
      </c>
      <c r="BU156" s="16" t="n">
        <v>1081.9108</v>
      </c>
      <c r="BV156" s="16" t="s">
        <v>3237</v>
      </c>
      <c r="BW156" s="16" t="n">
        <v>42.7692307692308</v>
      </c>
      <c r="BX156" s="16" t="n">
        <v>0.155994305554286</v>
      </c>
      <c r="BY156" s="16" t="n">
        <v>0.161741466184191</v>
      </c>
      <c r="BZ156" s="16" t="n">
        <v>13510.8578038903</v>
      </c>
      <c r="CA156" s="16" t="n">
        <v>19402.010477409</v>
      </c>
      <c r="CB156" s="16" t="n">
        <v>286.707234065617</v>
      </c>
      <c r="CC156" s="16" t="n">
        <v>0</v>
      </c>
      <c r="CD156" s="16" t="n">
        <v>950.69728</v>
      </c>
      <c r="CE156" s="16" t="n">
        <v>12000</v>
      </c>
      <c r="CF156" s="16" t="n">
        <v>24.2446542342715</v>
      </c>
      <c r="CG156" s="16" t="n">
        <v>27.3964592847267</v>
      </c>
      <c r="CH156" s="16" t="n">
        <v>2643.77364301215</v>
      </c>
      <c r="CI156" s="16" t="n">
        <v>-6.2083733271085</v>
      </c>
      <c r="CJ156" s="16" t="n">
        <v>3.00594144553374</v>
      </c>
      <c r="CK156" s="16" t="n">
        <v>40015.897299638</v>
      </c>
      <c r="CL156" s="16" t="n">
        <v>169.90034335802</v>
      </c>
      <c r="CM156" s="16" t="n">
        <v>195.26791160802</v>
      </c>
      <c r="CN156" s="16" t="n">
        <v>1000</v>
      </c>
      <c r="CO156" s="16" t="n">
        <v>1.5535546875</v>
      </c>
      <c r="CP156" s="16" t="n">
        <v>1.09004417261298</v>
      </c>
      <c r="CQ156" s="16" t="n">
        <v>0</v>
      </c>
      <c r="CR156" s="16" t="n">
        <v>84.6892697768516</v>
      </c>
      <c r="CS156" s="16" t="n">
        <v>23.7233928521564</v>
      </c>
      <c r="CT156" s="16" t="n">
        <v>0</v>
      </c>
      <c r="CU156" s="16" t="n">
        <v>0.0113</v>
      </c>
      <c r="CV156" s="16" t="n">
        <v>3974915.84993876</v>
      </c>
      <c r="CW156" s="16" t="n">
        <v>797942.368891408</v>
      </c>
      <c r="CX156" s="16" t="n">
        <v>4772858.21883017</v>
      </c>
      <c r="CY156" s="16" t="n">
        <v>3974915.84993876</v>
      </c>
      <c r="CZ156" s="16" t="n">
        <v>1507.43161882729</v>
      </c>
      <c r="DA156" s="16" t="n">
        <v>24.2446542342715</v>
      </c>
      <c r="DB156" s="16" t="n">
        <v>16627.3950763291</v>
      </c>
      <c r="DC156" s="16" t="n">
        <v>12337.5271466362</v>
      </c>
      <c r="DD156" s="16" t="n">
        <v>11144.3333333333</v>
      </c>
      <c r="DE156" s="16" t="n">
        <v>1921.25</v>
      </c>
      <c r="DF156" s="16" t="n">
        <v>3975230.77518376</v>
      </c>
      <c r="DG156" s="16" t="n">
        <v>195.26791160802</v>
      </c>
      <c r="DH156" s="16" t="n">
        <v>0</v>
      </c>
      <c r="DI156" s="16" t="n">
        <v>23.7235875896513</v>
      </c>
    </row>
    <row r="157" customFormat="false" ht="15" hidden="false" customHeight="false" outlineLevel="0" collapsed="false">
      <c r="A157" s="0" t="s">
        <v>3375</v>
      </c>
      <c r="B157" s="16" t="n">
        <v>2465.07954157611</v>
      </c>
      <c r="C157" s="16" t="n">
        <v>8520.58705278511</v>
      </c>
      <c r="D157" s="16" t="n">
        <v>20989.9798658406</v>
      </c>
      <c r="E157" s="16" t="n">
        <v>4434.20011371354</v>
      </c>
      <c r="F157" s="16" t="n">
        <v>-927.214991755157</v>
      </c>
      <c r="G157" s="16" t="n">
        <v>5020.59162335729</v>
      </c>
      <c r="H157" s="16" t="n">
        <v>5391.26757957381</v>
      </c>
      <c r="I157" s="17" t="n">
        <v>18.0010509329456</v>
      </c>
      <c r="J157" s="17" t="n">
        <v>25.7006171488776</v>
      </c>
      <c r="K157" s="16" t="s">
        <v>116</v>
      </c>
      <c r="L157" s="16" t="n">
        <v>1000</v>
      </c>
      <c r="M157" s="16" t="n">
        <v>33785.6738585557</v>
      </c>
      <c r="N157" s="16" t="n">
        <v>12370.3232410602</v>
      </c>
      <c r="O157" s="16" t="n">
        <v>1000</v>
      </c>
      <c r="P157" s="16" t="n">
        <v>951.290832135856</v>
      </c>
      <c r="Q157" s="16" t="n">
        <v>646.133760875227</v>
      </c>
      <c r="R157" s="16" t="n">
        <v>17617.7170533315</v>
      </c>
      <c r="S157" s="16" t="n">
        <v>26974.5065473168</v>
      </c>
      <c r="T157" s="16" t="n">
        <v>-955.692204749296</v>
      </c>
      <c r="U157" s="16" t="n">
        <v>5668.98537531536</v>
      </c>
      <c r="V157" s="16" t="n">
        <v>0.750319556751226</v>
      </c>
      <c r="W157" s="16" t="n">
        <v>50039.6398490556</v>
      </c>
      <c r="X157" s="16" t="n">
        <v>22169.8235660314</v>
      </c>
      <c r="Y157" s="16" t="n">
        <v>24.1771068822865</v>
      </c>
      <c r="Z157" s="16" t="n">
        <v>32.8171180374018</v>
      </c>
      <c r="AA157" s="16" t="n">
        <v>27.424347870838</v>
      </c>
      <c r="AB157" s="16" t="n">
        <v>25.224347870838</v>
      </c>
      <c r="AC157" s="16" t="n">
        <v>26.674347870838</v>
      </c>
      <c r="AD157" s="16" t="n">
        <v>27.2673434792775</v>
      </c>
      <c r="AE157" s="16" t="n">
        <v>674.686407680941</v>
      </c>
      <c r="AF157" s="16" t="n">
        <v>0.03</v>
      </c>
      <c r="AG157" s="16" t="n">
        <v>0.662143845727379</v>
      </c>
      <c r="AH157" s="16" t="n">
        <v>9819.91719809611</v>
      </c>
      <c r="AI157" s="16" t="n">
        <v>20989.9798658406</v>
      </c>
      <c r="AJ157" s="16" t="n">
        <v>17.3835</v>
      </c>
      <c r="AK157" s="16" t="n">
        <v>0</v>
      </c>
      <c r="AL157" s="16" t="n">
        <v>1000</v>
      </c>
      <c r="AM157" s="16" t="n">
        <v>812.6073</v>
      </c>
      <c r="AN157" s="16" t="n">
        <v>20079.98904</v>
      </c>
      <c r="AO157" s="16" t="n">
        <v>-5508.72242389994</v>
      </c>
      <c r="AP157" s="16" t="n">
        <v>0.414483496940676</v>
      </c>
      <c r="AQ157" s="16" t="n">
        <v>88.5588097888008</v>
      </c>
      <c r="AR157" s="16" t="n">
        <v>497.838985946269</v>
      </c>
      <c r="AS157" s="16" t="n">
        <v>314.925245</v>
      </c>
      <c r="AT157" s="16" t="n">
        <v>1000</v>
      </c>
      <c r="AU157" s="16" t="n">
        <v>12.270507</v>
      </c>
      <c r="AV157" s="16" t="n">
        <v>0</v>
      </c>
      <c r="AW157" s="16" t="n">
        <v>2254.3125</v>
      </c>
      <c r="AX157" s="16" t="n">
        <v>314.925245</v>
      </c>
      <c r="AY157" s="16" t="n">
        <v>314.925245</v>
      </c>
      <c r="AZ157" s="16" t="n">
        <v>5858.69097011371</v>
      </c>
      <c r="BA157" s="16" t="n">
        <v>0</v>
      </c>
      <c r="BB157" s="16" t="n">
        <v>417.928966666667</v>
      </c>
      <c r="BC157" s="16" t="n">
        <v>111551.35540592</v>
      </c>
      <c r="BD157" s="16" t="n">
        <v>17.4727061523926</v>
      </c>
      <c r="BE157" s="16" t="n">
        <v>26.129998774329</v>
      </c>
      <c r="BF157" s="16" t="n">
        <v>40.3578539831314</v>
      </c>
      <c r="BG157" s="16" t="n">
        <v>-8.27711430924607</v>
      </c>
      <c r="BH157" s="16" t="n">
        <v>-7.28866183200638</v>
      </c>
      <c r="BI157" s="16" t="n">
        <v>1.09242813813745</v>
      </c>
      <c r="BJ157" s="16" t="n">
        <v>2.04083187529388</v>
      </c>
      <c r="BK157" s="16" t="n">
        <v>5.25403316350504</v>
      </c>
      <c r="BL157" s="16" t="n">
        <v>7.88491984612206</v>
      </c>
      <c r="BM157" s="16" t="n">
        <v>3.71992671744367</v>
      </c>
      <c r="BN157" s="16" t="n">
        <v>4.46573109600205</v>
      </c>
      <c r="BO157" s="16" t="n">
        <v>5.7791095890411</v>
      </c>
      <c r="BP157" s="16" t="n">
        <v>8712.70308277889</v>
      </c>
      <c r="BQ157" s="16" t="n">
        <v>8488.22031575488</v>
      </c>
      <c r="BR157" s="16" t="n">
        <v>8488.22031575487</v>
      </c>
      <c r="BS157" s="16" t="n">
        <v>497.838985946269</v>
      </c>
      <c r="BT157" s="16" t="n">
        <v>301.7195</v>
      </c>
      <c r="BU157" s="16" t="n">
        <v>1081.9108</v>
      </c>
      <c r="BV157" s="16" t="s">
        <v>3237</v>
      </c>
      <c r="BW157" s="16" t="n">
        <v>42.7692307692308</v>
      </c>
      <c r="BX157" s="16" t="n">
        <v>0.155994305554286</v>
      </c>
      <c r="BY157" s="16" t="n">
        <v>0.161741466184191</v>
      </c>
      <c r="BZ157" s="16" t="n">
        <v>13510.8578038903</v>
      </c>
      <c r="CA157" s="16" t="n">
        <v>19402.010477409</v>
      </c>
      <c r="CB157" s="16" t="n">
        <v>265.42416709283</v>
      </c>
      <c r="CC157" s="16" t="n">
        <v>0</v>
      </c>
      <c r="CD157" s="16" t="n">
        <v>950.69728</v>
      </c>
      <c r="CE157" s="16" t="n">
        <v>12000</v>
      </c>
      <c r="CF157" s="16" t="n">
        <v>24.2281449959209</v>
      </c>
      <c r="CG157" s="16" t="n">
        <v>27.3778038453906</v>
      </c>
      <c r="CH157" s="16" t="n">
        <v>2643.77364301215</v>
      </c>
      <c r="CI157" s="16" t="n">
        <v>-6.2083733271085</v>
      </c>
      <c r="CJ157" s="16" t="n">
        <v>3.00594144553374</v>
      </c>
      <c r="CK157" s="16" t="n">
        <v>36705.6196423551</v>
      </c>
      <c r="CL157" s="16" t="n">
        <v>155.845496446269</v>
      </c>
      <c r="CM157" s="16" t="n">
        <v>181.213064696269</v>
      </c>
      <c r="CN157" s="16" t="n">
        <v>1000</v>
      </c>
      <c r="CO157" s="16" t="n">
        <v>1.5535546875</v>
      </c>
      <c r="CP157" s="16" t="n">
        <v>1.09004417261298</v>
      </c>
      <c r="CQ157" s="16" t="n">
        <v>25.7006171488776</v>
      </c>
      <c r="CR157" s="16" t="n">
        <v>100.071455061345</v>
      </c>
      <c r="CS157" s="16" t="n">
        <v>46.6561555000837</v>
      </c>
      <c r="CT157" s="16" t="n">
        <v>22.7439089813076</v>
      </c>
      <c r="CU157" s="16" t="n">
        <v>25.7006171488776</v>
      </c>
      <c r="CV157" s="16" t="n">
        <v>1618.88219282867</v>
      </c>
      <c r="CW157" s="16" t="n">
        <v>350.837830712041</v>
      </c>
      <c r="CX157" s="16" t="n">
        <v>1969.72002354071</v>
      </c>
      <c r="CY157" s="16" t="n">
        <v>1618.88219282867</v>
      </c>
      <c r="CZ157" s="16" t="n">
        <v>750.315644794218</v>
      </c>
      <c r="DA157" s="16" t="n">
        <v>24.2281449959209</v>
      </c>
      <c r="DB157" s="16" t="n">
        <v>17003.024303447</v>
      </c>
      <c r="DC157" s="16" t="n">
        <v>12616.2440331577</v>
      </c>
      <c r="DD157" s="16" t="n">
        <v>11144.3333333333</v>
      </c>
      <c r="DE157" s="16" t="n">
        <v>1921.25</v>
      </c>
      <c r="DF157" s="16" t="n">
        <v>1933.80743782867</v>
      </c>
      <c r="DG157" s="16" t="n">
        <v>181.213064696269</v>
      </c>
      <c r="DH157" s="16" t="n">
        <v>0</v>
      </c>
      <c r="DI157" s="16" t="n">
        <v>46.6561558348762</v>
      </c>
    </row>
    <row r="158" customFormat="false" ht="15" hidden="false" customHeight="false" outlineLevel="0" collapsed="false">
      <c r="A158" s="0" t="s">
        <v>3376</v>
      </c>
      <c r="B158" s="16" t="n">
        <v>2465.07954157611</v>
      </c>
      <c r="C158" s="16" t="n">
        <v>8222.86164777595</v>
      </c>
      <c r="D158" s="16" t="n">
        <v>20503.5544181404</v>
      </c>
      <c r="E158" s="16" t="n">
        <v>4222.81507615703</v>
      </c>
      <c r="F158" s="16" t="n">
        <v>-1126.36397726125</v>
      </c>
      <c r="G158" s="16" t="n">
        <v>5020.26458750724</v>
      </c>
      <c r="H158" s="16" t="n">
        <v>11923.0060952168</v>
      </c>
      <c r="I158" s="17" t="n">
        <v>38.7416508668855</v>
      </c>
      <c r="J158" s="17" t="n">
        <v>49.3483571958967</v>
      </c>
      <c r="K158" s="16" t="s">
        <v>116</v>
      </c>
      <c r="L158" s="16" t="n">
        <v>1000</v>
      </c>
      <c r="M158" s="16" t="n">
        <v>33779.7193504555</v>
      </c>
      <c r="N158" s="16" t="n">
        <v>12000.639900808</v>
      </c>
      <c r="O158" s="16" t="n">
        <v>1000</v>
      </c>
      <c r="P158" s="16" t="n">
        <v>951.290832135856</v>
      </c>
      <c r="Q158" s="16" t="n">
        <v>297.985895382794</v>
      </c>
      <c r="R158" s="16" t="n">
        <v>17617.7170533315</v>
      </c>
      <c r="S158" s="16" t="n">
        <v>26964.7780383628</v>
      </c>
      <c r="T158" s="16" t="n">
        <v>-955.692204749296</v>
      </c>
      <c r="U158" s="16" t="n">
        <v>12200.7238909584</v>
      </c>
      <c r="V158" s="16" t="n">
        <v>0.750319556751226</v>
      </c>
      <c r="W158" s="16" t="n">
        <v>56455.934905782</v>
      </c>
      <c r="X158" s="16" t="n">
        <v>22171.0084618978</v>
      </c>
      <c r="Y158" s="16" t="n">
        <v>46.4230294346279</v>
      </c>
      <c r="Z158" s="16" t="n">
        <v>63.0129173034404</v>
      </c>
      <c r="AA158" s="16" t="n">
        <v>27.424347870838</v>
      </c>
      <c r="AB158" s="16" t="n">
        <v>25.224347870838</v>
      </c>
      <c r="AC158" s="16" t="n">
        <v>26.674347870838</v>
      </c>
      <c r="AD158" s="16" t="n">
        <v>27.2673434792775</v>
      </c>
      <c r="AE158" s="16" t="n">
        <v>674.686407680941</v>
      </c>
      <c r="AF158" s="16" t="n">
        <v>0.03</v>
      </c>
      <c r="AG158" s="16" t="n">
        <v>0.666004675691142</v>
      </c>
      <c r="AH158" s="16" t="n">
        <v>9819.91719809611</v>
      </c>
      <c r="AI158" s="16" t="n">
        <v>20503.5544181404</v>
      </c>
      <c r="AJ158" s="16" t="n">
        <v>16.69175</v>
      </c>
      <c r="AK158" s="16" t="n">
        <v>0</v>
      </c>
      <c r="AL158" s="16" t="n">
        <v>1000</v>
      </c>
      <c r="AM158" s="16" t="n">
        <v>812.6073</v>
      </c>
      <c r="AN158" s="16" t="n">
        <v>20079.98904</v>
      </c>
      <c r="AO158" s="16" t="n">
        <v>-5508.72242389994</v>
      </c>
      <c r="AP158" s="16" t="n">
        <v>0.414483496940676</v>
      </c>
      <c r="AQ158" s="16" t="n">
        <v>102.078533642294</v>
      </c>
      <c r="AR158" s="16" t="n">
        <v>500.894543056558</v>
      </c>
      <c r="AS158" s="16" t="n">
        <v>314.925245</v>
      </c>
      <c r="AT158" s="16" t="n">
        <v>1000</v>
      </c>
      <c r="AU158" s="16" t="n">
        <v>12.270507</v>
      </c>
      <c r="AV158" s="16" t="n">
        <v>0</v>
      </c>
      <c r="AW158" s="16" t="n">
        <v>2254.3125</v>
      </c>
      <c r="AX158" s="16" t="n">
        <v>314.925245</v>
      </c>
      <c r="AY158" s="16" t="n">
        <v>314.925245</v>
      </c>
      <c r="AZ158" s="16" t="n">
        <v>5824.84535533195</v>
      </c>
      <c r="BA158" s="16" t="n">
        <v>0</v>
      </c>
      <c r="BB158" s="16" t="n">
        <v>417.928966666667</v>
      </c>
      <c r="BC158" s="16" t="n">
        <v>111563.521259415</v>
      </c>
      <c r="BD158" s="16" t="n">
        <v>17.3652342513014</v>
      </c>
      <c r="BE158" s="16" t="n">
        <v>26.0225268732378</v>
      </c>
      <c r="BF158" s="16" t="n">
        <v>40.2503820820402</v>
      </c>
      <c r="BG158" s="16" t="n">
        <v>-8.27711430924607</v>
      </c>
      <c r="BH158" s="16" t="n">
        <v>-7.28866183200638</v>
      </c>
      <c r="BI158" s="16" t="n">
        <v>1.09242813813745</v>
      </c>
      <c r="BJ158" s="16" t="n">
        <v>2.04083187529388</v>
      </c>
      <c r="BK158" s="16" t="n">
        <v>5.25403316350504</v>
      </c>
      <c r="BL158" s="16" t="n">
        <v>7.88491984612206</v>
      </c>
      <c r="BM158" s="16" t="n">
        <v>3.71992671744367</v>
      </c>
      <c r="BN158" s="16" t="n">
        <v>4.46573109600205</v>
      </c>
      <c r="BO158" s="16" t="n">
        <v>5.7791095890411</v>
      </c>
      <c r="BP158" s="16" t="n">
        <v>8712.70308277889</v>
      </c>
      <c r="BQ158" s="16" t="n">
        <v>8190.49491074571</v>
      </c>
      <c r="BR158" s="16" t="n">
        <v>8190.49491074571</v>
      </c>
      <c r="BS158" s="16" t="n">
        <v>500.894543056558</v>
      </c>
      <c r="BT158" s="16" t="n">
        <v>301.7195</v>
      </c>
      <c r="BU158" s="16" t="n">
        <v>1081.9108</v>
      </c>
      <c r="BV158" s="16" t="s">
        <v>3238</v>
      </c>
      <c r="BW158" s="16" t="n">
        <v>42.7692307692308</v>
      </c>
      <c r="BX158" s="16" t="n">
        <v>0.155994305554286</v>
      </c>
      <c r="BY158" s="16" t="n">
        <v>0.161741466184191</v>
      </c>
      <c r="BZ158" s="16" t="n">
        <v>13510.8578038903</v>
      </c>
      <c r="CA158" s="16" t="n">
        <v>19402.010477409</v>
      </c>
      <c r="CB158" s="16" t="n">
        <v>269.62734170507</v>
      </c>
      <c r="CC158" s="16" t="n">
        <v>0</v>
      </c>
      <c r="CD158" s="16" t="n">
        <v>950.69728</v>
      </c>
      <c r="CE158" s="16" t="n">
        <v>12000</v>
      </c>
      <c r="CF158" s="16" t="n">
        <v>24.3072767423226</v>
      </c>
      <c r="CG158" s="16" t="n">
        <v>27.4672227188245</v>
      </c>
      <c r="CH158" s="16" t="n">
        <v>2643.77364301215</v>
      </c>
      <c r="CI158" s="16" t="n">
        <v>-6.2083733271085</v>
      </c>
      <c r="CJ158" s="16" t="n">
        <v>3.00594144553374</v>
      </c>
      <c r="CK158" s="16" t="n">
        <v>37216.4335294873</v>
      </c>
      <c r="CL158" s="16" t="n">
        <v>158.014320855377</v>
      </c>
      <c r="CM158" s="16" t="n">
        <v>183.381889105377</v>
      </c>
      <c r="CN158" s="16" t="n">
        <v>1000</v>
      </c>
      <c r="CO158" s="16" t="n">
        <v>1.5535546875</v>
      </c>
      <c r="CP158" s="16" t="n">
        <v>1.09004417261298</v>
      </c>
      <c r="CQ158" s="16" t="n">
        <v>49.3483571958967</v>
      </c>
      <c r="CR158" s="16" t="n">
        <v>115.348743015792</v>
      </c>
      <c r="CS158" s="16" t="n">
        <v>66.6234481448447</v>
      </c>
      <c r="CT158" s="16" t="n">
        <v>43.6711125627404</v>
      </c>
      <c r="CU158" s="16" t="n">
        <v>49.3483571958967</v>
      </c>
      <c r="CV158" s="16" t="n">
        <v>853.464790468432</v>
      </c>
      <c r="CW158" s="16" t="n">
        <v>182.716290487227</v>
      </c>
      <c r="CX158" s="16" t="n">
        <v>1036.18108095566</v>
      </c>
      <c r="CY158" s="16" t="n">
        <v>853.464790468432</v>
      </c>
      <c r="CZ158" s="16" t="n">
        <v>550.599620715804</v>
      </c>
      <c r="DA158" s="16" t="n">
        <v>24.3072767423226</v>
      </c>
      <c r="DB158" s="16" t="n">
        <v>16969.1786886653</v>
      </c>
      <c r="DC158" s="16" t="n">
        <v>12591.1305869896</v>
      </c>
      <c r="DD158" s="16" t="n">
        <v>11144.3333333333</v>
      </c>
      <c r="DE158" s="16" t="n">
        <v>1921.25</v>
      </c>
      <c r="DF158" s="16" t="n">
        <v>1168.39003546843</v>
      </c>
      <c r="DG158" s="16" t="n">
        <v>183.381889105377</v>
      </c>
      <c r="DH158" s="16" t="n">
        <v>0</v>
      </c>
      <c r="DI158" s="16" t="n">
        <v>66.6234481488227</v>
      </c>
    </row>
    <row r="159" customFormat="false" ht="15" hidden="false" customHeight="false" outlineLevel="0" collapsed="false">
      <c r="A159" s="0" t="s">
        <v>3377</v>
      </c>
      <c r="B159" s="16" t="n">
        <v>2465.07954157611</v>
      </c>
      <c r="C159" s="16" t="n">
        <v>8250.10415880771</v>
      </c>
      <c r="D159" s="16" t="n">
        <v>22077.0699908424</v>
      </c>
      <c r="E159" s="16" t="n">
        <v>4242.15725898959</v>
      </c>
      <c r="F159" s="16" t="n">
        <v>-1108.11149486996</v>
      </c>
      <c r="G159" s="16" t="n">
        <v>5020.26458750724</v>
      </c>
      <c r="H159" s="16" t="n">
        <v>42998.0519795934</v>
      </c>
      <c r="I159" s="17" t="n">
        <v>135.526535251347</v>
      </c>
      <c r="J159" s="17" t="n">
        <v>158.091808345342</v>
      </c>
      <c r="K159" s="16" t="s">
        <v>116</v>
      </c>
      <c r="L159" s="16" t="n">
        <v>1000</v>
      </c>
      <c r="M159" s="16" t="n">
        <v>33780.2642006762</v>
      </c>
      <c r="N159" s="16" t="n">
        <v>13196.5117360616</v>
      </c>
      <c r="O159" s="16" t="n">
        <v>1000</v>
      </c>
      <c r="P159" s="16" t="n">
        <v>951.290832135856</v>
      </c>
      <c r="Q159" s="16" t="n">
        <v>1429.08923766077</v>
      </c>
      <c r="R159" s="16" t="n">
        <v>17617.7170533315</v>
      </c>
      <c r="S159" s="16" t="n">
        <v>26996.2483498168</v>
      </c>
      <c r="T159" s="16" t="n">
        <v>-955.692204749296</v>
      </c>
      <c r="U159" s="16" t="n">
        <v>43457.6768110402</v>
      </c>
      <c r="V159" s="16" t="n">
        <v>0.750319556751226</v>
      </c>
      <c r="W159" s="16" t="n">
        <v>82477.4866212523</v>
      </c>
      <c r="X159" s="16" t="n">
        <v>23196.9977319441</v>
      </c>
      <c r="Y159" s="16" t="n">
        <v>148.720263230964</v>
      </c>
      <c r="Z159" s="16" t="n">
        <v>201.867430076168</v>
      </c>
      <c r="AA159" s="16" t="n">
        <v>27.424347870838</v>
      </c>
      <c r="AB159" s="16" t="n">
        <v>25.224347870838</v>
      </c>
      <c r="AC159" s="16" t="n">
        <v>26.674347870838</v>
      </c>
      <c r="AD159" s="16" t="n">
        <v>27.2673434792775</v>
      </c>
      <c r="AE159" s="16" t="n">
        <v>674.686407680941</v>
      </c>
      <c r="AF159" s="16" t="n">
        <v>0.03</v>
      </c>
      <c r="AG159" s="16" t="n">
        <v>0.684687510703612</v>
      </c>
      <c r="AH159" s="16" t="n">
        <v>9819.91719809611</v>
      </c>
      <c r="AI159" s="16" t="n">
        <v>22077.0699908424</v>
      </c>
      <c r="AJ159" s="16" t="n">
        <v>16.69175</v>
      </c>
      <c r="AK159" s="16" t="n">
        <v>0</v>
      </c>
      <c r="AL159" s="16" t="n">
        <v>1000</v>
      </c>
      <c r="AM159" s="16" t="n">
        <v>812.6073</v>
      </c>
      <c r="AN159" s="16" t="n">
        <v>20079.98904</v>
      </c>
      <c r="AO159" s="16" t="n">
        <v>-5508.72242389994</v>
      </c>
      <c r="AP159" s="16" t="n">
        <v>0.414483496940676</v>
      </c>
      <c r="AQ159" s="16" t="n">
        <v>161.601337235242</v>
      </c>
      <c r="AR159" s="16" t="n">
        <v>503.330618478336</v>
      </c>
      <c r="AS159" s="16" t="n">
        <v>320.658066927217</v>
      </c>
      <c r="AT159" s="16" t="n">
        <v>1000</v>
      </c>
      <c r="AU159" s="16" t="n">
        <v>12.270507</v>
      </c>
      <c r="AV159" s="16" t="n">
        <v>0</v>
      </c>
      <c r="AW159" s="16" t="n">
        <v>2254.3125</v>
      </c>
      <c r="AX159" s="16" t="n">
        <v>320.658066927217</v>
      </c>
      <c r="AY159" s="16" t="n">
        <v>319.315842429499</v>
      </c>
      <c r="AZ159" s="16" t="n">
        <v>6147.07277802129</v>
      </c>
      <c r="BA159" s="16" t="n">
        <v>0</v>
      </c>
      <c r="BB159" s="16" t="n">
        <v>417.928966666667</v>
      </c>
      <c r="BC159" s="16" t="n">
        <v>111806.749419066</v>
      </c>
      <c r="BD159" s="16" t="n">
        <v>18.38842127046</v>
      </c>
      <c r="BE159" s="16" t="n">
        <v>27.0457138923964</v>
      </c>
      <c r="BF159" s="16" t="n">
        <v>41.2735691011988</v>
      </c>
      <c r="BG159" s="16" t="n">
        <v>-8.27711430924607</v>
      </c>
      <c r="BH159" s="16" t="n">
        <v>-7.28866183200638</v>
      </c>
      <c r="BI159" s="16" t="n">
        <v>1.09242813813745</v>
      </c>
      <c r="BJ159" s="16" t="n">
        <v>2.04083187529388</v>
      </c>
      <c r="BK159" s="16" t="n">
        <v>5.25403316350504</v>
      </c>
      <c r="BL159" s="16" t="n">
        <v>7.88491984612206</v>
      </c>
      <c r="BM159" s="16" t="n">
        <v>3.71992671744367</v>
      </c>
      <c r="BN159" s="16" t="n">
        <v>4.46573109600205</v>
      </c>
      <c r="BO159" s="16" t="n">
        <v>5.7791095890411</v>
      </c>
      <c r="BP159" s="16" t="n">
        <v>8712.70308277889</v>
      </c>
      <c r="BQ159" s="16" t="n">
        <v>8217.73742177748</v>
      </c>
      <c r="BR159" s="16" t="n">
        <v>8217.73742177748</v>
      </c>
      <c r="BS159" s="16" t="n">
        <v>503.330618478336</v>
      </c>
      <c r="BT159" s="16" t="n">
        <v>301.7195</v>
      </c>
      <c r="BU159" s="16" t="n">
        <v>1081.9108</v>
      </c>
      <c r="BV159" s="16" t="s">
        <v>3238</v>
      </c>
      <c r="BW159" s="16" t="n">
        <v>42.7692307692308</v>
      </c>
      <c r="BX159" s="16" t="n">
        <v>0.155994305554286</v>
      </c>
      <c r="BY159" s="16" t="n">
        <v>0.161741466184191</v>
      </c>
      <c r="BZ159" s="16" t="n">
        <v>13328.9507681851</v>
      </c>
      <c r="CA159" s="16" t="n">
        <v>17650.5211594716</v>
      </c>
      <c r="CB159" s="16" t="n">
        <v>260.663102289677</v>
      </c>
      <c r="CC159" s="16" t="n">
        <v>0</v>
      </c>
      <c r="CD159" s="16" t="n">
        <v>950.69728</v>
      </c>
      <c r="CE159" s="16" t="n">
        <v>12000</v>
      </c>
      <c r="CF159" s="16" t="n">
        <v>24.3740128587016</v>
      </c>
      <c r="CG159" s="16" t="n">
        <v>27.5426345303328</v>
      </c>
      <c r="CH159" s="16" t="n">
        <v>2643.77364301215</v>
      </c>
      <c r="CI159" s="16" t="n">
        <v>-6.2083733271085</v>
      </c>
      <c r="CJ159" s="16" t="n">
        <v>3.00594144553374</v>
      </c>
      <c r="CK159" s="16" t="n">
        <v>34598.2188800734</v>
      </c>
      <c r="CL159" s="16" t="n">
        <v>146.897849704187</v>
      </c>
      <c r="CM159" s="16" t="n">
        <v>172.265417954187</v>
      </c>
      <c r="CN159" s="16" t="n">
        <v>1000</v>
      </c>
      <c r="CO159" s="16" t="n">
        <v>1.5535546875</v>
      </c>
      <c r="CP159" s="16" t="n">
        <v>1.09004417261298</v>
      </c>
      <c r="CQ159" s="16" t="n">
        <v>158.091808345342</v>
      </c>
      <c r="CR159" s="16" t="n">
        <v>182.609511075824</v>
      </c>
      <c r="CS159" s="16" t="n">
        <v>161.664234997933</v>
      </c>
      <c r="CT159" s="16" t="n">
        <v>139.904255172869</v>
      </c>
      <c r="CU159" s="16" t="n">
        <v>158.091808345342</v>
      </c>
      <c r="CV159" s="16" t="n">
        <v>250.898016688317</v>
      </c>
      <c r="CW159" s="16" t="n">
        <v>57.0348891751326</v>
      </c>
      <c r="CX159" s="16" t="n">
        <v>307.932905863449</v>
      </c>
      <c r="CY159" s="16" t="n">
        <v>250.898016688317</v>
      </c>
      <c r="CZ159" s="16" t="n">
        <v>237.956188890028</v>
      </c>
      <c r="DA159" s="16" t="n">
        <v>24.3740128587016</v>
      </c>
      <c r="DB159" s="16" t="n">
        <v>17291.4061113546</v>
      </c>
      <c r="DC159" s="16" t="n">
        <v>12830.2233346251</v>
      </c>
      <c r="DD159" s="16" t="n">
        <v>11144.3333333333</v>
      </c>
      <c r="DE159" s="16" t="n">
        <v>1818.4375</v>
      </c>
      <c r="DF159" s="16" t="n">
        <v>581.389757709914</v>
      </c>
      <c r="DG159" s="16" t="n">
        <v>172.265417954187</v>
      </c>
      <c r="DH159" s="16" t="n">
        <v>0</v>
      </c>
      <c r="DI159" s="16" t="n">
        <v>161.664234997933</v>
      </c>
    </row>
    <row r="160" customFormat="false" ht="15" hidden="false" customHeight="false" outlineLevel="0" collapsed="false">
      <c r="A160" s="0" t="s">
        <v>3378</v>
      </c>
      <c r="B160" s="16" t="n">
        <v>2465.07954157611</v>
      </c>
      <c r="C160" s="16" t="n">
        <v>8270.53604208154</v>
      </c>
      <c r="D160" s="16" t="n">
        <v>23257.2066703689</v>
      </c>
      <c r="E160" s="16" t="n">
        <v>4256.663896114</v>
      </c>
      <c r="F160" s="16" t="n">
        <v>-1094.4221330765</v>
      </c>
      <c r="G160" s="16" t="n">
        <v>5020.26458750724</v>
      </c>
      <c r="H160" s="16" t="n">
        <v>65423.6978826163</v>
      </c>
      <c r="I160" s="17" t="n">
        <v>199.204817325259</v>
      </c>
      <c r="J160" s="17" t="n">
        <v>230.931497970312</v>
      </c>
      <c r="K160" s="16" t="s">
        <v>116</v>
      </c>
      <c r="L160" s="16" t="n">
        <v>1000</v>
      </c>
      <c r="M160" s="16" t="n">
        <v>33780.6728383416</v>
      </c>
      <c r="N160" s="16" t="n">
        <v>14093.4156125017</v>
      </c>
      <c r="O160" s="16" t="n">
        <v>1141.0827457735</v>
      </c>
      <c r="P160" s="16" t="n">
        <v>951.290832135856</v>
      </c>
      <c r="Q160" s="16" t="n">
        <v>2277.41674436925</v>
      </c>
      <c r="R160" s="16" t="n">
        <v>17617.7170533315</v>
      </c>
      <c r="S160" s="16" t="n">
        <v>27019.8510834074</v>
      </c>
      <c r="T160" s="16" t="n">
        <v>-955.692204749296</v>
      </c>
      <c r="U160" s="16" t="n">
        <v>73444.4428739492</v>
      </c>
      <c r="V160" s="16" t="n">
        <v>0.750319556751226</v>
      </c>
      <c r="W160" s="16" t="n">
        <v>101134.236240101</v>
      </c>
      <c r="X160" s="16" t="n">
        <v>24073.5193370643</v>
      </c>
      <c r="Y160" s="16" t="n">
        <v>217.242079307757</v>
      </c>
      <c r="Z160" s="16" t="n">
        <v>294.876429758292</v>
      </c>
      <c r="AA160" s="16" t="n">
        <v>27.424347870838</v>
      </c>
      <c r="AB160" s="16" t="n">
        <v>25.224347870838</v>
      </c>
      <c r="AC160" s="16" t="n">
        <v>26.674347870838</v>
      </c>
      <c r="AD160" s="16" t="n">
        <v>27.2673434792775</v>
      </c>
      <c r="AE160" s="16" t="n">
        <v>674.686407680941</v>
      </c>
      <c r="AF160" s="16" t="n">
        <v>0.03</v>
      </c>
      <c r="AG160" s="16" t="n">
        <v>0.695800242512019</v>
      </c>
      <c r="AH160" s="16" t="n">
        <v>9819.91719809611</v>
      </c>
      <c r="AI160" s="16" t="n">
        <v>23257.2066703689</v>
      </c>
      <c r="AJ160" s="16" t="n">
        <v>16.69175</v>
      </c>
      <c r="AK160" s="16" t="n">
        <v>0</v>
      </c>
      <c r="AL160" s="16" t="n">
        <v>1000</v>
      </c>
      <c r="AM160" s="16" t="n">
        <v>812.6073</v>
      </c>
      <c r="AN160" s="16" t="n">
        <v>20079.98904</v>
      </c>
      <c r="AO160" s="16" t="n">
        <v>-5508.72242389994</v>
      </c>
      <c r="AP160" s="16" t="n">
        <v>0.414483496940676</v>
      </c>
      <c r="AQ160" s="16" t="n">
        <v>205.691454047137</v>
      </c>
      <c r="AR160" s="16" t="n">
        <v>520.055487769468</v>
      </c>
      <c r="AS160" s="16" t="n">
        <v>368.688086262643</v>
      </c>
      <c r="AT160" s="16" t="n">
        <v>1000</v>
      </c>
      <c r="AU160" s="16" t="n">
        <v>12.270507</v>
      </c>
      <c r="AV160" s="16" t="n">
        <v>0</v>
      </c>
      <c r="AW160" s="16" t="n">
        <v>2254.3125</v>
      </c>
      <c r="AX160" s="16" t="n">
        <v>368.688086262643</v>
      </c>
      <c r="AY160" s="16" t="n">
        <v>329.818407810296</v>
      </c>
      <c r="AZ160" s="16" t="n">
        <v>6346.040988276</v>
      </c>
      <c r="BA160" s="16" t="n">
        <v>0</v>
      </c>
      <c r="BB160" s="16" t="n">
        <v>417.928966666667</v>
      </c>
      <c r="BC160" s="16" t="n">
        <v>111989.170538804</v>
      </c>
      <c r="BD160" s="16" t="n">
        <v>19.020216318376</v>
      </c>
      <c r="BE160" s="16" t="n">
        <v>27.6775089403123</v>
      </c>
      <c r="BF160" s="16" t="n">
        <v>41.9053641491148</v>
      </c>
      <c r="BG160" s="16" t="n">
        <v>-8.27711430924607</v>
      </c>
      <c r="BH160" s="16" t="n">
        <v>-7.28866183200638</v>
      </c>
      <c r="BI160" s="16" t="n">
        <v>1.09242813813745</v>
      </c>
      <c r="BJ160" s="16" t="n">
        <v>2.04083187529388</v>
      </c>
      <c r="BK160" s="16" t="n">
        <v>5.25403316350504</v>
      </c>
      <c r="BL160" s="16" t="n">
        <v>7.88491984612206</v>
      </c>
      <c r="BM160" s="16" t="n">
        <v>3.71992671744367</v>
      </c>
      <c r="BN160" s="16" t="n">
        <v>4.46573109600205</v>
      </c>
      <c r="BO160" s="16" t="n">
        <v>5.7791095890411</v>
      </c>
      <c r="BP160" s="16" t="n">
        <v>8712.70308277889</v>
      </c>
      <c r="BQ160" s="16" t="n">
        <v>8238.16930505131</v>
      </c>
      <c r="BR160" s="16" t="n">
        <v>8238.16930505131</v>
      </c>
      <c r="BS160" s="16" t="n">
        <v>520.055487769468</v>
      </c>
      <c r="BT160" s="16" t="n">
        <v>301.7195</v>
      </c>
      <c r="BU160" s="16" t="n">
        <v>1081.9108</v>
      </c>
      <c r="BV160" s="16" t="s">
        <v>3238</v>
      </c>
      <c r="BW160" s="16" t="n">
        <v>42.7692307692308</v>
      </c>
      <c r="BX160" s="16" t="n">
        <v>0.155994305554286</v>
      </c>
      <c r="BY160" s="16" t="n">
        <v>0.161741466184191</v>
      </c>
      <c r="BZ160" s="16" t="n">
        <v>5767.83060829888</v>
      </c>
      <c r="CA160" s="16" t="n">
        <v>12584.4929817229</v>
      </c>
      <c r="CB160" s="16" t="n">
        <v>225.335994569936</v>
      </c>
      <c r="CC160" s="16" t="n">
        <v>0</v>
      </c>
      <c r="CD160" s="16" t="n">
        <v>950.69728</v>
      </c>
      <c r="CE160" s="16" t="n">
        <v>12000</v>
      </c>
      <c r="CF160" s="16" t="n">
        <v>24.3264818293318</v>
      </c>
      <c r="CG160" s="16" t="n">
        <v>27.488924467145</v>
      </c>
      <c r="CH160" s="16" t="n">
        <v>2643.77364301215</v>
      </c>
      <c r="CI160" s="16" t="n">
        <v>-6.2083733271085</v>
      </c>
      <c r="CJ160" s="16" t="n">
        <v>3.00594144553374</v>
      </c>
      <c r="CK160" s="16" t="n">
        <v>32738.6132462563</v>
      </c>
      <c r="CL160" s="16" t="n">
        <v>139.00229676106</v>
      </c>
      <c r="CM160" s="16" t="n">
        <v>164.36986501106</v>
      </c>
      <c r="CN160" s="16" t="n">
        <v>1000</v>
      </c>
      <c r="CO160" s="16" t="n">
        <v>1.5535546875</v>
      </c>
      <c r="CP160" s="16" t="n">
        <v>1.09004417261298</v>
      </c>
      <c r="CQ160" s="16" t="n">
        <v>230.931497970312</v>
      </c>
      <c r="CR160" s="16" t="n">
        <v>232.431343073265</v>
      </c>
      <c r="CS160" s="16" t="n">
        <v>229.1129589758</v>
      </c>
      <c r="CT160" s="16" t="n">
        <v>204.364157495852</v>
      </c>
      <c r="CU160" s="16" t="n">
        <v>230.931497970312</v>
      </c>
      <c r="CV160" s="16" t="n">
        <v>167.766369529107</v>
      </c>
      <c r="CW160" s="16" t="n">
        <v>39.0451231110624</v>
      </c>
      <c r="CX160" s="16" t="n">
        <v>206.81149264017</v>
      </c>
      <c r="CY160" s="16" t="n">
        <v>167.766369529107</v>
      </c>
      <c r="CZ160" s="16" t="n">
        <v>171.944225295853</v>
      </c>
      <c r="DA160" s="16" t="n">
        <v>24.3264818293318</v>
      </c>
      <c r="DB160" s="16" t="n">
        <v>17490.3743216093</v>
      </c>
      <c r="DC160" s="16" t="n">
        <v>12977.8577466341</v>
      </c>
      <c r="DD160" s="16" t="n">
        <v>11144.3333333333</v>
      </c>
      <c r="DE160" s="16" t="n">
        <v>0</v>
      </c>
      <c r="DF160" s="16" t="n">
        <v>523.433124356292</v>
      </c>
      <c r="DG160" s="16" t="n">
        <v>164.36986501106</v>
      </c>
      <c r="DH160" s="16" t="n">
        <v>0</v>
      </c>
      <c r="DI160" s="16" t="n">
        <v>229.1129589758</v>
      </c>
    </row>
    <row r="161" customFormat="false" ht="15" hidden="false" customHeight="false" outlineLevel="0" collapsed="false">
      <c r="A161" s="0" t="s">
        <v>3379</v>
      </c>
      <c r="B161" s="16" t="n">
        <v>2465.07954157611</v>
      </c>
      <c r="C161" s="16" t="n">
        <v>9454.62703436025</v>
      </c>
      <c r="D161" s="16" t="n">
        <v>24809.5295679944</v>
      </c>
      <c r="E161" s="16" t="n">
        <v>5097.36850063189</v>
      </c>
      <c r="F161" s="16" t="n">
        <v>-302.389311649954</v>
      </c>
      <c r="G161" s="16" t="n">
        <v>5021.57273090743</v>
      </c>
      <c r="H161" s="16" t="n">
        <v>31335.8527099567</v>
      </c>
      <c r="I161" s="17" t="n">
        <v>99.6502630241659</v>
      </c>
      <c r="J161" s="17" t="n">
        <v>115.824997761602</v>
      </c>
      <c r="K161" s="16" t="s">
        <v>116</v>
      </c>
      <c r="L161" s="16" t="n">
        <v>1000</v>
      </c>
      <c r="M161" s="16" t="n">
        <v>33804.3546581872</v>
      </c>
      <c r="N161" s="16" t="n">
        <v>15273.1810146971</v>
      </c>
      <c r="O161" s="16" t="n">
        <v>1234.08963495846</v>
      </c>
      <c r="P161" s="16" t="n">
        <v>951.290832135856</v>
      </c>
      <c r="Q161" s="16" t="n">
        <v>3387.23237076951</v>
      </c>
      <c r="R161" s="16" t="n">
        <v>17617.7170533315</v>
      </c>
      <c r="S161" s="16" t="n">
        <v>27050.8975413599</v>
      </c>
      <c r="T161" s="16" t="n">
        <v>-955.692204749296</v>
      </c>
      <c r="U161" s="16" t="n">
        <v>31795.4775414035</v>
      </c>
      <c r="V161" s="16" t="n">
        <v>0.750319556751226</v>
      </c>
      <c r="W161" s="16" t="n">
        <v>69512.2916083981</v>
      </c>
      <c r="X161" s="16" t="n">
        <v>22598.6384369507</v>
      </c>
      <c r="Y161" s="16" t="n">
        <v>108.958992474823</v>
      </c>
      <c r="Z161" s="16" t="n">
        <v>147.89693964179</v>
      </c>
      <c r="AA161" s="16" t="n">
        <v>27.424347870838</v>
      </c>
      <c r="AB161" s="16" t="n">
        <v>25.224347870838</v>
      </c>
      <c r="AC161" s="16" t="n">
        <v>26.674347870838</v>
      </c>
      <c r="AD161" s="16" t="n">
        <v>27.2673434792775</v>
      </c>
      <c r="AE161" s="16" t="n">
        <v>674.686407680941</v>
      </c>
      <c r="AF161" s="16" t="n">
        <v>0.03</v>
      </c>
      <c r="AG161" s="16" t="n">
        <v>0.677062610220876</v>
      </c>
      <c r="AH161" s="16" t="n">
        <v>9819.91719809611</v>
      </c>
      <c r="AI161" s="16" t="n">
        <v>24809.5295679944</v>
      </c>
      <c r="AJ161" s="16" t="n">
        <v>19.45875</v>
      </c>
      <c r="AK161" s="16" t="n">
        <v>0</v>
      </c>
      <c r="AL161" s="16" t="n">
        <v>1000</v>
      </c>
      <c r="AM161" s="16" t="n">
        <v>812.6073</v>
      </c>
      <c r="AN161" s="16" t="n">
        <v>20079.98904</v>
      </c>
      <c r="AO161" s="16" t="n">
        <v>-5508.72242389994</v>
      </c>
      <c r="AP161" s="16" t="n">
        <v>0.414483496940676</v>
      </c>
      <c r="AQ161" s="16" t="n">
        <v>135.72965957303</v>
      </c>
      <c r="AR161" s="16" t="n">
        <v>478.695721018894</v>
      </c>
      <c r="AS161" s="16" t="n">
        <v>319.070683573538</v>
      </c>
      <c r="AT161" s="16" t="n">
        <v>1000</v>
      </c>
      <c r="AU161" s="16" t="n">
        <v>12.270507</v>
      </c>
      <c r="AV161" s="16" t="n">
        <v>0</v>
      </c>
      <c r="AW161" s="16" t="n">
        <v>2254.3125</v>
      </c>
      <c r="AX161" s="16" t="n">
        <v>319.070683573538</v>
      </c>
      <c r="AY161" s="16" t="n">
        <v>317.245228926609</v>
      </c>
      <c r="AZ161" s="16" t="n">
        <v>6385.17970619674</v>
      </c>
      <c r="BA161" s="16" t="n">
        <v>0</v>
      </c>
      <c r="BB161" s="16" t="n">
        <v>417.928966666667</v>
      </c>
      <c r="BC161" s="16" t="n">
        <v>111847.803178514</v>
      </c>
      <c r="BD161" s="16" t="n">
        <v>19.1444957102067</v>
      </c>
      <c r="BE161" s="16" t="n">
        <v>27.8017883321431</v>
      </c>
      <c r="BF161" s="16" t="n">
        <v>42.0296435409455</v>
      </c>
      <c r="BG161" s="16" t="n">
        <v>-8.27711430924607</v>
      </c>
      <c r="BH161" s="16" t="n">
        <v>-7.28866183200638</v>
      </c>
      <c r="BI161" s="16" t="n">
        <v>1.09242813813745</v>
      </c>
      <c r="BJ161" s="16" t="n">
        <v>2.04083187529388</v>
      </c>
      <c r="BK161" s="16" t="n">
        <v>5.25403316350504</v>
      </c>
      <c r="BL161" s="16" t="n">
        <v>7.88491984612206</v>
      </c>
      <c r="BM161" s="16" t="n">
        <v>3.71992671744367</v>
      </c>
      <c r="BN161" s="16" t="n">
        <v>4.46573109600205</v>
      </c>
      <c r="BO161" s="16" t="n">
        <v>5.7791095890411</v>
      </c>
      <c r="BP161" s="16" t="n">
        <v>8712.70308277889</v>
      </c>
      <c r="BQ161" s="16" t="n">
        <v>9422.26029733002</v>
      </c>
      <c r="BR161" s="16" t="n">
        <v>9422.26029733002</v>
      </c>
      <c r="BS161" s="16" t="n">
        <v>478.695721018894</v>
      </c>
      <c r="BT161" s="16" t="n">
        <v>301.7195</v>
      </c>
      <c r="BU161" s="16" t="n">
        <v>1081.9108</v>
      </c>
      <c r="BV161" s="16" t="s">
        <v>3238</v>
      </c>
      <c r="BW161" s="16" t="n">
        <v>42.7692307692308</v>
      </c>
      <c r="BX161" s="16" t="n">
        <v>0.155994305554286</v>
      </c>
      <c r="BY161" s="16" t="n">
        <v>0.161741466184191</v>
      </c>
      <c r="BZ161" s="16" t="n">
        <v>13328.9507681851</v>
      </c>
      <c r="CA161" s="16" t="n">
        <v>19402.010477409</v>
      </c>
      <c r="CB161" s="16" t="n">
        <v>231.076063081433</v>
      </c>
      <c r="CC161" s="16" t="n">
        <v>0</v>
      </c>
      <c r="CD161" s="16" t="n">
        <v>950.69728</v>
      </c>
      <c r="CE161" s="16" t="n">
        <v>12000</v>
      </c>
      <c r="CF161" s="16" t="n">
        <v>24.0517005370002</v>
      </c>
      <c r="CG161" s="16" t="n">
        <v>27.1784216068102</v>
      </c>
      <c r="CH161" s="16" t="n">
        <v>2643.77364301215</v>
      </c>
      <c r="CI161" s="16" t="n">
        <v>-6.2083733271085</v>
      </c>
      <c r="CJ161" s="16" t="n">
        <v>3.00594144553374</v>
      </c>
      <c r="CK161" s="16" t="n">
        <v>31646.2137030675</v>
      </c>
      <c r="CL161" s="16" t="n">
        <v>134.36416366905</v>
      </c>
      <c r="CM161" s="16" t="n">
        <v>159.73173191905</v>
      </c>
      <c r="CN161" s="16" t="n">
        <v>1000</v>
      </c>
      <c r="CO161" s="16" t="n">
        <v>1.5535546875</v>
      </c>
      <c r="CP161" s="16" t="n">
        <v>1.09004417261298</v>
      </c>
      <c r="CQ161" s="16" t="n">
        <v>115.824997761602</v>
      </c>
      <c r="CR161" s="16" t="n">
        <v>153.374515317524</v>
      </c>
      <c r="CS161" s="16" t="n">
        <v>122.853441459136</v>
      </c>
      <c r="CT161" s="16" t="n">
        <v>102.499998019117</v>
      </c>
      <c r="CU161" s="16" t="n">
        <v>115.824997761602</v>
      </c>
      <c r="CV161" s="16" t="n">
        <v>316.348236897907</v>
      </c>
      <c r="CW161" s="16" t="n">
        <v>77.8480374938725</v>
      </c>
      <c r="CX161" s="16" t="n">
        <v>394.19627439178</v>
      </c>
      <c r="CY161" s="16" t="n">
        <v>316.348236897907</v>
      </c>
      <c r="CZ161" s="16" t="n">
        <v>279.750164375701</v>
      </c>
      <c r="DA161" s="16" t="n">
        <v>24.0517005370002</v>
      </c>
      <c r="DB161" s="16" t="n">
        <v>17529.5130395301</v>
      </c>
      <c r="DC161" s="16" t="n">
        <v>13006.8986753313</v>
      </c>
      <c r="DD161" s="16" t="n">
        <v>11144.3333333333</v>
      </c>
      <c r="DE161" s="16" t="n">
        <v>1818.4375</v>
      </c>
      <c r="DF161" s="16" t="n">
        <v>633.884961059633</v>
      </c>
      <c r="DG161" s="16" t="n">
        <v>159.73173191905</v>
      </c>
      <c r="DH161" s="16" t="n">
        <v>0</v>
      </c>
      <c r="DI161" s="16" t="n">
        <v>122.853441459136</v>
      </c>
    </row>
    <row r="162" customFormat="false" ht="15" hidden="false" customHeight="false" outlineLevel="0" collapsed="false">
      <c r="A162" s="0" t="s">
        <v>3380</v>
      </c>
      <c r="B162" s="16" t="n">
        <v>2465.07954157611</v>
      </c>
      <c r="C162" s="16" t="n">
        <v>8660.67116222822</v>
      </c>
      <c r="D162" s="16" t="n">
        <v>20727.1633713073</v>
      </c>
      <c r="E162" s="16" t="n">
        <v>4533.65983141815</v>
      </c>
      <c r="F162" s="16" t="n">
        <v>-833.411738395574</v>
      </c>
      <c r="G162" s="16" t="n">
        <v>5020.64472332459</v>
      </c>
      <c r="H162" s="16" t="n">
        <v>1732.32509534632</v>
      </c>
      <c r="I162" s="17" t="n">
        <v>6.38260324632871</v>
      </c>
      <c r="J162" s="17" t="n">
        <v>12.7308923001694</v>
      </c>
      <c r="K162" s="16" t="s">
        <v>116</v>
      </c>
      <c r="L162" s="16" t="n">
        <v>1000</v>
      </c>
      <c r="M162" s="16" t="n">
        <v>33788.4755407446</v>
      </c>
      <c r="N162" s="16" t="n">
        <v>12170.5827052149</v>
      </c>
      <c r="O162" s="16" t="n">
        <v>1000</v>
      </c>
      <c r="P162" s="16" t="n">
        <v>951.290832135856</v>
      </c>
      <c r="Q162" s="16" t="n">
        <v>456.59543005765</v>
      </c>
      <c r="R162" s="16" t="n">
        <v>17617.7170533315</v>
      </c>
      <c r="S162" s="16" t="n">
        <v>26969.2502174261</v>
      </c>
      <c r="T162" s="16" t="n">
        <v>-955.692204749296</v>
      </c>
      <c r="U162" s="16" t="n">
        <v>2010.04289108787</v>
      </c>
      <c r="V162" s="16" t="n">
        <v>0.750319556751226</v>
      </c>
      <c r="W162" s="16" t="n">
        <v>47133.9289295179</v>
      </c>
      <c r="X162" s="16" t="n">
        <v>22163.1975323397</v>
      </c>
      <c r="Y162" s="16" t="n">
        <v>11.9762160599134</v>
      </c>
      <c r="Z162" s="16" t="n">
        <v>16.2560763780863</v>
      </c>
      <c r="AA162" s="16" t="n">
        <v>27.424347870838</v>
      </c>
      <c r="AB162" s="16" t="n">
        <v>25.224347870838</v>
      </c>
      <c r="AC162" s="16" t="n">
        <v>26.674347870838</v>
      </c>
      <c r="AD162" s="16" t="n">
        <v>27.2673434792775</v>
      </c>
      <c r="AE162" s="16" t="n">
        <v>674.686407680941</v>
      </c>
      <c r="AF162" s="16" t="n">
        <v>0.03</v>
      </c>
      <c r="AG162" s="16" t="n">
        <v>0.658217046830445</v>
      </c>
      <c r="AH162" s="16" t="n">
        <v>9819.91719809611</v>
      </c>
      <c r="AI162" s="16" t="n">
        <v>20727.1633713073</v>
      </c>
      <c r="AJ162" s="16" t="n">
        <v>19.7391827628362</v>
      </c>
      <c r="AK162" s="16" t="n">
        <v>0</v>
      </c>
      <c r="AL162" s="16" t="n">
        <v>1000</v>
      </c>
      <c r="AM162" s="16" t="n">
        <v>812.6073</v>
      </c>
      <c r="AN162" s="16" t="n">
        <v>20079.98904</v>
      </c>
      <c r="AO162" s="16" t="n">
        <v>-5508.72242389994</v>
      </c>
      <c r="AP162" s="16" t="n">
        <v>0.358496107957722</v>
      </c>
      <c r="AQ162" s="16" t="n">
        <v>81.7148112736635</v>
      </c>
      <c r="AR162" s="16" t="n">
        <v>499.4756269261</v>
      </c>
      <c r="AS162" s="16" t="n">
        <v>314.925245</v>
      </c>
      <c r="AT162" s="16" t="n">
        <v>1000</v>
      </c>
      <c r="AU162" s="16" t="n">
        <v>12.270507</v>
      </c>
      <c r="AV162" s="16" t="n">
        <v>0</v>
      </c>
      <c r="AW162" s="16" t="n">
        <v>2254.3125</v>
      </c>
      <c r="AX162" s="16" t="n">
        <v>314.925245</v>
      </c>
      <c r="AY162" s="16" t="n">
        <v>314.925245</v>
      </c>
      <c r="AZ162" s="16" t="n">
        <v>5807.5893766769</v>
      </c>
      <c r="BA162" s="16" t="n">
        <v>0</v>
      </c>
      <c r="BB162" s="16" t="n">
        <v>417.928966666667</v>
      </c>
      <c r="BC162" s="16" t="n">
        <v>111513.618227291</v>
      </c>
      <c r="BD162" s="16" t="n">
        <v>17.3104403631359</v>
      </c>
      <c r="BE162" s="16" t="n">
        <v>25.9677329850722</v>
      </c>
      <c r="BF162" s="16" t="n">
        <v>40.1955881938747</v>
      </c>
      <c r="BG162" s="16" t="n">
        <v>-8.27711430924607</v>
      </c>
      <c r="BH162" s="16" t="n">
        <v>-7.28866183200638</v>
      </c>
      <c r="BI162" s="16" t="n">
        <v>1.09242813813745</v>
      </c>
      <c r="BJ162" s="16" t="n">
        <v>2.04083187529388</v>
      </c>
      <c r="BK162" s="16" t="n">
        <v>5.25403316350504</v>
      </c>
      <c r="BL162" s="16" t="n">
        <v>7.88491984612206</v>
      </c>
      <c r="BM162" s="16" t="n">
        <v>3.71992671744367</v>
      </c>
      <c r="BN162" s="16" t="n">
        <v>4.46573109600205</v>
      </c>
      <c r="BO162" s="16" t="n">
        <v>5.7791095890411</v>
      </c>
      <c r="BP162" s="16" t="n">
        <v>8712.70308277889</v>
      </c>
      <c r="BQ162" s="16" t="n">
        <v>8628.30442519799</v>
      </c>
      <c r="BR162" s="16" t="n">
        <v>8628.30442519799</v>
      </c>
      <c r="BS162" s="16" t="n">
        <v>499.4756269261</v>
      </c>
      <c r="BT162" s="16" t="n">
        <v>301.7195</v>
      </c>
      <c r="BU162" s="16" t="n">
        <v>1081.9108</v>
      </c>
      <c r="BV162" s="16" t="s">
        <v>3237</v>
      </c>
      <c r="BW162" s="16" t="n">
        <v>42.7692307692308</v>
      </c>
      <c r="BX162" s="16" t="n">
        <v>0.155994305554286</v>
      </c>
      <c r="BY162" s="16" t="n">
        <v>0.161741466184191</v>
      </c>
      <c r="BZ162" s="16" t="n">
        <v>13510.8578038903</v>
      </c>
      <c r="CA162" s="16" t="n">
        <v>19402.010477409</v>
      </c>
      <c r="CB162" s="16" t="n">
        <v>267.884850902871</v>
      </c>
      <c r="CC162" s="16" t="n">
        <v>0</v>
      </c>
      <c r="CD162" s="16" t="n">
        <v>950.69728</v>
      </c>
      <c r="CE162" s="16" t="n">
        <v>12000</v>
      </c>
      <c r="CF162" s="16" t="n">
        <v>24.2066942838047</v>
      </c>
      <c r="CG162" s="16" t="n">
        <v>27.3535645406993</v>
      </c>
      <c r="CH162" s="16" t="n">
        <v>2643.77364301215</v>
      </c>
      <c r="CI162" s="16" t="n">
        <v>-6.2083733271085</v>
      </c>
      <c r="CJ162" s="16" t="n">
        <v>3.00594144553374</v>
      </c>
      <c r="CK162" s="16" t="n">
        <v>37091.0906547785</v>
      </c>
      <c r="CL162" s="16" t="n">
        <v>157.4821374261</v>
      </c>
      <c r="CM162" s="16" t="n">
        <v>182.8497056761</v>
      </c>
      <c r="CN162" s="16" t="n">
        <v>1000</v>
      </c>
      <c r="CO162" s="16" t="n">
        <v>1.5535546875</v>
      </c>
      <c r="CP162" s="16" t="n">
        <v>1.09004417261298</v>
      </c>
      <c r="CQ162" s="16" t="n">
        <v>12.7308923001694</v>
      </c>
      <c r="CR162" s="16" t="n">
        <v>92.3377367392397</v>
      </c>
      <c r="CS162" s="16" t="n">
        <v>36.1278890867122</v>
      </c>
      <c r="CT162" s="16" t="n">
        <v>11.2662763718313</v>
      </c>
      <c r="CU162" s="16" t="n">
        <v>12.7308923001694</v>
      </c>
      <c r="CV162" s="16" t="n">
        <v>3298.41314099325</v>
      </c>
      <c r="CW162" s="16" t="n">
        <v>708.257406933914</v>
      </c>
      <c r="CX162" s="16" t="n">
        <v>4006.67054792716</v>
      </c>
      <c r="CY162" s="16" t="n">
        <v>3298.41314099325</v>
      </c>
      <c r="CZ162" s="16" t="n">
        <v>958.357612067537</v>
      </c>
      <c r="DA162" s="16" t="n">
        <v>24.2066942838047</v>
      </c>
      <c r="DB162" s="16" t="n">
        <v>16951.9227100102</v>
      </c>
      <c r="DC162" s="16" t="n">
        <v>12578.3266508276</v>
      </c>
      <c r="DD162" s="16" t="n">
        <v>11144.3333333333</v>
      </c>
      <c r="DE162" s="16" t="n">
        <v>1921.25</v>
      </c>
      <c r="DF162" s="16" t="n">
        <v>3613.33838599325</v>
      </c>
      <c r="DG162" s="16" t="n">
        <v>182.8497056761</v>
      </c>
      <c r="DH162" s="16" t="n">
        <v>0</v>
      </c>
      <c r="DI162" s="16" t="n">
        <v>36.1278941933852</v>
      </c>
    </row>
    <row r="163" customFormat="false" ht="15" hidden="false" customHeight="false" outlineLevel="0" collapsed="false">
      <c r="A163" s="0" t="s">
        <v>3381</v>
      </c>
      <c r="B163" s="16" t="n">
        <v>2465.07954157611</v>
      </c>
      <c r="C163" s="16" t="n">
        <v>8209.24039226006</v>
      </c>
      <c r="D163" s="16" t="n">
        <v>19716.7966317894</v>
      </c>
      <c r="E163" s="16" t="n">
        <v>4213.14398474076</v>
      </c>
      <c r="F163" s="16" t="n">
        <v>-1135.49021845689</v>
      </c>
      <c r="G163" s="16" t="n">
        <v>5020.26458750724</v>
      </c>
      <c r="H163" s="16" t="n">
        <v>-68.7222088444987</v>
      </c>
      <c r="I163" s="17" t="n">
        <v>0.663635545943769</v>
      </c>
      <c r="J163" s="17" t="n">
        <v>4.62862528398862</v>
      </c>
      <c r="K163" s="16" t="s">
        <v>116</v>
      </c>
      <c r="L163" s="16" t="n">
        <v>1000</v>
      </c>
      <c r="M163" s="16" t="n">
        <v>33779.4469253452</v>
      </c>
      <c r="N163" s="16" t="n">
        <v>11402.7039831813</v>
      </c>
      <c r="O163" s="16" t="n">
        <v>1000</v>
      </c>
      <c r="P163" s="16" t="n">
        <v>951.290832135856</v>
      </c>
      <c r="Q163" s="16" t="n">
        <v>-267.565775756198</v>
      </c>
      <c r="R163" s="16" t="n">
        <v>17617.7170533315</v>
      </c>
      <c r="S163" s="16" t="n">
        <v>26949.0428826358</v>
      </c>
      <c r="T163" s="16" t="n">
        <v>-955.692204749296</v>
      </c>
      <c r="U163" s="16" t="n">
        <v>208.99558689705</v>
      </c>
      <c r="V163" s="16" t="n">
        <v>0.750319556751226</v>
      </c>
      <c r="W163" s="16" t="n">
        <v>46166.2147180189</v>
      </c>
      <c r="X163" s="16" t="n">
        <v>22149.4762774452</v>
      </c>
      <c r="Y163" s="16" t="n">
        <v>4.35424439657605</v>
      </c>
      <c r="Z163" s="16" t="n">
        <v>5.91029162512507</v>
      </c>
      <c r="AA163" s="16" t="n">
        <v>27.424347870838</v>
      </c>
      <c r="AB163" s="16" t="n">
        <v>25.224347870838</v>
      </c>
      <c r="AC163" s="16" t="n">
        <v>26.674347870838</v>
      </c>
      <c r="AD163" s="16" t="n">
        <v>27.2673434792775</v>
      </c>
      <c r="AE163" s="16" t="n">
        <v>674.686407680941</v>
      </c>
      <c r="AF163" s="16" t="n">
        <v>0.03</v>
      </c>
      <c r="AG163" s="16" t="n">
        <v>0.654405917289144</v>
      </c>
      <c r="AH163" s="16" t="n">
        <v>9819.91719809611</v>
      </c>
      <c r="AI163" s="16" t="n">
        <v>19716.7966317894</v>
      </c>
      <c r="AJ163" s="16" t="n">
        <v>16.69175</v>
      </c>
      <c r="AK163" s="16" t="n">
        <v>0</v>
      </c>
      <c r="AL163" s="16" t="n">
        <v>1000</v>
      </c>
      <c r="AM163" s="16" t="n">
        <v>812.6073</v>
      </c>
      <c r="AN163" s="16" t="n">
        <v>25825.759024</v>
      </c>
      <c r="AO163" s="16" t="n">
        <v>-7800.03602701777</v>
      </c>
      <c r="AP163" s="16" t="n">
        <v>0.414483496940676</v>
      </c>
      <c r="AQ163" s="16" t="n">
        <v>72.6074358423932</v>
      </c>
      <c r="AR163" s="16" t="n">
        <v>482.609103315611</v>
      </c>
      <c r="AS163" s="16" t="n">
        <v>314.925245</v>
      </c>
      <c r="AT163" s="16" t="n">
        <v>1000</v>
      </c>
      <c r="AU163" s="16" t="n">
        <v>12.270507</v>
      </c>
      <c r="AV163" s="16" t="n">
        <v>0</v>
      </c>
      <c r="AW163" s="16" t="n">
        <v>2254.3125</v>
      </c>
      <c r="AX163" s="16" t="n">
        <v>314.925245</v>
      </c>
      <c r="AY163" s="16" t="n">
        <v>314.925245</v>
      </c>
      <c r="AZ163" s="16" t="n">
        <v>5631.62619515181</v>
      </c>
      <c r="BA163" s="16" t="n">
        <v>0</v>
      </c>
      <c r="BB163" s="16" t="n">
        <v>417.928966666667</v>
      </c>
      <c r="BC163" s="16" t="n">
        <v>111441.907179589</v>
      </c>
      <c r="BD163" s="16" t="n">
        <v>16.751694488301</v>
      </c>
      <c r="BE163" s="16" t="n">
        <v>25.4089871102374</v>
      </c>
      <c r="BF163" s="16" t="n">
        <v>39.6368423190398</v>
      </c>
      <c r="BG163" s="16" t="n">
        <v>-8.27711430924607</v>
      </c>
      <c r="BH163" s="16" t="n">
        <v>-7.28866183200638</v>
      </c>
      <c r="BI163" s="16" t="n">
        <v>1.09242813813745</v>
      </c>
      <c r="BJ163" s="16" t="n">
        <v>2.04083187529388</v>
      </c>
      <c r="BK163" s="16" t="n">
        <v>5.25403316350504</v>
      </c>
      <c r="BL163" s="16" t="n">
        <v>7.88491984612206</v>
      </c>
      <c r="BM163" s="16" t="n">
        <v>3.71992671744367</v>
      </c>
      <c r="BN163" s="16" t="n">
        <v>4.46573109600205</v>
      </c>
      <c r="BO163" s="16" t="n">
        <v>5.7791095890411</v>
      </c>
      <c r="BP163" s="16" t="n">
        <v>8712.70308277889</v>
      </c>
      <c r="BQ163" s="16" t="n">
        <v>8176.87365522983</v>
      </c>
      <c r="BR163" s="16" t="n">
        <v>8176.87365522983</v>
      </c>
      <c r="BS163" s="16" t="n">
        <v>482.609103315611</v>
      </c>
      <c r="BT163" s="16" t="n">
        <v>301.7195</v>
      </c>
      <c r="BU163" s="16" t="n">
        <v>1081.9108</v>
      </c>
      <c r="BV163" s="16" t="s">
        <v>3237</v>
      </c>
      <c r="BW163" s="16" t="n">
        <v>42.7692307692308</v>
      </c>
      <c r="BX163" s="16" t="n">
        <v>0.155994305554286</v>
      </c>
      <c r="BY163" s="16" t="n">
        <v>0.161741466184191</v>
      </c>
      <c r="BZ163" s="16" t="n">
        <v>13510.8578038903</v>
      </c>
      <c r="CA163" s="16" t="n">
        <v>19402.010477409</v>
      </c>
      <c r="CB163" s="16" t="n">
        <v>242.613291052421</v>
      </c>
      <c r="CC163" s="16" t="n">
        <v>0</v>
      </c>
      <c r="CD163" s="16" t="n">
        <v>950.69728</v>
      </c>
      <c r="CE163" s="16" t="n">
        <v>12000</v>
      </c>
      <c r="CF163" s="16" t="n">
        <v>22.1967683074249</v>
      </c>
      <c r="CG163" s="16" t="n">
        <v>25.0823481873901</v>
      </c>
      <c r="CH163" s="16" t="n">
        <v>2643.77364301215</v>
      </c>
      <c r="CI163" s="16" t="n">
        <v>-6.2083733271085</v>
      </c>
      <c r="CJ163" s="16" t="n">
        <v>3.00594144553374</v>
      </c>
      <c r="CK163" s="16" t="n">
        <v>33118.5908748513</v>
      </c>
      <c r="CL163" s="16" t="n">
        <v>140.615613815611</v>
      </c>
      <c r="CM163" s="16" t="n">
        <v>165.983182065611</v>
      </c>
      <c r="CN163" s="16" t="n">
        <v>1000</v>
      </c>
      <c r="CO163" s="16" t="n">
        <v>1.5535546875</v>
      </c>
      <c r="CP163" s="16" t="n">
        <v>1.09004417261298</v>
      </c>
      <c r="CQ163" s="16" t="n">
        <v>4.62862528398862</v>
      </c>
      <c r="CR163" s="16" t="n">
        <v>82.0464025019043</v>
      </c>
      <c r="CS163" s="16" t="n">
        <v>31.1816627222043</v>
      </c>
      <c r="CT163" s="16" t="n">
        <v>4.09612856990144</v>
      </c>
      <c r="CU163" s="16" t="n">
        <v>4.62862528398862</v>
      </c>
      <c r="CV163" s="16" t="n">
        <v>8213.93833954064</v>
      </c>
      <c r="CW163" s="16" t="n">
        <v>1948.04033924797</v>
      </c>
      <c r="CX163" s="16" t="n">
        <v>10161.9786787886</v>
      </c>
      <c r="CY163" s="16" t="n">
        <v>8213.93833954064</v>
      </c>
      <c r="CZ163" s="16" t="n">
        <v>951.104536118226</v>
      </c>
      <c r="DA163" s="16" t="n">
        <v>22.1967683074249</v>
      </c>
      <c r="DB163" s="16" t="n">
        <v>16775.9595284851</v>
      </c>
      <c r="DC163" s="16" t="n">
        <v>12447.761970136</v>
      </c>
      <c r="DD163" s="16" t="n">
        <v>11144.3333333333</v>
      </c>
      <c r="DE163" s="16" t="n">
        <v>1921.25</v>
      </c>
      <c r="DF163" s="16" t="n">
        <v>8528.86358454064</v>
      </c>
      <c r="DG163" s="16" t="n">
        <v>165.983182065611</v>
      </c>
      <c r="DH163" s="16" t="n">
        <v>0</v>
      </c>
      <c r="DI163" s="16" t="n">
        <v>31.1816653558719</v>
      </c>
    </row>
    <row r="164" customFormat="false" ht="15" hidden="false" customHeight="false" outlineLevel="0" collapsed="false">
      <c r="A164" s="0" t="s">
        <v>3382</v>
      </c>
      <c r="B164" s="16" t="n">
        <v>2465.07954157611</v>
      </c>
      <c r="C164" s="16" t="n">
        <v>8209.24039226006</v>
      </c>
      <c r="D164" s="16" t="n">
        <v>19716.7966317894</v>
      </c>
      <c r="E164" s="16" t="n">
        <v>4213.14398474076</v>
      </c>
      <c r="F164" s="16" t="n">
        <v>-1135.49021845689</v>
      </c>
      <c r="G164" s="16" t="n">
        <v>5020.26458750724</v>
      </c>
      <c r="H164" s="16" t="n">
        <v>-898.814009603721</v>
      </c>
      <c r="I164" s="17" t="n">
        <v>0.01</v>
      </c>
      <c r="J164" s="17" t="n">
        <v>3.97046602096122</v>
      </c>
      <c r="K164" s="16" t="s">
        <v>116</v>
      </c>
      <c r="L164" s="16" t="n">
        <v>1000</v>
      </c>
      <c r="M164" s="16" t="n">
        <v>33779.4469253452</v>
      </c>
      <c r="N164" s="16" t="n">
        <v>11402.7039831813</v>
      </c>
      <c r="O164" s="16" t="n">
        <v>1000</v>
      </c>
      <c r="P164" s="16" t="n">
        <v>951.290832135856</v>
      </c>
      <c r="Q164" s="16" t="n">
        <v>-267.565775756198</v>
      </c>
      <c r="R164" s="16" t="n">
        <v>17617.7170533315</v>
      </c>
      <c r="S164" s="16" t="n">
        <v>26949.0428826358</v>
      </c>
      <c r="T164" s="16" t="n">
        <v>-955.692204749296</v>
      </c>
      <c r="U164" s="16" t="n">
        <v>-621.096213862173</v>
      </c>
      <c r="V164" s="16" t="n">
        <v>0.750319556751226</v>
      </c>
      <c r="W164" s="16" t="n">
        <v>46166.2147180189</v>
      </c>
      <c r="X164" s="16" t="n">
        <v>22149.4762774452</v>
      </c>
      <c r="Y164" s="16" t="n">
        <v>3.7351002431262</v>
      </c>
      <c r="Z164" s="16" t="n">
        <v>5.06988806216538</v>
      </c>
      <c r="AA164" s="16" t="n">
        <v>27.424347870838</v>
      </c>
      <c r="AB164" s="16" t="n">
        <v>25.224347870838</v>
      </c>
      <c r="AC164" s="16" t="n">
        <v>26.674347870838</v>
      </c>
      <c r="AD164" s="16" t="n">
        <v>27.2673434792775</v>
      </c>
      <c r="AE164" s="16" t="n">
        <v>674.686407680941</v>
      </c>
      <c r="AF164" s="16" t="n">
        <v>0.03</v>
      </c>
      <c r="AG164" s="16" t="n">
        <v>0.654405917289144</v>
      </c>
      <c r="AH164" s="16" t="n">
        <v>9819.91719809611</v>
      </c>
      <c r="AI164" s="16" t="n">
        <v>19716.7966317894</v>
      </c>
      <c r="AJ164" s="16" t="n">
        <v>16.69175</v>
      </c>
      <c r="AK164" s="16" t="n">
        <v>0</v>
      </c>
      <c r="AL164" s="16" t="n">
        <v>1000</v>
      </c>
      <c r="AM164" s="16" t="n">
        <v>812.6073</v>
      </c>
      <c r="AN164" s="16" t="n">
        <v>20079.98904</v>
      </c>
      <c r="AO164" s="16" t="n">
        <v>-5508.72242389994</v>
      </c>
      <c r="AP164" s="16" t="n">
        <v>0.414483496940676</v>
      </c>
      <c r="AQ164" s="16" t="n">
        <v>78.645426879892</v>
      </c>
      <c r="AR164" s="16" t="n">
        <v>506.474954430797</v>
      </c>
      <c r="AS164" s="16" t="n">
        <v>314.925245</v>
      </c>
      <c r="AT164" s="16" t="n">
        <v>1000</v>
      </c>
      <c r="AU164" s="16" t="n">
        <v>12.270507</v>
      </c>
      <c r="AV164" s="16" t="n">
        <v>0</v>
      </c>
      <c r="AW164" s="16" t="n">
        <v>2254.3125</v>
      </c>
      <c r="AX164" s="16" t="n">
        <v>314.925245</v>
      </c>
      <c r="AY164" s="16" t="n">
        <v>314.925245</v>
      </c>
      <c r="AZ164" s="16" t="n">
        <v>5631.62619515181</v>
      </c>
      <c r="BA164" s="16" t="n">
        <v>0</v>
      </c>
      <c r="BB164" s="16" t="n">
        <v>417.928966666667</v>
      </c>
      <c r="BC164" s="16" t="n">
        <v>111441.907179589</v>
      </c>
      <c r="BD164" s="16" t="n">
        <v>16.751694488301</v>
      </c>
      <c r="BE164" s="16" t="n">
        <v>25.4089871102374</v>
      </c>
      <c r="BF164" s="16" t="n">
        <v>39.6368423190398</v>
      </c>
      <c r="BG164" s="16" t="n">
        <v>-8.27711430924607</v>
      </c>
      <c r="BH164" s="16" t="n">
        <v>-7.28866183200638</v>
      </c>
      <c r="BI164" s="16" t="n">
        <v>1.09242813813745</v>
      </c>
      <c r="BJ164" s="16" t="n">
        <v>2.04083187529388</v>
      </c>
      <c r="BK164" s="16" t="n">
        <v>5.25403316350504</v>
      </c>
      <c r="BL164" s="16" t="n">
        <v>7.88491984612206</v>
      </c>
      <c r="BM164" s="16" t="n">
        <v>3.71992671744367</v>
      </c>
      <c r="BN164" s="16" t="n">
        <v>4.46573109600205</v>
      </c>
      <c r="BO164" s="16" t="n">
        <v>5.7791095890411</v>
      </c>
      <c r="BP164" s="16" t="n">
        <v>8712.70308277889</v>
      </c>
      <c r="BQ164" s="16" t="n">
        <v>8176.87365522983</v>
      </c>
      <c r="BR164" s="16" t="n">
        <v>8176.87365522983</v>
      </c>
      <c r="BS164" s="16" t="n">
        <v>506.474954430797</v>
      </c>
      <c r="BT164" s="16" t="n">
        <v>301.7195</v>
      </c>
      <c r="BU164" s="16" t="n">
        <v>1081.9108</v>
      </c>
      <c r="BV164" s="16" t="s">
        <v>3237</v>
      </c>
      <c r="BW164" s="16" t="n">
        <v>42.7692307692308</v>
      </c>
      <c r="BX164" s="16" t="n">
        <v>0.155994305554286</v>
      </c>
      <c r="BY164" s="16" t="n">
        <v>0.161741466184191</v>
      </c>
      <c r="BZ164" s="16" t="n">
        <v>13510.8578038903</v>
      </c>
      <c r="CA164" s="16" t="n">
        <v>19402.010477409</v>
      </c>
      <c r="CB164" s="16" t="n">
        <v>278.503097417438</v>
      </c>
      <c r="CC164" s="16" t="n">
        <v>0</v>
      </c>
      <c r="CD164" s="16" t="n">
        <v>950.69728</v>
      </c>
      <c r="CE164" s="16" t="n">
        <v>12000</v>
      </c>
      <c r="CF164" s="16" t="n">
        <v>24.2501640779233</v>
      </c>
      <c r="CG164" s="16" t="n">
        <v>27.4026854080534</v>
      </c>
      <c r="CH164" s="16" t="n">
        <v>2643.77364301215</v>
      </c>
      <c r="CI164" s="16" t="n">
        <v>-6.2083733271085</v>
      </c>
      <c r="CJ164" s="16" t="n">
        <v>3.00594144553374</v>
      </c>
      <c r="CK164" s="16" t="n">
        <v>38739.6121648513</v>
      </c>
      <c r="CL164" s="16" t="n">
        <v>164.481464930797</v>
      </c>
      <c r="CM164" s="16" t="n">
        <v>189.849033180797</v>
      </c>
      <c r="CN164" s="16" t="n">
        <v>1000</v>
      </c>
      <c r="CO164" s="16" t="n">
        <v>1.5535546875</v>
      </c>
      <c r="CP164" s="16" t="n">
        <v>1.09004417261298</v>
      </c>
      <c r="CQ164" s="16" t="n">
        <v>3.97046602096122</v>
      </c>
      <c r="CR164" s="16" t="n">
        <v>88.869332374278</v>
      </c>
      <c r="CS164" s="16" t="n">
        <v>30.251102221468</v>
      </c>
      <c r="CT164" s="16" t="n">
        <v>3.51368674421347</v>
      </c>
      <c r="CU164" s="16" t="n">
        <v>3.97046602096122</v>
      </c>
      <c r="CV164" s="16" t="n">
        <v>10991.2196047346</v>
      </c>
      <c r="CW164" s="16" t="n">
        <v>2270.95477479745</v>
      </c>
      <c r="CX164" s="16" t="n">
        <v>13262.174379532</v>
      </c>
      <c r="CY164" s="16" t="n">
        <v>10991.2196047346</v>
      </c>
      <c r="CZ164" s="16" t="n">
        <v>1169.00957579736</v>
      </c>
      <c r="DA164" s="16" t="n">
        <v>24.2501640779233</v>
      </c>
      <c r="DB164" s="16" t="n">
        <v>16775.9595284851</v>
      </c>
      <c r="DC164" s="16" t="n">
        <v>12447.761970136</v>
      </c>
      <c r="DD164" s="16" t="n">
        <v>11144.3333333333</v>
      </c>
      <c r="DE164" s="16" t="n">
        <v>1921.25</v>
      </c>
      <c r="DF164" s="16" t="n">
        <v>11306.1448497346</v>
      </c>
      <c r="DG164" s="16" t="n">
        <v>189.849033180797</v>
      </c>
      <c r="DH164" s="16" t="n">
        <v>0</v>
      </c>
      <c r="DI164" s="16" t="n">
        <v>30.2511309413356</v>
      </c>
    </row>
    <row r="165" customFormat="false" ht="15" hidden="false" customHeight="false" outlineLevel="0" collapsed="false">
      <c r="A165" s="0" t="s">
        <v>3383</v>
      </c>
      <c r="B165" s="16" t="n">
        <v>2465.07954157611</v>
      </c>
      <c r="C165" s="16" t="n">
        <v>8209.24039226006</v>
      </c>
      <c r="D165" s="16" t="n">
        <v>19716.7966317894</v>
      </c>
      <c r="E165" s="16" t="n">
        <v>4213.14398474076</v>
      </c>
      <c r="F165" s="16" t="n">
        <v>-1135.49021845689</v>
      </c>
      <c r="G165" s="16" t="n">
        <v>5020.26458750724</v>
      </c>
      <c r="H165" s="16" t="n">
        <v>-898.814009603721</v>
      </c>
      <c r="I165" s="17" t="n">
        <v>0.01</v>
      </c>
      <c r="J165" s="17" t="n">
        <v>3.97046602096122</v>
      </c>
      <c r="K165" s="16" t="s">
        <v>116</v>
      </c>
      <c r="L165" s="16" t="n">
        <v>1000</v>
      </c>
      <c r="M165" s="16" t="n">
        <v>33779.4469253452</v>
      </c>
      <c r="N165" s="16" t="n">
        <v>11402.7039831813</v>
      </c>
      <c r="O165" s="16" t="n">
        <v>1000</v>
      </c>
      <c r="P165" s="16" t="n">
        <v>951.290832135856</v>
      </c>
      <c r="Q165" s="16" t="n">
        <v>-267.565775756198</v>
      </c>
      <c r="R165" s="16" t="n">
        <v>17617.7170533315</v>
      </c>
      <c r="S165" s="16" t="n">
        <v>26949.0428826358</v>
      </c>
      <c r="T165" s="16" t="n">
        <v>-955.692204749296</v>
      </c>
      <c r="U165" s="16" t="n">
        <v>-621.096213862173</v>
      </c>
      <c r="V165" s="16" t="n">
        <v>0.750319556751226</v>
      </c>
      <c r="W165" s="16" t="n">
        <v>46166.2147180189</v>
      </c>
      <c r="X165" s="16" t="n">
        <v>22149.4762774452</v>
      </c>
      <c r="Y165" s="16" t="n">
        <v>3.7351002431262</v>
      </c>
      <c r="Z165" s="16" t="n">
        <v>5.06988806216538</v>
      </c>
      <c r="AA165" s="16" t="n">
        <v>27.424347870838</v>
      </c>
      <c r="AB165" s="16" t="n">
        <v>25.224347870838</v>
      </c>
      <c r="AC165" s="16" t="n">
        <v>26.674347870838</v>
      </c>
      <c r="AD165" s="16" t="n">
        <v>27.2673434792775</v>
      </c>
      <c r="AE165" s="16" t="n">
        <v>674.686407680941</v>
      </c>
      <c r="AF165" s="16" t="n">
        <v>0.03</v>
      </c>
      <c r="AG165" s="16" t="n">
        <v>0.654405917289144</v>
      </c>
      <c r="AH165" s="16" t="n">
        <v>9819.91719809611</v>
      </c>
      <c r="AI165" s="16" t="n">
        <v>19716.7966317894</v>
      </c>
      <c r="AJ165" s="16" t="n">
        <v>16.69175</v>
      </c>
      <c r="AK165" s="16" t="n">
        <v>0</v>
      </c>
      <c r="AL165" s="16" t="n">
        <v>1000</v>
      </c>
      <c r="AM165" s="16" t="n">
        <v>812.6073</v>
      </c>
      <c r="AN165" s="16" t="n">
        <v>20079.98904</v>
      </c>
      <c r="AO165" s="16" t="n">
        <v>-5508.72242389994</v>
      </c>
      <c r="AP165" s="16" t="n">
        <v>0.414483496940676</v>
      </c>
      <c r="AQ165" s="16" t="n">
        <v>78.645426879892</v>
      </c>
      <c r="AR165" s="16" t="n">
        <v>506.474954430797</v>
      </c>
      <c r="AS165" s="16" t="n">
        <v>314.925245</v>
      </c>
      <c r="AT165" s="16" t="n">
        <v>1000</v>
      </c>
      <c r="AU165" s="16" t="n">
        <v>12.270507</v>
      </c>
      <c r="AV165" s="16" t="n">
        <v>0</v>
      </c>
      <c r="AW165" s="16" t="n">
        <v>2254.3125</v>
      </c>
      <c r="AX165" s="16" t="n">
        <v>314.925245</v>
      </c>
      <c r="AY165" s="16" t="n">
        <v>314.925245</v>
      </c>
      <c r="AZ165" s="16" t="n">
        <v>5631.62619515181</v>
      </c>
      <c r="BA165" s="16" t="n">
        <v>0</v>
      </c>
      <c r="BB165" s="16" t="n">
        <v>417.928966666667</v>
      </c>
      <c r="BC165" s="16" t="n">
        <v>111441.907179589</v>
      </c>
      <c r="BD165" s="16" t="n">
        <v>16.751694488301</v>
      </c>
      <c r="BE165" s="16" t="n">
        <v>25.4089871102374</v>
      </c>
      <c r="BF165" s="16" t="n">
        <v>39.6368423190398</v>
      </c>
      <c r="BG165" s="16" t="n">
        <v>-8.27711430924607</v>
      </c>
      <c r="BH165" s="16" t="n">
        <v>-7.28866183200638</v>
      </c>
      <c r="BI165" s="16" t="n">
        <v>1.09242813813745</v>
      </c>
      <c r="BJ165" s="16" t="n">
        <v>2.04083187529388</v>
      </c>
      <c r="BK165" s="16" t="n">
        <v>5.25403316350504</v>
      </c>
      <c r="BL165" s="16" t="n">
        <v>7.88491984612206</v>
      </c>
      <c r="BM165" s="16" t="n">
        <v>3.71992671744367</v>
      </c>
      <c r="BN165" s="16" t="n">
        <v>4.46573109600205</v>
      </c>
      <c r="BO165" s="16" t="n">
        <v>5.7791095890411</v>
      </c>
      <c r="BP165" s="16" t="n">
        <v>8712.70308277889</v>
      </c>
      <c r="BQ165" s="16" t="n">
        <v>8176.87365522983</v>
      </c>
      <c r="BR165" s="16" t="n">
        <v>8176.87365522983</v>
      </c>
      <c r="BS165" s="16" t="n">
        <v>506.474954430797</v>
      </c>
      <c r="BT165" s="16" t="n">
        <v>301.7195</v>
      </c>
      <c r="BU165" s="16" t="n">
        <v>1081.9108</v>
      </c>
      <c r="BV165" s="16" t="s">
        <v>3237</v>
      </c>
      <c r="BW165" s="16" t="n">
        <v>42.7692307692308</v>
      </c>
      <c r="BX165" s="16" t="n">
        <v>0.155994305554286</v>
      </c>
      <c r="BY165" s="16" t="n">
        <v>0.161741466184191</v>
      </c>
      <c r="BZ165" s="16" t="n">
        <v>13510.8578038903</v>
      </c>
      <c r="CA165" s="16" t="n">
        <v>19402.010477409</v>
      </c>
      <c r="CB165" s="16" t="n">
        <v>278.503097417438</v>
      </c>
      <c r="CC165" s="16" t="n">
        <v>0</v>
      </c>
      <c r="CD165" s="16" t="n">
        <v>950.69728</v>
      </c>
      <c r="CE165" s="16" t="n">
        <v>12000</v>
      </c>
      <c r="CF165" s="16" t="n">
        <v>24.2501640779233</v>
      </c>
      <c r="CG165" s="16" t="n">
        <v>27.4026854080534</v>
      </c>
      <c r="CH165" s="16" t="n">
        <v>2643.77364301215</v>
      </c>
      <c r="CI165" s="16" t="n">
        <v>-6.2083733271085</v>
      </c>
      <c r="CJ165" s="16" t="n">
        <v>3.00594144553374</v>
      </c>
      <c r="CK165" s="16" t="n">
        <v>38739.6121648513</v>
      </c>
      <c r="CL165" s="16" t="n">
        <v>164.481464930797</v>
      </c>
      <c r="CM165" s="16" t="n">
        <v>189.849033180797</v>
      </c>
      <c r="CN165" s="16" t="n">
        <v>1000</v>
      </c>
      <c r="CO165" s="16" t="n">
        <v>1.5535546875</v>
      </c>
      <c r="CP165" s="16" t="n">
        <v>1.09004417261298</v>
      </c>
      <c r="CQ165" s="16" t="n">
        <v>3.97046602096122</v>
      </c>
      <c r="CR165" s="16" t="n">
        <v>88.869332374278</v>
      </c>
      <c r="CS165" s="16" t="n">
        <v>30.251102221468</v>
      </c>
      <c r="CT165" s="16" t="n">
        <v>3.51368674421347</v>
      </c>
      <c r="CU165" s="16" t="n">
        <v>3.97046602096122</v>
      </c>
      <c r="CV165" s="16" t="n">
        <v>10991.2196047346</v>
      </c>
      <c r="CW165" s="16" t="n">
        <v>2270.95477479745</v>
      </c>
      <c r="CX165" s="16" t="n">
        <v>13262.174379532</v>
      </c>
      <c r="CY165" s="16" t="n">
        <v>10991.2196047346</v>
      </c>
      <c r="CZ165" s="16" t="n">
        <v>1169.00957579736</v>
      </c>
      <c r="DA165" s="16" t="n">
        <v>24.2501640779233</v>
      </c>
      <c r="DB165" s="16" t="n">
        <v>16775.9595284851</v>
      </c>
      <c r="DC165" s="16" t="n">
        <v>12447.761970136</v>
      </c>
      <c r="DD165" s="16" t="n">
        <v>11144.3333333333</v>
      </c>
      <c r="DE165" s="16" t="n">
        <v>1921.25</v>
      </c>
      <c r="DF165" s="16" t="n">
        <v>11306.1448497346</v>
      </c>
      <c r="DG165" s="16" t="n">
        <v>189.849033180797</v>
      </c>
      <c r="DH165" s="16" t="n">
        <v>0</v>
      </c>
      <c r="DI165" s="16" t="n">
        <v>30.2511309413356</v>
      </c>
    </row>
    <row r="166" customFormat="false" ht="15" hidden="false" customHeight="false" outlineLevel="0" collapsed="false">
      <c r="A166" s="0" t="s">
        <v>3384</v>
      </c>
      <c r="B166" s="16" t="n">
        <v>2465.07954157611</v>
      </c>
      <c r="C166" s="16" t="n">
        <v>8209.24039226006</v>
      </c>
      <c r="D166" s="16" t="n">
        <v>19716.7966317894</v>
      </c>
      <c r="E166" s="16" t="n">
        <v>4213.14398474076</v>
      </c>
      <c r="F166" s="16" t="n">
        <v>-1135.49021845689</v>
      </c>
      <c r="G166" s="16" t="n">
        <v>5020.26458750724</v>
      </c>
      <c r="H166" s="16" t="n">
        <v>4609.90841429622</v>
      </c>
      <c r="I166" s="17" t="n">
        <v>15.5199568394009</v>
      </c>
      <c r="J166" s="17" t="n">
        <v>23.7366055662585</v>
      </c>
      <c r="K166" s="16" t="s">
        <v>116</v>
      </c>
      <c r="L166" s="16" t="n">
        <v>1000</v>
      </c>
      <c r="M166" s="16" t="n">
        <v>33779.4469253452</v>
      </c>
      <c r="N166" s="16" t="n">
        <v>11402.7039831813</v>
      </c>
      <c r="O166" s="16" t="n">
        <v>1000</v>
      </c>
      <c r="P166" s="16" t="n">
        <v>951.290832135856</v>
      </c>
      <c r="Q166" s="16" t="n">
        <v>-267.565775756198</v>
      </c>
      <c r="R166" s="16" t="n">
        <v>17617.7170533315</v>
      </c>
      <c r="S166" s="16" t="n">
        <v>26949.0428826358</v>
      </c>
      <c r="T166" s="16" t="n">
        <v>-955.692204749296</v>
      </c>
      <c r="U166" s="16" t="n">
        <v>4887.62621003776</v>
      </c>
      <c r="V166" s="16" t="n">
        <v>0.750319556751226</v>
      </c>
      <c r="W166" s="16" t="n">
        <v>46166.2147180189</v>
      </c>
      <c r="X166" s="16" t="n">
        <v>22149.4762774452</v>
      </c>
      <c r="Y166" s="16" t="n">
        <v>22.3295202007696</v>
      </c>
      <c r="Z166" s="16" t="n">
        <v>30.3092716475555</v>
      </c>
      <c r="AA166" s="16" t="n">
        <v>27.424347870838</v>
      </c>
      <c r="AB166" s="16" t="n">
        <v>25.224347870838</v>
      </c>
      <c r="AC166" s="16" t="n">
        <v>26.674347870838</v>
      </c>
      <c r="AD166" s="16" t="n">
        <v>27.2673434792775</v>
      </c>
      <c r="AE166" s="16" t="n">
        <v>674.686407680941</v>
      </c>
      <c r="AF166" s="16" t="n">
        <v>0.03</v>
      </c>
      <c r="AG166" s="16" t="n">
        <v>0.654405917289144</v>
      </c>
      <c r="AH166" s="16" t="n">
        <v>9819.91719809611</v>
      </c>
      <c r="AI166" s="16" t="n">
        <v>19716.7966317894</v>
      </c>
      <c r="AJ166" s="16" t="n">
        <v>16.69175</v>
      </c>
      <c r="AK166" s="16" t="n">
        <v>0</v>
      </c>
      <c r="AL166" s="16" t="n">
        <v>1000</v>
      </c>
      <c r="AM166" s="16" t="n">
        <v>812.6073</v>
      </c>
      <c r="AN166" s="16" t="n">
        <v>20079.98904</v>
      </c>
      <c r="AO166" s="16" t="n">
        <v>0</v>
      </c>
      <c r="AP166" s="16" t="n">
        <v>0.414483496940676</v>
      </c>
      <c r="AQ166" s="16" t="n">
        <v>89.510567660081</v>
      </c>
      <c r="AR166" s="16" t="n">
        <v>506.539759542877</v>
      </c>
      <c r="AS166" s="16" t="n">
        <v>314.925245</v>
      </c>
      <c r="AT166" s="16" t="n">
        <v>1000</v>
      </c>
      <c r="AU166" s="16" t="n">
        <v>12.270507</v>
      </c>
      <c r="AV166" s="16" t="n">
        <v>0</v>
      </c>
      <c r="AW166" s="16" t="n">
        <v>2254.3125</v>
      </c>
      <c r="AX166" s="16" t="n">
        <v>314.925245</v>
      </c>
      <c r="AY166" s="16" t="n">
        <v>314.925245</v>
      </c>
      <c r="AZ166" s="16" t="n">
        <v>5631.62619515181</v>
      </c>
      <c r="BA166" s="16" t="n">
        <v>0</v>
      </c>
      <c r="BB166" s="16" t="n">
        <v>417.928966666667</v>
      </c>
      <c r="BC166" s="16" t="n">
        <v>111441.907179589</v>
      </c>
      <c r="BD166" s="16" t="n">
        <v>16.751694488301</v>
      </c>
      <c r="BE166" s="16" t="n">
        <v>25.4089871102374</v>
      </c>
      <c r="BF166" s="16" t="n">
        <v>39.6368423190398</v>
      </c>
      <c r="BG166" s="16" t="n">
        <v>-8.27711430924607</v>
      </c>
      <c r="BH166" s="16" t="n">
        <v>-7.28866183200638</v>
      </c>
      <c r="BI166" s="16" t="n">
        <v>1.09242813813745</v>
      </c>
      <c r="BJ166" s="16" t="n">
        <v>2.04083187529388</v>
      </c>
      <c r="BK166" s="16" t="n">
        <v>5.25403316350504</v>
      </c>
      <c r="BL166" s="16" t="n">
        <v>7.88491984612206</v>
      </c>
      <c r="BM166" s="16" t="n">
        <v>3.71992671744367</v>
      </c>
      <c r="BN166" s="16" t="n">
        <v>4.46573109600205</v>
      </c>
      <c r="BO166" s="16" t="n">
        <v>5.7791095890411</v>
      </c>
      <c r="BP166" s="16" t="n">
        <v>8712.70308277889</v>
      </c>
      <c r="BQ166" s="16" t="n">
        <v>8176.87365522983</v>
      </c>
      <c r="BR166" s="16" t="n">
        <v>8176.87365522983</v>
      </c>
      <c r="BS166" s="16" t="n">
        <v>506.539759542877</v>
      </c>
      <c r="BT166" s="16" t="n">
        <v>301.7195</v>
      </c>
      <c r="BU166" s="16" t="n">
        <v>1081.9108</v>
      </c>
      <c r="BV166" s="16" t="s">
        <v>3237</v>
      </c>
      <c r="BW166" s="16" t="n">
        <v>42.7692307692308</v>
      </c>
      <c r="BX166" s="16" t="n">
        <v>0.155994305554286</v>
      </c>
      <c r="BY166" s="16" t="n">
        <v>0.161741466184191</v>
      </c>
      <c r="BZ166" s="16" t="n">
        <v>13510.8578038903</v>
      </c>
      <c r="CA166" s="16" t="n">
        <v>19402.010477409</v>
      </c>
      <c r="CB166" s="16" t="n">
        <v>278.567902529518</v>
      </c>
      <c r="CC166" s="16" t="n">
        <v>0</v>
      </c>
      <c r="CD166" s="16" t="n">
        <v>950.69728</v>
      </c>
      <c r="CE166" s="16" t="n">
        <v>12000</v>
      </c>
      <c r="CF166" s="16" t="n">
        <v>24.2501640779233</v>
      </c>
      <c r="CG166" s="16" t="n">
        <v>27.4026854080534</v>
      </c>
      <c r="CH166" s="16" t="n">
        <v>2643.77364301215</v>
      </c>
      <c r="CI166" s="16" t="n">
        <v>-6.2083733271085</v>
      </c>
      <c r="CJ166" s="16" t="n">
        <v>3.00594144553374</v>
      </c>
      <c r="CK166" s="16" t="n">
        <v>38739.6121648513</v>
      </c>
      <c r="CL166" s="16" t="n">
        <v>164.481464930797</v>
      </c>
      <c r="CM166" s="16" t="n">
        <v>189.849033180797</v>
      </c>
      <c r="CN166" s="16" t="n">
        <v>1000</v>
      </c>
      <c r="CO166" s="16" t="n">
        <v>1.5535546875</v>
      </c>
      <c r="CP166" s="16" t="n">
        <v>1.09004417261298</v>
      </c>
      <c r="CQ166" s="16" t="n">
        <v>23.7366055662585</v>
      </c>
      <c r="CR166" s="16" t="n">
        <v>101.146941455892</v>
      </c>
      <c r="CS166" s="16" t="n">
        <v>45.7606248072879</v>
      </c>
      <c r="CT166" s="16" t="n">
        <v>21.0058456338571</v>
      </c>
      <c r="CU166" s="16" t="n">
        <v>23.7366055662585</v>
      </c>
      <c r="CV166" s="16" t="n">
        <v>1838.52168110995</v>
      </c>
      <c r="CW166" s="16" t="n">
        <v>379.866815552186</v>
      </c>
      <c r="CX166" s="16" t="n">
        <v>2218.38849666214</v>
      </c>
      <c r="CY166" s="16" t="n">
        <v>1838.52168110995</v>
      </c>
      <c r="CZ166" s="16" t="n">
        <v>802.094474643402</v>
      </c>
      <c r="DA166" s="16" t="n">
        <v>24.2501640779233</v>
      </c>
      <c r="DB166" s="16" t="n">
        <v>16775.9595284851</v>
      </c>
      <c r="DC166" s="16" t="n">
        <v>12447.761970136</v>
      </c>
      <c r="DD166" s="16" t="n">
        <v>11144.3333333333</v>
      </c>
      <c r="DE166" s="16" t="n">
        <v>1921.25</v>
      </c>
      <c r="DF166" s="16" t="n">
        <v>2153.44692610995</v>
      </c>
      <c r="DG166" s="16" t="n">
        <v>189.849033180797</v>
      </c>
      <c r="DH166" s="16" t="n">
        <v>0</v>
      </c>
      <c r="DI166" s="16" t="n">
        <v>45.7606254918216</v>
      </c>
    </row>
    <row r="167" customFormat="false" ht="15" hidden="false" customHeight="false" outlineLevel="0" collapsed="false">
      <c r="A167" s="0" t="s">
        <v>3385</v>
      </c>
      <c r="B167" s="16" t="n">
        <v>2467.28351220931</v>
      </c>
      <c r="C167" s="16" t="n">
        <v>8206.67766545963</v>
      </c>
      <c r="D167" s="16" t="n">
        <v>19712.3095203339</v>
      </c>
      <c r="E167" s="16" t="n">
        <v>4211.32444871245</v>
      </c>
      <c r="F167" s="16" t="n">
        <v>-1137.21314556635</v>
      </c>
      <c r="G167" s="16" t="n">
        <v>5020.27048766042</v>
      </c>
      <c r="H167" s="16" t="n">
        <v>-914.385794049497</v>
      </c>
      <c r="I167" s="17" t="n">
        <v>0.01</v>
      </c>
      <c r="J167" s="17" t="n">
        <v>3.91891449954449</v>
      </c>
      <c r="K167" s="16" t="s">
        <v>116</v>
      </c>
      <c r="L167" s="16" t="n">
        <v>1000</v>
      </c>
      <c r="M167" s="16" t="n">
        <v>33779.3956708092</v>
      </c>
      <c r="N167" s="16" t="n">
        <v>11399.2937784751</v>
      </c>
      <c r="O167" s="16" t="n">
        <v>1000</v>
      </c>
      <c r="P167" s="16" t="n">
        <v>952.635254222107</v>
      </c>
      <c r="Q167" s="16" t="n">
        <v>-270.78853538907</v>
      </c>
      <c r="R167" s="16" t="n">
        <v>17617.7611327442</v>
      </c>
      <c r="S167" s="16" t="n">
        <v>26948.9531404067</v>
      </c>
      <c r="T167" s="16" t="n">
        <v>-954.436690904002</v>
      </c>
      <c r="U167" s="16" t="n">
        <v>-636.225843086566</v>
      </c>
      <c r="V167" s="16" t="n">
        <v>0.78095863925672</v>
      </c>
      <c r="W167" s="16" t="n">
        <v>46159.1646377864</v>
      </c>
      <c r="X167" s="16" t="n">
        <v>22149.4116491308</v>
      </c>
      <c r="Y167" s="16" t="n">
        <v>3.68660465113256</v>
      </c>
      <c r="Z167" s="16" t="n">
        <v>5.00406192446836</v>
      </c>
      <c r="AA167" s="16" t="n">
        <v>28.5442131995683</v>
      </c>
      <c r="AB167" s="16" t="n">
        <v>26.3442131995683</v>
      </c>
      <c r="AC167" s="16" t="n">
        <v>27.7942131995683</v>
      </c>
      <c r="AD167" s="16" t="n">
        <v>28.3807975790008</v>
      </c>
      <c r="AE167" s="16" t="n">
        <v>675.435823310406</v>
      </c>
      <c r="AF167" s="16" t="n">
        <v>0.03</v>
      </c>
      <c r="AG167" s="16" t="n">
        <v>0.654377403991659</v>
      </c>
      <c r="AH167" s="16" t="n">
        <v>9821.22140962788</v>
      </c>
      <c r="AI167" s="16" t="n">
        <v>19712.3095203339</v>
      </c>
      <c r="AJ167" s="16" t="n">
        <v>16.69175</v>
      </c>
      <c r="AK167" s="16" t="n">
        <v>0</v>
      </c>
      <c r="AL167" s="16" t="n">
        <v>1000</v>
      </c>
      <c r="AM167" s="16" t="n">
        <v>812.6073</v>
      </c>
      <c r="AN167" s="16" t="n">
        <v>20079.98904</v>
      </c>
      <c r="AO167" s="16" t="n">
        <v>-5508.72242389994</v>
      </c>
      <c r="AP167" s="16" t="n">
        <v>0.41332039134012</v>
      </c>
      <c r="AQ167" s="16" t="n">
        <v>78.6242720423253</v>
      </c>
      <c r="AR167" s="16" t="n">
        <v>506.503094607016</v>
      </c>
      <c r="AS167" s="16" t="n">
        <v>314.925245</v>
      </c>
      <c r="AT167" s="16" t="n">
        <v>1000</v>
      </c>
      <c r="AU167" s="16" t="n">
        <v>12.270507</v>
      </c>
      <c r="AV167" s="16" t="n">
        <v>0</v>
      </c>
      <c r="AW167" s="16" t="n">
        <v>2254.3125</v>
      </c>
      <c r="AX167" s="16" t="n">
        <v>314.925245</v>
      </c>
      <c r="AY167" s="16" t="n">
        <v>314.925245</v>
      </c>
      <c r="AZ167" s="16" t="n">
        <v>5631.59605611878</v>
      </c>
      <c r="BA167" s="16" t="n">
        <v>0</v>
      </c>
      <c r="BB167" s="16" t="n">
        <v>417.928966666667</v>
      </c>
      <c r="BC167" s="16" t="n">
        <v>111441.556199328</v>
      </c>
      <c r="BD167" s="16" t="n">
        <v>16.7530027866826</v>
      </c>
      <c r="BE167" s="16" t="n">
        <v>25.410295408619</v>
      </c>
      <c r="BF167" s="16" t="n">
        <v>39.6381506174214</v>
      </c>
      <c r="BG167" s="16" t="n">
        <v>-8.27711430924607</v>
      </c>
      <c r="BH167" s="16" t="n">
        <v>-7.28866183200638</v>
      </c>
      <c r="BI167" s="16" t="n">
        <v>1.09242813813745</v>
      </c>
      <c r="BJ167" s="16" t="n">
        <v>2.04083187529388</v>
      </c>
      <c r="BK167" s="16" t="n">
        <v>5.25403316350504</v>
      </c>
      <c r="BL167" s="16" t="n">
        <v>7.88491984612206</v>
      </c>
      <c r="BM167" s="16" t="n">
        <v>3.71992671744367</v>
      </c>
      <c r="BN167" s="16" t="n">
        <v>4.46573109600205</v>
      </c>
      <c r="BO167" s="16" t="n">
        <v>5.7791095890411</v>
      </c>
      <c r="BP167" s="16" t="n">
        <v>8712.70308277889</v>
      </c>
      <c r="BQ167" s="16" t="n">
        <v>8174.3109284294</v>
      </c>
      <c r="BR167" s="16" t="n">
        <v>8174.3109284294</v>
      </c>
      <c r="BS167" s="16" t="n">
        <v>506.503094607016</v>
      </c>
      <c r="BT167" s="16" t="n">
        <v>301.7195</v>
      </c>
      <c r="BU167" s="16" t="n">
        <v>1081.9108</v>
      </c>
      <c r="BV167" s="16" t="s">
        <v>3237</v>
      </c>
      <c r="BW167" s="16" t="n">
        <v>42.7692307692308</v>
      </c>
      <c r="BX167" s="16" t="n">
        <v>0.155994305554286</v>
      </c>
      <c r="BY167" s="16" t="n">
        <v>0.161741466184191</v>
      </c>
      <c r="BZ167" s="16" t="n">
        <v>13510.8578038903</v>
      </c>
      <c r="CA167" s="16" t="n">
        <v>19402.010477409</v>
      </c>
      <c r="CB167" s="16" t="n">
        <v>278.5456915306</v>
      </c>
      <c r="CC167" s="16" t="n">
        <v>0</v>
      </c>
      <c r="CD167" s="16" t="n">
        <v>950.69728</v>
      </c>
      <c r="CE167" s="16" t="n">
        <v>12000</v>
      </c>
      <c r="CF167" s="16" t="n">
        <v>24.2538935310566</v>
      </c>
      <c r="CG167" s="16" t="n">
        <v>27.4068996900939</v>
      </c>
      <c r="CH167" s="16" t="n">
        <v>2643.77364301215</v>
      </c>
      <c r="CI167" s="16" t="n">
        <v>-6.2083733271085</v>
      </c>
      <c r="CJ167" s="16" t="n">
        <v>3.00594144553374</v>
      </c>
      <c r="CK167" s="16" t="n">
        <v>38746.2398995535</v>
      </c>
      <c r="CL167" s="16" t="n">
        <v>164.509605107016</v>
      </c>
      <c r="CM167" s="16" t="n">
        <v>189.877173357016</v>
      </c>
      <c r="CN167" s="16" t="n">
        <v>1000</v>
      </c>
      <c r="CO167" s="16" t="n">
        <v>1.5535546875</v>
      </c>
      <c r="CP167" s="16" t="n">
        <v>1.09004417261298</v>
      </c>
      <c r="CQ167" s="16" t="n">
        <v>3.91891449954449</v>
      </c>
      <c r="CR167" s="16" t="n">
        <v>88.8454274078275</v>
      </c>
      <c r="CS167" s="16" t="n">
        <v>30.2139881505959</v>
      </c>
      <c r="CT167" s="16" t="n">
        <v>3.46806592880043</v>
      </c>
      <c r="CU167" s="16" t="n">
        <v>3.91891449954449</v>
      </c>
      <c r="CV167" s="16" t="n">
        <v>11137.4952705135</v>
      </c>
      <c r="CW167" s="16" t="n">
        <v>2300.82814246674</v>
      </c>
      <c r="CX167" s="16" t="n">
        <v>13438.3234129802</v>
      </c>
      <c r="CY167" s="16" t="n">
        <v>11137.4952705135</v>
      </c>
      <c r="CZ167" s="16" t="n">
        <v>1170.51443245752</v>
      </c>
      <c r="DA167" s="16" t="n">
        <v>24.2538935310566</v>
      </c>
      <c r="DB167" s="16" t="n">
        <v>16775.9293894521</v>
      </c>
      <c r="DC167" s="16" t="n">
        <v>12447.7396069735</v>
      </c>
      <c r="DD167" s="16" t="n">
        <v>11144.3333333333</v>
      </c>
      <c r="DE167" s="16" t="n">
        <v>1921.25</v>
      </c>
      <c r="DF167" s="16" t="n">
        <v>11452.4205155135</v>
      </c>
      <c r="DG167" s="16" t="n">
        <v>189.877173357016</v>
      </c>
      <c r="DH167" s="16" t="n">
        <v>0</v>
      </c>
      <c r="DI167" s="16" t="n">
        <v>30.214017180602</v>
      </c>
    </row>
    <row r="168" customFormat="false" ht="15" hidden="false" customHeight="false" outlineLevel="0" collapsed="false">
      <c r="A168" s="0" t="s">
        <v>3386</v>
      </c>
      <c r="B168" s="16" t="n">
        <v>2465.07954157611</v>
      </c>
      <c r="C168" s="16" t="n">
        <v>8209.24039226006</v>
      </c>
      <c r="D168" s="16" t="n">
        <v>19716.7966317894</v>
      </c>
      <c r="E168" s="16" t="n">
        <v>4213.14398474076</v>
      </c>
      <c r="F168" s="16" t="n">
        <v>-1135.49021845689</v>
      </c>
      <c r="G168" s="16" t="n">
        <v>5020.26458750724</v>
      </c>
      <c r="H168" s="16" t="n">
        <v>-898.814009603721</v>
      </c>
      <c r="I168" s="17" t="n">
        <v>0.01</v>
      </c>
      <c r="J168" s="17" t="n">
        <v>4.0754816571825</v>
      </c>
      <c r="K168" s="16" t="s">
        <v>116</v>
      </c>
      <c r="L168" s="16" t="n">
        <v>1000</v>
      </c>
      <c r="M168" s="16" t="n">
        <v>33779.4469253452</v>
      </c>
      <c r="N168" s="16" t="n">
        <v>11402.7039831813</v>
      </c>
      <c r="O168" s="16" t="n">
        <v>1000</v>
      </c>
      <c r="P168" s="16" t="n">
        <v>951.290832135856</v>
      </c>
      <c r="Q168" s="16" t="n">
        <v>-267.565775756198</v>
      </c>
      <c r="R168" s="16" t="n">
        <v>17617.7170533315</v>
      </c>
      <c r="S168" s="16" t="n">
        <v>26949.0428826358</v>
      </c>
      <c r="T168" s="16" t="n">
        <v>-955.692204749296</v>
      </c>
      <c r="U168" s="16" t="n">
        <v>-621.096213862173</v>
      </c>
      <c r="V168" s="16" t="n">
        <v>0.750319556751226</v>
      </c>
      <c r="W168" s="16" t="n">
        <v>46166.2147180189</v>
      </c>
      <c r="X168" s="16" t="n">
        <v>22149.4762774452</v>
      </c>
      <c r="Y168" s="16" t="n">
        <v>3.83389064362615</v>
      </c>
      <c r="Z168" s="16" t="n">
        <v>5.20398252805634</v>
      </c>
      <c r="AA168" s="16" t="n">
        <v>27.424347870838</v>
      </c>
      <c r="AB168" s="16" t="n">
        <v>25.224347870838</v>
      </c>
      <c r="AC168" s="16" t="n">
        <v>26.674347870838</v>
      </c>
      <c r="AD168" s="16" t="n">
        <v>27.2673434792775</v>
      </c>
      <c r="AE168" s="16" t="n">
        <v>674.686407680941</v>
      </c>
      <c r="AF168" s="16" t="n">
        <v>0.03</v>
      </c>
      <c r="AG168" s="16" t="n">
        <v>0.654405917289144</v>
      </c>
      <c r="AH168" s="16" t="n">
        <v>9736.58386476278</v>
      </c>
      <c r="AI168" s="16" t="n">
        <v>19716.7966317894</v>
      </c>
      <c r="AJ168" s="16" t="n">
        <v>16.69175</v>
      </c>
      <c r="AK168" s="16" t="n">
        <v>0</v>
      </c>
      <c r="AL168" s="16" t="n">
        <v>1000</v>
      </c>
      <c r="AM168" s="16" t="n">
        <v>812.6073</v>
      </c>
      <c r="AN168" s="16" t="n">
        <v>20079.98904</v>
      </c>
      <c r="AO168" s="16" t="n">
        <v>-5508.72242389994</v>
      </c>
      <c r="AP168" s="16" t="n">
        <v>0.414483496940676</v>
      </c>
      <c r="AQ168" s="16" t="n">
        <v>78.9792872990158</v>
      </c>
      <c r="AR168" s="16" t="n">
        <v>507.55509378145</v>
      </c>
      <c r="AS168" s="16" t="n">
        <v>314.925245</v>
      </c>
      <c r="AT168" s="16" t="n">
        <v>1000</v>
      </c>
      <c r="AU168" s="16" t="n">
        <v>12.270507</v>
      </c>
      <c r="AV168" s="16" t="n">
        <v>0</v>
      </c>
      <c r="AW168" s="16" t="n">
        <v>2254.3125</v>
      </c>
      <c r="AX168" s="16" t="n">
        <v>314.925245</v>
      </c>
      <c r="AY168" s="16" t="n">
        <v>314.925245</v>
      </c>
      <c r="AZ168" s="16" t="n">
        <v>5631.62619515181</v>
      </c>
      <c r="BA168" s="16" t="n">
        <v>0</v>
      </c>
      <c r="BB168" s="16" t="n">
        <v>417.928966666667</v>
      </c>
      <c r="BC168" s="16" t="n">
        <v>111441.907179589</v>
      </c>
      <c r="BD168" s="16" t="n">
        <v>16.751694488301</v>
      </c>
      <c r="BE168" s="16" t="n">
        <v>25.4089871102374</v>
      </c>
      <c r="BF168" s="16" t="n">
        <v>39.6368423190398</v>
      </c>
      <c r="BG168" s="16" t="n">
        <v>-8.27711430924607</v>
      </c>
      <c r="BH168" s="16" t="n">
        <v>-7.28866183200638</v>
      </c>
      <c r="BI168" s="16" t="n">
        <v>1.09242813813745</v>
      </c>
      <c r="BJ168" s="16" t="n">
        <v>2.04083187529388</v>
      </c>
      <c r="BK168" s="16" t="n">
        <v>5.25403316350504</v>
      </c>
      <c r="BL168" s="16" t="n">
        <v>7.88491984612206</v>
      </c>
      <c r="BM168" s="16" t="n">
        <v>3.71992671744367</v>
      </c>
      <c r="BN168" s="16" t="n">
        <v>4.46573109600205</v>
      </c>
      <c r="BO168" s="16" t="n">
        <v>5.7791095890411</v>
      </c>
      <c r="BP168" s="16" t="n">
        <v>8712.70308277889</v>
      </c>
      <c r="BQ168" s="16" t="n">
        <v>8176.87365522983</v>
      </c>
      <c r="BR168" s="16" t="n">
        <v>8176.87365522983</v>
      </c>
      <c r="BS168" s="16" t="n">
        <v>507.55509378145</v>
      </c>
      <c r="BT168" s="16" t="n">
        <v>301.7195</v>
      </c>
      <c r="BU168" s="16" t="n">
        <v>1081.9108</v>
      </c>
      <c r="BV168" s="16" t="s">
        <v>3237</v>
      </c>
      <c r="BW168" s="16" t="n">
        <v>42.7692307692308</v>
      </c>
      <c r="BX168" s="16" t="n">
        <v>0.155994305554286</v>
      </c>
      <c r="BY168" s="16" t="n">
        <v>0.161741466184191</v>
      </c>
      <c r="BZ168" s="16" t="n">
        <v>13510.8578038903</v>
      </c>
      <c r="CA168" s="16" t="n">
        <v>19402.010477409</v>
      </c>
      <c r="CB168" s="16" t="n">
        <v>280.162289579272</v>
      </c>
      <c r="CC168" s="16" t="n">
        <v>0</v>
      </c>
      <c r="CD168" s="16" t="n">
        <v>950.69728</v>
      </c>
      <c r="CE168" s="16" t="n">
        <v>12000</v>
      </c>
      <c r="CF168" s="16" t="n">
        <v>24.3430982692696</v>
      </c>
      <c r="CG168" s="16" t="n">
        <v>27.5077010442747</v>
      </c>
      <c r="CH168" s="16" t="n">
        <v>2643.77364301215</v>
      </c>
      <c r="CI168" s="16" t="n">
        <v>-6.2083733271085</v>
      </c>
      <c r="CJ168" s="16" t="n">
        <v>3.00594144553374</v>
      </c>
      <c r="CK168" s="16" t="n">
        <v>38994.0127415115</v>
      </c>
      <c r="CL168" s="16" t="n">
        <v>165.56160428145</v>
      </c>
      <c r="CM168" s="16" t="n">
        <v>190.92917253145</v>
      </c>
      <c r="CN168" s="16" t="n">
        <v>1000</v>
      </c>
      <c r="CO168" s="16" t="n">
        <v>1.5535546875</v>
      </c>
      <c r="CP168" s="16" t="n">
        <v>1.09004417261298</v>
      </c>
      <c r="CQ168" s="16" t="n">
        <v>4.0754816571825</v>
      </c>
      <c r="CR168" s="16" t="n">
        <v>89.2465946478878</v>
      </c>
      <c r="CS168" s="16" t="n">
        <v>30.8085127602263</v>
      </c>
      <c r="CT168" s="16" t="n">
        <v>3.60662093555974</v>
      </c>
      <c r="CU168" s="16" t="n">
        <v>4.0754816571825</v>
      </c>
      <c r="CV168" s="16" t="n">
        <v>10770.4237777203</v>
      </c>
      <c r="CW168" s="16" t="n">
        <v>2212.43757841041</v>
      </c>
      <c r="CX168" s="16" t="n">
        <v>12982.8613561307</v>
      </c>
      <c r="CY168" s="16" t="n">
        <v>10770.4237777203</v>
      </c>
      <c r="CZ168" s="16" t="n">
        <v>1151.49207144663</v>
      </c>
      <c r="DA168" s="16" t="n">
        <v>24.3430982692696</v>
      </c>
      <c r="DB168" s="16" t="n">
        <v>16775.9595284851</v>
      </c>
      <c r="DC168" s="16" t="n">
        <v>12447.761970136</v>
      </c>
      <c r="DD168" s="16" t="n">
        <v>11144.3333333333</v>
      </c>
      <c r="DE168" s="16" t="n">
        <v>1921.25</v>
      </c>
      <c r="DF168" s="16" t="n">
        <v>11085.3490227203</v>
      </c>
      <c r="DG168" s="16" t="n">
        <v>190.92917253145</v>
      </c>
      <c r="DH168" s="16" t="n">
        <v>0</v>
      </c>
      <c r="DI168" s="16" t="n">
        <v>30.8085366782085</v>
      </c>
    </row>
    <row r="169" customFormat="false" ht="15" hidden="false" customHeight="false" outlineLevel="0" collapsed="false">
      <c r="A169" s="0" t="s">
        <v>3387</v>
      </c>
      <c r="B169" s="16" t="n">
        <v>2465.07954157611</v>
      </c>
      <c r="C169" s="16" t="n">
        <v>8209.24039226006</v>
      </c>
      <c r="D169" s="16" t="n">
        <v>19716.7966317894</v>
      </c>
      <c r="E169" s="16" t="n">
        <v>4213.14398474076</v>
      </c>
      <c r="F169" s="16" t="n">
        <v>-1135.49021845689</v>
      </c>
      <c r="G169" s="16" t="n">
        <v>5020.26458750724</v>
      </c>
      <c r="H169" s="16" t="n">
        <v>-898.814009603721</v>
      </c>
      <c r="I169" s="17" t="n">
        <v>0.01</v>
      </c>
      <c r="J169" s="17" t="n">
        <v>4.17995317424593</v>
      </c>
      <c r="K169" s="16" t="s">
        <v>116</v>
      </c>
      <c r="L169" s="16" t="n">
        <v>1000</v>
      </c>
      <c r="M169" s="16" t="n">
        <v>33779.4469253452</v>
      </c>
      <c r="N169" s="16" t="n">
        <v>11402.7039831813</v>
      </c>
      <c r="O169" s="16" t="n">
        <v>1000</v>
      </c>
      <c r="P169" s="16" t="n">
        <v>951.290832135856</v>
      </c>
      <c r="Q169" s="16" t="n">
        <v>-267.565775756198</v>
      </c>
      <c r="R169" s="16" t="n">
        <v>17617.7170533315</v>
      </c>
      <c r="S169" s="16" t="n">
        <v>26949.0428826358</v>
      </c>
      <c r="T169" s="16" t="n">
        <v>-955.692204749296</v>
      </c>
      <c r="U169" s="16" t="n">
        <v>-621.096213862173</v>
      </c>
      <c r="V169" s="16" t="n">
        <v>0.750319556751226</v>
      </c>
      <c r="W169" s="16" t="n">
        <v>46166.2147180189</v>
      </c>
      <c r="X169" s="16" t="n">
        <v>22149.4762774452</v>
      </c>
      <c r="Y169" s="16" t="n">
        <v>3.93216917987941</v>
      </c>
      <c r="Z169" s="16" t="n">
        <v>5.33738220819463</v>
      </c>
      <c r="AA169" s="16" t="n">
        <v>27.424347870838</v>
      </c>
      <c r="AB169" s="16" t="n">
        <v>25.224347870838</v>
      </c>
      <c r="AC169" s="16" t="n">
        <v>26.674347870838</v>
      </c>
      <c r="AD169" s="16" t="n">
        <v>27.2673434792775</v>
      </c>
      <c r="AE169" s="16" t="n">
        <v>674.686407680941</v>
      </c>
      <c r="AF169" s="16" t="n">
        <v>0.03</v>
      </c>
      <c r="AG169" s="16" t="n">
        <v>0.654405917289144</v>
      </c>
      <c r="AH169" s="16" t="n">
        <v>9653.25053142945</v>
      </c>
      <c r="AI169" s="16" t="n">
        <v>19716.7966317894</v>
      </c>
      <c r="AJ169" s="16" t="n">
        <v>16.69175</v>
      </c>
      <c r="AK169" s="16" t="n">
        <v>0</v>
      </c>
      <c r="AL169" s="16" t="n">
        <v>1000</v>
      </c>
      <c r="AM169" s="16" t="n">
        <v>812.6073</v>
      </c>
      <c r="AN169" s="16" t="n">
        <v>20079.98904</v>
      </c>
      <c r="AO169" s="16" t="n">
        <v>-5508.72242389994</v>
      </c>
      <c r="AP169" s="16" t="n">
        <v>0.414483496940676</v>
      </c>
      <c r="AQ169" s="16" t="n">
        <v>79.3100108938393</v>
      </c>
      <c r="AR169" s="16" t="n">
        <v>508.629636589198</v>
      </c>
      <c r="AS169" s="16" t="n">
        <v>314.925245</v>
      </c>
      <c r="AT169" s="16" t="n">
        <v>1000</v>
      </c>
      <c r="AU169" s="16" t="n">
        <v>12.270507</v>
      </c>
      <c r="AV169" s="16" t="n">
        <v>0</v>
      </c>
      <c r="AW169" s="16" t="n">
        <v>2254.3125</v>
      </c>
      <c r="AX169" s="16" t="n">
        <v>314.925245</v>
      </c>
      <c r="AY169" s="16" t="n">
        <v>314.925245</v>
      </c>
      <c r="AZ169" s="16" t="n">
        <v>5631.62619515181</v>
      </c>
      <c r="BA169" s="16" t="n">
        <v>0</v>
      </c>
      <c r="BB169" s="16" t="n">
        <v>417.928966666667</v>
      </c>
      <c r="BC169" s="16" t="n">
        <v>111441.907179589</v>
      </c>
      <c r="BD169" s="16" t="n">
        <v>16.751694488301</v>
      </c>
      <c r="BE169" s="16" t="n">
        <v>25.4089871102374</v>
      </c>
      <c r="BF169" s="16" t="n">
        <v>39.6368423190398</v>
      </c>
      <c r="BG169" s="16" t="n">
        <v>-8.27711430924607</v>
      </c>
      <c r="BH169" s="16" t="n">
        <v>-7.28866183200638</v>
      </c>
      <c r="BI169" s="16" t="n">
        <v>1.09242813813745</v>
      </c>
      <c r="BJ169" s="16" t="n">
        <v>2.04083187529388</v>
      </c>
      <c r="BK169" s="16" t="n">
        <v>5.25403316350504</v>
      </c>
      <c r="BL169" s="16" t="n">
        <v>7.88491984612206</v>
      </c>
      <c r="BM169" s="16" t="n">
        <v>3.71992671744367</v>
      </c>
      <c r="BN169" s="16" t="n">
        <v>4.46573109600205</v>
      </c>
      <c r="BO169" s="16" t="n">
        <v>5.7791095890411</v>
      </c>
      <c r="BP169" s="16" t="n">
        <v>8712.70308277889</v>
      </c>
      <c r="BQ169" s="16" t="n">
        <v>8176.87365522983</v>
      </c>
      <c r="BR169" s="16" t="n">
        <v>8176.87365522983</v>
      </c>
      <c r="BS169" s="16" t="n">
        <v>508.629636589198</v>
      </c>
      <c r="BT169" s="16" t="n">
        <v>301.7195</v>
      </c>
      <c r="BU169" s="16" t="n">
        <v>1081.9108</v>
      </c>
      <c r="BV169" s="16" t="s">
        <v>3237</v>
      </c>
      <c r="BW169" s="16" t="n">
        <v>42.7692307692308</v>
      </c>
      <c r="BX169" s="16" t="n">
        <v>0.155994305554286</v>
      </c>
      <c r="BY169" s="16" t="n">
        <v>0.161741466184191</v>
      </c>
      <c r="BZ169" s="16" t="n">
        <v>13510.8578038903</v>
      </c>
      <c r="CA169" s="16" t="n">
        <v>19402.010477409</v>
      </c>
      <c r="CB169" s="16" t="n">
        <v>281.815885198201</v>
      </c>
      <c r="CC169" s="16" t="n">
        <v>0</v>
      </c>
      <c r="CD169" s="16" t="n">
        <v>950.69728</v>
      </c>
      <c r="CE169" s="16" t="n">
        <v>12000</v>
      </c>
      <c r="CF169" s="16" t="n">
        <v>24.4355509392372</v>
      </c>
      <c r="CG169" s="16" t="n">
        <v>27.6121725613381</v>
      </c>
      <c r="CH169" s="16" t="n">
        <v>2643.77364301215</v>
      </c>
      <c r="CI169" s="16" t="n">
        <v>-6.2083733271085</v>
      </c>
      <c r="CJ169" s="16" t="n">
        <v>3.00594144553374</v>
      </c>
      <c r="CK169" s="16" t="n">
        <v>39247.0951884863</v>
      </c>
      <c r="CL169" s="16" t="n">
        <v>166.636147089198</v>
      </c>
      <c r="CM169" s="16" t="n">
        <v>192.003715339198</v>
      </c>
      <c r="CN169" s="16" t="n">
        <v>1000</v>
      </c>
      <c r="CO169" s="16" t="n">
        <v>1.5535546875</v>
      </c>
      <c r="CP169" s="16" t="n">
        <v>1.09004417261298</v>
      </c>
      <c r="CQ169" s="16" t="n">
        <v>4.17995317424593</v>
      </c>
      <c r="CR169" s="16" t="n">
        <v>89.6203123100384</v>
      </c>
      <c r="CS169" s="16" t="n">
        <v>31.3594286416591</v>
      </c>
      <c r="CT169" s="16" t="n">
        <v>3.69907360552737</v>
      </c>
      <c r="CU169" s="16" t="n">
        <v>4.17995317424593</v>
      </c>
      <c r="CV169" s="16" t="n">
        <v>10561.7802766703</v>
      </c>
      <c r="CW169" s="16" t="n">
        <v>2157.14109527065</v>
      </c>
      <c r="CX169" s="16" t="n">
        <v>12718.921371941</v>
      </c>
      <c r="CY169" s="16" t="n">
        <v>10561.7802766703</v>
      </c>
      <c r="CZ169" s="16" t="n">
        <v>1134.84988611473</v>
      </c>
      <c r="DA169" s="16" t="n">
        <v>24.4355509392372</v>
      </c>
      <c r="DB169" s="16" t="n">
        <v>16775.9595284851</v>
      </c>
      <c r="DC169" s="16" t="n">
        <v>12447.761970136</v>
      </c>
      <c r="DD169" s="16" t="n">
        <v>11144.3333333333</v>
      </c>
      <c r="DE169" s="16" t="n">
        <v>1921.25</v>
      </c>
      <c r="DF169" s="16" t="n">
        <v>10876.7055216703</v>
      </c>
      <c r="DG169" s="16" t="n">
        <v>192.003715339198</v>
      </c>
      <c r="DH169" s="16" t="n">
        <v>0</v>
      </c>
      <c r="DI169" s="16" t="n">
        <v>31.3594486010359</v>
      </c>
    </row>
    <row r="170" customFormat="false" ht="15" hidden="false" customHeight="false" outlineLevel="0" collapsed="false">
      <c r="A170" s="0" t="s">
        <v>3388</v>
      </c>
      <c r="B170" s="16" t="n">
        <v>2465.07954157611</v>
      </c>
      <c r="C170" s="16" t="n">
        <v>8209.24039226006</v>
      </c>
      <c r="D170" s="16" t="n">
        <v>19716.7966317894</v>
      </c>
      <c r="E170" s="16" t="n">
        <v>4213.14398474076</v>
      </c>
      <c r="F170" s="16" t="n">
        <v>-1135.49021845689</v>
      </c>
      <c r="G170" s="16" t="n">
        <v>5020.26458750724</v>
      </c>
      <c r="H170" s="16" t="n">
        <v>-898.814009603721</v>
      </c>
      <c r="I170" s="17" t="n">
        <v>0.01</v>
      </c>
      <c r="J170" s="17" t="n">
        <v>4.02555057933136</v>
      </c>
      <c r="K170" s="16" t="s">
        <v>116</v>
      </c>
      <c r="L170" s="16" t="n">
        <v>1000</v>
      </c>
      <c r="M170" s="16" t="n">
        <v>33779.4469253452</v>
      </c>
      <c r="N170" s="16" t="n">
        <v>11402.7039831813</v>
      </c>
      <c r="O170" s="16" t="n">
        <v>1000</v>
      </c>
      <c r="P170" s="16" t="n">
        <v>951.290832135856</v>
      </c>
      <c r="Q170" s="16" t="n">
        <v>-267.565775756198</v>
      </c>
      <c r="R170" s="16" t="n">
        <v>17617.7170533315</v>
      </c>
      <c r="S170" s="16" t="n">
        <v>26949.0428826358</v>
      </c>
      <c r="T170" s="16" t="n">
        <v>-955.692204749296</v>
      </c>
      <c r="U170" s="16" t="n">
        <v>-621.096213862173</v>
      </c>
      <c r="V170" s="16" t="n">
        <v>0.750319556751226</v>
      </c>
      <c r="W170" s="16" t="n">
        <v>46166.2147180189</v>
      </c>
      <c r="X170" s="16" t="n">
        <v>22149.4762774452</v>
      </c>
      <c r="Y170" s="16" t="n">
        <v>3.78691943671069</v>
      </c>
      <c r="Z170" s="16" t="n">
        <v>5.14022553474821</v>
      </c>
      <c r="AA170" s="16" t="n">
        <v>27.424347870838</v>
      </c>
      <c r="AB170" s="16" t="n">
        <v>25.224347870838</v>
      </c>
      <c r="AC170" s="16" t="n">
        <v>26.674347870838</v>
      </c>
      <c r="AD170" s="16" t="n">
        <v>27.2673434792775</v>
      </c>
      <c r="AE170" s="16" t="n">
        <v>674.686407680941</v>
      </c>
      <c r="AF170" s="16" t="n">
        <v>0.03</v>
      </c>
      <c r="AG170" s="16" t="n">
        <v>0.654405917289144</v>
      </c>
      <c r="AH170" s="16" t="n">
        <v>9689.91719809611</v>
      </c>
      <c r="AI170" s="16" t="n">
        <v>19716.7966317894</v>
      </c>
      <c r="AJ170" s="16" t="n">
        <v>16.69175</v>
      </c>
      <c r="AK170" s="16" t="n">
        <v>0</v>
      </c>
      <c r="AL170" s="16" t="n">
        <v>1000</v>
      </c>
      <c r="AM170" s="16" t="n">
        <v>812.6073</v>
      </c>
      <c r="AN170" s="16" t="n">
        <v>20079.98904</v>
      </c>
      <c r="AO170" s="16" t="n">
        <v>-5508.72242389994</v>
      </c>
      <c r="AP170" s="16" t="n">
        <v>0.414483496940676</v>
      </c>
      <c r="AQ170" s="16" t="n">
        <v>78.8207263079281</v>
      </c>
      <c r="AR170" s="16" t="n">
        <v>507.041527193195</v>
      </c>
      <c r="AS170" s="16" t="n">
        <v>314.925245</v>
      </c>
      <c r="AT170" s="16" t="n">
        <v>1000</v>
      </c>
      <c r="AU170" s="16" t="n">
        <v>12.270507</v>
      </c>
      <c r="AV170" s="16" t="n">
        <v>0</v>
      </c>
      <c r="AW170" s="16" t="n">
        <v>2254.3125</v>
      </c>
      <c r="AX170" s="16" t="n">
        <v>314.925245</v>
      </c>
      <c r="AY170" s="16" t="n">
        <v>314.925245</v>
      </c>
      <c r="AZ170" s="16" t="n">
        <v>5631.62619515181</v>
      </c>
      <c r="BA170" s="16" t="n">
        <v>0</v>
      </c>
      <c r="BB170" s="16" t="n">
        <v>417.928966666667</v>
      </c>
      <c r="BC170" s="16" t="n">
        <v>111441.907179589</v>
      </c>
      <c r="BD170" s="16" t="n">
        <v>16.751694488301</v>
      </c>
      <c r="BE170" s="16" t="n">
        <v>25.4089871102374</v>
      </c>
      <c r="BF170" s="16" t="n">
        <v>39.6368423190398</v>
      </c>
      <c r="BG170" s="16" t="n">
        <v>-8.27711430924607</v>
      </c>
      <c r="BH170" s="16" t="n">
        <v>-7.28866183200638</v>
      </c>
      <c r="BI170" s="16" t="n">
        <v>1.09242813813745</v>
      </c>
      <c r="BJ170" s="16" t="n">
        <v>2.04083187529388</v>
      </c>
      <c r="BK170" s="16" t="n">
        <v>5.25403316350504</v>
      </c>
      <c r="BL170" s="16" t="n">
        <v>7.88491984612206</v>
      </c>
      <c r="BM170" s="16" t="n">
        <v>3.71992671744367</v>
      </c>
      <c r="BN170" s="16" t="n">
        <v>4.46573109600205</v>
      </c>
      <c r="BO170" s="16" t="n">
        <v>5.7791095890411</v>
      </c>
      <c r="BP170" s="16" t="n">
        <v>8712.70308277889</v>
      </c>
      <c r="BQ170" s="16" t="n">
        <v>8176.87365522983</v>
      </c>
      <c r="BR170" s="16" t="n">
        <v>8176.87365522983</v>
      </c>
      <c r="BS170" s="16" t="n">
        <v>507.041527193195</v>
      </c>
      <c r="BT170" s="16" t="n">
        <v>301.7195</v>
      </c>
      <c r="BU170" s="16" t="n">
        <v>1081.9108</v>
      </c>
      <c r="BV170" s="16" t="s">
        <v>3237</v>
      </c>
      <c r="BW170" s="16" t="n">
        <v>42.7692307692308</v>
      </c>
      <c r="BX170" s="16" t="n">
        <v>0.155994305554286</v>
      </c>
      <c r="BY170" s="16" t="n">
        <v>0.161741466184191</v>
      </c>
      <c r="BZ170" s="16" t="n">
        <v>13510.8578038903</v>
      </c>
      <c r="CA170" s="16" t="n">
        <v>19402.010477409</v>
      </c>
      <c r="CB170" s="16" t="n">
        <v>279.373404647623</v>
      </c>
      <c r="CC170" s="16" t="n">
        <v>0</v>
      </c>
      <c r="CD170" s="16" t="n">
        <v>950.69728</v>
      </c>
      <c r="CE170" s="16" t="n">
        <v>12000</v>
      </c>
      <c r="CF170" s="16" t="n">
        <v>24.2989114747111</v>
      </c>
      <c r="CG170" s="16" t="n">
        <v>27.4577699664235</v>
      </c>
      <c r="CH170" s="16" t="n">
        <v>2643.77364301215</v>
      </c>
      <c r="CI170" s="16" t="n">
        <v>-6.2083733271085</v>
      </c>
      <c r="CJ170" s="16" t="n">
        <v>3.00594144553374</v>
      </c>
      <c r="CK170" s="16" t="n">
        <v>38873.0546113162</v>
      </c>
      <c r="CL170" s="16" t="n">
        <v>165.048037693195</v>
      </c>
      <c r="CM170" s="16" t="n">
        <v>190.415605943195</v>
      </c>
      <c r="CN170" s="16" t="n">
        <v>1000</v>
      </c>
      <c r="CO170" s="16" t="n">
        <v>1.5535546875</v>
      </c>
      <c r="CP170" s="16" t="n">
        <v>1.09004417261298</v>
      </c>
      <c r="CQ170" s="16" t="n">
        <v>4.02555057933136</v>
      </c>
      <c r="CR170" s="16" t="n">
        <v>89.0674207279587</v>
      </c>
      <c r="CS170" s="16" t="n">
        <v>30.5439401744313</v>
      </c>
      <c r="CT170" s="16" t="n">
        <v>3.5624341410012</v>
      </c>
      <c r="CU170" s="16" t="n">
        <v>4.02555057933136</v>
      </c>
      <c r="CV170" s="16" t="n">
        <v>10873.9675612912</v>
      </c>
      <c r="CW170" s="16" t="n">
        <v>2239.87963653175</v>
      </c>
      <c r="CX170" s="16" t="n">
        <v>13113.847197823</v>
      </c>
      <c r="CY170" s="16" t="n">
        <v>10873.9675612912</v>
      </c>
      <c r="CZ170" s="16" t="n">
        <v>1159.71927241386</v>
      </c>
      <c r="DA170" s="16" t="n">
        <v>24.2989114747111</v>
      </c>
      <c r="DB170" s="16" t="n">
        <v>16775.9595284851</v>
      </c>
      <c r="DC170" s="16" t="n">
        <v>12447.761970136</v>
      </c>
      <c r="DD170" s="16" t="n">
        <v>11144.3333333333</v>
      </c>
      <c r="DE170" s="16" t="n">
        <v>1921.25</v>
      </c>
      <c r="DF170" s="16" t="n">
        <v>11188.8928062912</v>
      </c>
      <c r="DG170" s="16" t="n">
        <v>190.415605943195</v>
      </c>
      <c r="DH170" s="16" t="n">
        <v>0</v>
      </c>
      <c r="DI170" s="16" t="n">
        <v>30.5439662626135</v>
      </c>
    </row>
    <row r="171" customFormat="false" ht="15" hidden="false" customHeight="false" outlineLevel="0" collapsed="false">
      <c r="A171" s="0" t="s">
        <v>3389</v>
      </c>
      <c r="B171" s="16" t="n">
        <v>2161.09062763565</v>
      </c>
      <c r="C171" s="16" t="n">
        <v>4287.20023545696</v>
      </c>
      <c r="D171" s="16" t="n">
        <v>10941.2921493364</v>
      </c>
      <c r="E171" s="16" t="n">
        <v>1840.94291622573</v>
      </c>
      <c r="F171" s="16" t="n">
        <v>-3929.75629162136</v>
      </c>
      <c r="G171" s="16" t="n">
        <v>5599.21119842882</v>
      </c>
      <c r="H171" s="16" t="n">
        <v>-34388.3507523908</v>
      </c>
      <c r="I171" s="17" t="n">
        <v>0.01</v>
      </c>
      <c r="J171" s="17" t="n">
        <v>0</v>
      </c>
      <c r="K171" s="16" t="s">
        <v>116</v>
      </c>
      <c r="L171" s="16" t="n">
        <v>1000</v>
      </c>
      <c r="M171" s="16" t="n">
        <v>23393.2765619591</v>
      </c>
      <c r="N171" s="16" t="n">
        <v>5266.23306942157</v>
      </c>
      <c r="O171" s="16" t="n">
        <v>1000</v>
      </c>
      <c r="P171" s="16" t="n">
        <v>747.002337313713</v>
      </c>
      <c r="Q171" s="16" t="n">
        <v>-6258.62809723699</v>
      </c>
      <c r="R171" s="16" t="n">
        <v>10749.8273603027</v>
      </c>
      <c r="S171" s="16" t="n">
        <v>27562.9228829867</v>
      </c>
      <c r="T171" s="16" t="n">
        <v>-1436.17830391911</v>
      </c>
      <c r="U171" s="16" t="n">
        <v>-34113.1971630796</v>
      </c>
      <c r="V171" s="16" t="n">
        <v>0.750319556751226</v>
      </c>
      <c r="W171" s="16" t="n">
        <v>16979.5532142476</v>
      </c>
      <c r="X171" s="16" t="n">
        <v>14070.8896882968</v>
      </c>
      <c r="Y171" s="16" t="n">
        <v>0</v>
      </c>
      <c r="Z171" s="16" t="n">
        <v>0</v>
      </c>
      <c r="AA171" s="16" t="n">
        <v>22.27279275</v>
      </c>
      <c r="AB171" s="16" t="n">
        <v>20.07279275</v>
      </c>
      <c r="AC171" s="16" t="n">
        <v>21.52279275</v>
      </c>
      <c r="AD171" s="16" t="n">
        <v>21.8718824805</v>
      </c>
      <c r="AE171" s="16" t="n">
        <v>594.149368983825</v>
      </c>
      <c r="AF171" s="16" t="n">
        <v>0.02</v>
      </c>
      <c r="AG171" s="16" t="n">
        <v>0.572556024428435</v>
      </c>
      <c r="AH171" s="16" t="n">
        <v>15317.8810251285</v>
      </c>
      <c r="AI171" s="16" t="n">
        <v>10941.2921493364</v>
      </c>
      <c r="AJ171" s="16" t="n">
        <v>14.7365561910928</v>
      </c>
      <c r="AK171" s="16" t="n">
        <v>0</v>
      </c>
      <c r="AL171" s="16" t="n">
        <v>1000</v>
      </c>
      <c r="AM171" s="16" t="n">
        <v>470.44678</v>
      </c>
      <c r="AN171" s="16" t="n">
        <v>12000</v>
      </c>
      <c r="AO171" s="16" t="n">
        <v>-2079.00657489433</v>
      </c>
      <c r="AP171" s="16" t="n">
        <v>1</v>
      </c>
      <c r="AQ171" s="16" t="n">
        <v>29.4550516185107</v>
      </c>
      <c r="AR171" s="16" t="n">
        <v>703.284696191131</v>
      </c>
      <c r="AS171" s="16" t="n">
        <v>314.925245</v>
      </c>
      <c r="AT171" s="16" t="n">
        <v>1000</v>
      </c>
      <c r="AU171" s="16" t="n">
        <v>12.270507</v>
      </c>
      <c r="AV171" s="16" t="n">
        <v>0</v>
      </c>
      <c r="AW171" s="16" t="n">
        <v>998.76</v>
      </c>
      <c r="AX171" s="16" t="n">
        <v>314.925245</v>
      </c>
      <c r="AY171" s="16" t="n">
        <v>314.925245</v>
      </c>
      <c r="AZ171" s="16" t="n">
        <v>1666.37633151951</v>
      </c>
      <c r="BA171" s="16" t="n">
        <v>1732.5375</v>
      </c>
      <c r="BB171" s="16" t="n">
        <v>155.768446666667</v>
      </c>
      <c r="BC171" s="16" t="n">
        <v>88718.0691595625</v>
      </c>
      <c r="BD171" s="16" t="n">
        <v>8.13929642519038</v>
      </c>
      <c r="BE171" s="16" t="n">
        <v>16.7965890471267</v>
      </c>
      <c r="BF171" s="16" t="n">
        <v>29.6713060943627</v>
      </c>
      <c r="BG171" s="16" t="n">
        <v>-13.6535979204585</v>
      </c>
      <c r="BH171" s="16" t="n">
        <v>-20.0976093877166</v>
      </c>
      <c r="BI171" s="16" t="n">
        <v>-3.59741167595651</v>
      </c>
      <c r="BJ171" s="16" t="n">
        <v>-9.93933550584831</v>
      </c>
      <c r="BK171" s="16" t="n">
        <v>-0.548394239950376</v>
      </c>
      <c r="BL171" s="16" t="n">
        <v>-6.73470781259538</v>
      </c>
      <c r="BM171" s="16" t="n">
        <v>3.37118358768332</v>
      </c>
      <c r="BN171" s="16" t="n">
        <v>4.04706880575186</v>
      </c>
      <c r="BO171" s="16" t="n">
        <v>5.1726598173516</v>
      </c>
      <c r="BP171" s="16" t="n">
        <v>5354.49215439957</v>
      </c>
      <c r="BQ171" s="16" t="n">
        <v>4257.60023545696</v>
      </c>
      <c r="BR171" s="16" t="n">
        <v>4257.60023545696</v>
      </c>
      <c r="BS171" s="16" t="n">
        <v>703.284696191131</v>
      </c>
      <c r="BT171" s="16" t="n">
        <v>189.4897</v>
      </c>
      <c r="BU171" s="16" t="n">
        <v>794.6073</v>
      </c>
      <c r="BV171" s="16" t="s">
        <v>3237</v>
      </c>
      <c r="BW171" s="16" t="n">
        <v>42.7692307692308</v>
      </c>
      <c r="BX171" s="16" t="n">
        <v>0.124596585374074</v>
      </c>
      <c r="BY171" s="16" t="n">
        <v>0.0866148510447071</v>
      </c>
      <c r="BZ171" s="16" t="n">
        <v>13510.8578038903</v>
      </c>
      <c r="CA171" s="16" t="n">
        <v>9557.85015295579</v>
      </c>
      <c r="CB171" s="16" t="n">
        <v>553.555687160703</v>
      </c>
      <c r="CC171" s="16" t="n">
        <v>1732.5375</v>
      </c>
      <c r="CD171" s="16" t="n">
        <v>1028.66496</v>
      </c>
      <c r="CE171" s="16" t="n">
        <v>12000</v>
      </c>
      <c r="CF171" s="16" t="n">
        <v>24.0051162636597</v>
      </c>
      <c r="CG171" s="16" t="n">
        <v>27.6058837032086</v>
      </c>
      <c r="CH171" s="16" t="n">
        <v>1983.66628420139</v>
      </c>
      <c r="CI171" s="16" t="n">
        <v>-14.9451536418179</v>
      </c>
      <c r="CJ171" s="16" t="n">
        <v>-5.32272994264565</v>
      </c>
      <c r="CK171" s="16" t="n">
        <v>52882.8354581615</v>
      </c>
      <c r="CL171" s="16" t="n">
        <v>362.99188294113</v>
      </c>
      <c r="CM171" s="16" t="n">
        <v>388.35945119113</v>
      </c>
      <c r="CN171" s="16" t="n">
        <v>1000</v>
      </c>
      <c r="CO171" s="16" t="n">
        <v>1.534375</v>
      </c>
      <c r="CP171" s="16" t="n">
        <v>1.31022765885151</v>
      </c>
      <c r="CQ171" s="16" t="n">
        <v>0</v>
      </c>
      <c r="CR171" s="16" t="n">
        <v>33.8733093612873</v>
      </c>
      <c r="CS171" s="16" t="n">
        <v>0</v>
      </c>
      <c r="CT171" s="16" t="n">
        <v>0</v>
      </c>
      <c r="CU171" s="16" t="n">
        <v>0.0115</v>
      </c>
      <c r="CV171" s="16" t="n">
        <v>4921019.69921422</v>
      </c>
      <c r="CW171" s="16" t="n">
        <v>0</v>
      </c>
      <c r="CX171" s="16" t="n">
        <v>4921019.69921422</v>
      </c>
      <c r="CY171" s="16" t="n">
        <v>4921019.69921422</v>
      </c>
      <c r="CZ171" s="16" t="n">
        <v>6307992.35371907</v>
      </c>
      <c r="DA171" s="16" t="n">
        <v>24.0051162636597</v>
      </c>
      <c r="DB171" s="16" t="n">
        <v>13674.7096648529</v>
      </c>
      <c r="DC171" s="16" t="n">
        <v>10146.6345713208</v>
      </c>
      <c r="DD171" s="16" t="n">
        <v>12008.3333333333</v>
      </c>
      <c r="DE171" s="16" t="n">
        <v>1921.25</v>
      </c>
      <c r="DF171" s="16" t="n">
        <v>4921334.62445922</v>
      </c>
      <c r="DG171" s="16" t="n">
        <v>388.35945119113</v>
      </c>
      <c r="DH171" s="16" t="n">
        <v>0</v>
      </c>
      <c r="DI171" s="16" t="n">
        <v>0.0115</v>
      </c>
    </row>
    <row r="172" customFormat="false" ht="15" hidden="false" customHeight="false" outlineLevel="0" collapsed="false">
      <c r="A172" s="0" t="s">
        <v>535</v>
      </c>
      <c r="B172" s="16" t="n">
        <v>2538.63311576242</v>
      </c>
      <c r="C172" s="16" t="n">
        <v>14376.3903039499</v>
      </c>
      <c r="D172" s="16" t="n">
        <v>37234.0577876758</v>
      </c>
      <c r="E172" s="16" t="n">
        <v>8852.26722942071</v>
      </c>
      <c r="F172" s="16" t="n">
        <v>4463.21576229665</v>
      </c>
      <c r="G172" s="16" t="n">
        <v>3813.99585496607</v>
      </c>
      <c r="H172" s="16" t="n">
        <v>363040.04636384</v>
      </c>
      <c r="I172" s="17" t="n">
        <v>943.044237279562</v>
      </c>
      <c r="J172" s="17" t="n">
        <v>1056.20954575311</v>
      </c>
      <c r="K172" s="16" t="s">
        <v>70</v>
      </c>
      <c r="L172" s="16" t="n">
        <v>-8609.69394065997</v>
      </c>
      <c r="M172" s="16" t="n">
        <v>33328.3611394123</v>
      </c>
      <c r="N172" s="16" t="n">
        <v>25791.7096396382</v>
      </c>
      <c r="O172" s="16" t="n">
        <v>-10141.4169193479</v>
      </c>
      <c r="P172" s="16" t="n">
        <v>1077.29088688143</v>
      </c>
      <c r="Q172" s="16" t="n">
        <v>15502.5390753829</v>
      </c>
      <c r="R172" s="16" t="n">
        <v>20981.3466623153</v>
      </c>
      <c r="S172" s="16" t="n">
        <v>29696.7644890868</v>
      </c>
      <c r="T172" s="16" t="n">
        <v>-657.105997100427</v>
      </c>
      <c r="U172" s="16" t="n">
        <v>366980.751573791</v>
      </c>
      <c r="V172" s="16" t="n">
        <v>0.953955874711187</v>
      </c>
      <c r="W172" s="16" t="n">
        <v>346239.098263524</v>
      </c>
      <c r="X172" s="16" t="n">
        <v>22283.3325281654</v>
      </c>
      <c r="Y172" s="16" t="n">
        <v>998.024210869723</v>
      </c>
      <c r="Z172" s="16" t="n">
        <v>1324.9092541927</v>
      </c>
      <c r="AA172" s="16" t="n">
        <v>43.041696075</v>
      </c>
      <c r="AB172" s="16" t="n">
        <v>40.641696075</v>
      </c>
      <c r="AC172" s="16" t="n">
        <v>42.291696075</v>
      </c>
      <c r="AD172" s="16" t="n">
        <v>33.8688756</v>
      </c>
      <c r="AE172" s="16" t="n">
        <v>669.55407859628</v>
      </c>
      <c r="AF172" s="16" t="n">
        <v>0.035</v>
      </c>
      <c r="AG172" s="16" t="n">
        <v>0.762365543905052</v>
      </c>
      <c r="AH172" s="16" t="n">
        <v>7002.76007485839</v>
      </c>
      <c r="AI172" s="16" t="n">
        <v>37234.0577876758</v>
      </c>
      <c r="AJ172" s="16" t="n">
        <v>24.178125</v>
      </c>
      <c r="AK172" s="16" t="n">
        <v>0</v>
      </c>
      <c r="AL172" s="16" t="n">
        <v>-12270.1829714523</v>
      </c>
      <c r="AM172" s="16" t="n">
        <v>909.833333333333</v>
      </c>
      <c r="AN172" s="16" t="n">
        <v>48826.7378892783</v>
      </c>
      <c r="AO172" s="16" t="n">
        <v>0</v>
      </c>
      <c r="AP172" s="16" t="n">
        <v>0.0704725196182903</v>
      </c>
      <c r="AQ172" s="16" t="n">
        <v>943.044237279562</v>
      </c>
      <c r="AR172" s="16" t="n">
        <v>389.1447898907</v>
      </c>
      <c r="AS172" s="16" t="n">
        <v>389.1447898907</v>
      </c>
      <c r="AT172" s="16" t="n">
        <v>-8609.69394065997</v>
      </c>
      <c r="AU172" s="16" t="n">
        <v>0</v>
      </c>
      <c r="AV172" s="16" t="n">
        <v>0</v>
      </c>
      <c r="AW172" s="16" t="n">
        <v>3717.9</v>
      </c>
      <c r="AX172" s="16" t="n">
        <v>389.1447898907</v>
      </c>
      <c r="AY172" s="16" t="n">
        <v>374.703704479811</v>
      </c>
      <c r="AZ172" s="16" t="n">
        <v>9187.64314535029</v>
      </c>
      <c r="BA172" s="16" t="n">
        <v>775</v>
      </c>
      <c r="BB172" s="16" t="n">
        <v>515.155</v>
      </c>
      <c r="BC172" s="16" t="n">
        <v>108503.861976174</v>
      </c>
      <c r="BD172" s="16" t="n">
        <v>21.941289522536</v>
      </c>
      <c r="BE172" s="16" t="n">
        <v>30.4067905972434</v>
      </c>
      <c r="BF172" s="16" t="n">
        <v>30.9624780271285</v>
      </c>
      <c r="BG172" s="16" t="n">
        <v>-8.46027404486776</v>
      </c>
      <c r="BH172" s="16" t="n">
        <v>1.72170216183646</v>
      </c>
      <c r="BI172" s="16" t="n">
        <v>0.65308061173171</v>
      </c>
      <c r="BJ172" s="16" t="n">
        <v>10.8350568184359</v>
      </c>
      <c r="BK172" s="16" t="n">
        <v>4.25220520207886</v>
      </c>
      <c r="BL172" s="16" t="n">
        <v>18.5405063101751</v>
      </c>
      <c r="BM172" s="16" t="n">
        <v>5.11489923648504</v>
      </c>
      <c r="BN172" s="16" t="n">
        <v>6.14038025700283</v>
      </c>
      <c r="BO172" s="16" t="n">
        <v>6.42123287671233</v>
      </c>
      <c r="BP172" s="16" t="n">
        <v>10591.5088812079</v>
      </c>
      <c r="BQ172" s="16" t="n">
        <v>14342.5607438118</v>
      </c>
      <c r="BR172" s="16" t="n">
        <v>14342.5607438118</v>
      </c>
      <c r="BS172" s="16" t="n">
        <v>389.1447898907</v>
      </c>
      <c r="BT172" s="16" t="n">
        <v>403.833333333333</v>
      </c>
      <c r="BU172" s="16" t="n">
        <v>1231.5</v>
      </c>
      <c r="BV172" s="16" t="s">
        <v>3238</v>
      </c>
      <c r="BW172" s="16" t="n">
        <v>41.1282051282051</v>
      </c>
      <c r="BX172" s="16" t="n">
        <v>0.140695465658278</v>
      </c>
      <c r="BY172" s="16" t="n">
        <v>0.247231880170638</v>
      </c>
      <c r="BZ172" s="16" t="n">
        <v>0</v>
      </c>
      <c r="CA172" s="16" t="n">
        <v>0</v>
      </c>
      <c r="CB172" s="16" t="n">
        <v>25.8046286926698</v>
      </c>
      <c r="CC172" s="16" t="n">
        <v>0</v>
      </c>
      <c r="CD172" s="16" t="n">
        <v>0</v>
      </c>
      <c r="CE172" s="16" t="n">
        <v>34144.2775308665</v>
      </c>
      <c r="CF172" s="16" t="n">
        <v>21.941289522536</v>
      </c>
      <c r="CG172" s="16" t="n">
        <v>24.5742442652403</v>
      </c>
      <c r="CH172" s="16" t="n">
        <v>2625.03953703704</v>
      </c>
      <c r="CI172" s="16" t="n">
        <v>3.86699404536454</v>
      </c>
      <c r="CJ172" s="16" t="n">
        <v>16.2431546901293</v>
      </c>
      <c r="CK172" s="16" t="n">
        <v>0</v>
      </c>
      <c r="CL172" s="16" t="n">
        <v>0</v>
      </c>
      <c r="CM172" s="16" t="n">
        <v>0</v>
      </c>
      <c r="CN172" s="16" t="n">
        <v>-12270.1829714523</v>
      </c>
      <c r="CO172" s="16" t="n">
        <v>1.25539772727273</v>
      </c>
      <c r="CP172" s="16" t="n">
        <v>0.780487804878049</v>
      </c>
      <c r="CQ172" s="16" t="n">
        <v>1056.20954575311</v>
      </c>
      <c r="CR172" s="16" t="n">
        <v>1056.20954575311</v>
      </c>
      <c r="CS172" s="16" t="n">
        <v>1056.20954575311</v>
      </c>
      <c r="CT172" s="16" t="n">
        <v>943.044237279562</v>
      </c>
      <c r="CU172" s="16" t="n">
        <v>1056.20954575311</v>
      </c>
      <c r="CV172" s="16" t="n">
        <v>0</v>
      </c>
      <c r="CW172" s="16" t="n">
        <v>0</v>
      </c>
      <c r="CX172" s="16" t="n">
        <v>0</v>
      </c>
      <c r="CY172" s="16" t="n">
        <v>0</v>
      </c>
      <c r="CZ172" s="16" t="n">
        <v>0</v>
      </c>
      <c r="DA172" s="16" t="n">
        <v>0</v>
      </c>
      <c r="DB172" s="16" t="n">
        <v>20254.309812017</v>
      </c>
      <c r="DC172" s="16" t="n">
        <v>15028.6978805166</v>
      </c>
      <c r="DD172" s="16" t="n">
        <v>11066.6666666667</v>
      </c>
      <c r="DE172" s="16" t="n">
        <v>0</v>
      </c>
      <c r="DF172" s="16" t="n">
        <v>389.1447898907</v>
      </c>
      <c r="DG172" s="16" t="n">
        <v>0</v>
      </c>
      <c r="DH172" s="16" t="n">
        <v>0</v>
      </c>
      <c r="DI172" s="16" t="n">
        <v>1056.20954575311</v>
      </c>
    </row>
    <row r="173" customFormat="false" ht="15" hidden="false" customHeight="false" outlineLevel="0" collapsed="false">
      <c r="A173" s="0" t="s">
        <v>536</v>
      </c>
      <c r="B173" s="16" t="n">
        <v>2027.3954725164</v>
      </c>
      <c r="C173" s="16" t="n">
        <v>3424.4744413531</v>
      </c>
      <c r="D173" s="16" t="n">
        <v>8488.65871901012</v>
      </c>
      <c r="E173" s="16" t="n">
        <v>1375.17060364541</v>
      </c>
      <c r="F173" s="16" t="n">
        <v>-3850.31850020945</v>
      </c>
      <c r="G173" s="16" t="n">
        <v>5088.51012620074</v>
      </c>
      <c r="H173" s="16" t="n">
        <v>-21541.1860088107</v>
      </c>
      <c r="I173" s="17" t="n">
        <v>0.01</v>
      </c>
      <c r="J173" s="17" t="n">
        <v>0.0115</v>
      </c>
      <c r="K173" s="16" t="s">
        <v>72</v>
      </c>
      <c r="L173" s="16" t="n">
        <v>-3758.99698091081</v>
      </c>
      <c r="M173" s="16" t="n">
        <v>15940.918617716</v>
      </c>
      <c r="N173" s="16" t="n">
        <v>3986.53119203715</v>
      </c>
      <c r="O173" s="16" t="n">
        <v>-18553.8994543544</v>
      </c>
      <c r="P173" s="16" t="n">
        <v>706.029009110945</v>
      </c>
      <c r="Q173" s="16" t="n">
        <v>-5338.19879276646</v>
      </c>
      <c r="R173" s="16" t="n">
        <v>14202.2145020429</v>
      </c>
      <c r="S173" s="16" t="n">
        <v>20734.3222188246</v>
      </c>
      <c r="T173" s="16" t="n">
        <v>-1455.0465314221</v>
      </c>
      <c r="U173" s="16" t="n">
        <v>-33504.3578287244</v>
      </c>
      <c r="V173" s="16" t="n">
        <v>0.953955874711187</v>
      </c>
      <c r="W173" s="16" t="n">
        <v>10265.1505361503</v>
      </c>
      <c r="X173" s="16" t="n">
        <v>6658.88972559974</v>
      </c>
      <c r="Y173" s="16" t="n">
        <v>0.0107238052947636</v>
      </c>
      <c r="Z173" s="16" t="n">
        <v>0.01520875</v>
      </c>
      <c r="AA173" s="16" t="n">
        <v>22.27279275</v>
      </c>
      <c r="AB173" s="16" t="n">
        <v>18.89779275</v>
      </c>
      <c r="AC173" s="16" t="n">
        <v>21.52279275</v>
      </c>
      <c r="AD173" s="16" t="n">
        <v>17.526132</v>
      </c>
      <c r="AE173" s="16" t="n">
        <v>516.01034159234</v>
      </c>
      <c r="AF173" s="16" t="n">
        <v>0.02</v>
      </c>
      <c r="AG173" s="16" t="n">
        <v>0.535074431986399</v>
      </c>
      <c r="AH173" s="16" t="n">
        <v>9373.59494576528</v>
      </c>
      <c r="AI173" s="16" t="n">
        <v>8488.65871901012</v>
      </c>
      <c r="AJ173" s="16" t="n">
        <v>19.7579630539294</v>
      </c>
      <c r="AK173" s="16" t="n">
        <v>0</v>
      </c>
      <c r="AL173" s="16" t="n">
        <v>-31262.3400586268</v>
      </c>
      <c r="AM173" s="16" t="n">
        <v>396.288888888889</v>
      </c>
      <c r="AN173" s="16" t="n">
        <v>15971.1630776632</v>
      </c>
      <c r="AO173" s="16" t="n">
        <v>0</v>
      </c>
      <c r="AP173" s="16" t="n">
        <v>1</v>
      </c>
      <c r="AQ173" s="16" t="n">
        <v>0</v>
      </c>
      <c r="AR173" s="16" t="n">
        <v>314.925245</v>
      </c>
      <c r="AS173" s="16" t="n">
        <v>314.925245</v>
      </c>
      <c r="AT173" s="16" t="n">
        <v>-3758.99698091081</v>
      </c>
      <c r="AU173" s="16" t="n">
        <v>0</v>
      </c>
      <c r="AV173" s="16" t="n">
        <v>0</v>
      </c>
      <c r="AW173" s="16" t="n">
        <v>1016.4</v>
      </c>
      <c r="AX173" s="16" t="n">
        <v>314.925245</v>
      </c>
      <c r="AY173" s="16" t="n">
        <v>314.925245</v>
      </c>
      <c r="AZ173" s="16" t="n">
        <v>2059.934721839</v>
      </c>
      <c r="BA173" s="16" t="n">
        <v>2288.59142496403</v>
      </c>
      <c r="BB173" s="16" t="n">
        <v>81.6105555555556</v>
      </c>
      <c r="BC173" s="16" t="n">
        <v>63884.6523106526</v>
      </c>
      <c r="BD173" s="16" t="n">
        <v>0.629872978030829</v>
      </c>
      <c r="BE173" s="16" t="n">
        <v>9.09537405273826</v>
      </c>
      <c r="BF173" s="16" t="n">
        <v>9.65106148262341</v>
      </c>
      <c r="BG173" s="16" t="n">
        <v>-12.0535979204585</v>
      </c>
      <c r="BH173" s="16" t="n">
        <v>-3.82867156537467</v>
      </c>
      <c r="BI173" s="16" t="n">
        <v>-2.28779428890947</v>
      </c>
      <c r="BJ173" s="16" t="n">
        <v>5.89538956556235</v>
      </c>
      <c r="BK173" s="16" t="n">
        <v>1.05160576004963</v>
      </c>
      <c r="BL173" s="16" t="n">
        <v>12.756323534102</v>
      </c>
      <c r="BM173" s="16" t="n">
        <v>5.11489923648504</v>
      </c>
      <c r="BN173" s="16" t="n">
        <v>6.14038025700283</v>
      </c>
      <c r="BO173" s="16" t="n">
        <v>6.42123287671233</v>
      </c>
      <c r="BP173" s="16" t="n">
        <v>4841.40348396118</v>
      </c>
      <c r="BQ173" s="16" t="n">
        <v>3394.8744413531</v>
      </c>
      <c r="BR173" s="16" t="n">
        <v>3394.8744413531</v>
      </c>
      <c r="BS173" s="16" t="n">
        <v>314.925245</v>
      </c>
      <c r="BT173" s="16" t="n">
        <v>185</v>
      </c>
      <c r="BU173" s="16" t="n">
        <v>677.148148148148</v>
      </c>
      <c r="BV173" s="16" t="s">
        <v>3237</v>
      </c>
      <c r="BW173" s="16" t="n">
        <v>41.1282051282051</v>
      </c>
      <c r="BX173" s="16" t="n">
        <v>0.140695465658278</v>
      </c>
      <c r="BY173" s="16" t="n">
        <v>0.238418112524169</v>
      </c>
      <c r="BZ173" s="16" t="n">
        <v>13618.5823768008</v>
      </c>
      <c r="CA173" s="16" t="n">
        <v>14142.0331459002</v>
      </c>
      <c r="CB173" s="16" t="n">
        <v>102.396359619445</v>
      </c>
      <c r="CC173" s="16" t="n">
        <v>1513.59142496403</v>
      </c>
      <c r="CD173" s="16" t="n">
        <v>0</v>
      </c>
      <c r="CE173" s="16" t="n">
        <v>10686.7888346459</v>
      </c>
      <c r="CF173" s="16" t="n">
        <v>0.629872978030829</v>
      </c>
      <c r="CG173" s="16" t="n">
        <v>0.724353924735454</v>
      </c>
      <c r="CH173" s="16" t="n">
        <v>1519.85561753472</v>
      </c>
      <c r="CI173" s="16" t="n">
        <v>-1.09321272803556</v>
      </c>
      <c r="CJ173" s="16" t="n">
        <v>12.1123023880518</v>
      </c>
      <c r="CK173" s="16" t="n">
        <v>0</v>
      </c>
      <c r="CL173" s="16" t="n">
        <v>0</v>
      </c>
      <c r="CM173" s="16" t="n">
        <v>0</v>
      </c>
      <c r="CN173" s="16" t="n">
        <v>-31262.3400586268</v>
      </c>
      <c r="CO173" s="16" t="n">
        <v>1.25539772727273</v>
      </c>
      <c r="CP173" s="16" t="n">
        <v>0.780487804878049</v>
      </c>
      <c r="CQ173" s="16" t="n">
        <v>0</v>
      </c>
      <c r="CR173" s="16" t="n">
        <v>0.0115</v>
      </c>
      <c r="CS173" s="16" t="n">
        <v>0</v>
      </c>
      <c r="CT173" s="16" t="n">
        <v>0</v>
      </c>
      <c r="CU173" s="16" t="n">
        <v>0.0115</v>
      </c>
      <c r="CV173" s="16" t="n">
        <v>0</v>
      </c>
      <c r="CW173" s="16" t="n">
        <v>0</v>
      </c>
      <c r="CX173" s="16" t="n">
        <v>0</v>
      </c>
      <c r="CY173" s="16" t="n">
        <v>0</v>
      </c>
      <c r="CZ173" s="16" t="n">
        <v>0</v>
      </c>
      <c r="DA173" s="16" t="n">
        <v>0</v>
      </c>
      <c r="DB173" s="16" t="n">
        <v>13126.6013885057</v>
      </c>
      <c r="DC173" s="16" t="n">
        <v>9739.9382302712</v>
      </c>
      <c r="DD173" s="16" t="n">
        <v>11066.6666666667</v>
      </c>
      <c r="DE173" s="16" t="n">
        <v>0</v>
      </c>
      <c r="DF173" s="16" t="n">
        <v>314.925245</v>
      </c>
      <c r="DG173" s="16" t="n">
        <v>0</v>
      </c>
      <c r="DH173" s="16" t="n">
        <v>0</v>
      </c>
      <c r="DI173" s="16" t="n">
        <v>0.0115</v>
      </c>
    </row>
    <row r="174" customFormat="false" ht="15" hidden="false" customHeight="false" outlineLevel="0" collapsed="false">
      <c r="A174" s="0" t="s">
        <v>3390</v>
      </c>
      <c r="B174" s="16" t="n">
        <v>2400.63703930642</v>
      </c>
      <c r="C174" s="16" t="n">
        <v>8242.01885850092</v>
      </c>
      <c r="D174" s="16" t="n">
        <v>22266.6123981889</v>
      </c>
      <c r="E174" s="16" t="n">
        <v>4575.85815565856</v>
      </c>
      <c r="F174" s="16" t="n">
        <v>-667.464083403093</v>
      </c>
      <c r="G174" s="16" t="n">
        <v>4913.64148472162</v>
      </c>
      <c r="H174" s="16" t="n">
        <v>41053.5476373834</v>
      </c>
      <c r="I174" s="17" t="n">
        <v>103.536398225274</v>
      </c>
      <c r="J174" s="17" t="n">
        <v>116.99612999456</v>
      </c>
      <c r="K174" s="16" t="s">
        <v>62</v>
      </c>
      <c r="L174" s="16" t="n">
        <v>-4456.76170039065</v>
      </c>
      <c r="M174" s="16" t="n">
        <v>27831.14037717</v>
      </c>
      <c r="N174" s="16" t="n">
        <v>14579.6260754622</v>
      </c>
      <c r="O174" s="16" t="n">
        <v>-11256.4223461636</v>
      </c>
      <c r="P174" s="16" t="n">
        <v>957.718280630184</v>
      </c>
      <c r="Q174" s="16" t="n">
        <v>4017.92473913141</v>
      </c>
      <c r="R174" s="16" t="n">
        <v>12977.3867407861</v>
      </c>
      <c r="S174" s="16" t="n">
        <v>24643.7322479638</v>
      </c>
      <c r="T174" s="16" t="n">
        <v>-1013.49841499739</v>
      </c>
      <c r="U174" s="16" t="n">
        <v>33058.7326203338</v>
      </c>
      <c r="V174" s="16" t="n">
        <v>0.919988787970092</v>
      </c>
      <c r="W174" s="16" t="n">
        <v>62513.5133271874</v>
      </c>
      <c r="X174" s="16" t="n">
        <v>26412.723695079</v>
      </c>
      <c r="Y174" s="16" t="n">
        <v>110.060701006002</v>
      </c>
      <c r="Z174" s="16" t="n">
        <v>149.392358390053</v>
      </c>
      <c r="AA174" s="16" t="n">
        <v>33.6257962777954</v>
      </c>
      <c r="AB174" s="16" t="n">
        <v>30.8132962777954</v>
      </c>
      <c r="AC174" s="16" t="n">
        <v>33.6257962777954</v>
      </c>
      <c r="AD174" s="16" t="n">
        <v>26.4596429726914</v>
      </c>
      <c r="AE174" s="16" t="n">
        <v>650.542115888531</v>
      </c>
      <c r="AF174" s="16" t="n">
        <v>0.03</v>
      </c>
      <c r="AG174" s="16" t="n">
        <v>0.740304014796917</v>
      </c>
      <c r="AH174" s="16" t="n">
        <v>11212.0647125227</v>
      </c>
      <c r="AI174" s="16" t="n">
        <v>22266.6123981889</v>
      </c>
      <c r="AJ174" s="16" t="n">
        <v>22.7952741792209</v>
      </c>
      <c r="AK174" s="16" t="n">
        <v>0</v>
      </c>
      <c r="AL174" s="16" t="n">
        <v>-17346.0587377659</v>
      </c>
      <c r="AM174" s="16" t="n">
        <v>684.5</v>
      </c>
      <c r="AN174" s="16" t="n">
        <v>47143.3709088675</v>
      </c>
      <c r="AO174" s="16" t="n">
        <v>0</v>
      </c>
      <c r="AP174" s="16" t="n">
        <v>0.534618187325917</v>
      </c>
      <c r="AQ174" s="16" t="n">
        <v>101.953544152293</v>
      </c>
      <c r="AR174" s="16" t="n">
        <v>319.206153678832</v>
      </c>
      <c r="AS174" s="16" t="n">
        <v>319.295756728998</v>
      </c>
      <c r="AT174" s="16" t="n">
        <v>-4456.76170039065</v>
      </c>
      <c r="AU174" s="16" t="n">
        <v>0</v>
      </c>
      <c r="AV174" s="16" t="n">
        <v>0</v>
      </c>
      <c r="AW174" s="16" t="n">
        <v>2275.5</v>
      </c>
      <c r="AX174" s="16" t="n">
        <v>319.295756728998</v>
      </c>
      <c r="AY174" s="16" t="n">
        <v>317.514695900489</v>
      </c>
      <c r="AZ174" s="16" t="n">
        <v>7640.96082641284</v>
      </c>
      <c r="BA174" s="16" t="n">
        <v>775</v>
      </c>
      <c r="BB174" s="16" t="n">
        <v>289.821666666667</v>
      </c>
      <c r="BC174" s="16" t="n">
        <v>122450.314049006</v>
      </c>
      <c r="BD174" s="16" t="n">
        <v>26.3689282393324</v>
      </c>
      <c r="BE174" s="16" t="n">
        <v>34.8344293140399</v>
      </c>
      <c r="BF174" s="16" t="n">
        <v>35.390116743925</v>
      </c>
      <c r="BG174" s="16" t="n">
        <v>-9.69653106523862</v>
      </c>
      <c r="BH174" s="16" t="n">
        <v>1.81937973629172</v>
      </c>
      <c r="BI174" s="16" t="n">
        <v>-0.367037357938344</v>
      </c>
      <c r="BJ174" s="16" t="n">
        <v>11.148873443592</v>
      </c>
      <c r="BK174" s="16" t="n">
        <v>3.14199510649876</v>
      </c>
      <c r="BL174" s="16" t="n">
        <v>19.2671193858015</v>
      </c>
      <c r="BM174" s="16" t="n">
        <v>5.11489923648504</v>
      </c>
      <c r="BN174" s="16" t="n">
        <v>6.14038025700283</v>
      </c>
      <c r="BO174" s="16" t="n">
        <v>6.42123287671233</v>
      </c>
      <c r="BP174" s="16" t="n">
        <v>7672.79585778466</v>
      </c>
      <c r="BQ174" s="16" t="n">
        <v>8209.65212147069</v>
      </c>
      <c r="BR174" s="16" t="n">
        <v>8209.65212147069</v>
      </c>
      <c r="BS174" s="16" t="n">
        <v>319.206153678832</v>
      </c>
      <c r="BT174" s="16" t="n">
        <v>292.4</v>
      </c>
      <c r="BU174" s="16" t="n">
        <v>950</v>
      </c>
      <c r="BV174" s="16" t="s">
        <v>3238</v>
      </c>
      <c r="BW174" s="16" t="n">
        <v>41.1282051282051</v>
      </c>
      <c r="BX174" s="16" t="n">
        <v>0.140695465658278</v>
      </c>
      <c r="BY174" s="16" t="n">
        <v>0.265597261339935</v>
      </c>
      <c r="BZ174" s="16" t="n">
        <v>13434.1777535968</v>
      </c>
      <c r="CA174" s="16" t="n">
        <v>13948.7116911521</v>
      </c>
      <c r="CB174" s="16" t="n">
        <v>42.8758946122429</v>
      </c>
      <c r="CC174" s="16" t="n">
        <v>0</v>
      </c>
      <c r="CD174" s="16" t="n">
        <v>0</v>
      </c>
      <c r="CE174" s="16" t="n">
        <v>22068.9543558792</v>
      </c>
      <c r="CF174" s="16" t="n">
        <v>26.3689282393324</v>
      </c>
      <c r="CG174" s="16" t="n">
        <v>29.7968889104456</v>
      </c>
      <c r="CH174" s="16" t="n">
        <v>1931.14787912326</v>
      </c>
      <c r="CI174" s="16" t="n">
        <v>2.14057969233447</v>
      </c>
      <c r="CJ174" s="16" t="n">
        <v>14.8102625047176</v>
      </c>
      <c r="CK174" s="16" t="n">
        <v>0</v>
      </c>
      <c r="CL174" s="16" t="n">
        <v>0</v>
      </c>
      <c r="CM174" s="16" t="n">
        <v>0</v>
      </c>
      <c r="CN174" s="16" t="n">
        <v>-17346.0587377659</v>
      </c>
      <c r="CO174" s="16" t="n">
        <v>1.25539772727273</v>
      </c>
      <c r="CP174" s="16" t="n">
        <v>0.780487804878049</v>
      </c>
      <c r="CQ174" s="16" t="n">
        <v>115.207504892091</v>
      </c>
      <c r="CR174" s="16" t="n">
        <v>116.99612999456</v>
      </c>
      <c r="CS174" s="16" t="n">
        <v>115.207504892091</v>
      </c>
      <c r="CT174" s="16" t="n">
        <v>101.953544152293</v>
      </c>
      <c r="CU174" s="16" t="n">
        <v>115.207504892091</v>
      </c>
      <c r="CV174" s="16" t="n">
        <v>0</v>
      </c>
      <c r="CW174" s="16" t="n">
        <v>0</v>
      </c>
      <c r="CX174" s="16" t="n">
        <v>0</v>
      </c>
      <c r="CY174" s="16" t="n">
        <v>0</v>
      </c>
      <c r="CZ174" s="16" t="n">
        <v>0</v>
      </c>
      <c r="DA174" s="16" t="n">
        <v>0</v>
      </c>
      <c r="DB174" s="16" t="n">
        <v>18707.6274930795</v>
      </c>
      <c r="DC174" s="16" t="n">
        <v>13881.059599865</v>
      </c>
      <c r="DD174" s="16" t="n">
        <v>11066.6666666667</v>
      </c>
      <c r="DE174" s="16" t="n">
        <v>0</v>
      </c>
      <c r="DF174" s="16" t="n">
        <v>319.206153678832</v>
      </c>
      <c r="DG174" s="16" t="n">
        <v>0</v>
      </c>
      <c r="DH174" s="16" t="n">
        <v>0</v>
      </c>
      <c r="DI174" s="16" t="n">
        <v>115.207504892091</v>
      </c>
    </row>
    <row r="175" customFormat="false" ht="15" hidden="false" customHeight="false" outlineLevel="0" collapsed="false">
      <c r="A175" s="0" t="s">
        <v>3391</v>
      </c>
      <c r="B175" s="16" t="n">
        <v>2400.63703930642</v>
      </c>
      <c r="C175" s="16" t="n">
        <v>8242.01885850092</v>
      </c>
      <c r="D175" s="16" t="n">
        <v>22266.6123981889</v>
      </c>
      <c r="E175" s="16" t="n">
        <v>4606.04613482523</v>
      </c>
      <c r="F175" s="16" t="n">
        <v>-637.276104236427</v>
      </c>
      <c r="G175" s="16" t="n">
        <v>4913.64148472162</v>
      </c>
      <c r="H175" s="16" t="n">
        <v>46917.5718445378</v>
      </c>
      <c r="I175" s="17" t="n">
        <v>121.610574677117</v>
      </c>
      <c r="J175" s="17" t="n">
        <v>137.419949385142</v>
      </c>
      <c r="K175" s="16" t="s">
        <v>62</v>
      </c>
      <c r="L175" s="16" t="n">
        <v>-4408.08477405391</v>
      </c>
      <c r="M175" s="16" t="n">
        <v>27831.14037717</v>
      </c>
      <c r="N175" s="16" t="n">
        <v>14579.6260754622</v>
      </c>
      <c r="O175" s="16" t="n">
        <v>-11208.1898352444</v>
      </c>
      <c r="P175" s="16" t="n">
        <v>975.503588963517</v>
      </c>
      <c r="Q175" s="16" t="n">
        <v>4017.92473913141</v>
      </c>
      <c r="R175" s="16" t="n">
        <v>12977.3867407861</v>
      </c>
      <c r="S175" s="16" t="n">
        <v>24643.7322479638</v>
      </c>
      <c r="T175" s="16" t="n">
        <v>-995.713106664055</v>
      </c>
      <c r="U175" s="16" t="n">
        <v>38934.0545066548</v>
      </c>
      <c r="V175" s="16" t="n">
        <v>0.919988787970092</v>
      </c>
      <c r="W175" s="16" t="n">
        <v>66300.7424800139</v>
      </c>
      <c r="X175" s="16" t="n">
        <v>25831.053695079</v>
      </c>
      <c r="Y175" s="16" t="n">
        <v>129.273814118821</v>
      </c>
      <c r="Z175" s="16" t="n">
        <v>175.471533369888</v>
      </c>
      <c r="AA175" s="16" t="n">
        <v>33.6257962777954</v>
      </c>
      <c r="AB175" s="16" t="n">
        <v>30.8132962777954</v>
      </c>
      <c r="AC175" s="16" t="n">
        <v>33.6257962777954</v>
      </c>
      <c r="AD175" s="16" t="n">
        <v>26.4596429726914</v>
      </c>
      <c r="AE175" s="16" t="n">
        <v>650.542115888531</v>
      </c>
      <c r="AF175" s="16" t="n">
        <v>0.03</v>
      </c>
      <c r="AG175" s="16" t="n">
        <v>0.740304014796917</v>
      </c>
      <c r="AH175" s="16" t="n">
        <v>11229.9488755487</v>
      </c>
      <c r="AI175" s="16" t="n">
        <v>22266.6123981889</v>
      </c>
      <c r="AJ175" s="16" t="n">
        <v>22.7952741792209</v>
      </c>
      <c r="AK175" s="16" t="n">
        <v>0</v>
      </c>
      <c r="AL175" s="16" t="n">
        <v>-17298.2794371459</v>
      </c>
      <c r="AM175" s="16" t="n">
        <v>684.5</v>
      </c>
      <c r="AN175" s="16" t="n">
        <v>45150.9959088675</v>
      </c>
      <c r="AO175" s="16" t="n">
        <v>0</v>
      </c>
      <c r="AP175" s="16" t="n">
        <v>0.534618187325917</v>
      </c>
      <c r="AQ175" s="16" t="n">
        <v>120.027720604136</v>
      </c>
      <c r="AR175" s="16" t="n">
        <v>320.088729301218</v>
      </c>
      <c r="AS175" s="16" t="n">
        <v>320.15352784926</v>
      </c>
      <c r="AT175" s="16" t="n">
        <v>-4408.08477405391</v>
      </c>
      <c r="AU175" s="16" t="n">
        <v>0</v>
      </c>
      <c r="AV175" s="16" t="n">
        <v>0</v>
      </c>
      <c r="AW175" s="16" t="n">
        <v>2275.5</v>
      </c>
      <c r="AX175" s="16" t="n">
        <v>320.15352784926</v>
      </c>
      <c r="AY175" s="16" t="n">
        <v>318.637174327425</v>
      </c>
      <c r="AZ175" s="16" t="n">
        <v>7708.1472039597</v>
      </c>
      <c r="BA175" s="16" t="n">
        <v>775</v>
      </c>
      <c r="BB175" s="16" t="n">
        <v>289.821666666667</v>
      </c>
      <c r="BC175" s="16" t="n">
        <v>117275.314049006</v>
      </c>
      <c r="BD175" s="16" t="n">
        <v>26.618143117973</v>
      </c>
      <c r="BE175" s="16" t="n">
        <v>35.0836441926804</v>
      </c>
      <c r="BF175" s="16" t="n">
        <v>35.6393316225656</v>
      </c>
      <c r="BG175" s="16" t="n">
        <v>-9.69653106523862</v>
      </c>
      <c r="BH175" s="16" t="n">
        <v>1.81937973629172</v>
      </c>
      <c r="BI175" s="16" t="n">
        <v>-0.367037357938344</v>
      </c>
      <c r="BJ175" s="16" t="n">
        <v>11.148873443592</v>
      </c>
      <c r="BK175" s="16" t="n">
        <v>3.14199510649876</v>
      </c>
      <c r="BL175" s="16" t="n">
        <v>19.2671193858015</v>
      </c>
      <c r="BM175" s="16" t="n">
        <v>5.11489923648504</v>
      </c>
      <c r="BN175" s="16" t="n">
        <v>6.14038025700283</v>
      </c>
      <c r="BO175" s="16" t="n">
        <v>6.42123287671233</v>
      </c>
      <c r="BP175" s="16" t="n">
        <v>7672.79585778466</v>
      </c>
      <c r="BQ175" s="16" t="n">
        <v>8209.65212147069</v>
      </c>
      <c r="BR175" s="16" t="n">
        <v>8209.65212147069</v>
      </c>
      <c r="BS175" s="16" t="n">
        <v>320.088729301218</v>
      </c>
      <c r="BT175" s="16" t="n">
        <v>292.4</v>
      </c>
      <c r="BU175" s="16" t="n">
        <v>950</v>
      </c>
      <c r="BV175" s="16" t="s">
        <v>3238</v>
      </c>
      <c r="BW175" s="16" t="n">
        <v>41.1282051282051</v>
      </c>
      <c r="BX175" s="16" t="n">
        <v>0.140695465658278</v>
      </c>
      <c r="BY175" s="16" t="n">
        <v>0.265597261339935</v>
      </c>
      <c r="BZ175" s="16" t="n">
        <v>13434.1777535968</v>
      </c>
      <c r="CA175" s="16" t="n">
        <v>13948.7116911521</v>
      </c>
      <c r="CB175" s="16" t="n">
        <v>42.7910412142294</v>
      </c>
      <c r="CC175" s="16" t="n">
        <v>0</v>
      </c>
      <c r="CD175" s="16" t="n">
        <v>0</v>
      </c>
      <c r="CE175" s="16" t="n">
        <v>22068.9543558792</v>
      </c>
      <c r="CF175" s="16" t="n">
        <v>26.618143117973</v>
      </c>
      <c r="CG175" s="16" t="n">
        <v>30.0785017233095</v>
      </c>
      <c r="CH175" s="16" t="n">
        <v>1931.14787912326</v>
      </c>
      <c r="CI175" s="16" t="n">
        <v>2.14057969233447</v>
      </c>
      <c r="CJ175" s="16" t="n">
        <v>14.8102625047176</v>
      </c>
      <c r="CK175" s="16" t="n">
        <v>0</v>
      </c>
      <c r="CL175" s="16" t="n">
        <v>0</v>
      </c>
      <c r="CM175" s="16" t="n">
        <v>0</v>
      </c>
      <c r="CN175" s="16" t="n">
        <v>-17298.2794371459</v>
      </c>
      <c r="CO175" s="16" t="n">
        <v>1.25539772727273</v>
      </c>
      <c r="CP175" s="16" t="n">
        <v>0.780487804878049</v>
      </c>
      <c r="CQ175" s="16" t="n">
        <v>135.631324282673</v>
      </c>
      <c r="CR175" s="16" t="n">
        <v>137.419949385142</v>
      </c>
      <c r="CS175" s="16" t="n">
        <v>135.631324282673</v>
      </c>
      <c r="CT175" s="16" t="n">
        <v>120.027720604136</v>
      </c>
      <c r="CU175" s="16" t="n">
        <v>135.631324282673</v>
      </c>
      <c r="CV175" s="16" t="n">
        <v>0</v>
      </c>
      <c r="CW175" s="16" t="n">
        <v>0</v>
      </c>
      <c r="CX175" s="16" t="n">
        <v>0</v>
      </c>
      <c r="CY175" s="16" t="n">
        <v>0</v>
      </c>
      <c r="CZ175" s="16" t="n">
        <v>0</v>
      </c>
      <c r="DA175" s="16" t="n">
        <v>0</v>
      </c>
      <c r="DB175" s="16" t="n">
        <v>18774.8138706264</v>
      </c>
      <c r="DC175" s="16" t="n">
        <v>13930.9118920048</v>
      </c>
      <c r="DD175" s="16" t="n">
        <v>11066.6666666667</v>
      </c>
      <c r="DE175" s="16" t="n">
        <v>0</v>
      </c>
      <c r="DF175" s="16" t="n">
        <v>320.088729301218</v>
      </c>
      <c r="DG175" s="16" t="n">
        <v>0</v>
      </c>
      <c r="DH175" s="16" t="n">
        <v>0</v>
      </c>
      <c r="DI175" s="16" t="n">
        <v>135.631324282673</v>
      </c>
    </row>
    <row r="176" customFormat="false" ht="15" hidden="false" customHeight="false" outlineLevel="0" collapsed="false">
      <c r="A176" s="0" t="s">
        <v>3392</v>
      </c>
      <c r="B176" s="16" t="n">
        <v>2400.63703930642</v>
      </c>
      <c r="C176" s="16" t="n">
        <v>8242.01885850092</v>
      </c>
      <c r="D176" s="16" t="n">
        <v>22266.6123981889</v>
      </c>
      <c r="E176" s="16" t="n">
        <v>4606.04613482523</v>
      </c>
      <c r="F176" s="16" t="n">
        <v>-637.276104236427</v>
      </c>
      <c r="G176" s="16" t="n">
        <v>4913.64148472162</v>
      </c>
      <c r="H176" s="16" t="n">
        <v>100185.806451507</v>
      </c>
      <c r="I176" s="17" t="n">
        <v>270.297262490866</v>
      </c>
      <c r="J176" s="17" t="n">
        <v>305.435906614678</v>
      </c>
      <c r="K176" s="16" t="s">
        <v>62</v>
      </c>
      <c r="L176" s="16" t="n">
        <v>-4408.08477405391</v>
      </c>
      <c r="M176" s="16" t="n">
        <v>27831.14037717</v>
      </c>
      <c r="N176" s="16" t="n">
        <v>14579.6260754622</v>
      </c>
      <c r="O176" s="16" t="n">
        <v>-11208.1898352444</v>
      </c>
      <c r="P176" s="16" t="n">
        <v>975.503588963517</v>
      </c>
      <c r="Q176" s="16" t="n">
        <v>4017.92473913141</v>
      </c>
      <c r="R176" s="16" t="n">
        <v>12977.3867407861</v>
      </c>
      <c r="S176" s="16" t="n">
        <v>24643.7322479638</v>
      </c>
      <c r="T176" s="16" t="n">
        <v>-995.713106664055</v>
      </c>
      <c r="U176" s="16" t="n">
        <v>99868.6362589219</v>
      </c>
      <c r="V176" s="16" t="n">
        <v>0.919988787970092</v>
      </c>
      <c r="W176" s="16" t="n">
        <v>119568.977086983</v>
      </c>
      <c r="X176" s="16" t="n">
        <v>25831.053695079</v>
      </c>
      <c r="Y176" s="16" t="n">
        <v>287.329931306091</v>
      </c>
      <c r="Z176" s="16" t="n">
        <v>390.011109156283</v>
      </c>
      <c r="AA176" s="16" t="n">
        <v>33.6257962777954</v>
      </c>
      <c r="AB176" s="16" t="n">
        <v>30.8132962777954</v>
      </c>
      <c r="AC176" s="16" t="n">
        <v>33.6257962777954</v>
      </c>
      <c r="AD176" s="16" t="n">
        <v>26.4596429726914</v>
      </c>
      <c r="AE176" s="16" t="n">
        <v>650.542115888531</v>
      </c>
      <c r="AF176" s="16" t="n">
        <v>0.03</v>
      </c>
      <c r="AG176" s="16" t="n">
        <v>0.740304014796917</v>
      </c>
      <c r="AH176" s="16" t="n">
        <v>11229.9488755487</v>
      </c>
      <c r="AI176" s="16" t="n">
        <v>22266.6123981889</v>
      </c>
      <c r="AJ176" s="16" t="n">
        <v>22.7952741792209</v>
      </c>
      <c r="AK176" s="16" t="n">
        <v>0</v>
      </c>
      <c r="AL176" s="16" t="n">
        <v>-17298.2794371459</v>
      </c>
      <c r="AM176" s="16" t="n">
        <v>684.5</v>
      </c>
      <c r="AN176" s="16" t="n">
        <v>45150.9959088675</v>
      </c>
      <c r="AO176" s="16" t="n">
        <v>0</v>
      </c>
      <c r="AP176" s="16" t="n">
        <v>0.534618187325917</v>
      </c>
      <c r="AQ176" s="16" t="n">
        <v>269.704743399477</v>
      </c>
      <c r="AR176" s="16" t="n">
        <v>369.472197244297</v>
      </c>
      <c r="AS176" s="16" t="n">
        <v>369.477054035265</v>
      </c>
      <c r="AT176" s="16" t="n">
        <v>-4408.08477405391</v>
      </c>
      <c r="AU176" s="16" t="n">
        <v>0</v>
      </c>
      <c r="AV176" s="16" t="n">
        <v>0</v>
      </c>
      <c r="AW176" s="16" t="n">
        <v>2275.5</v>
      </c>
      <c r="AX176" s="16" t="n">
        <v>369.477054035265</v>
      </c>
      <c r="AY176" s="16" t="n">
        <v>340.432173239378</v>
      </c>
      <c r="AZ176" s="16" t="n">
        <v>7708.1472039597</v>
      </c>
      <c r="BA176" s="16" t="n">
        <v>775</v>
      </c>
      <c r="BB176" s="16" t="n">
        <v>289.821666666667</v>
      </c>
      <c r="BC176" s="16" t="n">
        <v>117275.314049006</v>
      </c>
      <c r="BD176" s="16" t="n">
        <v>26.618143117973</v>
      </c>
      <c r="BE176" s="16" t="n">
        <v>35.0836441926804</v>
      </c>
      <c r="BF176" s="16" t="n">
        <v>35.6393316225656</v>
      </c>
      <c r="BG176" s="16" t="n">
        <v>-9.69653106523862</v>
      </c>
      <c r="BH176" s="16" t="n">
        <v>1.81937973629172</v>
      </c>
      <c r="BI176" s="16" t="n">
        <v>-0.367037357938344</v>
      </c>
      <c r="BJ176" s="16" t="n">
        <v>11.148873443592</v>
      </c>
      <c r="BK176" s="16" t="n">
        <v>3.14199510649876</v>
      </c>
      <c r="BL176" s="16" t="n">
        <v>19.2671193858015</v>
      </c>
      <c r="BM176" s="16" t="n">
        <v>5.11489923648504</v>
      </c>
      <c r="BN176" s="16" t="n">
        <v>6.14038025700283</v>
      </c>
      <c r="BO176" s="16" t="n">
        <v>6.42123287671233</v>
      </c>
      <c r="BP176" s="16" t="n">
        <v>7672.79585778466</v>
      </c>
      <c r="BQ176" s="16" t="n">
        <v>8209.65212147069</v>
      </c>
      <c r="BR176" s="16" t="n">
        <v>8209.65212147069</v>
      </c>
      <c r="BS176" s="16" t="n">
        <v>369.472197244297</v>
      </c>
      <c r="BT176" s="16" t="n">
        <v>292.4</v>
      </c>
      <c r="BU176" s="16" t="n">
        <v>950</v>
      </c>
      <c r="BV176" s="16" t="s">
        <v>3238</v>
      </c>
      <c r="BW176" s="16" t="n">
        <v>41.1282051282051</v>
      </c>
      <c r="BX176" s="16" t="n">
        <v>0.140695465658278</v>
      </c>
      <c r="BY176" s="16" t="n">
        <v>0.265597261339935</v>
      </c>
      <c r="BZ176" s="16" t="n">
        <v>5767.83060829888</v>
      </c>
      <c r="CA176" s="16" t="n">
        <v>5988.06271620667</v>
      </c>
      <c r="CB176" s="16" t="n">
        <v>42.8509829713031</v>
      </c>
      <c r="CC176" s="16" t="n">
        <v>0</v>
      </c>
      <c r="CD176" s="16" t="n">
        <v>0</v>
      </c>
      <c r="CE176" s="16" t="n">
        <v>22068.9543558792</v>
      </c>
      <c r="CF176" s="16" t="n">
        <v>26.618143117973</v>
      </c>
      <c r="CG176" s="16" t="n">
        <v>30.0785017233095</v>
      </c>
      <c r="CH176" s="16" t="n">
        <v>1931.14787912326</v>
      </c>
      <c r="CI176" s="16" t="n">
        <v>2.14057969233447</v>
      </c>
      <c r="CJ176" s="16" t="n">
        <v>14.8102625047176</v>
      </c>
      <c r="CK176" s="16" t="n">
        <v>0</v>
      </c>
      <c r="CL176" s="16" t="n">
        <v>0</v>
      </c>
      <c r="CM176" s="16" t="n">
        <v>0</v>
      </c>
      <c r="CN176" s="16" t="n">
        <v>-17298.2794371459</v>
      </c>
      <c r="CO176" s="16" t="n">
        <v>1.25539772727273</v>
      </c>
      <c r="CP176" s="16" t="n">
        <v>0.780487804878049</v>
      </c>
      <c r="CQ176" s="16" t="n">
        <v>304.766360041409</v>
      </c>
      <c r="CR176" s="16" t="n">
        <v>305.435906614678</v>
      </c>
      <c r="CS176" s="16" t="n">
        <v>304.766360041409</v>
      </c>
      <c r="CT176" s="16" t="n">
        <v>269.704743399477</v>
      </c>
      <c r="CU176" s="16" t="n">
        <v>304.766360041409</v>
      </c>
      <c r="CV176" s="16" t="n">
        <v>0</v>
      </c>
      <c r="CW176" s="16" t="n">
        <v>0</v>
      </c>
      <c r="CX176" s="16" t="n">
        <v>0</v>
      </c>
      <c r="CY176" s="16" t="n">
        <v>0</v>
      </c>
      <c r="CZ176" s="16" t="n">
        <v>0</v>
      </c>
      <c r="DA176" s="16" t="n">
        <v>0</v>
      </c>
      <c r="DB176" s="16" t="n">
        <v>18774.8138706264</v>
      </c>
      <c r="DC176" s="16" t="n">
        <v>13930.9118920048</v>
      </c>
      <c r="DD176" s="16" t="n">
        <v>11066.6666666667</v>
      </c>
      <c r="DE176" s="16" t="n">
        <v>0</v>
      </c>
      <c r="DF176" s="16" t="n">
        <v>369.472197244297</v>
      </c>
      <c r="DG176" s="16" t="n">
        <v>0</v>
      </c>
      <c r="DH176" s="16" t="n">
        <v>0</v>
      </c>
      <c r="DI176" s="16" t="n">
        <v>304.766360041409</v>
      </c>
    </row>
    <row r="177" customFormat="false" ht="15" hidden="false" customHeight="false" outlineLevel="0" collapsed="false">
      <c r="A177" s="0" t="s">
        <v>3393</v>
      </c>
      <c r="B177" s="16" t="n">
        <v>2400.63703930642</v>
      </c>
      <c r="C177" s="16" t="n">
        <v>8242.01885850092</v>
      </c>
      <c r="D177" s="16" t="n">
        <v>22266.6123981889</v>
      </c>
      <c r="E177" s="16" t="n">
        <v>4606.04613482523</v>
      </c>
      <c r="F177" s="16" t="n">
        <v>-637.276104236427</v>
      </c>
      <c r="G177" s="16" t="n">
        <v>4913.64148472162</v>
      </c>
      <c r="H177" s="16" t="n">
        <v>100185.806451507</v>
      </c>
      <c r="I177" s="17" t="n">
        <v>270.297262490866</v>
      </c>
      <c r="J177" s="17" t="n">
        <v>305.435906614678</v>
      </c>
      <c r="K177" s="16" t="s">
        <v>62</v>
      </c>
      <c r="L177" s="16" t="n">
        <v>-4408.08477405391</v>
      </c>
      <c r="M177" s="16" t="n">
        <v>27831.14037717</v>
      </c>
      <c r="N177" s="16" t="n">
        <v>14579.6260754622</v>
      </c>
      <c r="O177" s="16" t="n">
        <v>-11208.1898352444</v>
      </c>
      <c r="P177" s="16" t="n">
        <v>975.503588963517</v>
      </c>
      <c r="Q177" s="16" t="n">
        <v>4017.92473913141</v>
      </c>
      <c r="R177" s="16" t="n">
        <v>12977.3867407861</v>
      </c>
      <c r="S177" s="16" t="n">
        <v>24643.7322479638</v>
      </c>
      <c r="T177" s="16" t="n">
        <v>-995.713106664055</v>
      </c>
      <c r="U177" s="16" t="n">
        <v>99868.6362589219</v>
      </c>
      <c r="V177" s="16" t="n">
        <v>0.919988787970092</v>
      </c>
      <c r="W177" s="16" t="n">
        <v>119568.977086983</v>
      </c>
      <c r="X177" s="16" t="n">
        <v>25831.053695079</v>
      </c>
      <c r="Y177" s="16" t="n">
        <v>287.329931306091</v>
      </c>
      <c r="Z177" s="16" t="n">
        <v>390.011109156283</v>
      </c>
      <c r="AA177" s="16" t="n">
        <v>33.6257962777954</v>
      </c>
      <c r="AB177" s="16" t="n">
        <v>30.8132962777954</v>
      </c>
      <c r="AC177" s="16" t="n">
        <v>33.6257962777954</v>
      </c>
      <c r="AD177" s="16" t="n">
        <v>26.4596429726914</v>
      </c>
      <c r="AE177" s="16" t="n">
        <v>650.542115888531</v>
      </c>
      <c r="AF177" s="16" t="n">
        <v>0.03</v>
      </c>
      <c r="AG177" s="16" t="n">
        <v>0.740304014796917</v>
      </c>
      <c r="AH177" s="16" t="n">
        <v>11229.9488755487</v>
      </c>
      <c r="AI177" s="16" t="n">
        <v>22266.6123981889</v>
      </c>
      <c r="AJ177" s="16" t="n">
        <v>22.7952741792209</v>
      </c>
      <c r="AK177" s="16" t="n">
        <v>0</v>
      </c>
      <c r="AL177" s="16" t="n">
        <v>-17298.2794371459</v>
      </c>
      <c r="AM177" s="16" t="n">
        <v>684.5</v>
      </c>
      <c r="AN177" s="16" t="n">
        <v>45150.9959088675</v>
      </c>
      <c r="AO177" s="16" t="n">
        <v>0</v>
      </c>
      <c r="AP177" s="16" t="n">
        <v>0.534618187325917</v>
      </c>
      <c r="AQ177" s="16" t="n">
        <v>269.704743399477</v>
      </c>
      <c r="AR177" s="16" t="n">
        <v>369.472197244297</v>
      </c>
      <c r="AS177" s="16" t="n">
        <v>369.477054035265</v>
      </c>
      <c r="AT177" s="16" t="n">
        <v>-4408.08477405391</v>
      </c>
      <c r="AU177" s="16" t="n">
        <v>0</v>
      </c>
      <c r="AV177" s="16" t="n">
        <v>0</v>
      </c>
      <c r="AW177" s="16" t="n">
        <v>2275.5</v>
      </c>
      <c r="AX177" s="16" t="n">
        <v>369.477054035265</v>
      </c>
      <c r="AY177" s="16" t="n">
        <v>340.432173239378</v>
      </c>
      <c r="AZ177" s="16" t="n">
        <v>7708.1472039597</v>
      </c>
      <c r="BA177" s="16" t="n">
        <v>775</v>
      </c>
      <c r="BB177" s="16" t="n">
        <v>289.821666666667</v>
      </c>
      <c r="BC177" s="16" t="n">
        <v>117275.314049006</v>
      </c>
      <c r="BD177" s="16" t="n">
        <v>26.618143117973</v>
      </c>
      <c r="BE177" s="16" t="n">
        <v>35.0836441926804</v>
      </c>
      <c r="BF177" s="16" t="n">
        <v>35.6393316225656</v>
      </c>
      <c r="BG177" s="16" t="n">
        <v>-9.69653106523862</v>
      </c>
      <c r="BH177" s="16" t="n">
        <v>1.81937973629172</v>
      </c>
      <c r="BI177" s="16" t="n">
        <v>-0.367037357938344</v>
      </c>
      <c r="BJ177" s="16" t="n">
        <v>11.148873443592</v>
      </c>
      <c r="BK177" s="16" t="n">
        <v>3.14199510649876</v>
      </c>
      <c r="BL177" s="16" t="n">
        <v>19.2671193858015</v>
      </c>
      <c r="BM177" s="16" t="n">
        <v>5.11489923648504</v>
      </c>
      <c r="BN177" s="16" t="n">
        <v>6.14038025700283</v>
      </c>
      <c r="BO177" s="16" t="n">
        <v>6.42123287671233</v>
      </c>
      <c r="BP177" s="16" t="n">
        <v>7672.79585778466</v>
      </c>
      <c r="BQ177" s="16" t="n">
        <v>8209.65212147069</v>
      </c>
      <c r="BR177" s="16" t="n">
        <v>8209.65212147069</v>
      </c>
      <c r="BS177" s="16" t="n">
        <v>369.472197244297</v>
      </c>
      <c r="BT177" s="16" t="n">
        <v>292.4</v>
      </c>
      <c r="BU177" s="16" t="n">
        <v>950</v>
      </c>
      <c r="BV177" s="16" t="s">
        <v>3238</v>
      </c>
      <c r="BW177" s="16" t="n">
        <v>41.1282051282051</v>
      </c>
      <c r="BX177" s="16" t="n">
        <v>0.140695465658278</v>
      </c>
      <c r="BY177" s="16" t="n">
        <v>0.265597261339935</v>
      </c>
      <c r="BZ177" s="16" t="n">
        <v>5767.83060829888</v>
      </c>
      <c r="CA177" s="16" t="n">
        <v>5988.06271620667</v>
      </c>
      <c r="CB177" s="16" t="n">
        <v>42.8509829713031</v>
      </c>
      <c r="CC177" s="16" t="n">
        <v>0</v>
      </c>
      <c r="CD177" s="16" t="n">
        <v>0</v>
      </c>
      <c r="CE177" s="16" t="n">
        <v>22068.9543558792</v>
      </c>
      <c r="CF177" s="16" t="n">
        <v>26.618143117973</v>
      </c>
      <c r="CG177" s="16" t="n">
        <v>30.0785017233095</v>
      </c>
      <c r="CH177" s="16" t="n">
        <v>1931.14787912326</v>
      </c>
      <c r="CI177" s="16" t="n">
        <v>2.14057969233447</v>
      </c>
      <c r="CJ177" s="16" t="n">
        <v>14.8102625047176</v>
      </c>
      <c r="CK177" s="16" t="n">
        <v>0</v>
      </c>
      <c r="CL177" s="16" t="n">
        <v>0</v>
      </c>
      <c r="CM177" s="16" t="n">
        <v>0</v>
      </c>
      <c r="CN177" s="16" t="n">
        <v>-17298.2794371459</v>
      </c>
      <c r="CO177" s="16" t="n">
        <v>1.25539772727273</v>
      </c>
      <c r="CP177" s="16" t="n">
        <v>0.780487804878049</v>
      </c>
      <c r="CQ177" s="16" t="n">
        <v>304.766360041409</v>
      </c>
      <c r="CR177" s="16" t="n">
        <v>305.435906614678</v>
      </c>
      <c r="CS177" s="16" t="n">
        <v>304.766360041409</v>
      </c>
      <c r="CT177" s="16" t="n">
        <v>269.704743399477</v>
      </c>
      <c r="CU177" s="16" t="n">
        <v>304.766360041409</v>
      </c>
      <c r="CV177" s="16" t="n">
        <v>0</v>
      </c>
      <c r="CW177" s="16" t="n">
        <v>0</v>
      </c>
      <c r="CX177" s="16" t="n">
        <v>0</v>
      </c>
      <c r="CY177" s="16" t="n">
        <v>0</v>
      </c>
      <c r="CZ177" s="16" t="n">
        <v>0</v>
      </c>
      <c r="DA177" s="16" t="n">
        <v>0</v>
      </c>
      <c r="DB177" s="16" t="n">
        <v>18774.8138706264</v>
      </c>
      <c r="DC177" s="16" t="n">
        <v>13930.9118920048</v>
      </c>
      <c r="DD177" s="16" t="n">
        <v>11066.6666666667</v>
      </c>
      <c r="DE177" s="16" t="n">
        <v>0</v>
      </c>
      <c r="DF177" s="16" t="n">
        <v>369.472197244297</v>
      </c>
      <c r="DG177" s="16" t="n">
        <v>0</v>
      </c>
      <c r="DH177" s="16" t="n">
        <v>0</v>
      </c>
      <c r="DI177" s="16" t="n">
        <v>304.766360041409</v>
      </c>
    </row>
    <row r="178" customFormat="false" ht="15" hidden="false" customHeight="false" outlineLevel="0" collapsed="false">
      <c r="A178" s="0" t="s">
        <v>3394</v>
      </c>
      <c r="B178" s="16" t="n">
        <v>2400.63703930642</v>
      </c>
      <c r="C178" s="16" t="n">
        <v>8242.01885850092</v>
      </c>
      <c r="D178" s="16" t="n">
        <v>22266.6123981889</v>
      </c>
      <c r="E178" s="16" t="n">
        <v>4517.47256608134</v>
      </c>
      <c r="F178" s="16" t="n">
        <v>-725.849672980312</v>
      </c>
      <c r="G178" s="16" t="n">
        <v>4913.64148472162</v>
      </c>
      <c r="H178" s="16" t="n">
        <v>89065.1861996132</v>
      </c>
      <c r="I178" s="17" t="n">
        <v>240.346467398359</v>
      </c>
      <c r="J178" s="17" t="n">
        <v>271.591508160146</v>
      </c>
      <c r="K178" s="16" t="s">
        <v>62</v>
      </c>
      <c r="L178" s="16" t="n">
        <v>-4518.47497945888</v>
      </c>
      <c r="M178" s="16" t="n">
        <v>27831.14037717</v>
      </c>
      <c r="N178" s="16" t="n">
        <v>14200.6767563719</v>
      </c>
      <c r="O178" s="16" t="n">
        <v>-11598.1298302062</v>
      </c>
      <c r="P178" s="16" t="n">
        <v>954.629428633757</v>
      </c>
      <c r="Q178" s="16" t="n">
        <v>3638.9754200411</v>
      </c>
      <c r="R178" s="16" t="n">
        <v>12977.3867407861</v>
      </c>
      <c r="S178" s="16" t="n">
        <v>24643.7322479638</v>
      </c>
      <c r="T178" s="16" t="n">
        <v>-1016.58726699381</v>
      </c>
      <c r="U178" s="16" t="n">
        <v>88736.2916094378</v>
      </c>
      <c r="V178" s="16" t="n">
        <v>0.919988787970092</v>
      </c>
      <c r="W178" s="16" t="n">
        <v>109797.712332911</v>
      </c>
      <c r="X178" s="16" t="n">
        <v>25831.053695079</v>
      </c>
      <c r="Y178" s="16" t="n">
        <v>255.491799402023</v>
      </c>
      <c r="Z178" s="16" t="n">
        <v>346.79519676969</v>
      </c>
      <c r="AA178" s="16" t="n">
        <v>33.6257962777954</v>
      </c>
      <c r="AB178" s="16" t="n">
        <v>30.8132962777954</v>
      </c>
      <c r="AC178" s="16" t="n">
        <v>32.8757962777954</v>
      </c>
      <c r="AD178" s="16" t="n">
        <v>26.4596429726914</v>
      </c>
      <c r="AE178" s="16" t="n">
        <v>650.542115888531</v>
      </c>
      <c r="AF178" s="16" t="n">
        <v>0.03</v>
      </c>
      <c r="AG178" s="16" t="n">
        <v>0.71535211160041</v>
      </c>
      <c r="AH178" s="16" t="n">
        <v>11208.9721267401</v>
      </c>
      <c r="AI178" s="16" t="n">
        <v>22266.6123981889</v>
      </c>
      <c r="AJ178" s="16" t="n">
        <v>22.7952741792209</v>
      </c>
      <c r="AK178" s="16" t="n">
        <v>0</v>
      </c>
      <c r="AL178" s="16" t="n">
        <v>-18264.9705905594</v>
      </c>
      <c r="AM178" s="16" t="n">
        <v>684.5</v>
      </c>
      <c r="AN178" s="16" t="n">
        <v>45150.9959088675</v>
      </c>
      <c r="AO178" s="16" t="n">
        <v>0</v>
      </c>
      <c r="AP178" s="16" t="n">
        <v>0.534618187325917</v>
      </c>
      <c r="AQ178" s="16" t="n">
        <v>239.753948306971</v>
      </c>
      <c r="AR178" s="16" t="n">
        <v>369.195419414732</v>
      </c>
      <c r="AS178" s="16" t="n">
        <v>369.201563767371</v>
      </c>
      <c r="AT178" s="16" t="n">
        <v>-4518.47497945888</v>
      </c>
      <c r="AU178" s="16" t="n">
        <v>0</v>
      </c>
      <c r="AV178" s="16" t="n">
        <v>0</v>
      </c>
      <c r="AW178" s="16" t="n">
        <v>2275.5</v>
      </c>
      <c r="AX178" s="16" t="n">
        <v>369.201563767371</v>
      </c>
      <c r="AY178" s="16" t="n">
        <v>336.537252727219</v>
      </c>
      <c r="AZ178" s="16" t="n">
        <v>7170.06066284218</v>
      </c>
      <c r="BA178" s="16" t="n">
        <v>775</v>
      </c>
      <c r="BB178" s="16" t="n">
        <v>289.821666666667</v>
      </c>
      <c r="BC178" s="16" t="n">
        <v>117275.314049006</v>
      </c>
      <c r="BD178" s="16" t="n">
        <v>24.8722972468112</v>
      </c>
      <c r="BE178" s="16" t="n">
        <v>33.3377983215186</v>
      </c>
      <c r="BF178" s="16" t="n">
        <v>33.8934857514037</v>
      </c>
      <c r="BG178" s="16" t="n">
        <v>-9.69653106523862</v>
      </c>
      <c r="BH178" s="16" t="n">
        <v>-0.237386954030208</v>
      </c>
      <c r="BI178" s="16" t="n">
        <v>-0.367037357938344</v>
      </c>
      <c r="BJ178" s="16" t="n">
        <v>9.09210675327006</v>
      </c>
      <c r="BK178" s="16" t="n">
        <v>3.14199510649876</v>
      </c>
      <c r="BL178" s="16" t="n">
        <v>16.4951966225644</v>
      </c>
      <c r="BM178" s="16" t="n">
        <v>5.11489923648504</v>
      </c>
      <c r="BN178" s="16" t="n">
        <v>6.14038025700283</v>
      </c>
      <c r="BO178" s="16" t="n">
        <v>6.42123287671233</v>
      </c>
      <c r="BP178" s="16" t="n">
        <v>7672.79585778466</v>
      </c>
      <c r="BQ178" s="16" t="n">
        <v>8209.65212147069</v>
      </c>
      <c r="BR178" s="16" t="n">
        <v>8209.65212147069</v>
      </c>
      <c r="BS178" s="16" t="n">
        <v>369.195419414732</v>
      </c>
      <c r="BT178" s="16" t="n">
        <v>292.4</v>
      </c>
      <c r="BU178" s="16" t="n">
        <v>950</v>
      </c>
      <c r="BV178" s="16" t="s">
        <v>3238</v>
      </c>
      <c r="BW178" s="16" t="n">
        <v>41.1282051282051</v>
      </c>
      <c r="BX178" s="16" t="n">
        <v>0.140695465658278</v>
      </c>
      <c r="BY178" s="16" t="n">
        <v>0.244045334276294</v>
      </c>
      <c r="BZ178" s="16" t="n">
        <v>5767.83060829888</v>
      </c>
      <c r="CA178" s="16" t="n">
        <v>5988.06271620667</v>
      </c>
      <c r="CB178" s="16" t="n">
        <v>44.9563893577812</v>
      </c>
      <c r="CC178" s="16" t="n">
        <v>0</v>
      </c>
      <c r="CD178" s="16" t="n">
        <v>0</v>
      </c>
      <c r="CE178" s="16" t="n">
        <v>22068.9543558792</v>
      </c>
      <c r="CF178" s="16" t="n">
        <v>24.8722972468112</v>
      </c>
      <c r="CG178" s="16" t="n">
        <v>28.1056958888966</v>
      </c>
      <c r="CH178" s="16" t="n">
        <v>1931.14787912326</v>
      </c>
      <c r="CI178" s="16" t="n">
        <v>2.14057969233447</v>
      </c>
      <c r="CJ178" s="16" t="n">
        <v>14.8102625047176</v>
      </c>
      <c r="CK178" s="16" t="n">
        <v>0</v>
      </c>
      <c r="CL178" s="16" t="n">
        <v>0</v>
      </c>
      <c r="CM178" s="16" t="n">
        <v>0</v>
      </c>
      <c r="CN178" s="16" t="n">
        <v>-18264.9705905594</v>
      </c>
      <c r="CO178" s="16" t="n">
        <v>1.25539772727273</v>
      </c>
      <c r="CP178" s="16" t="n">
        <v>0.780487804878049</v>
      </c>
      <c r="CQ178" s="16" t="n">
        <v>270.921961586877</v>
      </c>
      <c r="CR178" s="16" t="n">
        <v>271.591508160146</v>
      </c>
      <c r="CS178" s="16" t="n">
        <v>270.921961586877</v>
      </c>
      <c r="CT178" s="16" t="n">
        <v>239.753948306971</v>
      </c>
      <c r="CU178" s="16" t="n">
        <v>270.921961586877</v>
      </c>
      <c r="CV178" s="16" t="n">
        <v>0</v>
      </c>
      <c r="CW178" s="16" t="n">
        <v>0</v>
      </c>
      <c r="CX178" s="16" t="n">
        <v>0</v>
      </c>
      <c r="CY178" s="16" t="n">
        <v>0</v>
      </c>
      <c r="CZ178" s="16" t="n">
        <v>0</v>
      </c>
      <c r="DA178" s="16" t="n">
        <v>0</v>
      </c>
      <c r="DB178" s="16" t="n">
        <v>18236.7273295088</v>
      </c>
      <c r="DC178" s="16" t="n">
        <v>13531.6516784956</v>
      </c>
      <c r="DD178" s="16" t="n">
        <v>11066.6666666667</v>
      </c>
      <c r="DE178" s="16" t="n">
        <v>0</v>
      </c>
      <c r="DF178" s="16" t="n">
        <v>369.195419414732</v>
      </c>
      <c r="DG178" s="16" t="n">
        <v>0</v>
      </c>
      <c r="DH178" s="16" t="n">
        <v>0</v>
      </c>
      <c r="DI178" s="16" t="n">
        <v>270.921961586877</v>
      </c>
    </row>
    <row r="179" customFormat="false" ht="15" hidden="false" customHeight="false" outlineLevel="0" collapsed="false">
      <c r="A179" s="0" t="s">
        <v>3395</v>
      </c>
      <c r="B179" s="16" t="n">
        <v>2425.32952419152</v>
      </c>
      <c r="C179" s="16" t="n">
        <v>8517.51527302704</v>
      </c>
      <c r="D179" s="16" t="n">
        <v>22648.7362066291</v>
      </c>
      <c r="E179" s="16" t="n">
        <v>4713.07502039488</v>
      </c>
      <c r="F179" s="16" t="n">
        <v>-541.902341550866</v>
      </c>
      <c r="G179" s="16" t="n">
        <v>4914.27675102467</v>
      </c>
      <c r="H179" s="16" t="n">
        <v>99881.9427544151</v>
      </c>
      <c r="I179" s="17" t="n">
        <v>269.452580481655</v>
      </c>
      <c r="J179" s="17" t="n">
        <v>304.48141594427</v>
      </c>
      <c r="K179" s="16" t="s">
        <v>62</v>
      </c>
      <c r="L179" s="16" t="n">
        <v>-4310.06657295393</v>
      </c>
      <c r="M179" s="16" t="n">
        <v>27836.6503054605</v>
      </c>
      <c r="N179" s="16" t="n">
        <v>14491.0908507865</v>
      </c>
      <c r="O179" s="16" t="n">
        <v>-11177.5059124078</v>
      </c>
      <c r="P179" s="16" t="n">
        <v>969.691844413664</v>
      </c>
      <c r="Q179" s="16" t="n">
        <v>3912.61567367593</v>
      </c>
      <c r="R179" s="16" t="n">
        <v>12977.8805904838</v>
      </c>
      <c r="S179" s="16" t="n">
        <v>24651.3747241326</v>
      </c>
      <c r="T179" s="16" t="n">
        <v>-1002.51527791516</v>
      </c>
      <c r="U179" s="16" t="n">
        <v>99554.6782749448</v>
      </c>
      <c r="V179" s="16" t="n">
        <v>0.953955874711187</v>
      </c>
      <c r="W179" s="16" t="n">
        <v>119151.379098214</v>
      </c>
      <c r="X179" s="16" t="n">
        <v>25865.2636130284</v>
      </c>
      <c r="Y179" s="16" t="n">
        <v>286.432022013761</v>
      </c>
      <c r="Z179" s="16" t="n">
        <v>388.792320019238</v>
      </c>
      <c r="AA179" s="16" t="n">
        <v>34.8673009068098</v>
      </c>
      <c r="AB179" s="16" t="n">
        <v>32.0548009068098</v>
      </c>
      <c r="AC179" s="16" t="n">
        <v>34.1173009068098</v>
      </c>
      <c r="AD179" s="16" t="n">
        <v>27.4365646479815</v>
      </c>
      <c r="AE179" s="16" t="n">
        <v>653.269421736173</v>
      </c>
      <c r="AF179" s="16" t="n">
        <v>0.03</v>
      </c>
      <c r="AG179" s="16" t="n">
        <v>0.718286314065127</v>
      </c>
      <c r="AH179" s="16" t="n">
        <v>11223.7433384033</v>
      </c>
      <c r="AI179" s="16" t="n">
        <v>22648.7362066291</v>
      </c>
      <c r="AJ179" s="16" t="n">
        <v>22.7952741792209</v>
      </c>
      <c r="AK179" s="16" t="n">
        <v>0</v>
      </c>
      <c r="AL179" s="16" t="n">
        <v>-17221.869887984</v>
      </c>
      <c r="AM179" s="16" t="n">
        <v>684.5</v>
      </c>
      <c r="AN179" s="16" t="n">
        <v>45176.7227372766</v>
      </c>
      <c r="AO179" s="16" t="n">
        <v>0</v>
      </c>
      <c r="AP179" s="16" t="n">
        <v>0.522282702148695</v>
      </c>
      <c r="AQ179" s="16" t="n">
        <v>268.860061390266</v>
      </c>
      <c r="AR179" s="16" t="n">
        <v>369.465236500289</v>
      </c>
      <c r="AS179" s="16" t="n">
        <v>369.470123822855</v>
      </c>
      <c r="AT179" s="16" t="n">
        <v>-4310.06657295393</v>
      </c>
      <c r="AU179" s="16" t="n">
        <v>0</v>
      </c>
      <c r="AV179" s="16" t="n">
        <v>0</v>
      </c>
      <c r="AW179" s="16" t="n">
        <v>2275.5</v>
      </c>
      <c r="AX179" s="16" t="n">
        <v>369.470123822855</v>
      </c>
      <c r="AY179" s="16" t="n">
        <v>340.334192912606</v>
      </c>
      <c r="AZ179" s="16" t="n">
        <v>7278.59283796918</v>
      </c>
      <c r="BA179" s="16" t="n">
        <v>775</v>
      </c>
      <c r="BB179" s="16" t="n">
        <v>289.821666666667</v>
      </c>
      <c r="BC179" s="16" t="n">
        <v>117342.136979939</v>
      </c>
      <c r="BD179" s="16" t="n">
        <v>25.2221018038645</v>
      </c>
      <c r="BE179" s="16" t="n">
        <v>33.6876028785719</v>
      </c>
      <c r="BF179" s="16" t="n">
        <v>34.2432903084571</v>
      </c>
      <c r="BG179" s="16" t="n">
        <v>-9.69653106523862</v>
      </c>
      <c r="BH179" s="16" t="n">
        <v>-0.237386954030208</v>
      </c>
      <c r="BI179" s="16" t="n">
        <v>-0.367037357938344</v>
      </c>
      <c r="BJ179" s="16" t="n">
        <v>9.09210675327006</v>
      </c>
      <c r="BK179" s="16" t="n">
        <v>3.14199510649876</v>
      </c>
      <c r="BL179" s="16" t="n">
        <v>16.4951966225644</v>
      </c>
      <c r="BM179" s="16" t="n">
        <v>5.11489923648504</v>
      </c>
      <c r="BN179" s="16" t="n">
        <v>6.14038025700283</v>
      </c>
      <c r="BO179" s="16" t="n">
        <v>6.42123287671233</v>
      </c>
      <c r="BP179" s="16" t="n">
        <v>7672.79585778466</v>
      </c>
      <c r="BQ179" s="16" t="n">
        <v>8485.14853599681</v>
      </c>
      <c r="BR179" s="16" t="n">
        <v>8485.14853599681</v>
      </c>
      <c r="BS179" s="16" t="n">
        <v>369.465236500289</v>
      </c>
      <c r="BT179" s="16" t="n">
        <v>292.4</v>
      </c>
      <c r="BU179" s="16" t="n">
        <v>950</v>
      </c>
      <c r="BV179" s="16" t="s">
        <v>3238</v>
      </c>
      <c r="BW179" s="16" t="n">
        <v>41.1282051282051</v>
      </c>
      <c r="BX179" s="16" t="n">
        <v>0.140695465658278</v>
      </c>
      <c r="BY179" s="16" t="n">
        <v>0.244045334276294</v>
      </c>
      <c r="BZ179" s="16" t="n">
        <v>5767.83060829888</v>
      </c>
      <c r="CA179" s="16" t="n">
        <v>5988.06271620667</v>
      </c>
      <c r="CB179" s="16" t="n">
        <v>42.6781283374341</v>
      </c>
      <c r="CC179" s="16" t="n">
        <v>0</v>
      </c>
      <c r="CD179" s="16" t="n">
        <v>0</v>
      </c>
      <c r="CE179" s="16" t="n">
        <v>22074.2081637296</v>
      </c>
      <c r="CF179" s="16" t="n">
        <v>25.2221018038645</v>
      </c>
      <c r="CG179" s="16" t="n">
        <v>28.5009750383669</v>
      </c>
      <c r="CH179" s="16" t="n">
        <v>1931.14787912326</v>
      </c>
      <c r="CI179" s="16" t="n">
        <v>2.14057969233447</v>
      </c>
      <c r="CJ179" s="16" t="n">
        <v>14.8102625047176</v>
      </c>
      <c r="CK179" s="16" t="n">
        <v>0</v>
      </c>
      <c r="CL179" s="16" t="n">
        <v>0</v>
      </c>
      <c r="CM179" s="16" t="n">
        <v>0</v>
      </c>
      <c r="CN179" s="16" t="n">
        <v>-17221.869887984</v>
      </c>
      <c r="CO179" s="16" t="n">
        <v>1.25539772727273</v>
      </c>
      <c r="CP179" s="16" t="n">
        <v>0.780487804878049</v>
      </c>
      <c r="CQ179" s="16" t="n">
        <v>303.811869371001</v>
      </c>
      <c r="CR179" s="16" t="n">
        <v>304.48141594427</v>
      </c>
      <c r="CS179" s="16" t="n">
        <v>303.811869371001</v>
      </c>
      <c r="CT179" s="16" t="n">
        <v>268.860061390266</v>
      </c>
      <c r="CU179" s="16" t="n">
        <v>303.811869371001</v>
      </c>
      <c r="CV179" s="16" t="n">
        <v>0</v>
      </c>
      <c r="CW179" s="16" t="n">
        <v>0</v>
      </c>
      <c r="CX179" s="16" t="n">
        <v>0</v>
      </c>
      <c r="CY179" s="16" t="n">
        <v>0</v>
      </c>
      <c r="CZ179" s="16" t="n">
        <v>0</v>
      </c>
      <c r="DA179" s="16" t="n">
        <v>0</v>
      </c>
      <c r="DB179" s="16" t="n">
        <v>18345.2595046359</v>
      </c>
      <c r="DC179" s="16" t="n">
        <v>13612.1825524398</v>
      </c>
      <c r="DD179" s="16" t="n">
        <v>11066.6666666667</v>
      </c>
      <c r="DE179" s="16" t="n">
        <v>0</v>
      </c>
      <c r="DF179" s="16" t="n">
        <v>369.465236500289</v>
      </c>
      <c r="DG179" s="16" t="n">
        <v>0</v>
      </c>
      <c r="DH179" s="16" t="n">
        <v>0</v>
      </c>
      <c r="DI179" s="16" t="n">
        <v>303.811869371001</v>
      </c>
    </row>
    <row r="180" customFormat="false" ht="15" hidden="false" customHeight="false" outlineLevel="0" collapsed="false">
      <c r="A180" s="0" t="s">
        <v>3396</v>
      </c>
      <c r="B180" s="16" t="n">
        <v>2425.32952419152</v>
      </c>
      <c r="C180" s="16" t="n">
        <v>8517.51527302704</v>
      </c>
      <c r="D180" s="16" t="n">
        <v>22648.7362066291</v>
      </c>
      <c r="E180" s="16" t="n">
        <v>4713.07502039488</v>
      </c>
      <c r="F180" s="16" t="n">
        <v>-541.902341550866</v>
      </c>
      <c r="G180" s="16" t="n">
        <v>4914.27675102467</v>
      </c>
      <c r="H180" s="16" t="n">
        <v>86363.7411419844</v>
      </c>
      <c r="I180" s="17" t="n">
        <v>233.082804009466</v>
      </c>
      <c r="J180" s="17" t="n">
        <v>263.383568530697</v>
      </c>
      <c r="K180" s="16" t="s">
        <v>62</v>
      </c>
      <c r="L180" s="16" t="n">
        <v>-4310.06657295393</v>
      </c>
      <c r="M180" s="16" t="n">
        <v>27836.6503054605</v>
      </c>
      <c r="N180" s="16" t="n">
        <v>14491.0908507865</v>
      </c>
      <c r="O180" s="16" t="n">
        <v>-11177.5059124078</v>
      </c>
      <c r="P180" s="16" t="n">
        <v>969.691844413664</v>
      </c>
      <c r="Q180" s="16" t="n">
        <v>3912.61567367593</v>
      </c>
      <c r="R180" s="16" t="n">
        <v>12977.8805904838</v>
      </c>
      <c r="S180" s="16" t="n">
        <v>24651.3747241326</v>
      </c>
      <c r="T180" s="16" t="n">
        <v>-1002.51527791516</v>
      </c>
      <c r="U180" s="16" t="n">
        <v>86036.4766625141</v>
      </c>
      <c r="V180" s="16" t="n">
        <v>0.953955874711187</v>
      </c>
      <c r="W180" s="16" t="n">
        <v>97674.9283579183</v>
      </c>
      <c r="X180" s="16" t="n">
        <v>21839.9186130284</v>
      </c>
      <c r="Y180" s="16" t="n">
        <v>247.770419306168</v>
      </c>
      <c r="Z180" s="16" t="n">
        <v>336.314478656847</v>
      </c>
      <c r="AA180" s="16" t="n">
        <v>34.8673009068098</v>
      </c>
      <c r="AB180" s="16" t="n">
        <v>32.0548009068098</v>
      </c>
      <c r="AC180" s="16" t="n">
        <v>34.1173009068098</v>
      </c>
      <c r="AD180" s="16" t="n">
        <v>27.4365646479815</v>
      </c>
      <c r="AE180" s="16" t="n">
        <v>653.269421736173</v>
      </c>
      <c r="AF180" s="16" t="n">
        <v>0.03</v>
      </c>
      <c r="AG180" s="16" t="n">
        <v>0.718286314065127</v>
      </c>
      <c r="AH180" s="16" t="n">
        <v>11223.7433384033</v>
      </c>
      <c r="AI180" s="16" t="n">
        <v>22648.7362066291</v>
      </c>
      <c r="AJ180" s="16" t="n">
        <v>22.7952741792209</v>
      </c>
      <c r="AK180" s="16" t="n">
        <v>0</v>
      </c>
      <c r="AL180" s="16" t="n">
        <v>-17221.869887984</v>
      </c>
      <c r="AM180" s="16" t="n">
        <v>684.5</v>
      </c>
      <c r="AN180" s="16" t="n">
        <v>37561.4227372766</v>
      </c>
      <c r="AO180" s="16" t="n">
        <v>0</v>
      </c>
      <c r="AP180" s="16" t="n">
        <v>0.522282702148695</v>
      </c>
      <c r="AQ180" s="16" t="n">
        <v>232.490284918078</v>
      </c>
      <c r="AR180" s="16" t="n">
        <v>369.117550803662</v>
      </c>
      <c r="AS180" s="16" t="n">
        <v>369.124084585064</v>
      </c>
      <c r="AT180" s="16" t="n">
        <v>-4310.06657295393</v>
      </c>
      <c r="AU180" s="16" t="n">
        <v>0</v>
      </c>
      <c r="AV180" s="16" t="n">
        <v>0</v>
      </c>
      <c r="AW180" s="16" t="n">
        <v>2275.5</v>
      </c>
      <c r="AX180" s="16" t="n">
        <v>369.124084585064</v>
      </c>
      <c r="AY180" s="16" t="n">
        <v>335.441841049917</v>
      </c>
      <c r="AZ180" s="16" t="n">
        <v>7278.59283796918</v>
      </c>
      <c r="BA180" s="16" t="n">
        <v>775</v>
      </c>
      <c r="BB180" s="16" t="n">
        <v>289.821666666667</v>
      </c>
      <c r="BC180" s="16" t="n">
        <v>97562.1369799392</v>
      </c>
      <c r="BD180" s="16" t="n">
        <v>25.2221018038645</v>
      </c>
      <c r="BE180" s="16" t="n">
        <v>33.6876028785719</v>
      </c>
      <c r="BF180" s="16" t="n">
        <v>34.2432903084571</v>
      </c>
      <c r="BG180" s="16" t="n">
        <v>-9.69653106523862</v>
      </c>
      <c r="BH180" s="16" t="n">
        <v>-0.237386954030208</v>
      </c>
      <c r="BI180" s="16" t="n">
        <v>-0.367037357938344</v>
      </c>
      <c r="BJ180" s="16" t="n">
        <v>9.09210675327006</v>
      </c>
      <c r="BK180" s="16" t="n">
        <v>3.14199510649876</v>
      </c>
      <c r="BL180" s="16" t="n">
        <v>16.4951966225644</v>
      </c>
      <c r="BM180" s="16" t="n">
        <v>5.11489923648504</v>
      </c>
      <c r="BN180" s="16" t="n">
        <v>6.14038025700283</v>
      </c>
      <c r="BO180" s="16" t="n">
        <v>6.42123287671233</v>
      </c>
      <c r="BP180" s="16" t="n">
        <v>7672.79585778466</v>
      </c>
      <c r="BQ180" s="16" t="n">
        <v>8485.14853599681</v>
      </c>
      <c r="BR180" s="16" t="n">
        <v>8485.14853599681</v>
      </c>
      <c r="BS180" s="16" t="n">
        <v>369.117550803662</v>
      </c>
      <c r="BT180" s="16" t="n">
        <v>292.4</v>
      </c>
      <c r="BU180" s="16" t="n">
        <v>950</v>
      </c>
      <c r="BV180" s="16" t="s">
        <v>3238</v>
      </c>
      <c r="BW180" s="16" t="n">
        <v>41.1282051282051</v>
      </c>
      <c r="BX180" s="16" t="n">
        <v>0.140695465658278</v>
      </c>
      <c r="BY180" s="16" t="n">
        <v>0.244045334276294</v>
      </c>
      <c r="BZ180" s="16" t="n">
        <v>5767.83060829888</v>
      </c>
      <c r="CA180" s="16" t="n">
        <v>5988.06271620667</v>
      </c>
      <c r="CB180" s="16" t="n">
        <v>42.6764818785975</v>
      </c>
      <c r="CC180" s="16" t="n">
        <v>0</v>
      </c>
      <c r="CD180" s="16" t="n">
        <v>0</v>
      </c>
      <c r="CE180" s="16" t="n">
        <v>22074.2081637296</v>
      </c>
      <c r="CF180" s="16" t="n">
        <v>25.2221018038645</v>
      </c>
      <c r="CG180" s="16" t="n">
        <v>28.5009750383669</v>
      </c>
      <c r="CH180" s="16" t="n">
        <v>1931.14787912326</v>
      </c>
      <c r="CI180" s="16" t="n">
        <v>2.14057969233447</v>
      </c>
      <c r="CJ180" s="16" t="n">
        <v>14.8102625047176</v>
      </c>
      <c r="CK180" s="16" t="n">
        <v>0</v>
      </c>
      <c r="CL180" s="16" t="n">
        <v>0</v>
      </c>
      <c r="CM180" s="16" t="n">
        <v>0</v>
      </c>
      <c r="CN180" s="16" t="n">
        <v>-17221.869887984</v>
      </c>
      <c r="CO180" s="16" t="n">
        <v>1.25539772727273</v>
      </c>
      <c r="CP180" s="16" t="n">
        <v>0.780487804878049</v>
      </c>
      <c r="CQ180" s="16" t="n">
        <v>262.714021957428</v>
      </c>
      <c r="CR180" s="16" t="n">
        <v>263.383568530697</v>
      </c>
      <c r="CS180" s="16" t="n">
        <v>262.714021957428</v>
      </c>
      <c r="CT180" s="16" t="n">
        <v>232.490284918078</v>
      </c>
      <c r="CU180" s="16" t="n">
        <v>262.714021957428</v>
      </c>
      <c r="CV180" s="16" t="n">
        <v>0</v>
      </c>
      <c r="CW180" s="16" t="n">
        <v>0</v>
      </c>
      <c r="CX180" s="16" t="n">
        <v>0</v>
      </c>
      <c r="CY180" s="16" t="n">
        <v>0</v>
      </c>
      <c r="CZ180" s="16" t="n">
        <v>0</v>
      </c>
      <c r="DA180" s="16" t="n">
        <v>0</v>
      </c>
      <c r="DB180" s="16" t="n">
        <v>18345.2595046359</v>
      </c>
      <c r="DC180" s="16" t="n">
        <v>13612.1825524398</v>
      </c>
      <c r="DD180" s="16" t="n">
        <v>11066.6666666667</v>
      </c>
      <c r="DE180" s="16" t="n">
        <v>0</v>
      </c>
      <c r="DF180" s="16" t="n">
        <v>369.117550803662</v>
      </c>
      <c r="DG180" s="16" t="n">
        <v>0</v>
      </c>
      <c r="DH180" s="16" t="n">
        <v>0</v>
      </c>
      <c r="DI180" s="16" t="n">
        <v>262.714021957428</v>
      </c>
    </row>
    <row r="181" customFormat="false" ht="15" hidden="false" customHeight="false" outlineLevel="0" collapsed="false">
      <c r="A181" s="0" t="s">
        <v>534</v>
      </c>
      <c r="B181" s="16" t="n">
        <v>2425.32952419152</v>
      </c>
      <c r="C181" s="16" t="n">
        <v>8517.51527302704</v>
      </c>
      <c r="D181" s="16" t="n">
        <v>22648.7362066291</v>
      </c>
      <c r="E181" s="16" t="n">
        <v>4713.07502039488</v>
      </c>
      <c r="F181" s="16" t="n">
        <v>399.337658449134</v>
      </c>
      <c r="G181" s="16" t="n">
        <v>3973.03675102467</v>
      </c>
      <c r="H181" s="16" t="n">
        <v>94115.788273607</v>
      </c>
      <c r="I181" s="17" t="n">
        <v>248.193496039636</v>
      </c>
      <c r="J181" s="17" t="n">
        <v>280.458650524788</v>
      </c>
      <c r="K181" s="16" t="s">
        <v>70</v>
      </c>
      <c r="L181" s="16" t="n">
        <v>-7264.97163686794</v>
      </c>
      <c r="M181" s="16" t="n">
        <v>25870.4503054605</v>
      </c>
      <c r="N181" s="16" t="n">
        <v>14491.0908507865</v>
      </c>
      <c r="O181" s="16" t="n">
        <v>-16282.1725059394</v>
      </c>
      <c r="P181" s="16" t="n">
        <v>969.691844413664</v>
      </c>
      <c r="Q181" s="16" t="n">
        <v>4853.85567367593</v>
      </c>
      <c r="R181" s="16" t="n">
        <v>18130.8805904838</v>
      </c>
      <c r="S181" s="16" t="n">
        <v>27426.3747241326</v>
      </c>
      <c r="T181" s="16" t="n">
        <v>-935.915277915159</v>
      </c>
      <c r="U181" s="16" t="n">
        <v>91652.9362941366</v>
      </c>
      <c r="V181" s="16" t="n">
        <v>0.953955874711187</v>
      </c>
      <c r="W181" s="16" t="n">
        <v>103661.789904876</v>
      </c>
      <c r="X181" s="16" t="n">
        <v>20844.2022130284</v>
      </c>
      <c r="Y181" s="16" t="n">
        <v>263.833305267371</v>
      </c>
      <c r="Z181" s="16" t="n">
        <v>358.117650855102</v>
      </c>
      <c r="AA181" s="16" t="n">
        <v>34.8673009068098</v>
      </c>
      <c r="AB181" s="16" t="n">
        <v>32.0548009068098</v>
      </c>
      <c r="AC181" s="16" t="n">
        <v>34.1173009068098</v>
      </c>
      <c r="AD181" s="16" t="n">
        <v>27.4365646479815</v>
      </c>
      <c r="AE181" s="16" t="n">
        <v>653.269421736173</v>
      </c>
      <c r="AF181" s="16" t="n">
        <v>0.03</v>
      </c>
      <c r="AG181" s="16" t="n">
        <v>0.718286314065127</v>
      </c>
      <c r="AH181" s="16" t="n">
        <v>7924.5525727783</v>
      </c>
      <c r="AI181" s="16" t="n">
        <v>22648.7362066291</v>
      </c>
      <c r="AJ181" s="16" t="n">
        <v>22.7952741792209</v>
      </c>
      <c r="AK181" s="16" t="n">
        <v>0</v>
      </c>
      <c r="AL181" s="16" t="n">
        <v>-21400.1851003242</v>
      </c>
      <c r="AM181" s="16" t="n">
        <v>684.5</v>
      </c>
      <c r="AN181" s="16" t="n">
        <v>35749.5357372766</v>
      </c>
      <c r="AO181" s="16" t="n">
        <v>0</v>
      </c>
      <c r="AP181" s="16" t="n">
        <v>0.522282702148695</v>
      </c>
      <c r="AQ181" s="16" t="n">
        <v>247.600976948247</v>
      </c>
      <c r="AR181" s="16" t="n">
        <v>369.274408013906</v>
      </c>
      <c r="AS181" s="16" t="n">
        <v>369.280169531517</v>
      </c>
      <c r="AT181" s="16" t="n">
        <v>-7264.97163686794</v>
      </c>
      <c r="AU181" s="16" t="n">
        <v>0</v>
      </c>
      <c r="AV181" s="16" t="n">
        <v>0</v>
      </c>
      <c r="AW181" s="16" t="n">
        <v>2275.5</v>
      </c>
      <c r="AX181" s="16" t="n">
        <v>369.280169531517</v>
      </c>
      <c r="AY181" s="16" t="n">
        <v>337.648592178466</v>
      </c>
      <c r="AZ181" s="16" t="n">
        <v>7278.59283796918</v>
      </c>
      <c r="BA181" s="16" t="n">
        <v>775</v>
      </c>
      <c r="BB181" s="16" t="n">
        <v>289.821666666667</v>
      </c>
      <c r="BC181" s="16" t="n">
        <v>92855.9369799392</v>
      </c>
      <c r="BD181" s="16" t="n">
        <v>18.4408496371797</v>
      </c>
      <c r="BE181" s="16" t="n">
        <v>26.9063507118871</v>
      </c>
      <c r="BF181" s="16" t="n">
        <v>27.4620381417722</v>
      </c>
      <c r="BG181" s="16" t="n">
        <v>-9.69653106523862</v>
      </c>
      <c r="BH181" s="16" t="n">
        <v>-0.237386954030208</v>
      </c>
      <c r="BI181" s="16" t="n">
        <v>-0.367037357938344</v>
      </c>
      <c r="BJ181" s="16" t="n">
        <v>9.09210675327006</v>
      </c>
      <c r="BK181" s="16" t="n">
        <v>3.14199510649876</v>
      </c>
      <c r="BL181" s="16" t="n">
        <v>16.4951966225644</v>
      </c>
      <c r="BM181" s="16" t="n">
        <v>5.11489923648504</v>
      </c>
      <c r="BN181" s="16" t="n">
        <v>6.14038025700283</v>
      </c>
      <c r="BO181" s="16" t="n">
        <v>6.42123287671233</v>
      </c>
      <c r="BP181" s="16" t="n">
        <v>7672.79585778466</v>
      </c>
      <c r="BQ181" s="16" t="n">
        <v>8485.14853599681</v>
      </c>
      <c r="BR181" s="16" t="n">
        <v>8485.14853599681</v>
      </c>
      <c r="BS181" s="16" t="n">
        <v>369.274408013906</v>
      </c>
      <c r="BT181" s="16" t="n">
        <v>292.4</v>
      </c>
      <c r="BU181" s="16" t="n">
        <v>950</v>
      </c>
      <c r="BV181" s="16" t="s">
        <v>3238</v>
      </c>
      <c r="BW181" s="16" t="n">
        <v>41.1282051282051</v>
      </c>
      <c r="BX181" s="16" t="n">
        <v>0.140695465658278</v>
      </c>
      <c r="BY181" s="16" t="n">
        <v>0.244045334276294</v>
      </c>
      <c r="BZ181" s="16" t="n">
        <v>5767.83060829888</v>
      </c>
      <c r="CA181" s="16" t="n">
        <v>5988.06271620667</v>
      </c>
      <c r="CB181" s="16" t="n">
        <v>51.5950196161136</v>
      </c>
      <c r="CC181" s="16" t="n">
        <v>0</v>
      </c>
      <c r="CD181" s="16" t="n">
        <v>0</v>
      </c>
      <c r="CE181" s="16" t="n">
        <v>24369.5011637296</v>
      </c>
      <c r="CF181" s="16" t="n">
        <v>18.4408496371797</v>
      </c>
      <c r="CG181" s="16" t="n">
        <v>20.838160090013</v>
      </c>
      <c r="CH181" s="16" t="n">
        <v>1931.14787912326</v>
      </c>
      <c r="CI181" s="16" t="n">
        <v>2.14057969233447</v>
      </c>
      <c r="CJ181" s="16" t="n">
        <v>14.8102625047176</v>
      </c>
      <c r="CK181" s="16" t="n">
        <v>0</v>
      </c>
      <c r="CL181" s="16" t="n">
        <v>0</v>
      </c>
      <c r="CM181" s="16" t="n">
        <v>0</v>
      </c>
      <c r="CN181" s="16" t="n">
        <v>-21400.1851003242</v>
      </c>
      <c r="CO181" s="16" t="n">
        <v>1.25539772727273</v>
      </c>
      <c r="CP181" s="16" t="n">
        <v>0.780487804878049</v>
      </c>
      <c r="CQ181" s="16" t="n">
        <v>279.789103951519</v>
      </c>
      <c r="CR181" s="16" t="n">
        <v>280.458650524788</v>
      </c>
      <c r="CS181" s="16" t="n">
        <v>279.789103951519</v>
      </c>
      <c r="CT181" s="16" t="n">
        <v>247.600976948247</v>
      </c>
      <c r="CU181" s="16" t="n">
        <v>279.789103951519</v>
      </c>
      <c r="CV181" s="16" t="n">
        <v>0</v>
      </c>
      <c r="CW181" s="16" t="n">
        <v>0</v>
      </c>
      <c r="CX181" s="16" t="n">
        <v>0</v>
      </c>
      <c r="CY181" s="16" t="n">
        <v>0</v>
      </c>
      <c r="CZ181" s="16" t="n">
        <v>0</v>
      </c>
      <c r="DA181" s="16" t="n">
        <v>0</v>
      </c>
      <c r="DB181" s="16" t="n">
        <v>18345.2595046359</v>
      </c>
      <c r="DC181" s="16" t="n">
        <v>13612.1825524398</v>
      </c>
      <c r="DD181" s="16" t="n">
        <v>11066.6666666667</v>
      </c>
      <c r="DE181" s="16" t="n">
        <v>0</v>
      </c>
      <c r="DF181" s="16" t="n">
        <v>369.274408013906</v>
      </c>
      <c r="DG181" s="16" t="n">
        <v>0</v>
      </c>
      <c r="DH181" s="16" t="n">
        <v>0</v>
      </c>
      <c r="DI181" s="16" t="n">
        <v>279.789103951519</v>
      </c>
    </row>
    <row r="182" customFormat="false" ht="15" hidden="false" customHeight="false" outlineLevel="0" collapsed="false">
      <c r="A182" s="0" t="s">
        <v>3397</v>
      </c>
      <c r="B182" s="16" t="n">
        <v>2425.32952419152</v>
      </c>
      <c r="C182" s="16" t="n">
        <v>8517.51527302704</v>
      </c>
      <c r="D182" s="16" t="n">
        <v>22648.7362066291</v>
      </c>
      <c r="E182" s="16" t="n">
        <v>4713.07502039488</v>
      </c>
      <c r="F182" s="16" t="n">
        <v>-275.502341550866</v>
      </c>
      <c r="G182" s="16" t="n">
        <v>4647.87675102467</v>
      </c>
      <c r="H182" s="16" t="n">
        <v>87921.3915118694</v>
      </c>
      <c r="I182" s="17" t="n">
        <v>233.708355561199</v>
      </c>
      <c r="J182" s="17" t="n">
        <v>264.090441784155</v>
      </c>
      <c r="K182" s="16" t="s">
        <v>72</v>
      </c>
      <c r="L182" s="16" t="n">
        <v>-7160.9335370009</v>
      </c>
      <c r="M182" s="16" t="n">
        <v>27457.1503054605</v>
      </c>
      <c r="N182" s="16" t="n">
        <v>14491.0908507865</v>
      </c>
      <c r="O182" s="16" t="n">
        <v>-13845.525087697</v>
      </c>
      <c r="P182" s="16" t="n">
        <v>969.691844413664</v>
      </c>
      <c r="Q182" s="16" t="n">
        <v>4179.01567367593</v>
      </c>
      <c r="R182" s="16" t="n">
        <v>16720.3805904838</v>
      </c>
      <c r="S182" s="16" t="n">
        <v>23736.3747241326</v>
      </c>
      <c r="T182" s="16" t="n">
        <v>-935.915277915159</v>
      </c>
      <c r="U182" s="16" t="n">
        <v>86268.9865323991</v>
      </c>
      <c r="V182" s="16" t="n">
        <v>0.953955874711187</v>
      </c>
      <c r="W182" s="16" t="n">
        <v>99357.8925872735</v>
      </c>
      <c r="X182" s="16" t="n">
        <v>21559.5326130284</v>
      </c>
      <c r="Y182" s="16" t="n">
        <v>248.435389726998</v>
      </c>
      <c r="Z182" s="16" t="n">
        <v>337.217085114187</v>
      </c>
      <c r="AA182" s="16" t="n">
        <v>34.8673009068098</v>
      </c>
      <c r="AB182" s="16" t="n">
        <v>32.0548009068098</v>
      </c>
      <c r="AC182" s="16" t="n">
        <v>34.1173009068098</v>
      </c>
      <c r="AD182" s="16" t="n">
        <v>27.4365646479815</v>
      </c>
      <c r="AE182" s="16" t="n">
        <v>653.269421736173</v>
      </c>
      <c r="AF182" s="16" t="n">
        <v>0.03</v>
      </c>
      <c r="AG182" s="16" t="n">
        <v>0.718286314065127</v>
      </c>
      <c r="AH182" s="16" t="n">
        <v>8841.38090069497</v>
      </c>
      <c r="AI182" s="16" t="n">
        <v>22648.7362066291</v>
      </c>
      <c r="AJ182" s="16" t="n">
        <v>22.7952741792209</v>
      </c>
      <c r="AK182" s="16" t="n">
        <v>0</v>
      </c>
      <c r="AL182" s="16" t="n">
        <v>-22309.3440606419</v>
      </c>
      <c r="AM182" s="16" t="n">
        <v>684.5</v>
      </c>
      <c r="AN182" s="16" t="n">
        <v>37048.6027372766</v>
      </c>
      <c r="AO182" s="16" t="n">
        <v>0</v>
      </c>
      <c r="AP182" s="16" t="n">
        <v>0.522282702148695</v>
      </c>
      <c r="AQ182" s="16" t="n">
        <v>233.11583646981</v>
      </c>
      <c r="AR182" s="16" t="n">
        <v>369.124447860645</v>
      </c>
      <c r="AS182" s="16" t="n">
        <v>369.130946667453</v>
      </c>
      <c r="AT182" s="16" t="n">
        <v>-7160.9335370009</v>
      </c>
      <c r="AU182" s="16" t="n">
        <v>0</v>
      </c>
      <c r="AV182" s="16" t="n">
        <v>0</v>
      </c>
      <c r="AW182" s="16" t="n">
        <v>2275.5</v>
      </c>
      <c r="AX182" s="16" t="n">
        <v>369.130946667453</v>
      </c>
      <c r="AY182" s="16" t="n">
        <v>335.538858144772</v>
      </c>
      <c r="AZ182" s="16" t="n">
        <v>7278.59283796918</v>
      </c>
      <c r="BA182" s="16" t="n">
        <v>775</v>
      </c>
      <c r="BB182" s="16" t="n">
        <v>289.821666666667</v>
      </c>
      <c r="BC182" s="16" t="n">
        <v>96230.1369799392</v>
      </c>
      <c r="BD182" s="16" t="n">
        <v>21.0143079828261</v>
      </c>
      <c r="BE182" s="16" t="n">
        <v>29.4798090575335</v>
      </c>
      <c r="BF182" s="16" t="n">
        <v>30.0354964874187</v>
      </c>
      <c r="BG182" s="16" t="n">
        <v>-9.69653106523862</v>
      </c>
      <c r="BH182" s="16" t="n">
        <v>-0.237386954030208</v>
      </c>
      <c r="BI182" s="16" t="n">
        <v>-0.367037357938344</v>
      </c>
      <c r="BJ182" s="16" t="n">
        <v>9.09210675327006</v>
      </c>
      <c r="BK182" s="16" t="n">
        <v>3.14199510649876</v>
      </c>
      <c r="BL182" s="16" t="n">
        <v>16.4951966225644</v>
      </c>
      <c r="BM182" s="16" t="n">
        <v>5.11489923648504</v>
      </c>
      <c r="BN182" s="16" t="n">
        <v>6.14038025700283</v>
      </c>
      <c r="BO182" s="16" t="n">
        <v>6.42123287671233</v>
      </c>
      <c r="BP182" s="16" t="n">
        <v>7672.79585778466</v>
      </c>
      <c r="BQ182" s="16" t="n">
        <v>8485.14853599681</v>
      </c>
      <c r="BR182" s="16" t="n">
        <v>8485.14853599681</v>
      </c>
      <c r="BS182" s="16" t="n">
        <v>369.124447860645</v>
      </c>
      <c r="BT182" s="16" t="n">
        <v>292.4</v>
      </c>
      <c r="BU182" s="16" t="n">
        <v>950</v>
      </c>
      <c r="BV182" s="16" t="s">
        <v>3238</v>
      </c>
      <c r="BW182" s="16" t="n">
        <v>41.1282051282051</v>
      </c>
      <c r="BX182" s="16" t="n">
        <v>0.140695465658278</v>
      </c>
      <c r="BY182" s="16" t="n">
        <v>0.244045334276294</v>
      </c>
      <c r="BZ182" s="16" t="n">
        <v>5767.83060829888</v>
      </c>
      <c r="CA182" s="16" t="n">
        <v>5988.06271620667</v>
      </c>
      <c r="CB182" s="16" t="n">
        <v>53.8427559935051</v>
      </c>
      <c r="CC182" s="16" t="n">
        <v>0</v>
      </c>
      <c r="CD182" s="16" t="n">
        <v>0</v>
      </c>
      <c r="CE182" s="16" t="n">
        <v>23016.6881637296</v>
      </c>
      <c r="CF182" s="16" t="n">
        <v>21.0143079828261</v>
      </c>
      <c r="CG182" s="16" t="n">
        <v>23.7461680205935</v>
      </c>
      <c r="CH182" s="16" t="n">
        <v>1931.14787912326</v>
      </c>
      <c r="CI182" s="16" t="n">
        <v>2.14057969233447</v>
      </c>
      <c r="CJ182" s="16" t="n">
        <v>14.8102625047176</v>
      </c>
      <c r="CK182" s="16" t="n">
        <v>0</v>
      </c>
      <c r="CL182" s="16" t="n">
        <v>0</v>
      </c>
      <c r="CM182" s="16" t="n">
        <v>0</v>
      </c>
      <c r="CN182" s="16" t="n">
        <v>-22309.3440606419</v>
      </c>
      <c r="CO182" s="16" t="n">
        <v>1.25539772727273</v>
      </c>
      <c r="CP182" s="16" t="n">
        <v>0.780487804878049</v>
      </c>
      <c r="CQ182" s="16" t="n">
        <v>263.420895210886</v>
      </c>
      <c r="CR182" s="16" t="n">
        <v>264.090441784155</v>
      </c>
      <c r="CS182" s="16" t="n">
        <v>263.420895210886</v>
      </c>
      <c r="CT182" s="16" t="n">
        <v>233.11583646981</v>
      </c>
      <c r="CU182" s="16" t="n">
        <v>263.420895210886</v>
      </c>
      <c r="CV182" s="16" t="n">
        <v>0</v>
      </c>
      <c r="CW182" s="16" t="n">
        <v>0</v>
      </c>
      <c r="CX182" s="16" t="n">
        <v>0</v>
      </c>
      <c r="CY182" s="16" t="n">
        <v>0</v>
      </c>
      <c r="CZ182" s="16" t="n">
        <v>0</v>
      </c>
      <c r="DA182" s="16" t="n">
        <v>0</v>
      </c>
      <c r="DB182" s="16" t="n">
        <v>18345.2595046359</v>
      </c>
      <c r="DC182" s="16" t="n">
        <v>13612.1825524398</v>
      </c>
      <c r="DD182" s="16" t="n">
        <v>11066.6666666667</v>
      </c>
      <c r="DE182" s="16" t="n">
        <v>0</v>
      </c>
      <c r="DF182" s="16" t="n">
        <v>369.124447860645</v>
      </c>
      <c r="DG182" s="16" t="n">
        <v>0</v>
      </c>
      <c r="DH182" s="16" t="n">
        <v>0</v>
      </c>
      <c r="DI182" s="16" t="n">
        <v>263.420895210886</v>
      </c>
    </row>
    <row r="183" customFormat="false" ht="15" hidden="false" customHeight="false" outlineLevel="0" collapsed="false">
      <c r="A183" s="0" t="s">
        <v>3398</v>
      </c>
      <c r="B183" s="16" t="n">
        <v>2425.32952419152</v>
      </c>
      <c r="C183" s="16" t="n">
        <v>8102.58408534655</v>
      </c>
      <c r="D183" s="16" t="n">
        <v>22384.5389654596</v>
      </c>
      <c r="E183" s="16" t="n">
        <v>4418.47387714174</v>
      </c>
      <c r="F183" s="16" t="n">
        <v>-553.226756068871</v>
      </c>
      <c r="G183" s="16" t="n">
        <v>4647.59726979675</v>
      </c>
      <c r="H183" s="16" t="n">
        <v>94973.0871301411</v>
      </c>
      <c r="I183" s="17" t="n">
        <v>252.680449685806</v>
      </c>
      <c r="J183" s="17" t="n">
        <v>285.528908144961</v>
      </c>
      <c r="K183" s="16" t="s">
        <v>72</v>
      </c>
      <c r="L183" s="16" t="n">
        <v>-7450.325523597</v>
      </c>
      <c r="M183" s="16" t="n">
        <v>27448.8516817069</v>
      </c>
      <c r="N183" s="16" t="n">
        <v>14290.3009474976</v>
      </c>
      <c r="O183" s="16" t="n">
        <v>-14279.1495958874</v>
      </c>
      <c r="P183" s="16" t="n">
        <v>969.691844413664</v>
      </c>
      <c r="Q183" s="16" t="n">
        <v>3991.14592857324</v>
      </c>
      <c r="R183" s="16" t="n">
        <v>16720.3805904838</v>
      </c>
      <c r="S183" s="16" t="n">
        <v>23731.0907793092</v>
      </c>
      <c r="T183" s="16" t="n">
        <v>-935.915277915159</v>
      </c>
      <c r="U183" s="16" t="n">
        <v>93320.6821506707</v>
      </c>
      <c r="V183" s="16" t="n">
        <v>0.953955874711187</v>
      </c>
      <c r="W183" s="16" t="n">
        <v>105966.649685657</v>
      </c>
      <c r="X183" s="16" t="n">
        <v>21588.1963360117</v>
      </c>
      <c r="Y183" s="16" t="n">
        <v>268.603002418748</v>
      </c>
      <c r="Z183" s="16" t="n">
        <v>364.591862810301</v>
      </c>
      <c r="AA183" s="16" t="n">
        <v>34.8673009068098</v>
      </c>
      <c r="AB183" s="16" t="n">
        <v>32.0548009068098</v>
      </c>
      <c r="AC183" s="16" t="n">
        <v>34.1173009068098</v>
      </c>
      <c r="AD183" s="16" t="n">
        <v>27.4365646479815</v>
      </c>
      <c r="AE183" s="16" t="n">
        <v>653.269421736173</v>
      </c>
      <c r="AF183" s="16" t="n">
        <v>0.03</v>
      </c>
      <c r="AG183" s="16" t="n">
        <v>0.720643228644756</v>
      </c>
      <c r="AH183" s="16" t="n">
        <v>8841.38090069497</v>
      </c>
      <c r="AI183" s="16" t="n">
        <v>22384.5389654596</v>
      </c>
      <c r="AJ183" s="16" t="n">
        <v>22.221</v>
      </c>
      <c r="AK183" s="16" t="n">
        <v>0</v>
      </c>
      <c r="AL183" s="16" t="n">
        <v>-22517.0171292255</v>
      </c>
      <c r="AM183" s="16" t="n">
        <v>684.5</v>
      </c>
      <c r="AN183" s="16" t="n">
        <v>37058.5514176057</v>
      </c>
      <c r="AO183" s="16" t="n">
        <v>0</v>
      </c>
      <c r="AP183" s="16" t="n">
        <v>0.584492204233371</v>
      </c>
      <c r="AQ183" s="16" t="n">
        <v>252.087930594418</v>
      </c>
      <c r="AR183" s="16" t="n">
        <v>369.317364077027</v>
      </c>
      <c r="AS183" s="16" t="n">
        <v>369.32292255578</v>
      </c>
      <c r="AT183" s="16" t="n">
        <v>-7450.325523597</v>
      </c>
      <c r="AU183" s="16" t="n">
        <v>0</v>
      </c>
      <c r="AV183" s="16" t="n">
        <v>0</v>
      </c>
      <c r="AW183" s="16" t="n">
        <v>2275.5</v>
      </c>
      <c r="AX183" s="16" t="n">
        <v>369.32292255578</v>
      </c>
      <c r="AY183" s="16" t="n">
        <v>338.253040504106</v>
      </c>
      <c r="AZ183" s="16" t="n">
        <v>7255.12404870227</v>
      </c>
      <c r="BA183" s="16" t="n">
        <v>775</v>
      </c>
      <c r="BB183" s="16" t="n">
        <v>289.821666666667</v>
      </c>
      <c r="BC183" s="16" t="n">
        <v>96255.9777080668</v>
      </c>
      <c r="BD183" s="16" t="n">
        <v>20.9397862045961</v>
      </c>
      <c r="BE183" s="16" t="n">
        <v>29.4052872793036</v>
      </c>
      <c r="BF183" s="16" t="n">
        <v>29.9609747091887</v>
      </c>
      <c r="BG183" s="16" t="n">
        <v>-9.69653106523862</v>
      </c>
      <c r="BH183" s="16" t="n">
        <v>-0.237386954030208</v>
      </c>
      <c r="BI183" s="16" t="n">
        <v>-0.367037357938344</v>
      </c>
      <c r="BJ183" s="16" t="n">
        <v>9.09210675327006</v>
      </c>
      <c r="BK183" s="16" t="n">
        <v>3.14199510649876</v>
      </c>
      <c r="BL183" s="16" t="n">
        <v>16.4951966225644</v>
      </c>
      <c r="BM183" s="16" t="n">
        <v>5.11489923648504</v>
      </c>
      <c r="BN183" s="16" t="n">
        <v>6.14038025700283</v>
      </c>
      <c r="BO183" s="16" t="n">
        <v>6.42123287671233</v>
      </c>
      <c r="BP183" s="16" t="n">
        <v>7672.79585778466</v>
      </c>
      <c r="BQ183" s="16" t="n">
        <v>8070.21734831632</v>
      </c>
      <c r="BR183" s="16" t="n">
        <v>8070.21734831632</v>
      </c>
      <c r="BS183" s="16" t="n">
        <v>369.317364077027</v>
      </c>
      <c r="BT183" s="16" t="n">
        <v>292.4</v>
      </c>
      <c r="BU183" s="16" t="n">
        <v>950</v>
      </c>
      <c r="BV183" s="16" t="s">
        <v>3238</v>
      </c>
      <c r="BW183" s="16" t="n">
        <v>41.1282051282051</v>
      </c>
      <c r="BX183" s="16" t="n">
        <v>0.140695465658278</v>
      </c>
      <c r="BY183" s="16" t="n">
        <v>0.244045334276294</v>
      </c>
      <c r="BZ183" s="16" t="n">
        <v>5767.83060829888</v>
      </c>
      <c r="CA183" s="16" t="n">
        <v>5988.06271620667</v>
      </c>
      <c r="CB183" s="16" t="n">
        <v>54.3404373549053</v>
      </c>
      <c r="CC183" s="16" t="n">
        <v>0</v>
      </c>
      <c r="CD183" s="16" t="n">
        <v>0</v>
      </c>
      <c r="CE183" s="16" t="n">
        <v>23011.4588748275</v>
      </c>
      <c r="CF183" s="16" t="n">
        <v>20.9397862045961</v>
      </c>
      <c r="CG183" s="16" t="n">
        <v>23.6619584111936</v>
      </c>
      <c r="CH183" s="16" t="n">
        <v>1931.14787912326</v>
      </c>
      <c r="CI183" s="16" t="n">
        <v>2.14057969233447</v>
      </c>
      <c r="CJ183" s="16" t="n">
        <v>14.8102625047176</v>
      </c>
      <c r="CK183" s="16" t="n">
        <v>0</v>
      </c>
      <c r="CL183" s="16" t="n">
        <v>0</v>
      </c>
      <c r="CM183" s="16" t="n">
        <v>0</v>
      </c>
      <c r="CN183" s="16" t="n">
        <v>-22517.0171292255</v>
      </c>
      <c r="CO183" s="16" t="n">
        <v>1.25539772727273</v>
      </c>
      <c r="CP183" s="16" t="n">
        <v>0.780487804878049</v>
      </c>
      <c r="CQ183" s="16" t="n">
        <v>284.859361571692</v>
      </c>
      <c r="CR183" s="16" t="n">
        <v>285.528908144961</v>
      </c>
      <c r="CS183" s="16" t="n">
        <v>284.859361571692</v>
      </c>
      <c r="CT183" s="16" t="n">
        <v>252.087930594418</v>
      </c>
      <c r="CU183" s="16" t="n">
        <v>284.859361571692</v>
      </c>
      <c r="CV183" s="16" t="n">
        <v>0</v>
      </c>
      <c r="CW183" s="16" t="n">
        <v>0</v>
      </c>
      <c r="CX183" s="16" t="n">
        <v>0</v>
      </c>
      <c r="CY183" s="16" t="n">
        <v>0</v>
      </c>
      <c r="CZ183" s="16" t="n">
        <v>0</v>
      </c>
      <c r="DA183" s="16" t="n">
        <v>0</v>
      </c>
      <c r="DB183" s="16" t="n">
        <v>18321.7907153689</v>
      </c>
      <c r="DC183" s="16" t="n">
        <v>13594.7687108038</v>
      </c>
      <c r="DD183" s="16" t="n">
        <v>11066.6666666667</v>
      </c>
      <c r="DE183" s="16" t="n">
        <v>0</v>
      </c>
      <c r="DF183" s="16" t="n">
        <v>369.317364077027</v>
      </c>
      <c r="DG183" s="16" t="n">
        <v>0</v>
      </c>
      <c r="DH183" s="16" t="n">
        <v>0</v>
      </c>
      <c r="DI183" s="16" t="n">
        <v>284.859361571692</v>
      </c>
    </row>
    <row r="184" customFormat="false" ht="15" hidden="false" customHeight="false" outlineLevel="0" collapsed="false">
      <c r="A184" s="0" t="s">
        <v>3399</v>
      </c>
      <c r="B184" s="16" t="n">
        <v>2425.32952419152</v>
      </c>
      <c r="C184" s="16" t="n">
        <v>8140.65856246629</v>
      </c>
      <c r="D184" s="16" t="n">
        <v>24633.6289824031</v>
      </c>
      <c r="E184" s="16" t="n">
        <v>4445.50675589675</v>
      </c>
      <c r="F184" s="16" t="n">
        <v>-527.747013625091</v>
      </c>
      <c r="G184" s="16" t="n">
        <v>4647.62742702319</v>
      </c>
      <c r="H184" s="16" t="n">
        <v>153790.482948217</v>
      </c>
      <c r="I184" s="17" t="n">
        <v>406.650160815998</v>
      </c>
      <c r="J184" s="17" t="n">
        <v>459.514681722077</v>
      </c>
      <c r="K184" s="16" t="s">
        <v>72</v>
      </c>
      <c r="L184" s="16" t="n">
        <v>-7423.77977623466</v>
      </c>
      <c r="M184" s="16" t="n">
        <v>27449.6131712493</v>
      </c>
      <c r="N184" s="16" t="n">
        <v>15999.6093603747</v>
      </c>
      <c r="O184" s="16" t="n">
        <v>-12992.7392390237</v>
      </c>
      <c r="P184" s="16" t="n">
        <v>969.691844413664</v>
      </c>
      <c r="Q184" s="16" t="n">
        <v>5608.06663457559</v>
      </c>
      <c r="R184" s="16" t="n">
        <v>16720.3805904838</v>
      </c>
      <c r="S184" s="16" t="n">
        <v>23776.0725796481</v>
      </c>
      <c r="T184" s="16" t="n">
        <v>-935.915277915159</v>
      </c>
      <c r="U184" s="16" t="n">
        <v>157905.908577045</v>
      </c>
      <c r="V184" s="16" t="n">
        <v>0.953955874711187</v>
      </c>
      <c r="W184" s="16" t="n">
        <v>157013.820806255</v>
      </c>
      <c r="X184" s="16" t="n">
        <v>21809.2435106719</v>
      </c>
      <c r="Y184" s="16" t="n">
        <v>432.275050424605</v>
      </c>
      <c r="Z184" s="16" t="n">
        <v>586.75429709092</v>
      </c>
      <c r="AA184" s="16" t="n">
        <v>34.8673009068098</v>
      </c>
      <c r="AB184" s="16" t="n">
        <v>32.0548009068098</v>
      </c>
      <c r="AC184" s="16" t="n">
        <v>34.1173009068098</v>
      </c>
      <c r="AD184" s="16" t="n">
        <v>34.8673009068098</v>
      </c>
      <c r="AE184" s="16" t="n">
        <v>653.269421736173</v>
      </c>
      <c r="AF184" s="16" t="n">
        <v>0.03</v>
      </c>
      <c r="AG184" s="16" t="n">
        <v>0.735279083404202</v>
      </c>
      <c r="AH184" s="16" t="n">
        <v>8841.38090069497</v>
      </c>
      <c r="AI184" s="16" t="n">
        <v>24633.6289824031</v>
      </c>
      <c r="AJ184" s="16" t="n">
        <v>22.221</v>
      </c>
      <c r="AK184" s="16" t="n">
        <v>0</v>
      </c>
      <c r="AL184" s="16" t="n">
        <v>-18824.8852759793</v>
      </c>
      <c r="AM184" s="16" t="n">
        <v>684.5</v>
      </c>
      <c r="AN184" s="16" t="n">
        <v>37202.1645544491</v>
      </c>
      <c r="AO184" s="16" t="n">
        <v>0</v>
      </c>
      <c r="AP184" s="16" t="n">
        <v>0.584492204233371</v>
      </c>
      <c r="AQ184" s="16" t="n">
        <v>406.650160815998</v>
      </c>
      <c r="AR184" s="16" t="n">
        <v>388.308978558341</v>
      </c>
      <c r="AS184" s="16" t="n">
        <v>388.308978558341</v>
      </c>
      <c r="AT184" s="16" t="n">
        <v>-7423.77977623466</v>
      </c>
      <c r="AU184" s="16" t="n">
        <v>0</v>
      </c>
      <c r="AV184" s="16" t="n">
        <v>0</v>
      </c>
      <c r="AW184" s="16" t="n">
        <v>2275.5</v>
      </c>
      <c r="AX184" s="16" t="n">
        <v>388.308978558341</v>
      </c>
      <c r="AY184" s="16" t="n">
        <v>354.819301954075</v>
      </c>
      <c r="AZ184" s="16" t="n">
        <v>7518.39721148737</v>
      </c>
      <c r="BA184" s="16" t="n">
        <v>775</v>
      </c>
      <c r="BB184" s="16" t="n">
        <v>289.821666666667</v>
      </c>
      <c r="BC184" s="16" t="n">
        <v>96628.9988427249</v>
      </c>
      <c r="BD184" s="16" t="n">
        <v>21.7757724170863</v>
      </c>
      <c r="BE184" s="16" t="n">
        <v>30.2412734917937</v>
      </c>
      <c r="BF184" s="16" t="n">
        <v>30.7969609216789</v>
      </c>
      <c r="BG184" s="16" t="n">
        <v>-9.69653106523862</v>
      </c>
      <c r="BH184" s="16" t="n">
        <v>-0.237386954030208</v>
      </c>
      <c r="BI184" s="16" t="n">
        <v>-0.367037357938344</v>
      </c>
      <c r="BJ184" s="16" t="n">
        <v>9.09210675327006</v>
      </c>
      <c r="BK184" s="16" t="n">
        <v>3.14199510649876</v>
      </c>
      <c r="BL184" s="16" t="n">
        <v>16.4951966225644</v>
      </c>
      <c r="BM184" s="16" t="n">
        <v>5.11489923648504</v>
      </c>
      <c r="BN184" s="16" t="n">
        <v>6.14038025700283</v>
      </c>
      <c r="BO184" s="16" t="n">
        <v>6.42123287671233</v>
      </c>
      <c r="BP184" s="16" t="n">
        <v>7672.79585778466</v>
      </c>
      <c r="BQ184" s="16" t="n">
        <v>8108.29182543605</v>
      </c>
      <c r="BR184" s="16" t="n">
        <v>8108.29182543605</v>
      </c>
      <c r="BS184" s="16" t="n">
        <v>388.308978558341</v>
      </c>
      <c r="BT184" s="16" t="n">
        <v>292.4</v>
      </c>
      <c r="BU184" s="16" t="n">
        <v>950</v>
      </c>
      <c r="BV184" s="16" t="s">
        <v>3238</v>
      </c>
      <c r="BW184" s="16" t="n">
        <v>41.1282051282051</v>
      </c>
      <c r="BX184" s="16" t="n">
        <v>0.140695465658278</v>
      </c>
      <c r="BY184" s="16" t="n">
        <v>0.244045334276294</v>
      </c>
      <c r="BZ184" s="16" t="n">
        <v>0</v>
      </c>
      <c r="CA184" s="16" t="n">
        <v>0</v>
      </c>
      <c r="CB184" s="16" t="n">
        <v>46.3900997720914</v>
      </c>
      <c r="CC184" s="16" t="n">
        <v>0</v>
      </c>
      <c r="CD184" s="16" t="n">
        <v>0</v>
      </c>
      <c r="CE184" s="16" t="n">
        <v>23029.0700414318</v>
      </c>
      <c r="CF184" s="16" t="n">
        <v>21.7757724170863</v>
      </c>
      <c r="CG184" s="16" t="n">
        <v>24.6066228313075</v>
      </c>
      <c r="CH184" s="16" t="n">
        <v>1931.14787912326</v>
      </c>
      <c r="CI184" s="16" t="n">
        <v>2.14057969233447</v>
      </c>
      <c r="CJ184" s="16" t="n">
        <v>14.8102625047176</v>
      </c>
      <c r="CK184" s="16" t="n">
        <v>0</v>
      </c>
      <c r="CL184" s="16" t="n">
        <v>0</v>
      </c>
      <c r="CM184" s="16" t="n">
        <v>0</v>
      </c>
      <c r="CN184" s="16" t="n">
        <v>-18824.8852759793</v>
      </c>
      <c r="CO184" s="16" t="n">
        <v>1.25539772727273</v>
      </c>
      <c r="CP184" s="16" t="n">
        <v>0.780487804878049</v>
      </c>
      <c r="CQ184" s="16" t="n">
        <v>459.514681722077</v>
      </c>
      <c r="CR184" s="16" t="n">
        <v>459.514681722077</v>
      </c>
      <c r="CS184" s="16" t="n">
        <v>459.514681722077</v>
      </c>
      <c r="CT184" s="16" t="n">
        <v>406.650160815998</v>
      </c>
      <c r="CU184" s="16" t="n">
        <v>459.514681722077</v>
      </c>
      <c r="CV184" s="16" t="n">
        <v>0</v>
      </c>
      <c r="CW184" s="16" t="n">
        <v>0</v>
      </c>
      <c r="CX184" s="16" t="n">
        <v>0</v>
      </c>
      <c r="CY184" s="16" t="n">
        <v>0</v>
      </c>
      <c r="CZ184" s="16" t="n">
        <v>0</v>
      </c>
      <c r="DA184" s="16" t="n">
        <v>0</v>
      </c>
      <c r="DB184" s="16" t="n">
        <v>18585.063878154</v>
      </c>
      <c r="DC184" s="16" t="n">
        <v>13790.1173975903</v>
      </c>
      <c r="DD184" s="16" t="n">
        <v>11066.6666666667</v>
      </c>
      <c r="DE184" s="16" t="n">
        <v>0</v>
      </c>
      <c r="DF184" s="16" t="n">
        <v>388.308978558341</v>
      </c>
      <c r="DG184" s="16" t="n">
        <v>0</v>
      </c>
      <c r="DH184" s="16" t="n">
        <v>0</v>
      </c>
      <c r="DI184" s="16" t="n">
        <v>459.514681722077</v>
      </c>
    </row>
    <row r="185" customFormat="false" ht="15" hidden="false" customHeight="false" outlineLevel="0" collapsed="false">
      <c r="A185" s="0" t="s">
        <v>3400</v>
      </c>
      <c r="B185" s="16" t="n">
        <v>2425.32952419152</v>
      </c>
      <c r="C185" s="16" t="n">
        <v>8140.65856246629</v>
      </c>
      <c r="D185" s="16" t="n">
        <v>24633.6289824031</v>
      </c>
      <c r="E185" s="16" t="n">
        <v>4447.42081839675</v>
      </c>
      <c r="F185" s="16" t="n">
        <v>-525.832951125091</v>
      </c>
      <c r="G185" s="16" t="n">
        <v>4647.62742702319</v>
      </c>
      <c r="H185" s="16" t="n">
        <v>154026.094527843</v>
      </c>
      <c r="I185" s="17" t="n">
        <v>407.254636485315</v>
      </c>
      <c r="J185" s="17" t="n">
        <v>460.197739228406</v>
      </c>
      <c r="K185" s="16" t="s">
        <v>72</v>
      </c>
      <c r="L185" s="16" t="n">
        <v>-7421.86571373466</v>
      </c>
      <c r="M185" s="16" t="n">
        <v>27449.6131712493</v>
      </c>
      <c r="N185" s="16" t="n">
        <v>16022.5781103747</v>
      </c>
      <c r="O185" s="16" t="n">
        <v>-12973.8480973641</v>
      </c>
      <c r="P185" s="16" t="n">
        <v>969.691844413664</v>
      </c>
      <c r="Q185" s="16" t="n">
        <v>5631.03538457559</v>
      </c>
      <c r="R185" s="16" t="n">
        <v>16720.3805904838</v>
      </c>
      <c r="S185" s="16" t="n">
        <v>23776.0725796481</v>
      </c>
      <c r="T185" s="16" t="n">
        <v>-935.915277915159</v>
      </c>
      <c r="U185" s="16" t="n">
        <v>158141.520156672</v>
      </c>
      <c r="V185" s="16" t="n">
        <v>0.953955874711187</v>
      </c>
      <c r="W185" s="16" t="n">
        <v>157201.759247513</v>
      </c>
      <c r="X185" s="16" t="n">
        <v>21809.2435106719</v>
      </c>
      <c r="Y185" s="16" t="n">
        <v>432.917616875115</v>
      </c>
      <c r="Z185" s="16" t="n">
        <v>587.626493220752</v>
      </c>
      <c r="AA185" s="16" t="n">
        <v>34.8673009068098</v>
      </c>
      <c r="AB185" s="16" t="n">
        <v>32.6673009068098</v>
      </c>
      <c r="AC185" s="16" t="n">
        <v>34.1173009068098</v>
      </c>
      <c r="AD185" s="16" t="n">
        <v>34.8673009068098</v>
      </c>
      <c r="AE185" s="16" t="n">
        <v>653.269421736173</v>
      </c>
      <c r="AF185" s="16" t="n">
        <v>0.03</v>
      </c>
      <c r="AG185" s="16" t="n">
        <v>0.73576675769493</v>
      </c>
      <c r="AH185" s="16" t="n">
        <v>8841.38090069497</v>
      </c>
      <c r="AI185" s="16" t="n">
        <v>24633.6289824031</v>
      </c>
      <c r="AJ185" s="16" t="n">
        <v>22.221</v>
      </c>
      <c r="AK185" s="16" t="n">
        <v>0</v>
      </c>
      <c r="AL185" s="16" t="n">
        <v>-18789.018794798</v>
      </c>
      <c r="AM185" s="16" t="n">
        <v>684.5</v>
      </c>
      <c r="AN185" s="16" t="n">
        <v>37202.1645544491</v>
      </c>
      <c r="AO185" s="16" t="n">
        <v>0</v>
      </c>
      <c r="AP185" s="16" t="n">
        <v>0.584492204233371</v>
      </c>
      <c r="AQ185" s="16" t="n">
        <v>407.254636485315</v>
      </c>
      <c r="AR185" s="16" t="n">
        <v>388.311159625985</v>
      </c>
      <c r="AS185" s="16" t="n">
        <v>388.311159625985</v>
      </c>
      <c r="AT185" s="16" t="n">
        <v>-7421.86571373466</v>
      </c>
      <c r="AU185" s="16" t="n">
        <v>0</v>
      </c>
      <c r="AV185" s="16" t="n">
        <v>0</v>
      </c>
      <c r="AW185" s="16" t="n">
        <v>2275.5</v>
      </c>
      <c r="AX185" s="16" t="n">
        <v>388.311159625985</v>
      </c>
      <c r="AY185" s="16" t="n">
        <v>354.871190730034</v>
      </c>
      <c r="AZ185" s="16" t="n">
        <v>7533.08365926308</v>
      </c>
      <c r="BA185" s="16" t="n">
        <v>775</v>
      </c>
      <c r="BB185" s="16" t="n">
        <v>289.821666666667</v>
      </c>
      <c r="BC185" s="16" t="n">
        <v>96628.9988427249</v>
      </c>
      <c r="BD185" s="16" t="n">
        <v>21.8224071280499</v>
      </c>
      <c r="BE185" s="16" t="n">
        <v>30.2879082027573</v>
      </c>
      <c r="BF185" s="16" t="n">
        <v>30.8435956326425</v>
      </c>
      <c r="BG185" s="16" t="n">
        <v>-9.69653106523862</v>
      </c>
      <c r="BH185" s="16" t="n">
        <v>-0.237386954030208</v>
      </c>
      <c r="BI185" s="16" t="n">
        <v>-0.367037357938344</v>
      </c>
      <c r="BJ185" s="16" t="n">
        <v>9.09210675327006</v>
      </c>
      <c r="BK185" s="16" t="n">
        <v>3.14199510649876</v>
      </c>
      <c r="BL185" s="16" t="n">
        <v>16.4951966225644</v>
      </c>
      <c r="BM185" s="16" t="n">
        <v>5.11489923648504</v>
      </c>
      <c r="BN185" s="16" t="n">
        <v>6.14038025700283</v>
      </c>
      <c r="BO185" s="16" t="n">
        <v>6.42123287671233</v>
      </c>
      <c r="BP185" s="16" t="n">
        <v>7672.79585778466</v>
      </c>
      <c r="BQ185" s="16" t="n">
        <v>8108.29182543605</v>
      </c>
      <c r="BR185" s="16" t="n">
        <v>8108.29182543605</v>
      </c>
      <c r="BS185" s="16" t="n">
        <v>388.311159625985</v>
      </c>
      <c r="BT185" s="16" t="n">
        <v>292.4</v>
      </c>
      <c r="BU185" s="16" t="n">
        <v>950</v>
      </c>
      <c r="BV185" s="16" t="s">
        <v>3238</v>
      </c>
      <c r="BW185" s="16" t="n">
        <v>41.1282051282051</v>
      </c>
      <c r="BX185" s="16" t="n">
        <v>0.140695465658278</v>
      </c>
      <c r="BY185" s="16" t="n">
        <v>0.244045334276294</v>
      </c>
      <c r="BZ185" s="16" t="n">
        <v>0</v>
      </c>
      <c r="CA185" s="16" t="n">
        <v>0</v>
      </c>
      <c r="CB185" s="16" t="n">
        <v>46.3122420997438</v>
      </c>
      <c r="CC185" s="16" t="n">
        <v>0</v>
      </c>
      <c r="CD185" s="16" t="n">
        <v>0</v>
      </c>
      <c r="CE185" s="16" t="n">
        <v>23029.0700414318</v>
      </c>
      <c r="CF185" s="16" t="n">
        <v>21.8224071280499</v>
      </c>
      <c r="CG185" s="16" t="n">
        <v>24.6593200546964</v>
      </c>
      <c r="CH185" s="16" t="n">
        <v>1931.14787912326</v>
      </c>
      <c r="CI185" s="16" t="n">
        <v>2.14057969233447</v>
      </c>
      <c r="CJ185" s="16" t="n">
        <v>14.8102625047176</v>
      </c>
      <c r="CK185" s="16" t="n">
        <v>0</v>
      </c>
      <c r="CL185" s="16" t="n">
        <v>0</v>
      </c>
      <c r="CM185" s="16" t="n">
        <v>0</v>
      </c>
      <c r="CN185" s="16" t="n">
        <v>-18789.018794798</v>
      </c>
      <c r="CO185" s="16" t="n">
        <v>1.25539772727273</v>
      </c>
      <c r="CP185" s="16" t="n">
        <v>0.780487804878049</v>
      </c>
      <c r="CQ185" s="16" t="n">
        <v>460.197739228406</v>
      </c>
      <c r="CR185" s="16" t="n">
        <v>460.197739228406</v>
      </c>
      <c r="CS185" s="16" t="n">
        <v>460.197739228406</v>
      </c>
      <c r="CT185" s="16" t="n">
        <v>407.254636485315</v>
      </c>
      <c r="CU185" s="16" t="n">
        <v>460.197739228406</v>
      </c>
      <c r="CV185" s="16" t="n">
        <v>0</v>
      </c>
      <c r="CW185" s="16" t="n">
        <v>0</v>
      </c>
      <c r="CX185" s="16" t="n">
        <v>0</v>
      </c>
      <c r="CY185" s="16" t="n">
        <v>0</v>
      </c>
      <c r="CZ185" s="16" t="n">
        <v>0</v>
      </c>
      <c r="DA185" s="16" t="n">
        <v>0</v>
      </c>
      <c r="DB185" s="16" t="n">
        <v>18599.7503259298</v>
      </c>
      <c r="DC185" s="16" t="n">
        <v>13801.0147418399</v>
      </c>
      <c r="DD185" s="16" t="n">
        <v>11066.6666666667</v>
      </c>
      <c r="DE185" s="16" t="n">
        <v>0</v>
      </c>
      <c r="DF185" s="16" t="n">
        <v>388.311159625985</v>
      </c>
      <c r="DG185" s="16" t="n">
        <v>0</v>
      </c>
      <c r="DH185" s="16" t="n">
        <v>0</v>
      </c>
      <c r="DI185" s="16" t="n">
        <v>460.197739228406</v>
      </c>
    </row>
    <row r="186" customFormat="false" ht="15" hidden="false" customHeight="false" outlineLevel="0" collapsed="false">
      <c r="A186" s="0" t="s">
        <v>3401</v>
      </c>
      <c r="B186" s="16" t="n">
        <v>2425.32952419152</v>
      </c>
      <c r="C186" s="16" t="n">
        <v>8140.65856246629</v>
      </c>
      <c r="D186" s="16" t="n">
        <v>24633.6289824031</v>
      </c>
      <c r="E186" s="16" t="n">
        <v>4447.42081839675</v>
      </c>
      <c r="F186" s="16" t="n">
        <v>-525.832951125091</v>
      </c>
      <c r="G186" s="16" t="n">
        <v>4647.62742702319</v>
      </c>
      <c r="H186" s="16" t="n">
        <v>125819.565275191</v>
      </c>
      <c r="I186" s="17" t="n">
        <v>334.889090292108</v>
      </c>
      <c r="J186" s="17" t="n">
        <v>378.424672030081</v>
      </c>
      <c r="K186" s="16" t="s">
        <v>72</v>
      </c>
      <c r="L186" s="16" t="n">
        <v>-7421.86571373466</v>
      </c>
      <c r="M186" s="16" t="n">
        <v>27449.6131712493</v>
      </c>
      <c r="N186" s="16" t="n">
        <v>16022.5781103747</v>
      </c>
      <c r="O186" s="16" t="n">
        <v>-12973.8480973641</v>
      </c>
      <c r="P186" s="16" t="n">
        <v>969.691844413664</v>
      </c>
      <c r="Q186" s="16" t="n">
        <v>5631.03538457559</v>
      </c>
      <c r="R186" s="16" t="n">
        <v>16720.3805904838</v>
      </c>
      <c r="S186" s="16" t="n">
        <v>23776.0725796481</v>
      </c>
      <c r="T186" s="16" t="n">
        <v>-935.915277915159</v>
      </c>
      <c r="U186" s="16" t="n">
        <v>129934.99090402</v>
      </c>
      <c r="V186" s="16" t="n">
        <v>0.953955874711187</v>
      </c>
      <c r="W186" s="16" t="n">
        <v>128995.229994862</v>
      </c>
      <c r="X186" s="16" t="n">
        <v>25322.0259848591</v>
      </c>
      <c r="Y186" s="16" t="n">
        <v>355.991986089916</v>
      </c>
      <c r="Z186" s="16" t="n">
        <v>483.210463715211</v>
      </c>
      <c r="AA186" s="16" t="n">
        <v>34.8673009068098</v>
      </c>
      <c r="AB186" s="16" t="n">
        <v>32.6673009068098</v>
      </c>
      <c r="AC186" s="16" t="n">
        <v>34.1173009068098</v>
      </c>
      <c r="AD186" s="16" t="n">
        <v>34.8673009068098</v>
      </c>
      <c r="AE186" s="16" t="n">
        <v>653.269421736173</v>
      </c>
      <c r="AF186" s="16" t="n">
        <v>0.03</v>
      </c>
      <c r="AG186" s="16" t="n">
        <v>0.73576675769493</v>
      </c>
      <c r="AH186" s="16" t="n">
        <v>8841.38090069497</v>
      </c>
      <c r="AI186" s="16" t="n">
        <v>24633.6289824031</v>
      </c>
      <c r="AJ186" s="16" t="n">
        <v>22.221</v>
      </c>
      <c r="AK186" s="16" t="n">
        <v>0</v>
      </c>
      <c r="AL186" s="16" t="n">
        <v>-18789.018794798</v>
      </c>
      <c r="AM186" s="16" t="n">
        <v>684.5</v>
      </c>
      <c r="AN186" s="16" t="n">
        <v>37202.1645544491</v>
      </c>
      <c r="AO186" s="16" t="n">
        <v>0</v>
      </c>
      <c r="AP186" s="16" t="n">
        <v>0.584492204233371</v>
      </c>
      <c r="AQ186" s="16" t="n">
        <v>334.889090292108</v>
      </c>
      <c r="AR186" s="16" t="n">
        <v>387.994099152899</v>
      </c>
      <c r="AS186" s="16" t="n">
        <v>387.994099152899</v>
      </c>
      <c r="AT186" s="16" t="n">
        <v>-7421.86571373466</v>
      </c>
      <c r="AU186" s="16" t="n">
        <v>0</v>
      </c>
      <c r="AV186" s="16" t="n">
        <v>0</v>
      </c>
      <c r="AW186" s="16" t="n">
        <v>2275.5</v>
      </c>
      <c r="AX186" s="16" t="n">
        <v>387.994099152899</v>
      </c>
      <c r="AY186" s="16" t="n">
        <v>347.328151017885</v>
      </c>
      <c r="AZ186" s="16" t="n">
        <v>7533.08365926308</v>
      </c>
      <c r="BA186" s="16" t="n">
        <v>775</v>
      </c>
      <c r="BB186" s="16" t="n">
        <v>289.821666666667</v>
      </c>
      <c r="BC186" s="16" t="n">
        <v>96628.9988427249</v>
      </c>
      <c r="BD186" s="16" t="n">
        <v>21.8224071280499</v>
      </c>
      <c r="BE186" s="16" t="n">
        <v>30.2879082027573</v>
      </c>
      <c r="BF186" s="16" t="n">
        <v>30.8435956326425</v>
      </c>
      <c r="BG186" s="16" t="n">
        <v>-9.69653106523862</v>
      </c>
      <c r="BH186" s="16" t="n">
        <v>-0.237386954030208</v>
      </c>
      <c r="BI186" s="16" t="n">
        <v>-0.367037357938344</v>
      </c>
      <c r="BJ186" s="16" t="n">
        <v>9.09210675327006</v>
      </c>
      <c r="BK186" s="16" t="n">
        <v>3.14199510649876</v>
      </c>
      <c r="BL186" s="16" t="n">
        <v>16.4951966225644</v>
      </c>
      <c r="BM186" s="16" t="n">
        <v>5.11489923648504</v>
      </c>
      <c r="BN186" s="16" t="n">
        <v>6.14038025700283</v>
      </c>
      <c r="BO186" s="16" t="n">
        <v>6.42123287671233</v>
      </c>
      <c r="BP186" s="16" t="n">
        <v>7672.79585778466</v>
      </c>
      <c r="BQ186" s="16" t="n">
        <v>8108.29182543605</v>
      </c>
      <c r="BR186" s="16" t="n">
        <v>8108.29182543605</v>
      </c>
      <c r="BS186" s="16" t="n">
        <v>387.994099152899</v>
      </c>
      <c r="BT186" s="16" t="n">
        <v>292.4</v>
      </c>
      <c r="BU186" s="16" t="n">
        <v>950</v>
      </c>
      <c r="BV186" s="16" t="s">
        <v>3238</v>
      </c>
      <c r="BW186" s="16" t="n">
        <v>41.1282051282051</v>
      </c>
      <c r="BX186" s="16" t="n">
        <v>0.140695465658278</v>
      </c>
      <c r="BY186" s="16" t="n">
        <v>0.244045334276294</v>
      </c>
      <c r="BZ186" s="16" t="n">
        <v>0</v>
      </c>
      <c r="CA186" s="16" t="n">
        <v>0</v>
      </c>
      <c r="CB186" s="16" t="n">
        <v>46.3122420997438</v>
      </c>
      <c r="CC186" s="16" t="n">
        <v>0</v>
      </c>
      <c r="CD186" s="16" t="n">
        <v>0</v>
      </c>
      <c r="CE186" s="16" t="n">
        <v>23029.0700414318</v>
      </c>
      <c r="CF186" s="16" t="n">
        <v>21.8224071280499</v>
      </c>
      <c r="CG186" s="16" t="n">
        <v>24.6593200546964</v>
      </c>
      <c r="CH186" s="16" t="n">
        <v>1931.14787912326</v>
      </c>
      <c r="CI186" s="16" t="n">
        <v>2.14057969233447</v>
      </c>
      <c r="CJ186" s="16" t="n">
        <v>14.8102625047176</v>
      </c>
      <c r="CK186" s="16" t="n">
        <v>0</v>
      </c>
      <c r="CL186" s="16" t="n">
        <v>0</v>
      </c>
      <c r="CM186" s="16" t="n">
        <v>0</v>
      </c>
      <c r="CN186" s="16" t="n">
        <v>-18789.018794798</v>
      </c>
      <c r="CO186" s="16" t="n">
        <v>1.25539772727273</v>
      </c>
      <c r="CP186" s="16" t="n">
        <v>0.780487804878049</v>
      </c>
      <c r="CQ186" s="16" t="n">
        <v>378.424672030081</v>
      </c>
      <c r="CR186" s="16" t="n">
        <v>378.424672030081</v>
      </c>
      <c r="CS186" s="16" t="n">
        <v>378.424672030081</v>
      </c>
      <c r="CT186" s="16" t="n">
        <v>334.889090292108</v>
      </c>
      <c r="CU186" s="16" t="n">
        <v>378.424672030081</v>
      </c>
      <c r="CV186" s="16" t="n">
        <v>0</v>
      </c>
      <c r="CW186" s="16" t="n">
        <v>0</v>
      </c>
      <c r="CX186" s="16" t="n">
        <v>0</v>
      </c>
      <c r="CY186" s="16" t="n">
        <v>0</v>
      </c>
      <c r="CZ186" s="16" t="n">
        <v>0</v>
      </c>
      <c r="DA186" s="16" t="n">
        <v>0</v>
      </c>
      <c r="DB186" s="16" t="n">
        <v>18599.7503259298</v>
      </c>
      <c r="DC186" s="16" t="n">
        <v>13801.0147418399</v>
      </c>
      <c r="DD186" s="16" t="n">
        <v>11066.6666666667</v>
      </c>
      <c r="DE186" s="16" t="n">
        <v>0</v>
      </c>
      <c r="DF186" s="16" t="n">
        <v>387.994099152899</v>
      </c>
      <c r="DG186" s="16" t="n">
        <v>0</v>
      </c>
      <c r="DH186" s="16" t="n">
        <v>0</v>
      </c>
      <c r="DI186" s="16" t="n">
        <v>378.424672030081</v>
      </c>
    </row>
    <row r="187" customFormat="false" ht="15" hidden="false" customHeight="false" outlineLevel="0" collapsed="false">
      <c r="A187" s="0" t="s">
        <v>3402</v>
      </c>
      <c r="B187" s="16" t="n">
        <v>2425.32952419152</v>
      </c>
      <c r="C187" s="16" t="n">
        <v>7324.95218380129</v>
      </c>
      <c r="D187" s="16" t="n">
        <v>19028.3078080523</v>
      </c>
      <c r="E187" s="16" t="n">
        <v>3868.2692895446</v>
      </c>
      <c r="F187" s="16" t="n">
        <v>-1071.49279431844</v>
      </c>
      <c r="G187" s="16" t="n">
        <v>4646.76399651099</v>
      </c>
      <c r="H187" s="16" t="n">
        <v>33183.3882652029</v>
      </c>
      <c r="I187" s="17" t="n">
        <v>74.9690296942112</v>
      </c>
      <c r="J187" s="17" t="n">
        <v>84.7150035544587</v>
      </c>
      <c r="K187" s="16" t="s">
        <v>72</v>
      </c>
      <c r="L187" s="16" t="n">
        <v>-7990.82841296473</v>
      </c>
      <c r="M187" s="16" t="n">
        <v>27433.299043676</v>
      </c>
      <c r="N187" s="16" t="n">
        <v>11762.5340178681</v>
      </c>
      <c r="O187" s="16" t="n">
        <v>-16718.8222193814</v>
      </c>
      <c r="P187" s="16" t="n">
        <v>969.691844413664</v>
      </c>
      <c r="Q187" s="16" t="n">
        <v>1604.61940184778</v>
      </c>
      <c r="R187" s="16" t="n">
        <v>16720.3805904838</v>
      </c>
      <c r="S187" s="16" t="n">
        <v>23663.966156161</v>
      </c>
      <c r="T187" s="16" t="n">
        <v>-935.915277915159</v>
      </c>
      <c r="U187" s="16" t="n">
        <v>23864.6361404347</v>
      </c>
      <c r="V187" s="16" t="n">
        <v>0.953955874711187</v>
      </c>
      <c r="W187" s="16" t="n">
        <v>53328.4441014675</v>
      </c>
      <c r="X187" s="16" t="n">
        <v>21755.0559571894</v>
      </c>
      <c r="Y187" s="16" t="n">
        <v>79.6931717088699</v>
      </c>
      <c r="Z187" s="16" t="n">
        <v>108.172588038688</v>
      </c>
      <c r="AA187" s="16" t="n">
        <v>34.8673009068098</v>
      </c>
      <c r="AB187" s="16" t="n">
        <v>32.6673009068098</v>
      </c>
      <c r="AC187" s="16" t="n">
        <v>34.1173009068098</v>
      </c>
      <c r="AD187" s="16" t="n">
        <v>34.8673009068098</v>
      </c>
      <c r="AE187" s="16" t="n">
        <v>653.269421736173</v>
      </c>
      <c r="AF187" s="16" t="n">
        <v>0.03</v>
      </c>
      <c r="AG187" s="16" t="n">
        <v>0.699339352532185</v>
      </c>
      <c r="AH187" s="16" t="n">
        <v>8841.38090069497</v>
      </c>
      <c r="AI187" s="16" t="n">
        <v>19028.3078080523</v>
      </c>
      <c r="AJ187" s="16" t="n">
        <v>22.221</v>
      </c>
      <c r="AK187" s="16" t="n">
        <v>0</v>
      </c>
      <c r="AL187" s="16" t="n">
        <v>-27749.7500387184</v>
      </c>
      <c r="AM187" s="16" t="n">
        <v>684.5</v>
      </c>
      <c r="AN187" s="16" t="n">
        <v>36892.6010399923</v>
      </c>
      <c r="AO187" s="16" t="n">
        <v>0</v>
      </c>
      <c r="AP187" s="16" t="n">
        <v>0.584492204233371</v>
      </c>
      <c r="AQ187" s="16" t="n">
        <v>73.3526585156911</v>
      </c>
      <c r="AR187" s="16" t="n">
        <v>318.3265975</v>
      </c>
      <c r="AS187" s="16" t="n">
        <v>318.3265975</v>
      </c>
      <c r="AT187" s="16" t="n">
        <v>-7990.82841296473</v>
      </c>
      <c r="AU187" s="16" t="n">
        <v>0</v>
      </c>
      <c r="AV187" s="16" t="n">
        <v>0</v>
      </c>
      <c r="AW187" s="16" t="n">
        <v>2275.5</v>
      </c>
      <c r="AX187" s="16" t="n">
        <v>318.3265975</v>
      </c>
      <c r="AY187" s="16" t="n">
        <v>315.866853470283</v>
      </c>
      <c r="AZ187" s="16" t="n">
        <v>6735.53411620271</v>
      </c>
      <c r="BA187" s="16" t="n">
        <v>775</v>
      </c>
      <c r="BB187" s="16" t="n">
        <v>289.821666666667</v>
      </c>
      <c r="BC187" s="16" t="n">
        <v>95824.9377662138</v>
      </c>
      <c r="BD187" s="16" t="n">
        <v>19.289902809254</v>
      </c>
      <c r="BE187" s="16" t="n">
        <v>27.7554038839614</v>
      </c>
      <c r="BF187" s="16" t="n">
        <v>28.3110913138465</v>
      </c>
      <c r="BG187" s="16" t="n">
        <v>-9.69653106523862</v>
      </c>
      <c r="BH187" s="16" t="n">
        <v>-0.237386954030208</v>
      </c>
      <c r="BI187" s="16" t="n">
        <v>-0.367037357938344</v>
      </c>
      <c r="BJ187" s="16" t="n">
        <v>9.09210675327006</v>
      </c>
      <c r="BK187" s="16" t="n">
        <v>3.14199510649876</v>
      </c>
      <c r="BL187" s="16" t="n">
        <v>16.4951966225644</v>
      </c>
      <c r="BM187" s="16" t="n">
        <v>5.11489923648504</v>
      </c>
      <c r="BN187" s="16" t="n">
        <v>6.14038025700283</v>
      </c>
      <c r="BO187" s="16" t="n">
        <v>6.42123287671233</v>
      </c>
      <c r="BP187" s="16" t="n">
        <v>7672.79585778466</v>
      </c>
      <c r="BQ187" s="16" t="n">
        <v>7292.58544677106</v>
      </c>
      <c r="BR187" s="16" t="n">
        <v>7292.58544677106</v>
      </c>
      <c r="BS187" s="16" t="n">
        <v>318.3265975</v>
      </c>
      <c r="BT187" s="16" t="n">
        <v>292.4</v>
      </c>
      <c r="BU187" s="16" t="n">
        <v>950</v>
      </c>
      <c r="BV187" s="16" t="s">
        <v>3238</v>
      </c>
      <c r="BW187" s="16" t="n">
        <v>41.1282051282051</v>
      </c>
      <c r="BX187" s="16" t="n">
        <v>0.140695465658278</v>
      </c>
      <c r="BY187" s="16" t="n">
        <v>0.244045334276294</v>
      </c>
      <c r="BZ187" s="16" t="n">
        <v>13434.1777535968</v>
      </c>
      <c r="CA187" s="16" t="n">
        <v>13948.7116911521</v>
      </c>
      <c r="CB187" s="16" t="n">
        <v>65.7318122220085</v>
      </c>
      <c r="CC187" s="16" t="n">
        <v>0</v>
      </c>
      <c r="CD187" s="16" t="n">
        <v>0</v>
      </c>
      <c r="CE187" s="16" t="n">
        <v>22979.6281292735</v>
      </c>
      <c r="CF187" s="16" t="n">
        <v>19.289902809254</v>
      </c>
      <c r="CG187" s="16" t="n">
        <v>21.797590174457</v>
      </c>
      <c r="CH187" s="16" t="n">
        <v>1931.14787912326</v>
      </c>
      <c r="CI187" s="16" t="n">
        <v>2.14057969233447</v>
      </c>
      <c r="CJ187" s="16" t="n">
        <v>14.8102625047176</v>
      </c>
      <c r="CK187" s="16" t="n">
        <v>0</v>
      </c>
      <c r="CL187" s="16" t="n">
        <v>0</v>
      </c>
      <c r="CM187" s="16" t="n">
        <v>0</v>
      </c>
      <c r="CN187" s="16" t="n">
        <v>-27749.7500387184</v>
      </c>
      <c r="CO187" s="16" t="n">
        <v>1.25539772727273</v>
      </c>
      <c r="CP187" s="16" t="n">
        <v>0.780487804878049</v>
      </c>
      <c r="CQ187" s="16" t="n">
        <v>82.888504122731</v>
      </c>
      <c r="CR187" s="16" t="n">
        <v>84.7150035544587</v>
      </c>
      <c r="CS187" s="16" t="n">
        <v>82.888504122731</v>
      </c>
      <c r="CT187" s="16" t="n">
        <v>73.3526585156911</v>
      </c>
      <c r="CU187" s="16" t="n">
        <v>82.888504122731</v>
      </c>
      <c r="CV187" s="16" t="n">
        <v>0</v>
      </c>
      <c r="CW187" s="16" t="n">
        <v>0</v>
      </c>
      <c r="CX187" s="16" t="n">
        <v>0</v>
      </c>
      <c r="CY187" s="16" t="n">
        <v>0</v>
      </c>
      <c r="CZ187" s="16" t="n">
        <v>0</v>
      </c>
      <c r="DA187" s="16" t="n">
        <v>0</v>
      </c>
      <c r="DB187" s="16" t="n">
        <v>17802.2007828694</v>
      </c>
      <c r="DC187" s="16" t="n">
        <v>13209.2329808891</v>
      </c>
      <c r="DD187" s="16" t="n">
        <v>11066.6666666667</v>
      </c>
      <c r="DE187" s="16" t="n">
        <v>0</v>
      </c>
      <c r="DF187" s="16" t="n">
        <v>318.3265975</v>
      </c>
      <c r="DG187" s="16" t="n">
        <v>0</v>
      </c>
      <c r="DH187" s="16" t="n">
        <v>0</v>
      </c>
      <c r="DI187" s="16" t="n">
        <v>82.888504122731</v>
      </c>
    </row>
    <row r="188" customFormat="false" ht="15" hidden="false" customHeight="false" outlineLevel="0" collapsed="false">
      <c r="A188" s="0" t="s">
        <v>3403</v>
      </c>
      <c r="B188" s="16" t="n">
        <v>2425.32952419152</v>
      </c>
      <c r="C188" s="16" t="n">
        <v>7324.95218380129</v>
      </c>
      <c r="D188" s="16" t="n">
        <v>19028.3078080523</v>
      </c>
      <c r="E188" s="16" t="n">
        <v>3868.2692895446</v>
      </c>
      <c r="F188" s="16" t="n">
        <v>-1071.49279431844</v>
      </c>
      <c r="G188" s="16" t="n">
        <v>4646.76399651099</v>
      </c>
      <c r="H188" s="16" t="n">
        <v>31884.6536769429</v>
      </c>
      <c r="I188" s="17" t="n">
        <v>70.8733469173191</v>
      </c>
      <c r="J188" s="17" t="n">
        <v>80.0868820165706</v>
      </c>
      <c r="K188" s="16" t="s">
        <v>72</v>
      </c>
      <c r="L188" s="16" t="n">
        <v>-8050.05808914412</v>
      </c>
      <c r="M188" s="16" t="n">
        <v>27433.299043676</v>
      </c>
      <c r="N188" s="16" t="n">
        <v>11762.5340178681</v>
      </c>
      <c r="O188" s="16" t="n">
        <v>-16945.8383279814</v>
      </c>
      <c r="P188" s="16" t="n">
        <v>969.691844413664</v>
      </c>
      <c r="Q188" s="16" t="n">
        <v>1604.61940184778</v>
      </c>
      <c r="R188" s="16" t="n">
        <v>16720.3805904838</v>
      </c>
      <c r="S188" s="16" t="n">
        <v>23663.966156161</v>
      </c>
      <c r="T188" s="16" t="n">
        <v>-935.915277915159</v>
      </c>
      <c r="U188" s="16" t="n">
        <v>22560.8713776273</v>
      </c>
      <c r="V188" s="16" t="n">
        <v>0.953955874711187</v>
      </c>
      <c r="W188" s="16" t="n">
        <v>53328.4441014675</v>
      </c>
      <c r="X188" s="16" t="n">
        <v>21755.0559571894</v>
      </c>
      <c r="Y188" s="16" t="n">
        <v>75.339401196763</v>
      </c>
      <c r="Z188" s="16" t="n">
        <v>102.262939646959</v>
      </c>
      <c r="AA188" s="16" t="n">
        <v>34.8673009068098</v>
      </c>
      <c r="AB188" s="16" t="n">
        <v>32.6673009068098</v>
      </c>
      <c r="AC188" s="16" t="n">
        <v>34.1173009068098</v>
      </c>
      <c r="AD188" s="16" t="n">
        <v>34.8673009068098</v>
      </c>
      <c r="AE188" s="16" t="n">
        <v>653.269421736173</v>
      </c>
      <c r="AF188" s="16" t="n">
        <v>0.03</v>
      </c>
      <c r="AG188" s="16" t="n">
        <v>0.699339352532185</v>
      </c>
      <c r="AH188" s="16" t="n">
        <v>8830.63704054368</v>
      </c>
      <c r="AI188" s="16" t="n">
        <v>19028.3078080523</v>
      </c>
      <c r="AJ188" s="16" t="n">
        <v>22.221</v>
      </c>
      <c r="AK188" s="16" t="n">
        <v>0</v>
      </c>
      <c r="AL188" s="16" t="n">
        <v>-28185.8483042225</v>
      </c>
      <c r="AM188" s="16" t="n">
        <v>684.5</v>
      </c>
      <c r="AN188" s="16" t="n">
        <v>34565.685</v>
      </c>
      <c r="AO188" s="16" t="n">
        <v>0</v>
      </c>
      <c r="AP188" s="16" t="n">
        <v>0.584492204233371</v>
      </c>
      <c r="AQ188" s="16" t="n">
        <v>69.256975738799</v>
      </c>
      <c r="AR188" s="16" t="n">
        <v>318.3265975</v>
      </c>
      <c r="AS188" s="16" t="n">
        <v>318.3265975</v>
      </c>
      <c r="AT188" s="16" t="n">
        <v>-8050.05808914412</v>
      </c>
      <c r="AU188" s="16" t="n">
        <v>0</v>
      </c>
      <c r="AV188" s="16" t="n">
        <v>0</v>
      </c>
      <c r="AW188" s="16" t="n">
        <v>2275.5</v>
      </c>
      <c r="AX188" s="16" t="n">
        <v>318.3265975</v>
      </c>
      <c r="AY188" s="16" t="n">
        <v>315.724707914919</v>
      </c>
      <c r="AZ188" s="16" t="n">
        <v>6735.53411620271</v>
      </c>
      <c r="BA188" s="16" t="n">
        <v>775</v>
      </c>
      <c r="BB188" s="16" t="n">
        <v>289.821666666667</v>
      </c>
      <c r="BC188" s="16" t="n">
        <v>95824.9377662138</v>
      </c>
      <c r="BD188" s="16" t="n">
        <v>19.2739302105905</v>
      </c>
      <c r="BE188" s="16" t="n">
        <v>27.739431285298</v>
      </c>
      <c r="BF188" s="16" t="n">
        <v>28.2951187151831</v>
      </c>
      <c r="BG188" s="16" t="n">
        <v>-9.69653106523862</v>
      </c>
      <c r="BH188" s="16" t="n">
        <v>-0.237386954030208</v>
      </c>
      <c r="BI188" s="16" t="n">
        <v>-0.367037357938344</v>
      </c>
      <c r="BJ188" s="16" t="n">
        <v>9.09210675327006</v>
      </c>
      <c r="BK188" s="16" t="n">
        <v>3.14199510649876</v>
      </c>
      <c r="BL188" s="16" t="n">
        <v>16.4951966225644</v>
      </c>
      <c r="BM188" s="16" t="n">
        <v>5.11489923648504</v>
      </c>
      <c r="BN188" s="16" t="n">
        <v>6.14038025700283</v>
      </c>
      <c r="BO188" s="16" t="n">
        <v>6.42123287671233</v>
      </c>
      <c r="BP188" s="16" t="n">
        <v>7672.79585778466</v>
      </c>
      <c r="BQ188" s="16" t="n">
        <v>7292.58544677106</v>
      </c>
      <c r="BR188" s="16" t="n">
        <v>7292.58544677106</v>
      </c>
      <c r="BS188" s="16" t="n">
        <v>318.3265975</v>
      </c>
      <c r="BT188" s="16" t="n">
        <v>292.4</v>
      </c>
      <c r="BU188" s="16" t="n">
        <v>950</v>
      </c>
      <c r="BV188" s="16" t="s">
        <v>3238</v>
      </c>
      <c r="BW188" s="16" t="n">
        <v>41.1282051282051</v>
      </c>
      <c r="BX188" s="16" t="n">
        <v>0.140695465658278</v>
      </c>
      <c r="BY188" s="16" t="n">
        <v>0.244045334276294</v>
      </c>
      <c r="BZ188" s="16" t="n">
        <v>13434.1777535968</v>
      </c>
      <c r="CA188" s="16" t="n">
        <v>13948.7116911521</v>
      </c>
      <c r="CB188" s="16" t="n">
        <v>66.6832474771298</v>
      </c>
      <c r="CC188" s="16" t="n">
        <v>0</v>
      </c>
      <c r="CD188" s="16" t="n">
        <v>0</v>
      </c>
      <c r="CE188" s="16" t="n">
        <v>22710.765</v>
      </c>
      <c r="CF188" s="16" t="n">
        <v>19.2739302105905</v>
      </c>
      <c r="CG188" s="16" t="n">
        <v>21.7795411379673</v>
      </c>
      <c r="CH188" s="16" t="n">
        <v>1931.14787912326</v>
      </c>
      <c r="CI188" s="16" t="n">
        <v>2.14057969233447</v>
      </c>
      <c r="CJ188" s="16" t="n">
        <v>14.8102625047176</v>
      </c>
      <c r="CK188" s="16" t="n">
        <v>0</v>
      </c>
      <c r="CL188" s="16" t="n">
        <v>0</v>
      </c>
      <c r="CM188" s="16" t="n">
        <v>0</v>
      </c>
      <c r="CN188" s="16" t="n">
        <v>-28185.8483042225</v>
      </c>
      <c r="CO188" s="16" t="n">
        <v>1.25539772727273</v>
      </c>
      <c r="CP188" s="16" t="n">
        <v>0.780487804878049</v>
      </c>
      <c r="CQ188" s="16" t="n">
        <v>78.2603825848429</v>
      </c>
      <c r="CR188" s="16" t="n">
        <v>80.0868820165706</v>
      </c>
      <c r="CS188" s="16" t="n">
        <v>78.2603825848429</v>
      </c>
      <c r="CT188" s="16" t="n">
        <v>69.256975738799</v>
      </c>
      <c r="CU188" s="16" t="n">
        <v>78.2603825848429</v>
      </c>
      <c r="CV188" s="16" t="n">
        <v>0</v>
      </c>
      <c r="CW188" s="16" t="n">
        <v>0</v>
      </c>
      <c r="CX188" s="16" t="n">
        <v>0</v>
      </c>
      <c r="CY188" s="16" t="n">
        <v>0</v>
      </c>
      <c r="CZ188" s="16" t="n">
        <v>0</v>
      </c>
      <c r="DA188" s="16" t="n">
        <v>0</v>
      </c>
      <c r="DB188" s="16" t="n">
        <v>17802.2007828694</v>
      </c>
      <c r="DC188" s="16" t="n">
        <v>13209.2329808891</v>
      </c>
      <c r="DD188" s="16" t="n">
        <v>11066.6666666667</v>
      </c>
      <c r="DE188" s="16" t="n">
        <v>0</v>
      </c>
      <c r="DF188" s="16" t="n">
        <v>318.3265975</v>
      </c>
      <c r="DG188" s="16" t="n">
        <v>0</v>
      </c>
      <c r="DH188" s="16" t="n">
        <v>0</v>
      </c>
      <c r="DI188" s="16" t="n">
        <v>78.2603825848429</v>
      </c>
    </row>
    <row r="189" customFormat="false" ht="15" hidden="false" customHeight="false" outlineLevel="0" collapsed="false">
      <c r="A189" s="0" t="s">
        <v>3404</v>
      </c>
      <c r="B189" s="16" t="n">
        <v>2423.40833661368</v>
      </c>
      <c r="C189" s="16" t="n">
        <v>7320.29311172376</v>
      </c>
      <c r="D189" s="16" t="n">
        <v>19024.8843100935</v>
      </c>
      <c r="E189" s="16" t="n">
        <v>3864.96134836955</v>
      </c>
      <c r="F189" s="16" t="n">
        <v>-1074.59422057469</v>
      </c>
      <c r="G189" s="16" t="n">
        <v>4646.74384447529</v>
      </c>
      <c r="H189" s="16" t="n">
        <v>31798.064615235</v>
      </c>
      <c r="I189" s="17" t="n">
        <v>70.602100873207</v>
      </c>
      <c r="J189" s="17" t="n">
        <v>79.7803739867239</v>
      </c>
      <c r="K189" s="16" t="s">
        <v>72</v>
      </c>
      <c r="L189" s="16" t="n">
        <v>-8054.44067566647</v>
      </c>
      <c r="M189" s="16" t="n">
        <v>27433.2058622345</v>
      </c>
      <c r="N189" s="16" t="n">
        <v>11759.9321594194</v>
      </c>
      <c r="O189" s="16" t="n">
        <v>-16952.1124560574</v>
      </c>
      <c r="P189" s="16" t="n">
        <v>968.519919991184</v>
      </c>
      <c r="Q189" s="16" t="n">
        <v>1602.1834171171</v>
      </c>
      <c r="R189" s="16" t="n">
        <v>16720.3421667323</v>
      </c>
      <c r="S189" s="16" t="n">
        <v>23663.8976862019</v>
      </c>
      <c r="T189" s="16" t="n">
        <v>-937.010768786052</v>
      </c>
      <c r="U189" s="16" t="n">
        <v>22474.5265473198</v>
      </c>
      <c r="V189" s="16" t="n">
        <v>0.82509878873241</v>
      </c>
      <c r="W189" s="16" t="n">
        <v>53259.1234046399</v>
      </c>
      <c r="X189" s="16" t="n">
        <v>21751.8294322891</v>
      </c>
      <c r="Y189" s="16" t="n">
        <v>75.0510626967591</v>
      </c>
      <c r="Z189" s="16" t="n">
        <v>101.871559543648</v>
      </c>
      <c r="AA189" s="16" t="n">
        <v>30.1575455502983</v>
      </c>
      <c r="AB189" s="16" t="n">
        <v>27.9575455502983</v>
      </c>
      <c r="AC189" s="16" t="n">
        <v>29.4075455502983</v>
      </c>
      <c r="AD189" s="16" t="n">
        <v>30.1575455502983</v>
      </c>
      <c r="AE189" s="16" t="n">
        <v>653.683373262198</v>
      </c>
      <c r="AF189" s="16" t="n">
        <v>0.03</v>
      </c>
      <c r="AG189" s="16" t="n">
        <v>0.699294850981936</v>
      </c>
      <c r="AH189" s="16" t="n">
        <v>8829.50567689751</v>
      </c>
      <c r="AI189" s="16" t="n">
        <v>19024.8843100935</v>
      </c>
      <c r="AJ189" s="16" t="n">
        <v>22.221</v>
      </c>
      <c r="AK189" s="16" t="n">
        <v>0</v>
      </c>
      <c r="AL189" s="16" t="n">
        <v>-28196.4358191485</v>
      </c>
      <c r="AM189" s="16" t="n">
        <v>684.5</v>
      </c>
      <c r="AN189" s="16" t="n">
        <v>34565.685</v>
      </c>
      <c r="AO189" s="16" t="n">
        <v>0</v>
      </c>
      <c r="AP189" s="16" t="n">
        <v>0.585621100500218</v>
      </c>
      <c r="AQ189" s="16" t="n">
        <v>68.9857296946869</v>
      </c>
      <c r="AR189" s="16" t="n">
        <v>318.3265975</v>
      </c>
      <c r="AS189" s="16" t="n">
        <v>318.3265975</v>
      </c>
      <c r="AT189" s="16" t="n">
        <v>-8054.44067566647</v>
      </c>
      <c r="AU189" s="16" t="n">
        <v>0</v>
      </c>
      <c r="AV189" s="16" t="n">
        <v>0</v>
      </c>
      <c r="AW189" s="16" t="n">
        <v>2275.5</v>
      </c>
      <c r="AX189" s="16" t="n">
        <v>318.3265975</v>
      </c>
      <c r="AY189" s="16" t="n">
        <v>315.714711721485</v>
      </c>
      <c r="AZ189" s="16" t="n">
        <v>6732.81520118575</v>
      </c>
      <c r="BA189" s="16" t="n">
        <v>775</v>
      </c>
      <c r="BB189" s="16" t="n">
        <v>289.821666666667</v>
      </c>
      <c r="BC189" s="16" t="n">
        <v>95824.1802763224</v>
      </c>
      <c r="BD189" s="16" t="n">
        <v>19.2660722072837</v>
      </c>
      <c r="BE189" s="16" t="n">
        <v>27.7315732819912</v>
      </c>
      <c r="BF189" s="16" t="n">
        <v>28.2872607118763</v>
      </c>
      <c r="BG189" s="16" t="n">
        <v>-9.69653106523862</v>
      </c>
      <c r="BH189" s="16" t="n">
        <v>-0.237386954030208</v>
      </c>
      <c r="BI189" s="16" t="n">
        <v>-0.367037357938344</v>
      </c>
      <c r="BJ189" s="16" t="n">
        <v>9.09210675327006</v>
      </c>
      <c r="BK189" s="16" t="n">
        <v>3.14199510649876</v>
      </c>
      <c r="BL189" s="16" t="n">
        <v>16.4951966225644</v>
      </c>
      <c r="BM189" s="16" t="n">
        <v>5.11489923648504</v>
      </c>
      <c r="BN189" s="16" t="n">
        <v>6.14038025700283</v>
      </c>
      <c r="BO189" s="16" t="n">
        <v>6.42123287671233</v>
      </c>
      <c r="BP189" s="16" t="n">
        <v>7672.79585778466</v>
      </c>
      <c r="BQ189" s="16" t="n">
        <v>7287.92637469352</v>
      </c>
      <c r="BR189" s="16" t="n">
        <v>7287.92637469352</v>
      </c>
      <c r="BS189" s="16" t="n">
        <v>318.3265975</v>
      </c>
      <c r="BT189" s="16" t="n">
        <v>292.4</v>
      </c>
      <c r="BU189" s="16" t="n">
        <v>950</v>
      </c>
      <c r="BV189" s="16" t="s">
        <v>3238</v>
      </c>
      <c r="BW189" s="16" t="n">
        <v>41.1282051282051</v>
      </c>
      <c r="BX189" s="16" t="n">
        <v>0.140695465658278</v>
      </c>
      <c r="BY189" s="16" t="n">
        <v>0.244045334276294</v>
      </c>
      <c r="BZ189" s="16" t="n">
        <v>13434.1777535968</v>
      </c>
      <c r="CA189" s="16" t="n">
        <v>13948.7116911521</v>
      </c>
      <c r="CB189" s="16" t="n">
        <v>66.7066934966782</v>
      </c>
      <c r="CC189" s="16" t="n">
        <v>0</v>
      </c>
      <c r="CD189" s="16" t="n">
        <v>0</v>
      </c>
      <c r="CE189" s="16" t="n">
        <v>22710.765</v>
      </c>
      <c r="CF189" s="16" t="n">
        <v>19.2660722072837</v>
      </c>
      <c r="CG189" s="16" t="n">
        <v>21.7706615942306</v>
      </c>
      <c r="CH189" s="16" t="n">
        <v>1931.14787912326</v>
      </c>
      <c r="CI189" s="16" t="n">
        <v>2.14057969233447</v>
      </c>
      <c r="CJ189" s="16" t="n">
        <v>14.8102625047176</v>
      </c>
      <c r="CK189" s="16" t="n">
        <v>0</v>
      </c>
      <c r="CL189" s="16" t="n">
        <v>0</v>
      </c>
      <c r="CM189" s="16" t="n">
        <v>0</v>
      </c>
      <c r="CN189" s="16" t="n">
        <v>-28196.4358191485</v>
      </c>
      <c r="CO189" s="16" t="n">
        <v>1.25539772727273</v>
      </c>
      <c r="CP189" s="16" t="n">
        <v>0.780487804878049</v>
      </c>
      <c r="CQ189" s="16" t="n">
        <v>77.9538745549962</v>
      </c>
      <c r="CR189" s="16" t="n">
        <v>79.7803739867239</v>
      </c>
      <c r="CS189" s="16" t="n">
        <v>77.9538745549962</v>
      </c>
      <c r="CT189" s="16" t="n">
        <v>68.9857296946869</v>
      </c>
      <c r="CU189" s="16" t="n">
        <v>77.9538745549962</v>
      </c>
      <c r="CV189" s="16" t="n">
        <v>0</v>
      </c>
      <c r="CW189" s="16" t="n">
        <v>0</v>
      </c>
      <c r="CX189" s="16" t="n">
        <v>0</v>
      </c>
      <c r="CY189" s="16" t="n">
        <v>0</v>
      </c>
      <c r="CZ189" s="16" t="n">
        <v>0</v>
      </c>
      <c r="DA189" s="16" t="n">
        <v>0</v>
      </c>
      <c r="DB189" s="16" t="n">
        <v>17799.4818678524</v>
      </c>
      <c r="DC189" s="16" t="n">
        <v>13207.2155459465</v>
      </c>
      <c r="DD189" s="16" t="n">
        <v>11066.6666666667</v>
      </c>
      <c r="DE189" s="16" t="n">
        <v>0</v>
      </c>
      <c r="DF189" s="16" t="n">
        <v>318.3265975</v>
      </c>
      <c r="DG189" s="16" t="n">
        <v>0</v>
      </c>
      <c r="DH189" s="16" t="n">
        <v>0</v>
      </c>
      <c r="DI189" s="16" t="n">
        <v>77.9538745549962</v>
      </c>
    </row>
    <row r="190" customFormat="false" ht="15" hidden="false" customHeight="false" outlineLevel="0" collapsed="false">
      <c r="A190" s="0" t="s">
        <v>3405</v>
      </c>
      <c r="B190" s="16" t="n">
        <v>2423.40833661368</v>
      </c>
      <c r="C190" s="16" t="n">
        <v>7320.29311172376</v>
      </c>
      <c r="D190" s="16" t="n">
        <v>19024.8843100935</v>
      </c>
      <c r="E190" s="16" t="n">
        <v>3864.96134836955</v>
      </c>
      <c r="F190" s="16" t="n">
        <v>-1074.59422057469</v>
      </c>
      <c r="G190" s="16" t="n">
        <v>4646.74384447529</v>
      </c>
      <c r="H190" s="16" t="n">
        <v>22186.9805017732</v>
      </c>
      <c r="I190" s="17" t="n">
        <v>40.2604681966795</v>
      </c>
      <c r="J190" s="17" t="n">
        <v>45.4943290622478</v>
      </c>
      <c r="K190" s="16" t="s">
        <v>72</v>
      </c>
      <c r="L190" s="16" t="n">
        <v>-8054.44067566647</v>
      </c>
      <c r="M190" s="16" t="n">
        <v>27433.2058622345</v>
      </c>
      <c r="N190" s="16" t="n">
        <v>11759.9321594194</v>
      </c>
      <c r="O190" s="16" t="n">
        <v>-16952.1124560574</v>
      </c>
      <c r="P190" s="16" t="n">
        <v>968.519919991184</v>
      </c>
      <c r="Q190" s="16" t="n">
        <v>1602.1834171171</v>
      </c>
      <c r="R190" s="16" t="n">
        <v>16720.3421667323</v>
      </c>
      <c r="S190" s="16" t="n">
        <v>23663.8976862019</v>
      </c>
      <c r="T190" s="16" t="n">
        <v>-937.010768786052</v>
      </c>
      <c r="U190" s="16" t="n">
        <v>12679.037810654</v>
      </c>
      <c r="V190" s="16" t="n">
        <v>0.82509878873241</v>
      </c>
      <c r="W190" s="16" t="n">
        <v>53259.1234046399</v>
      </c>
      <c r="X190" s="16" t="n">
        <v>21751.8294322891</v>
      </c>
      <c r="Y190" s="16" t="n">
        <v>42.7974647419669</v>
      </c>
      <c r="Z190" s="16" t="n">
        <v>58.0917087795843</v>
      </c>
      <c r="AA190" s="16" t="n">
        <v>30.1575455502983</v>
      </c>
      <c r="AB190" s="16" t="n">
        <v>27.9575455502983</v>
      </c>
      <c r="AC190" s="16" t="n">
        <v>29.4075455502983</v>
      </c>
      <c r="AD190" s="16" t="n">
        <v>30.1575455502983</v>
      </c>
      <c r="AE190" s="16" t="n">
        <v>653.683373262198</v>
      </c>
      <c r="AF190" s="16" t="n">
        <v>0.03</v>
      </c>
      <c r="AG190" s="16" t="n">
        <v>0.699294850981936</v>
      </c>
      <c r="AH190" s="16" t="n">
        <v>8829.50567689751</v>
      </c>
      <c r="AI190" s="16" t="n">
        <v>19024.8843100935</v>
      </c>
      <c r="AJ190" s="16" t="n">
        <v>22.221</v>
      </c>
      <c r="AK190" s="16" t="n">
        <v>0</v>
      </c>
      <c r="AL190" s="16" t="n">
        <v>-28196.4358191485</v>
      </c>
      <c r="AM190" s="16" t="n">
        <v>684.5</v>
      </c>
      <c r="AN190" s="16" t="n">
        <v>34565.685</v>
      </c>
      <c r="AO190" s="16" t="n">
        <v>-9611.08411346176</v>
      </c>
      <c r="AP190" s="16" t="n">
        <v>0.585621100500218</v>
      </c>
      <c r="AQ190" s="16" t="n">
        <v>38.5983252678095</v>
      </c>
      <c r="AR190" s="16" t="n">
        <v>314.925245</v>
      </c>
      <c r="AS190" s="16" t="n">
        <v>314.925245</v>
      </c>
      <c r="AT190" s="16" t="n">
        <v>-8054.44067566647</v>
      </c>
      <c r="AU190" s="16" t="n">
        <v>0</v>
      </c>
      <c r="AV190" s="16" t="n">
        <v>0</v>
      </c>
      <c r="AW190" s="16" t="n">
        <v>2275.5</v>
      </c>
      <c r="AX190" s="16" t="n">
        <v>314.925245</v>
      </c>
      <c r="AY190" s="16" t="n">
        <v>314.925245</v>
      </c>
      <c r="AZ190" s="16" t="n">
        <v>6732.81520118575</v>
      </c>
      <c r="BA190" s="16" t="n">
        <v>775</v>
      </c>
      <c r="BB190" s="16" t="n">
        <v>289.821666666667</v>
      </c>
      <c r="BC190" s="16" t="n">
        <v>95824.1802763224</v>
      </c>
      <c r="BD190" s="16" t="n">
        <v>19.2660722072837</v>
      </c>
      <c r="BE190" s="16" t="n">
        <v>27.7315732819912</v>
      </c>
      <c r="BF190" s="16" t="n">
        <v>28.2872607118763</v>
      </c>
      <c r="BG190" s="16" t="n">
        <v>-9.69653106523862</v>
      </c>
      <c r="BH190" s="16" t="n">
        <v>-0.237386954030208</v>
      </c>
      <c r="BI190" s="16" t="n">
        <v>-0.367037357938344</v>
      </c>
      <c r="BJ190" s="16" t="n">
        <v>9.09210675327006</v>
      </c>
      <c r="BK190" s="16" t="n">
        <v>3.14199510649876</v>
      </c>
      <c r="BL190" s="16" t="n">
        <v>16.4951966225644</v>
      </c>
      <c r="BM190" s="16" t="n">
        <v>5.11489923648504</v>
      </c>
      <c r="BN190" s="16" t="n">
        <v>6.14038025700283</v>
      </c>
      <c r="BO190" s="16" t="n">
        <v>6.42123287671233</v>
      </c>
      <c r="BP190" s="16" t="n">
        <v>7672.79585778466</v>
      </c>
      <c r="BQ190" s="16" t="n">
        <v>7287.92637469352</v>
      </c>
      <c r="BR190" s="16" t="n">
        <v>7287.92637469352</v>
      </c>
      <c r="BS190" s="16" t="n">
        <v>314.925245</v>
      </c>
      <c r="BT190" s="16" t="n">
        <v>292.4</v>
      </c>
      <c r="BU190" s="16" t="n">
        <v>950</v>
      </c>
      <c r="BV190" s="16" t="s">
        <v>3238</v>
      </c>
      <c r="BW190" s="16" t="n">
        <v>41.1282051282051</v>
      </c>
      <c r="BX190" s="16" t="n">
        <v>0.140695465658278</v>
      </c>
      <c r="BY190" s="16" t="n">
        <v>0.244045334276294</v>
      </c>
      <c r="BZ190" s="16" t="n">
        <v>13618.5823768008</v>
      </c>
      <c r="CA190" s="16" t="n">
        <v>14142.0331459002</v>
      </c>
      <c r="CB190" s="16" t="n">
        <v>66.7066934966782</v>
      </c>
      <c r="CC190" s="16" t="n">
        <v>0</v>
      </c>
      <c r="CD190" s="16" t="n">
        <v>0</v>
      </c>
      <c r="CE190" s="16" t="n">
        <v>22710.765</v>
      </c>
      <c r="CF190" s="16" t="n">
        <v>19.2660722072837</v>
      </c>
      <c r="CG190" s="16" t="n">
        <v>21.7706615942306</v>
      </c>
      <c r="CH190" s="16" t="n">
        <v>1931.14787912326</v>
      </c>
      <c r="CI190" s="16" t="n">
        <v>2.14057969233447</v>
      </c>
      <c r="CJ190" s="16" t="n">
        <v>14.8102625047176</v>
      </c>
      <c r="CK190" s="16" t="n">
        <v>0</v>
      </c>
      <c r="CL190" s="16" t="n">
        <v>0</v>
      </c>
      <c r="CM190" s="16" t="n">
        <v>0</v>
      </c>
      <c r="CN190" s="16" t="n">
        <v>-28196.4358191485</v>
      </c>
      <c r="CO190" s="16" t="n">
        <v>1.25539772727273</v>
      </c>
      <c r="CP190" s="16" t="n">
        <v>0.780487804878049</v>
      </c>
      <c r="CQ190" s="16" t="n">
        <v>43.6161075526247</v>
      </c>
      <c r="CR190" s="16" t="n">
        <v>45.4943290622478</v>
      </c>
      <c r="CS190" s="16" t="n">
        <v>43.6161075526247</v>
      </c>
      <c r="CT190" s="16" t="n">
        <v>38.5983252678095</v>
      </c>
      <c r="CU190" s="16" t="n">
        <v>43.6161075526247</v>
      </c>
      <c r="CV190" s="16" t="n">
        <v>0</v>
      </c>
      <c r="CW190" s="16" t="n">
        <v>0</v>
      </c>
      <c r="CX190" s="16" t="n">
        <v>0</v>
      </c>
      <c r="CY190" s="16" t="n">
        <v>0</v>
      </c>
      <c r="CZ190" s="16" t="n">
        <v>0</v>
      </c>
      <c r="DA190" s="16" t="n">
        <v>0</v>
      </c>
      <c r="DB190" s="16" t="n">
        <v>17799.4818678524</v>
      </c>
      <c r="DC190" s="16" t="n">
        <v>13207.2155459465</v>
      </c>
      <c r="DD190" s="16" t="n">
        <v>11066.6666666667</v>
      </c>
      <c r="DE190" s="16" t="n">
        <v>0</v>
      </c>
      <c r="DF190" s="16" t="n">
        <v>314.925245</v>
      </c>
      <c r="DG190" s="16" t="n">
        <v>0</v>
      </c>
      <c r="DH190" s="16" t="n">
        <v>0</v>
      </c>
      <c r="DI190" s="16" t="n">
        <v>43.6161075526247</v>
      </c>
    </row>
    <row r="191" customFormat="false" ht="15" hidden="false" customHeight="false" outlineLevel="0" collapsed="false">
      <c r="A191" s="0" t="s">
        <v>3406</v>
      </c>
      <c r="B191" s="16" t="n">
        <v>2423.40833661368</v>
      </c>
      <c r="C191" s="16" t="n">
        <v>7320.29311172376</v>
      </c>
      <c r="D191" s="16" t="n">
        <v>19024.8843100935</v>
      </c>
      <c r="E191" s="16" t="n">
        <v>3864.96134836955</v>
      </c>
      <c r="F191" s="16" t="n">
        <v>-1074.59422057469</v>
      </c>
      <c r="G191" s="16" t="n">
        <v>4646.74384447529</v>
      </c>
      <c r="H191" s="16" t="n">
        <v>21363.2300366211</v>
      </c>
      <c r="I191" s="17" t="n">
        <v>37.6447666032676</v>
      </c>
      <c r="J191" s="17" t="n">
        <v>42.5385862616924</v>
      </c>
      <c r="K191" s="16" t="s">
        <v>70</v>
      </c>
      <c r="L191" s="16" t="n">
        <v>-11246.4034201647</v>
      </c>
      <c r="M191" s="16" t="n">
        <v>27433.2058622345</v>
      </c>
      <c r="N191" s="16" t="n">
        <v>11759.9321594194</v>
      </c>
      <c r="O191" s="16" t="n">
        <v>-19196.6203394084</v>
      </c>
      <c r="P191" s="16" t="n">
        <v>968.519919991184</v>
      </c>
      <c r="Q191" s="16" t="n">
        <v>1602.1834171171</v>
      </c>
      <c r="R191" s="16" t="n">
        <v>16720.3421667323</v>
      </c>
      <c r="S191" s="16" t="n">
        <v>23663.8976862019</v>
      </c>
      <c r="T191" s="16" t="n">
        <v>-937.010768786052</v>
      </c>
      <c r="U191" s="16" t="n">
        <v>11855.2873455019</v>
      </c>
      <c r="V191" s="16" t="n">
        <v>0.82509878873241</v>
      </c>
      <c r="W191" s="16" t="n">
        <v>53259.1234046399</v>
      </c>
      <c r="X191" s="16" t="n">
        <v>21751.8294322891</v>
      </c>
      <c r="Y191" s="16" t="n">
        <v>40.0169358079098</v>
      </c>
      <c r="Z191" s="16" t="n">
        <v>54.317520797555</v>
      </c>
      <c r="AA191" s="16" t="n">
        <v>30.1575455502983</v>
      </c>
      <c r="AB191" s="16" t="n">
        <v>27.9575455502983</v>
      </c>
      <c r="AC191" s="16" t="n">
        <v>29.4075455502983</v>
      </c>
      <c r="AD191" s="16" t="n">
        <v>30.1575455502983</v>
      </c>
      <c r="AE191" s="16" t="n">
        <v>653.683373262198</v>
      </c>
      <c r="AF191" s="16" t="n">
        <v>0.03</v>
      </c>
      <c r="AG191" s="16" t="n">
        <v>0.699294850981936</v>
      </c>
      <c r="AH191" s="16" t="n">
        <v>7989.21212851042</v>
      </c>
      <c r="AI191" s="16" t="n">
        <v>19024.8843100935</v>
      </c>
      <c r="AJ191" s="16" t="n">
        <v>22.221</v>
      </c>
      <c r="AK191" s="16" t="n">
        <v>0</v>
      </c>
      <c r="AL191" s="16" t="n">
        <v>-29913.3421707406</v>
      </c>
      <c r="AM191" s="16" t="n">
        <v>684.5</v>
      </c>
      <c r="AN191" s="16" t="n">
        <v>30483.4713884852</v>
      </c>
      <c r="AO191" s="16" t="n">
        <v>-8958.5427846092</v>
      </c>
      <c r="AP191" s="16" t="n">
        <v>0.585621100500218</v>
      </c>
      <c r="AQ191" s="16" t="n">
        <v>35.9826236743976</v>
      </c>
      <c r="AR191" s="16" t="n">
        <v>314.925245</v>
      </c>
      <c r="AS191" s="16" t="n">
        <v>314.925245</v>
      </c>
      <c r="AT191" s="16" t="n">
        <v>-11246.4034201647</v>
      </c>
      <c r="AU191" s="16" t="n">
        <v>0</v>
      </c>
      <c r="AV191" s="16" t="n">
        <v>0</v>
      </c>
      <c r="AW191" s="16" t="n">
        <v>2275.5</v>
      </c>
      <c r="AX191" s="16" t="n">
        <v>314.925245</v>
      </c>
      <c r="AY191" s="16" t="n">
        <v>314.925245</v>
      </c>
      <c r="AZ191" s="16" t="n">
        <v>6732.81520118575</v>
      </c>
      <c r="BA191" s="16" t="n">
        <v>775</v>
      </c>
      <c r="BB191" s="16" t="n">
        <v>289.821666666667</v>
      </c>
      <c r="BC191" s="16" t="n">
        <v>95824.1802763224</v>
      </c>
      <c r="BD191" s="16" t="n">
        <v>19.2660722072837</v>
      </c>
      <c r="BE191" s="16" t="n">
        <v>27.7315732819912</v>
      </c>
      <c r="BF191" s="16" t="n">
        <v>28.2872607118763</v>
      </c>
      <c r="BG191" s="16" t="n">
        <v>-9.69653106523862</v>
      </c>
      <c r="BH191" s="16" t="n">
        <v>-0.237386954030208</v>
      </c>
      <c r="BI191" s="16" t="n">
        <v>-0.367037357938344</v>
      </c>
      <c r="BJ191" s="16" t="n">
        <v>9.09210675327006</v>
      </c>
      <c r="BK191" s="16" t="n">
        <v>3.14199510649876</v>
      </c>
      <c r="BL191" s="16" t="n">
        <v>16.4951966225644</v>
      </c>
      <c r="BM191" s="16" t="n">
        <v>5.11489923648504</v>
      </c>
      <c r="BN191" s="16" t="n">
        <v>6.14038025700283</v>
      </c>
      <c r="BO191" s="16" t="n">
        <v>6.42123287671233</v>
      </c>
      <c r="BP191" s="16" t="n">
        <v>7672.79585778466</v>
      </c>
      <c r="BQ191" s="16" t="n">
        <v>7287.92637469352</v>
      </c>
      <c r="BR191" s="16" t="n">
        <v>7287.92637469352</v>
      </c>
      <c r="BS191" s="16" t="n">
        <v>314.925245</v>
      </c>
      <c r="BT191" s="16" t="n">
        <v>292.4</v>
      </c>
      <c r="BU191" s="16" t="n">
        <v>950</v>
      </c>
      <c r="BV191" s="16" t="s">
        <v>3238</v>
      </c>
      <c r="BW191" s="16" t="n">
        <v>41.1282051282051</v>
      </c>
      <c r="BX191" s="16" t="n">
        <v>0.140695465658278</v>
      </c>
      <c r="BY191" s="16" t="n">
        <v>0.244045334276294</v>
      </c>
      <c r="BZ191" s="16" t="n">
        <v>13618.5823768008</v>
      </c>
      <c r="CA191" s="16" t="n">
        <v>14142.0331459002</v>
      </c>
      <c r="CB191" s="16" t="n">
        <v>70.8308423081782</v>
      </c>
      <c r="CC191" s="16" t="n">
        <v>0</v>
      </c>
      <c r="CD191" s="16" t="n">
        <v>0</v>
      </c>
      <c r="CE191" s="16" t="n">
        <v>18628.5513884852</v>
      </c>
      <c r="CF191" s="16" t="n">
        <v>19.2660722072837</v>
      </c>
      <c r="CG191" s="16" t="n">
        <v>21.7706615942306</v>
      </c>
      <c r="CH191" s="16" t="n">
        <v>1931.14787912326</v>
      </c>
      <c r="CI191" s="16" t="n">
        <v>2.14057969233447</v>
      </c>
      <c r="CJ191" s="16" t="n">
        <v>14.8102625047176</v>
      </c>
      <c r="CK191" s="16" t="n">
        <v>0</v>
      </c>
      <c r="CL191" s="16" t="n">
        <v>0</v>
      </c>
      <c r="CM191" s="16" t="n">
        <v>0</v>
      </c>
      <c r="CN191" s="16" t="n">
        <v>-29913.3421707406</v>
      </c>
      <c r="CO191" s="16" t="n">
        <v>1.25539772727273</v>
      </c>
      <c r="CP191" s="16" t="n">
        <v>0.780487804878049</v>
      </c>
      <c r="CQ191" s="16" t="n">
        <v>40.6603647520693</v>
      </c>
      <c r="CR191" s="16" t="n">
        <v>42.5385862616924</v>
      </c>
      <c r="CS191" s="16" t="n">
        <v>40.6603647520693</v>
      </c>
      <c r="CT191" s="16" t="n">
        <v>35.9826236743976</v>
      </c>
      <c r="CU191" s="16" t="n">
        <v>40.6603647520693</v>
      </c>
      <c r="CV191" s="16" t="n">
        <v>0</v>
      </c>
      <c r="CW191" s="16" t="n">
        <v>0</v>
      </c>
      <c r="CX191" s="16" t="n">
        <v>0</v>
      </c>
      <c r="CY191" s="16" t="n">
        <v>0</v>
      </c>
      <c r="CZ191" s="16" t="n">
        <v>0</v>
      </c>
      <c r="DA191" s="16" t="n">
        <v>0</v>
      </c>
      <c r="DB191" s="16" t="n">
        <v>17799.4818678524</v>
      </c>
      <c r="DC191" s="16" t="n">
        <v>13207.2155459465</v>
      </c>
      <c r="DD191" s="16" t="n">
        <v>11066.6666666667</v>
      </c>
      <c r="DE191" s="16" t="n">
        <v>0</v>
      </c>
      <c r="DF191" s="16" t="n">
        <v>314.925245</v>
      </c>
      <c r="DG191" s="16" t="n">
        <v>0</v>
      </c>
      <c r="DH191" s="16" t="n">
        <v>0</v>
      </c>
      <c r="DI191" s="16" t="n">
        <v>40.6603647520693</v>
      </c>
    </row>
    <row r="192" customFormat="false" ht="15" hidden="false" customHeight="false" outlineLevel="0" collapsed="false">
      <c r="A192" s="0" t="s">
        <v>3407</v>
      </c>
      <c r="B192" s="16" t="n">
        <v>2423.40833661368</v>
      </c>
      <c r="C192" s="16" t="n">
        <v>7320.29311172376</v>
      </c>
      <c r="D192" s="16" t="n">
        <v>19024.8843100935</v>
      </c>
      <c r="E192" s="16" t="n">
        <v>3864.96134836955</v>
      </c>
      <c r="F192" s="16" t="n">
        <v>-1074.59422057469</v>
      </c>
      <c r="G192" s="16" t="n">
        <v>4646.74384447529</v>
      </c>
      <c r="H192" s="16" t="n">
        <v>20198.6465824731</v>
      </c>
      <c r="I192" s="17" t="n">
        <v>33.9467986802832</v>
      </c>
      <c r="J192" s="17" t="n">
        <v>38.35988250872</v>
      </c>
      <c r="K192" s="16" t="s">
        <v>70</v>
      </c>
      <c r="L192" s="16" t="n">
        <v>-11246.4034201647</v>
      </c>
      <c r="M192" s="16" t="n">
        <v>27433.2058622345</v>
      </c>
      <c r="N192" s="16" t="n">
        <v>11759.9321594194</v>
      </c>
      <c r="O192" s="16" t="n">
        <v>-22470.2620812109</v>
      </c>
      <c r="P192" s="16" t="n">
        <v>968.519919991184</v>
      </c>
      <c r="Q192" s="16" t="n">
        <v>1602.1834171171</v>
      </c>
      <c r="R192" s="16" t="n">
        <v>16720.3421667323</v>
      </c>
      <c r="S192" s="16" t="n">
        <v>23663.8976862019</v>
      </c>
      <c r="T192" s="16" t="n">
        <v>-937.010768786052</v>
      </c>
      <c r="U192" s="16" t="n">
        <v>10690.7038913539</v>
      </c>
      <c r="V192" s="16" t="n">
        <v>0.82509878873241</v>
      </c>
      <c r="W192" s="16" t="n">
        <v>53259.1234046399</v>
      </c>
      <c r="X192" s="16" t="n">
        <v>21751.8294322891</v>
      </c>
      <c r="Y192" s="16" t="n">
        <v>36.0859419846959</v>
      </c>
      <c r="Z192" s="16" t="n">
        <v>48.9817339753846</v>
      </c>
      <c r="AA192" s="16" t="n">
        <v>30.1575455502983</v>
      </c>
      <c r="AB192" s="16" t="n">
        <v>27.9575455502983</v>
      </c>
      <c r="AC192" s="16" t="n">
        <v>29.4075455502983</v>
      </c>
      <c r="AD192" s="16" t="n">
        <v>30.1575455502983</v>
      </c>
      <c r="AE192" s="16" t="n">
        <v>653.683373262198</v>
      </c>
      <c r="AF192" s="16" t="n">
        <v>0.03</v>
      </c>
      <c r="AG192" s="16" t="n">
        <v>0.699294850981936</v>
      </c>
      <c r="AH192" s="16" t="n">
        <v>7989.21212851042</v>
      </c>
      <c r="AI192" s="16" t="n">
        <v>19024.8843100935</v>
      </c>
      <c r="AJ192" s="16" t="n">
        <v>22.221</v>
      </c>
      <c r="AK192" s="16" t="n">
        <v>0</v>
      </c>
      <c r="AL192" s="16" t="n">
        <v>-36986.0439744383</v>
      </c>
      <c r="AM192" s="16" t="n">
        <v>684.5</v>
      </c>
      <c r="AN192" s="16" t="n">
        <v>21854.1913884852</v>
      </c>
      <c r="AO192" s="16" t="n">
        <v>-6256.1801281137</v>
      </c>
      <c r="AP192" s="16" t="n">
        <v>0.585621100500218</v>
      </c>
      <c r="AQ192" s="16" t="n">
        <v>32.2846557514132</v>
      </c>
      <c r="AR192" s="16" t="n">
        <v>314.925245</v>
      </c>
      <c r="AS192" s="16" t="n">
        <v>314.925245</v>
      </c>
      <c r="AT192" s="16" t="n">
        <v>-11246.4034201647</v>
      </c>
      <c r="AU192" s="16" t="n">
        <v>0</v>
      </c>
      <c r="AV192" s="16" t="n">
        <v>0</v>
      </c>
      <c r="AW192" s="16" t="n">
        <v>2275.5</v>
      </c>
      <c r="AX192" s="16" t="n">
        <v>314.925245</v>
      </c>
      <c r="AY192" s="16" t="n">
        <v>314.925245</v>
      </c>
      <c r="AZ192" s="16" t="n">
        <v>6732.81520118575</v>
      </c>
      <c r="BA192" s="16" t="n">
        <v>775</v>
      </c>
      <c r="BB192" s="16" t="n">
        <v>289.821666666667</v>
      </c>
      <c r="BC192" s="16" t="n">
        <v>95824.1802763224</v>
      </c>
      <c r="BD192" s="16" t="n">
        <v>19.2660722072837</v>
      </c>
      <c r="BE192" s="16" t="n">
        <v>27.7315732819912</v>
      </c>
      <c r="BF192" s="16" t="n">
        <v>28.2872607118763</v>
      </c>
      <c r="BG192" s="16" t="n">
        <v>-9.69653106523862</v>
      </c>
      <c r="BH192" s="16" t="n">
        <v>-0.237386954030208</v>
      </c>
      <c r="BI192" s="16" t="n">
        <v>-0.367037357938344</v>
      </c>
      <c r="BJ192" s="16" t="n">
        <v>9.09210675327006</v>
      </c>
      <c r="BK192" s="16" t="n">
        <v>3.14199510649876</v>
      </c>
      <c r="BL192" s="16" t="n">
        <v>16.4951966225644</v>
      </c>
      <c r="BM192" s="16" t="n">
        <v>5.11489923648504</v>
      </c>
      <c r="BN192" s="16" t="n">
        <v>6.14038025700283</v>
      </c>
      <c r="BO192" s="16" t="n">
        <v>6.42123287671233</v>
      </c>
      <c r="BP192" s="16" t="n">
        <v>7672.79585778466</v>
      </c>
      <c r="BQ192" s="16" t="n">
        <v>7287.92637469352</v>
      </c>
      <c r="BR192" s="16" t="n">
        <v>7287.92637469352</v>
      </c>
      <c r="BS192" s="16" t="n">
        <v>314.925245</v>
      </c>
      <c r="BT192" s="16" t="n">
        <v>292.4</v>
      </c>
      <c r="BU192" s="16" t="n">
        <v>950</v>
      </c>
      <c r="BV192" s="16" t="s">
        <v>3238</v>
      </c>
      <c r="BW192" s="16" t="n">
        <v>41.1282051282051</v>
      </c>
      <c r="BX192" s="16" t="n">
        <v>0.140695465658278</v>
      </c>
      <c r="BY192" s="16" t="n">
        <v>0.244045334276294</v>
      </c>
      <c r="BZ192" s="16" t="n">
        <v>13618.5823768008</v>
      </c>
      <c r="CA192" s="16" t="n">
        <v>14142.0331459002</v>
      </c>
      <c r="CB192" s="16" t="n">
        <v>86.1868241806734</v>
      </c>
      <c r="CC192" s="16" t="n">
        <v>0</v>
      </c>
      <c r="CD192" s="16" t="n">
        <v>0</v>
      </c>
      <c r="CE192" s="16" t="n">
        <v>14925.9913884852</v>
      </c>
      <c r="CF192" s="16" t="n">
        <v>19.2660722072837</v>
      </c>
      <c r="CG192" s="16" t="n">
        <v>21.7706615942306</v>
      </c>
      <c r="CH192" s="16" t="n">
        <v>1931.14787912326</v>
      </c>
      <c r="CI192" s="16" t="n">
        <v>2.14057969233447</v>
      </c>
      <c r="CJ192" s="16" t="n">
        <v>14.8102625047176</v>
      </c>
      <c r="CK192" s="16" t="n">
        <v>0</v>
      </c>
      <c r="CL192" s="16" t="n">
        <v>0</v>
      </c>
      <c r="CM192" s="16" t="n">
        <v>0</v>
      </c>
      <c r="CN192" s="16" t="n">
        <v>-36986.0439744383</v>
      </c>
      <c r="CO192" s="16" t="n">
        <v>1.25539772727273</v>
      </c>
      <c r="CP192" s="16" t="n">
        <v>0.780487804878049</v>
      </c>
      <c r="CQ192" s="16" t="n">
        <v>36.4816609990969</v>
      </c>
      <c r="CR192" s="16" t="n">
        <v>38.35988250872</v>
      </c>
      <c r="CS192" s="16" t="n">
        <v>36.4816609990969</v>
      </c>
      <c r="CT192" s="16" t="n">
        <v>32.2846557514132</v>
      </c>
      <c r="CU192" s="16" t="n">
        <v>36.4816609990969</v>
      </c>
      <c r="CV192" s="16" t="n">
        <v>0</v>
      </c>
      <c r="CW192" s="16" t="n">
        <v>0</v>
      </c>
      <c r="CX192" s="16" t="n">
        <v>0</v>
      </c>
      <c r="CY192" s="16" t="n">
        <v>0</v>
      </c>
      <c r="CZ192" s="16" t="n">
        <v>0</v>
      </c>
      <c r="DA192" s="16" t="n">
        <v>0</v>
      </c>
      <c r="DB192" s="16" t="n">
        <v>17799.4818678524</v>
      </c>
      <c r="DC192" s="16" t="n">
        <v>13207.2155459465</v>
      </c>
      <c r="DD192" s="16" t="n">
        <v>11066.6666666667</v>
      </c>
      <c r="DE192" s="16" t="n">
        <v>0</v>
      </c>
      <c r="DF192" s="16" t="n">
        <v>314.925245</v>
      </c>
      <c r="DG192" s="16" t="n">
        <v>0</v>
      </c>
      <c r="DH192" s="16" t="n">
        <v>0</v>
      </c>
      <c r="DI192" s="16" t="n">
        <v>36.4816609990969</v>
      </c>
    </row>
    <row r="193" customFormat="false" ht="15" hidden="false" customHeight="false" outlineLevel="0" collapsed="false">
      <c r="A193" s="0" t="s">
        <v>3408</v>
      </c>
      <c r="B193" s="16" t="n">
        <v>2423.40833661368</v>
      </c>
      <c r="C193" s="16" t="n">
        <v>7320.29311172376</v>
      </c>
      <c r="D193" s="16" t="n">
        <v>19024.8843100935</v>
      </c>
      <c r="E193" s="16" t="n">
        <v>3864.96134836955</v>
      </c>
      <c r="F193" s="16" t="n">
        <v>-1074.59422057469</v>
      </c>
      <c r="G193" s="16" t="n">
        <v>4646.74384447529</v>
      </c>
      <c r="H193" s="16" t="n">
        <v>20470.3730400818</v>
      </c>
      <c r="I193" s="17" t="n">
        <v>35.6132040657115</v>
      </c>
      <c r="J193" s="17" t="n">
        <v>40.242920594254</v>
      </c>
      <c r="K193" s="16" t="s">
        <v>70</v>
      </c>
      <c r="L193" s="16" t="n">
        <v>-9683.89358152069</v>
      </c>
      <c r="M193" s="16" t="n">
        <v>27433.2058622345</v>
      </c>
      <c r="N193" s="16" t="n">
        <v>11759.9321594194</v>
      </c>
      <c r="O193" s="16" t="n">
        <v>-20600.7743613049</v>
      </c>
      <c r="P193" s="16" t="n">
        <v>968.519919991184</v>
      </c>
      <c r="Q193" s="16" t="n">
        <v>1602.1834171171</v>
      </c>
      <c r="R193" s="16" t="n">
        <v>16720.3421667323</v>
      </c>
      <c r="S193" s="16" t="n">
        <v>23663.8976862019</v>
      </c>
      <c r="T193" s="16" t="n">
        <v>-937.010768786052</v>
      </c>
      <c r="U193" s="16" t="n">
        <v>11215.4970156292</v>
      </c>
      <c r="V193" s="16" t="n">
        <v>0.82509878873241</v>
      </c>
      <c r="W193" s="16" t="n">
        <v>53259.1234046399</v>
      </c>
      <c r="X193" s="16" t="n">
        <v>21751.8294322891</v>
      </c>
      <c r="Y193" s="16" t="n">
        <v>37.8573552077188</v>
      </c>
      <c r="Z193" s="16" t="n">
        <v>51.3861853068029</v>
      </c>
      <c r="AA193" s="16" t="n">
        <v>30.1575455502983</v>
      </c>
      <c r="AB193" s="16" t="n">
        <v>27.9575455502983</v>
      </c>
      <c r="AC193" s="16" t="n">
        <v>29.4075455502983</v>
      </c>
      <c r="AD193" s="16" t="n">
        <v>30.1575455502983</v>
      </c>
      <c r="AE193" s="16" t="n">
        <v>653.683373262198</v>
      </c>
      <c r="AF193" s="16" t="n">
        <v>0.03</v>
      </c>
      <c r="AG193" s="16" t="n">
        <v>0.699294850981936</v>
      </c>
      <c r="AH193" s="16" t="n">
        <v>8567.93169795486</v>
      </c>
      <c r="AI193" s="16" t="n">
        <v>19024.8843100935</v>
      </c>
      <c r="AJ193" s="16" t="n">
        <v>22.221</v>
      </c>
      <c r="AK193" s="16" t="n">
        <v>0</v>
      </c>
      <c r="AL193" s="16" t="n">
        <v>-35484.0985541242</v>
      </c>
      <c r="AM193" s="16" t="n">
        <v>684.5</v>
      </c>
      <c r="AN193" s="16" t="n">
        <v>21854.1913884852</v>
      </c>
      <c r="AO193" s="16" t="n">
        <v>-5613.79256375324</v>
      </c>
      <c r="AP193" s="16" t="n">
        <v>0.585621100500218</v>
      </c>
      <c r="AQ193" s="16" t="n">
        <v>33.9510611368415</v>
      </c>
      <c r="AR193" s="16" t="n">
        <v>314.925245</v>
      </c>
      <c r="AS193" s="16" t="n">
        <v>314.925245</v>
      </c>
      <c r="AT193" s="16" t="n">
        <v>-9683.89358152069</v>
      </c>
      <c r="AU193" s="16" t="n">
        <v>0</v>
      </c>
      <c r="AV193" s="16" t="n">
        <v>0</v>
      </c>
      <c r="AW193" s="16" t="n">
        <v>2275.5</v>
      </c>
      <c r="AX193" s="16" t="n">
        <v>314.925245</v>
      </c>
      <c r="AY193" s="16" t="n">
        <v>314.925245</v>
      </c>
      <c r="AZ193" s="16" t="n">
        <v>6732.81520118575</v>
      </c>
      <c r="BA193" s="16" t="n">
        <v>775</v>
      </c>
      <c r="BB193" s="16" t="n">
        <v>289.821666666667</v>
      </c>
      <c r="BC193" s="16" t="n">
        <v>95824.1802763224</v>
      </c>
      <c r="BD193" s="16" t="n">
        <v>20.06964915351</v>
      </c>
      <c r="BE193" s="16" t="n">
        <v>28.5351502282174</v>
      </c>
      <c r="BF193" s="16" t="n">
        <v>29.0908376581026</v>
      </c>
      <c r="BG193" s="16" t="n">
        <v>-9.69653106523862</v>
      </c>
      <c r="BH193" s="16" t="n">
        <v>-0.237386954030208</v>
      </c>
      <c r="BI193" s="16" t="n">
        <v>-0.367037357938344</v>
      </c>
      <c r="BJ193" s="16" t="n">
        <v>9.09210675327006</v>
      </c>
      <c r="BK193" s="16" t="n">
        <v>3.14199510649876</v>
      </c>
      <c r="BL193" s="16" t="n">
        <v>16.4951966225644</v>
      </c>
      <c r="BM193" s="16" t="n">
        <v>5.11489923648504</v>
      </c>
      <c r="BN193" s="16" t="n">
        <v>6.14038025700283</v>
      </c>
      <c r="BO193" s="16" t="n">
        <v>6.42123287671233</v>
      </c>
      <c r="BP193" s="16" t="n">
        <v>7672.79585778466</v>
      </c>
      <c r="BQ193" s="16" t="n">
        <v>7287.92637469352</v>
      </c>
      <c r="BR193" s="16" t="n">
        <v>7287.92637469352</v>
      </c>
      <c r="BS193" s="16" t="n">
        <v>314.925245</v>
      </c>
      <c r="BT193" s="16" t="n">
        <v>292.4</v>
      </c>
      <c r="BU193" s="16" t="n">
        <v>950</v>
      </c>
      <c r="BV193" s="16" t="s">
        <v>3238</v>
      </c>
      <c r="BW193" s="16" t="n">
        <v>41.1282051282051</v>
      </c>
      <c r="BX193" s="16" t="n">
        <v>0.140695465658278</v>
      </c>
      <c r="BY193" s="16" t="n">
        <v>0.244045334276294</v>
      </c>
      <c r="BZ193" s="16" t="n">
        <v>13618.5823768008</v>
      </c>
      <c r="CA193" s="16" t="n">
        <v>14142.0331459002</v>
      </c>
      <c r="CB193" s="16" t="n">
        <v>82.7182862366503</v>
      </c>
      <c r="CC193" s="16" t="n">
        <v>0</v>
      </c>
      <c r="CD193" s="16" t="n">
        <v>0</v>
      </c>
      <c r="CE193" s="16" t="n">
        <v>14925.9913884852</v>
      </c>
      <c r="CF193" s="16" t="n">
        <v>20.06964915351</v>
      </c>
      <c r="CG193" s="16" t="n">
        <v>22.6787035434663</v>
      </c>
      <c r="CH193" s="16" t="n">
        <v>1931.14787912326</v>
      </c>
      <c r="CI193" s="16" t="n">
        <v>2.14057969233447</v>
      </c>
      <c r="CJ193" s="16" t="n">
        <v>14.8102625047176</v>
      </c>
      <c r="CK193" s="16" t="n">
        <v>0</v>
      </c>
      <c r="CL193" s="16" t="n">
        <v>0</v>
      </c>
      <c r="CM193" s="16" t="n">
        <v>0</v>
      </c>
      <c r="CN193" s="16" t="n">
        <v>-35484.0985541242</v>
      </c>
      <c r="CO193" s="16" t="n">
        <v>1.25539772727273</v>
      </c>
      <c r="CP193" s="16" t="n">
        <v>0.780487804878049</v>
      </c>
      <c r="CQ193" s="16" t="n">
        <v>38.3646990846309</v>
      </c>
      <c r="CR193" s="16" t="n">
        <v>40.242920594254</v>
      </c>
      <c r="CS193" s="16" t="n">
        <v>38.3646990846309</v>
      </c>
      <c r="CT193" s="16" t="n">
        <v>33.9510611368415</v>
      </c>
      <c r="CU193" s="16" t="n">
        <v>38.3646990846309</v>
      </c>
      <c r="CV193" s="16" t="n">
        <v>0</v>
      </c>
      <c r="CW193" s="16" t="n">
        <v>0</v>
      </c>
      <c r="CX193" s="16" t="n">
        <v>0</v>
      </c>
      <c r="CY193" s="16" t="n">
        <v>0</v>
      </c>
      <c r="CZ193" s="16" t="n">
        <v>0</v>
      </c>
      <c r="DA193" s="16" t="n">
        <v>0</v>
      </c>
      <c r="DB193" s="16" t="n">
        <v>17799.4818678524</v>
      </c>
      <c r="DC193" s="16" t="n">
        <v>13207.2155459465</v>
      </c>
      <c r="DD193" s="16" t="n">
        <v>11066.6666666667</v>
      </c>
      <c r="DE193" s="16" t="n">
        <v>0</v>
      </c>
      <c r="DF193" s="16" t="n">
        <v>314.925245</v>
      </c>
      <c r="DG193" s="16" t="n">
        <v>0</v>
      </c>
      <c r="DH193" s="16" t="n">
        <v>0</v>
      </c>
      <c r="DI193" s="16" t="n">
        <v>38.3646990846309</v>
      </c>
    </row>
    <row r="194" customFormat="false" ht="15" hidden="false" customHeight="false" outlineLevel="0" collapsed="false">
      <c r="A194" s="0" t="s">
        <v>3409</v>
      </c>
      <c r="B194" s="16" t="n">
        <v>2423.40833661368</v>
      </c>
      <c r="C194" s="16" t="n">
        <v>7336.21347446577</v>
      </c>
      <c r="D194" s="16" t="n">
        <v>18576.5735684625</v>
      </c>
      <c r="E194" s="16" t="n">
        <v>3876.26480591638</v>
      </c>
      <c r="F194" s="16" t="n">
        <v>-1063.98300530939</v>
      </c>
      <c r="G194" s="16" t="n">
        <v>4646.79927224714</v>
      </c>
      <c r="H194" s="16" t="n">
        <v>10106.0009695084</v>
      </c>
      <c r="I194" s="17" t="n">
        <v>2.70262533273833</v>
      </c>
      <c r="J194" s="17" t="n">
        <v>3.05396662599431</v>
      </c>
      <c r="K194" s="16" t="s">
        <v>70</v>
      </c>
      <c r="L194" s="16" t="n">
        <v>-9672.79955737185</v>
      </c>
      <c r="M194" s="16" t="n">
        <v>27433.5242694893</v>
      </c>
      <c r="N194" s="16" t="n">
        <v>11419.2159957799</v>
      </c>
      <c r="O194" s="16" t="n">
        <v>-20842.6347008976</v>
      </c>
      <c r="P194" s="16" t="n">
        <v>968.519919991184</v>
      </c>
      <c r="Q194" s="16" t="n">
        <v>1279.74550353081</v>
      </c>
      <c r="R194" s="16" t="n">
        <v>16720.3421667323</v>
      </c>
      <c r="S194" s="16" t="n">
        <v>23654.9314713693</v>
      </c>
      <c r="T194" s="16" t="n">
        <v>-937.010768786052</v>
      </c>
      <c r="U194" s="16" t="n">
        <v>851.124945055824</v>
      </c>
      <c r="V194" s="16" t="n">
        <v>0.82509878873241</v>
      </c>
      <c r="W194" s="16" t="n">
        <v>44606.695298757</v>
      </c>
      <c r="X194" s="16" t="n">
        <v>21344.4515046184</v>
      </c>
      <c r="Y194" s="16" t="n">
        <v>2.87293013641989</v>
      </c>
      <c r="Z194" s="16" t="n">
        <v>3.89960998473213</v>
      </c>
      <c r="AA194" s="16" t="n">
        <v>30.1575455502983</v>
      </c>
      <c r="AB194" s="16" t="n">
        <v>27.9575455502983</v>
      </c>
      <c r="AC194" s="16" t="n">
        <v>29.4075455502983</v>
      </c>
      <c r="AD194" s="16" t="n">
        <v>30.1575455502983</v>
      </c>
      <c r="AE194" s="16" t="n">
        <v>653.683373262198</v>
      </c>
      <c r="AF194" s="16" t="n">
        <v>0.03</v>
      </c>
      <c r="AG194" s="16" t="n">
        <v>0.692782615751903</v>
      </c>
      <c r="AH194" s="16" t="n">
        <v>8567.93169795486</v>
      </c>
      <c r="AI194" s="16" t="n">
        <v>18576.5735684625</v>
      </c>
      <c r="AJ194" s="16" t="n">
        <v>21.24225</v>
      </c>
      <c r="AK194" s="16" t="n">
        <v>0</v>
      </c>
      <c r="AL194" s="16" t="n">
        <v>-36270.7525825228</v>
      </c>
      <c r="AM194" s="16" t="n">
        <v>684.5</v>
      </c>
      <c r="AN194" s="16" t="n">
        <v>21854.1913884852</v>
      </c>
      <c r="AO194" s="16" t="n">
        <v>-5613.79256375324</v>
      </c>
      <c r="AP194" s="16" t="n">
        <v>0.585621100500218</v>
      </c>
      <c r="AQ194" s="16" t="n">
        <v>1.0404824038683</v>
      </c>
      <c r="AR194" s="16" t="n">
        <v>314.925245</v>
      </c>
      <c r="AS194" s="16" t="n">
        <v>314.925245</v>
      </c>
      <c r="AT194" s="16" t="n">
        <v>-9672.79955737185</v>
      </c>
      <c r="AU194" s="16" t="n">
        <v>0</v>
      </c>
      <c r="AV194" s="16" t="n">
        <v>0</v>
      </c>
      <c r="AW194" s="16" t="n">
        <v>2275.5</v>
      </c>
      <c r="AX194" s="16" t="n">
        <v>314.925245</v>
      </c>
      <c r="AY194" s="16" t="n">
        <v>314.925245</v>
      </c>
      <c r="AZ194" s="16" t="n">
        <v>6633.58454165325</v>
      </c>
      <c r="BA194" s="16" t="n">
        <v>775</v>
      </c>
      <c r="BB194" s="16" t="n">
        <v>289.821666666667</v>
      </c>
      <c r="BC194" s="16" t="n">
        <v>95740.7642863058</v>
      </c>
      <c r="BD194" s="16" t="n">
        <v>19.7545564097305</v>
      </c>
      <c r="BE194" s="16" t="n">
        <v>28.2200574844379</v>
      </c>
      <c r="BF194" s="16" t="n">
        <v>28.775744914323</v>
      </c>
      <c r="BG194" s="16" t="n">
        <v>-9.69653106523862</v>
      </c>
      <c r="BH194" s="16" t="n">
        <v>-0.237386954030208</v>
      </c>
      <c r="BI194" s="16" t="n">
        <v>-0.367037357938344</v>
      </c>
      <c r="BJ194" s="16" t="n">
        <v>9.09210675327006</v>
      </c>
      <c r="BK194" s="16" t="n">
        <v>3.14199510649876</v>
      </c>
      <c r="BL194" s="16" t="n">
        <v>16.4951966225644</v>
      </c>
      <c r="BM194" s="16" t="n">
        <v>5.11489923648504</v>
      </c>
      <c r="BN194" s="16" t="n">
        <v>6.14038025700283</v>
      </c>
      <c r="BO194" s="16" t="n">
        <v>6.42123287671233</v>
      </c>
      <c r="BP194" s="16" t="n">
        <v>7672.79585778466</v>
      </c>
      <c r="BQ194" s="16" t="n">
        <v>7303.84673743553</v>
      </c>
      <c r="BR194" s="16" t="n">
        <v>7303.84673743553</v>
      </c>
      <c r="BS194" s="16" t="n">
        <v>314.925245</v>
      </c>
      <c r="BT194" s="16" t="n">
        <v>292.4</v>
      </c>
      <c r="BU194" s="16" t="n">
        <v>950</v>
      </c>
      <c r="BV194" s="16" t="s">
        <v>3238</v>
      </c>
      <c r="BW194" s="16" t="n">
        <v>41.1282051282051</v>
      </c>
      <c r="BX194" s="16" t="n">
        <v>0.140695465658278</v>
      </c>
      <c r="BY194" s="16" t="n">
        <v>0.244045334276294</v>
      </c>
      <c r="BZ194" s="16" t="n">
        <v>13618.5823768008</v>
      </c>
      <c r="CA194" s="16" t="n">
        <v>14142.0331459002</v>
      </c>
      <c r="CB194" s="16" t="n">
        <v>84.413896253797</v>
      </c>
      <c r="CC194" s="16" t="n">
        <v>0</v>
      </c>
      <c r="CD194" s="16" t="n">
        <v>0</v>
      </c>
      <c r="CE194" s="16" t="n">
        <v>14925.9913884852</v>
      </c>
      <c r="CF194" s="16" t="n">
        <v>19.7545564097305</v>
      </c>
      <c r="CG194" s="16" t="n">
        <v>22.3226487429954</v>
      </c>
      <c r="CH194" s="16" t="n">
        <v>1931.14787912326</v>
      </c>
      <c r="CI194" s="16" t="n">
        <v>2.14057969233447</v>
      </c>
      <c r="CJ194" s="16" t="n">
        <v>14.8102625047176</v>
      </c>
      <c r="CK194" s="16" t="n">
        <v>0</v>
      </c>
      <c r="CL194" s="16" t="n">
        <v>0</v>
      </c>
      <c r="CM194" s="16" t="n">
        <v>0</v>
      </c>
      <c r="CN194" s="16" t="n">
        <v>-36270.7525825228</v>
      </c>
      <c r="CO194" s="16" t="n">
        <v>1.25539772727273</v>
      </c>
      <c r="CP194" s="16" t="n">
        <v>0.780487804878049</v>
      </c>
      <c r="CQ194" s="16" t="n">
        <v>1.17574511637117</v>
      </c>
      <c r="CR194" s="16" t="n">
        <v>3.05396662599431</v>
      </c>
      <c r="CS194" s="16" t="n">
        <v>1.17574511637117</v>
      </c>
      <c r="CT194" s="16" t="n">
        <v>1.0404824038683</v>
      </c>
      <c r="CU194" s="16" t="n">
        <v>1.17574511637117</v>
      </c>
      <c r="CV194" s="16" t="n">
        <v>0</v>
      </c>
      <c r="CW194" s="16" t="n">
        <v>0</v>
      </c>
      <c r="CX194" s="16" t="n">
        <v>0</v>
      </c>
      <c r="CY194" s="16" t="n">
        <v>0</v>
      </c>
      <c r="CZ194" s="16" t="n">
        <v>0</v>
      </c>
      <c r="DA194" s="16" t="n">
        <v>0</v>
      </c>
      <c r="DB194" s="16" t="n">
        <v>17700.2512083199</v>
      </c>
      <c r="DC194" s="16" t="n">
        <v>13133.5863965734</v>
      </c>
      <c r="DD194" s="16" t="n">
        <v>11066.6666666667</v>
      </c>
      <c r="DE194" s="16" t="n">
        <v>0</v>
      </c>
      <c r="DF194" s="16" t="n">
        <v>314.925245</v>
      </c>
      <c r="DG194" s="16" t="n">
        <v>0</v>
      </c>
      <c r="DH194" s="16" t="n">
        <v>0</v>
      </c>
      <c r="DI194" s="16" t="n">
        <v>1.17574511637117</v>
      </c>
    </row>
    <row r="195" customFormat="false" ht="15" hidden="false" customHeight="false" outlineLevel="0" collapsed="false">
      <c r="A195" s="0" t="s">
        <v>3410</v>
      </c>
      <c r="B195" s="16" t="n">
        <v>2423.40833661368</v>
      </c>
      <c r="C195" s="16" t="n">
        <v>7640.8884091291</v>
      </c>
      <c r="D195" s="16" t="n">
        <v>20773.0271269625</v>
      </c>
      <c r="E195" s="16" t="n">
        <v>4092.58400952734</v>
      </c>
      <c r="F195" s="16" t="n">
        <v>-860.082731712113</v>
      </c>
      <c r="G195" s="16" t="n">
        <v>4647.03120487429</v>
      </c>
      <c r="H195" s="16" t="n">
        <v>52718.9793581637</v>
      </c>
      <c r="I195" s="17" t="n">
        <v>136.113586628239</v>
      </c>
      <c r="J195" s="17" t="n">
        <v>153.80835288991</v>
      </c>
      <c r="K195" s="16" t="s">
        <v>70</v>
      </c>
      <c r="L195" s="16" t="n">
        <v>-9462.51644435236</v>
      </c>
      <c r="M195" s="16" t="n">
        <v>27439.6177681826</v>
      </c>
      <c r="N195" s="16" t="n">
        <v>13088.5207002398</v>
      </c>
      <c r="O195" s="16" t="n">
        <v>-19368.122211372</v>
      </c>
      <c r="P195" s="16" t="n">
        <v>968.519919991184</v>
      </c>
      <c r="Q195" s="16" t="n">
        <v>2857.47588112676</v>
      </c>
      <c r="R195" s="16" t="n">
        <v>16720.3421667323</v>
      </c>
      <c r="S195" s="16" t="n">
        <v>23698.8605425393</v>
      </c>
      <c r="T195" s="16" t="n">
        <v>-937.010768786052</v>
      </c>
      <c r="U195" s="16" t="n">
        <v>43648.5079569151</v>
      </c>
      <c r="V195" s="16" t="n">
        <v>0.82509878873241</v>
      </c>
      <c r="W195" s="16" t="n">
        <v>80005.6649527215</v>
      </c>
      <c r="X195" s="16" t="n">
        <v>23007.0548544672</v>
      </c>
      <c r="Y195" s="16" t="n">
        <v>144.690727295247</v>
      </c>
      <c r="Z195" s="16" t="n">
        <v>196.397885805126</v>
      </c>
      <c r="AA195" s="16" t="n">
        <v>30.1575455502983</v>
      </c>
      <c r="AB195" s="16" t="n">
        <v>27.9575455502983</v>
      </c>
      <c r="AC195" s="16" t="n">
        <v>29.4075455502983</v>
      </c>
      <c r="AD195" s="16" t="n">
        <v>30.1575455502983</v>
      </c>
      <c r="AE195" s="16" t="n">
        <v>653.683373262198</v>
      </c>
      <c r="AF195" s="16" t="n">
        <v>0.03</v>
      </c>
      <c r="AG195" s="16" t="n">
        <v>0.715140897863769</v>
      </c>
      <c r="AH195" s="16" t="n">
        <v>8567.93169795486</v>
      </c>
      <c r="AI195" s="16" t="n">
        <v>20773.0271269625</v>
      </c>
      <c r="AJ195" s="16" t="n">
        <v>22.39175</v>
      </c>
      <c r="AK195" s="16" t="n">
        <v>0</v>
      </c>
      <c r="AL195" s="16" t="n">
        <v>-32658.5944756147</v>
      </c>
      <c r="AM195" s="16" t="n">
        <v>684.5</v>
      </c>
      <c r="AN195" s="16" t="n">
        <v>21854.1913884852</v>
      </c>
      <c r="AO195" s="16" t="n">
        <v>-5613.79256375324</v>
      </c>
      <c r="AP195" s="16" t="n">
        <v>0.493991752567796</v>
      </c>
      <c r="AQ195" s="16" t="n">
        <v>134.530732555258</v>
      </c>
      <c r="AR195" s="16" t="n">
        <v>320.625430339068</v>
      </c>
      <c r="AS195" s="16" t="n">
        <v>320.677083296103</v>
      </c>
      <c r="AT195" s="16" t="n">
        <v>-9462.51644435236</v>
      </c>
      <c r="AU195" s="16" t="n">
        <v>0</v>
      </c>
      <c r="AV195" s="16" t="n">
        <v>0</v>
      </c>
      <c r="AW195" s="16" t="n">
        <v>2275.5</v>
      </c>
      <c r="AX195" s="16" t="n">
        <v>320.677083296103</v>
      </c>
      <c r="AY195" s="16" t="n">
        <v>319.322298459614</v>
      </c>
      <c r="AZ195" s="16" t="n">
        <v>7055.32991267765</v>
      </c>
      <c r="BA195" s="16" t="n">
        <v>775</v>
      </c>
      <c r="BB195" s="16" t="n">
        <v>289.821666666667</v>
      </c>
      <c r="BC195" s="16" t="n">
        <v>96087.4281683036</v>
      </c>
      <c r="BD195" s="16" t="n">
        <v>21.0937484171048</v>
      </c>
      <c r="BE195" s="16" t="n">
        <v>29.5592494918122</v>
      </c>
      <c r="BF195" s="16" t="n">
        <v>30.1149369216974</v>
      </c>
      <c r="BG195" s="16" t="n">
        <v>-9.69653106523862</v>
      </c>
      <c r="BH195" s="16" t="n">
        <v>-0.237386954030208</v>
      </c>
      <c r="BI195" s="16" t="n">
        <v>-0.367037357938344</v>
      </c>
      <c r="BJ195" s="16" t="n">
        <v>9.09210675327006</v>
      </c>
      <c r="BK195" s="16" t="n">
        <v>3.14199510649876</v>
      </c>
      <c r="BL195" s="16" t="n">
        <v>16.4951966225644</v>
      </c>
      <c r="BM195" s="16" t="n">
        <v>5.11489923648504</v>
      </c>
      <c r="BN195" s="16" t="n">
        <v>6.14038025700283</v>
      </c>
      <c r="BO195" s="16" t="n">
        <v>6.42123287671233</v>
      </c>
      <c r="BP195" s="16" t="n">
        <v>7672.79585778466</v>
      </c>
      <c r="BQ195" s="16" t="n">
        <v>7608.52167209886</v>
      </c>
      <c r="BR195" s="16" t="n">
        <v>7608.52167209886</v>
      </c>
      <c r="BS195" s="16" t="n">
        <v>320.625430339068</v>
      </c>
      <c r="BT195" s="16" t="n">
        <v>292.4</v>
      </c>
      <c r="BU195" s="16" t="n">
        <v>950</v>
      </c>
      <c r="BV195" s="16" t="s">
        <v>3238</v>
      </c>
      <c r="BW195" s="16" t="n">
        <v>41.1282051282051</v>
      </c>
      <c r="BX195" s="16" t="n">
        <v>0.140695465658278</v>
      </c>
      <c r="BY195" s="16" t="n">
        <v>0.244045334276294</v>
      </c>
      <c r="BZ195" s="16" t="n">
        <v>13434.1777535968</v>
      </c>
      <c r="CA195" s="16" t="n">
        <v>13948.7116911521</v>
      </c>
      <c r="CB195" s="16" t="n">
        <v>76.5276389482652</v>
      </c>
      <c r="CC195" s="16" t="n">
        <v>0</v>
      </c>
      <c r="CD195" s="16" t="n">
        <v>0</v>
      </c>
      <c r="CE195" s="16" t="n">
        <v>14925.9913884852</v>
      </c>
      <c r="CF195" s="16" t="n">
        <v>21.0937484171048</v>
      </c>
      <c r="CG195" s="16" t="n">
        <v>23.8359357113284</v>
      </c>
      <c r="CH195" s="16" t="n">
        <v>1931.14787912326</v>
      </c>
      <c r="CI195" s="16" t="n">
        <v>2.14057969233447</v>
      </c>
      <c r="CJ195" s="16" t="n">
        <v>14.8102625047176</v>
      </c>
      <c r="CK195" s="16" t="n">
        <v>0</v>
      </c>
      <c r="CL195" s="16" t="n">
        <v>0</v>
      </c>
      <c r="CM195" s="16" t="n">
        <v>0</v>
      </c>
      <c r="CN195" s="16" t="n">
        <v>-32658.5944756147</v>
      </c>
      <c r="CO195" s="16" t="n">
        <v>1.25539772727273</v>
      </c>
      <c r="CP195" s="16" t="n">
        <v>0.780487804878049</v>
      </c>
      <c r="CQ195" s="16" t="n">
        <v>152.019727787442</v>
      </c>
      <c r="CR195" s="16" t="n">
        <v>153.80835288991</v>
      </c>
      <c r="CS195" s="16" t="n">
        <v>152.019727787442</v>
      </c>
      <c r="CT195" s="16" t="n">
        <v>134.530732555258</v>
      </c>
      <c r="CU195" s="16" t="n">
        <v>152.019727787442</v>
      </c>
      <c r="CV195" s="16" t="n">
        <v>0</v>
      </c>
      <c r="CW195" s="16" t="n">
        <v>0</v>
      </c>
      <c r="CX195" s="16" t="n">
        <v>0</v>
      </c>
      <c r="CY195" s="16" t="n">
        <v>0</v>
      </c>
      <c r="CZ195" s="16" t="n">
        <v>0</v>
      </c>
      <c r="DA195" s="16" t="n">
        <v>0</v>
      </c>
      <c r="DB195" s="16" t="n">
        <v>18121.9965793443</v>
      </c>
      <c r="DC195" s="16" t="n">
        <v>13446.5214618735</v>
      </c>
      <c r="DD195" s="16" t="n">
        <v>11066.6666666667</v>
      </c>
      <c r="DE195" s="16" t="n">
        <v>0</v>
      </c>
      <c r="DF195" s="16" t="n">
        <v>320.625430339068</v>
      </c>
      <c r="DG195" s="16" t="n">
        <v>0</v>
      </c>
      <c r="DH195" s="16" t="n">
        <v>0</v>
      </c>
      <c r="DI195" s="16" t="n">
        <v>152.019727787442</v>
      </c>
    </row>
    <row r="196" customFormat="false" ht="15" hidden="false" customHeight="false" outlineLevel="0" collapsed="false">
      <c r="A196" s="0" t="s">
        <v>3411</v>
      </c>
      <c r="B196" s="16" t="n">
        <v>2423.40833661368</v>
      </c>
      <c r="C196" s="16" t="n">
        <v>7623.23059414707</v>
      </c>
      <c r="D196" s="16" t="n">
        <v>19676.8936899531</v>
      </c>
      <c r="E196" s="16" t="n">
        <v>4080.0469608901</v>
      </c>
      <c r="F196" s="16" t="n">
        <v>-871.899338307115</v>
      </c>
      <c r="G196" s="16" t="n">
        <v>4647.01707543134</v>
      </c>
      <c r="H196" s="16" t="n">
        <v>27150.2979974967</v>
      </c>
      <c r="I196" s="17" t="n">
        <v>56.7964685899304</v>
      </c>
      <c r="J196" s="17" t="n">
        <v>64.1800095066213</v>
      </c>
      <c r="K196" s="16" t="s">
        <v>70</v>
      </c>
      <c r="L196" s="16" t="n">
        <v>-9474.70033668996</v>
      </c>
      <c r="M196" s="16" t="n">
        <v>27439.2646118829</v>
      </c>
      <c r="N196" s="16" t="n">
        <v>12255.4592881127</v>
      </c>
      <c r="O196" s="16" t="n">
        <v>-20001.7060503006</v>
      </c>
      <c r="P196" s="16" t="n">
        <v>968.519919991184</v>
      </c>
      <c r="Q196" s="16" t="n">
        <v>2069.41869737788</v>
      </c>
      <c r="R196" s="16" t="n">
        <v>16720.3421667323</v>
      </c>
      <c r="S196" s="16" t="n">
        <v>23676.9378737991</v>
      </c>
      <c r="T196" s="16" t="n">
        <v>-937.010768786052</v>
      </c>
      <c r="U196" s="16" t="n">
        <v>18079.8265962482</v>
      </c>
      <c r="V196" s="16" t="n">
        <v>0.82509878873241</v>
      </c>
      <c r="W196" s="16" t="n">
        <v>58538.4152607005</v>
      </c>
      <c r="X196" s="16" t="n">
        <v>21998.9473468173</v>
      </c>
      <c r="Y196" s="16" t="n">
        <v>60.3754742759364</v>
      </c>
      <c r="Z196" s="16" t="n">
        <v>81.9514541390048</v>
      </c>
      <c r="AA196" s="16" t="n">
        <v>30.1575455502983</v>
      </c>
      <c r="AB196" s="16" t="n">
        <v>27.9575455502983</v>
      </c>
      <c r="AC196" s="16" t="n">
        <v>29.4075455502983</v>
      </c>
      <c r="AD196" s="16" t="n">
        <v>24.2302170521396</v>
      </c>
      <c r="AE196" s="16" t="n">
        <v>653.683373262198</v>
      </c>
      <c r="AF196" s="16" t="n">
        <v>0.03</v>
      </c>
      <c r="AG196" s="16" t="n">
        <v>0.70275179256799</v>
      </c>
      <c r="AH196" s="16" t="n">
        <v>8567.93169795486</v>
      </c>
      <c r="AI196" s="16" t="n">
        <v>19676.8936899531</v>
      </c>
      <c r="AJ196" s="16" t="n">
        <v>22.39175</v>
      </c>
      <c r="AK196" s="16" t="n">
        <v>0</v>
      </c>
      <c r="AL196" s="16" t="n">
        <v>-34524.2926465884</v>
      </c>
      <c r="AM196" s="16" t="n">
        <v>684.5</v>
      </c>
      <c r="AN196" s="16" t="n">
        <v>21854.1913884852</v>
      </c>
      <c r="AO196" s="16" t="n">
        <v>-5613.79256375324</v>
      </c>
      <c r="AP196" s="16" t="n">
        <v>0.519414437863832</v>
      </c>
      <c r="AQ196" s="16" t="n">
        <v>55.1800974114103</v>
      </c>
      <c r="AR196" s="16" t="n">
        <v>318.3265975</v>
      </c>
      <c r="AS196" s="16" t="n">
        <v>318.3265975</v>
      </c>
      <c r="AT196" s="16" t="n">
        <v>-9474.70033668996</v>
      </c>
      <c r="AU196" s="16" t="n">
        <v>0</v>
      </c>
      <c r="AV196" s="16" t="n">
        <v>0</v>
      </c>
      <c r="AW196" s="16" t="n">
        <v>2275.5</v>
      </c>
      <c r="AX196" s="16" t="n">
        <v>318.3265975</v>
      </c>
      <c r="AY196" s="16" t="n">
        <v>315.079835372316</v>
      </c>
      <c r="AZ196" s="16" t="n">
        <v>6851.17654354031</v>
      </c>
      <c r="BA196" s="16" t="n">
        <v>775</v>
      </c>
      <c r="BB196" s="16" t="n">
        <v>289.821666666667</v>
      </c>
      <c r="BC196" s="16" t="n">
        <v>95888.0766578307</v>
      </c>
      <c r="BD196" s="16" t="n">
        <v>20.4454886399715</v>
      </c>
      <c r="BE196" s="16" t="n">
        <v>28.910989714679</v>
      </c>
      <c r="BF196" s="16" t="n">
        <v>29.4666771445641</v>
      </c>
      <c r="BG196" s="16" t="n">
        <v>-9.69653106523862</v>
      </c>
      <c r="BH196" s="16" t="n">
        <v>-0.237386954030208</v>
      </c>
      <c r="BI196" s="16" t="n">
        <v>-0.367037357938344</v>
      </c>
      <c r="BJ196" s="16" t="n">
        <v>9.09210675327006</v>
      </c>
      <c r="BK196" s="16" t="n">
        <v>3.14199510649876</v>
      </c>
      <c r="BL196" s="16" t="n">
        <v>16.4951966225644</v>
      </c>
      <c r="BM196" s="16" t="n">
        <v>5.11489923648504</v>
      </c>
      <c r="BN196" s="16" t="n">
        <v>6.14038025700283</v>
      </c>
      <c r="BO196" s="16" t="n">
        <v>6.42123287671233</v>
      </c>
      <c r="BP196" s="16" t="n">
        <v>7672.79585778466</v>
      </c>
      <c r="BQ196" s="16" t="n">
        <v>7590.86385711683</v>
      </c>
      <c r="BR196" s="16" t="n">
        <v>7590.86385711683</v>
      </c>
      <c r="BS196" s="16" t="n">
        <v>318.3265975</v>
      </c>
      <c r="BT196" s="16" t="n">
        <v>292.4</v>
      </c>
      <c r="BU196" s="16" t="n">
        <v>950</v>
      </c>
      <c r="BV196" s="16" t="s">
        <v>3238</v>
      </c>
      <c r="BW196" s="16" t="n">
        <v>41.1282051282051</v>
      </c>
      <c r="BX196" s="16" t="n">
        <v>0.140695465658278</v>
      </c>
      <c r="BY196" s="16" t="n">
        <v>0.244045334276294</v>
      </c>
      <c r="BZ196" s="16" t="n">
        <v>13434.1777535968</v>
      </c>
      <c r="CA196" s="16" t="n">
        <v>13948.7116911521</v>
      </c>
      <c r="CB196" s="16" t="n">
        <v>80.6089338677347</v>
      </c>
      <c r="CC196" s="16" t="n">
        <v>0</v>
      </c>
      <c r="CD196" s="16" t="n">
        <v>0</v>
      </c>
      <c r="CE196" s="16" t="n">
        <v>14925.9913884852</v>
      </c>
      <c r="CF196" s="16" t="n">
        <v>20.4454886399715</v>
      </c>
      <c r="CG196" s="16" t="n">
        <v>23.1034021631678</v>
      </c>
      <c r="CH196" s="16" t="n">
        <v>1931.14787912326</v>
      </c>
      <c r="CI196" s="16" t="n">
        <v>2.14057969233447</v>
      </c>
      <c r="CJ196" s="16" t="n">
        <v>14.8102625047176</v>
      </c>
      <c r="CK196" s="16" t="n">
        <v>0</v>
      </c>
      <c r="CL196" s="16" t="n">
        <v>0</v>
      </c>
      <c r="CM196" s="16" t="n">
        <v>0</v>
      </c>
      <c r="CN196" s="16" t="n">
        <v>-34524.2926465884</v>
      </c>
      <c r="CO196" s="16" t="n">
        <v>1.25539772727273</v>
      </c>
      <c r="CP196" s="16" t="n">
        <v>0.780487804878049</v>
      </c>
      <c r="CQ196" s="16" t="n">
        <v>62.3535100748936</v>
      </c>
      <c r="CR196" s="16" t="n">
        <v>64.1800095066213</v>
      </c>
      <c r="CS196" s="16" t="n">
        <v>62.3535100748936</v>
      </c>
      <c r="CT196" s="16" t="n">
        <v>55.1800974114103</v>
      </c>
      <c r="CU196" s="16" t="n">
        <v>62.3535100748936</v>
      </c>
      <c r="CV196" s="16" t="n">
        <v>0</v>
      </c>
      <c r="CW196" s="16" t="n">
        <v>0</v>
      </c>
      <c r="CX196" s="16" t="n">
        <v>0</v>
      </c>
      <c r="CY196" s="16" t="n">
        <v>0</v>
      </c>
      <c r="CZ196" s="16" t="n">
        <v>0</v>
      </c>
      <c r="DA196" s="16" t="n">
        <v>0</v>
      </c>
      <c r="DB196" s="16" t="n">
        <v>17917.843210207</v>
      </c>
      <c r="DC196" s="16" t="n">
        <v>13295.0396619736</v>
      </c>
      <c r="DD196" s="16" t="n">
        <v>11066.6666666667</v>
      </c>
      <c r="DE196" s="16" t="n">
        <v>0</v>
      </c>
      <c r="DF196" s="16" t="n">
        <v>318.3265975</v>
      </c>
      <c r="DG196" s="16" t="n">
        <v>0</v>
      </c>
      <c r="DH196" s="16" t="n">
        <v>0</v>
      </c>
      <c r="DI196" s="16" t="n">
        <v>62.3535100748936</v>
      </c>
    </row>
    <row r="197" customFormat="false" ht="15" hidden="false" customHeight="false" outlineLevel="0" collapsed="false">
      <c r="A197" s="0" t="s">
        <v>3412</v>
      </c>
      <c r="B197" s="16" t="n">
        <v>2423.40833661368</v>
      </c>
      <c r="C197" s="16" t="n">
        <v>7623.23059414707</v>
      </c>
      <c r="D197" s="16" t="n">
        <v>19676.8936899531</v>
      </c>
      <c r="E197" s="16" t="n">
        <v>4080.0469608901</v>
      </c>
      <c r="F197" s="16" t="n">
        <v>-871.899338307115</v>
      </c>
      <c r="G197" s="16" t="n">
        <v>4647.01707543134</v>
      </c>
      <c r="H197" s="16" t="n">
        <v>27150.2979974967</v>
      </c>
      <c r="I197" s="17" t="n">
        <v>56.7299095899398</v>
      </c>
      <c r="J197" s="17" t="n">
        <v>64.104797836632</v>
      </c>
      <c r="K197" s="16" t="s">
        <v>70</v>
      </c>
      <c r="L197" s="16" t="n">
        <v>-9474.70033668996</v>
      </c>
      <c r="M197" s="16" t="n">
        <v>27439.2646118829</v>
      </c>
      <c r="N197" s="16" t="n">
        <v>12255.4592881127</v>
      </c>
      <c r="O197" s="16" t="n">
        <v>-20001.7060503006</v>
      </c>
      <c r="P197" s="16" t="n">
        <v>968.519919991184</v>
      </c>
      <c r="Q197" s="16" t="n">
        <v>2069.41869737788</v>
      </c>
      <c r="R197" s="16" t="n">
        <v>16720.3421667323</v>
      </c>
      <c r="S197" s="16" t="n">
        <v>23676.9378737991</v>
      </c>
      <c r="T197" s="16" t="n">
        <v>-937.010768786052</v>
      </c>
      <c r="U197" s="16" t="n">
        <v>18058.6390962482</v>
      </c>
      <c r="V197" s="16" t="n">
        <v>0.82509878873241</v>
      </c>
      <c r="W197" s="16" t="n">
        <v>58538.4152607005</v>
      </c>
      <c r="X197" s="16" t="n">
        <v>21998.9473468173</v>
      </c>
      <c r="Y197" s="16" t="n">
        <v>60.3047210884314</v>
      </c>
      <c r="Z197" s="16" t="n">
        <v>81.8554163575954</v>
      </c>
      <c r="AA197" s="16" t="n">
        <v>30.1575455502983</v>
      </c>
      <c r="AB197" s="16" t="n">
        <v>27.9575455502983</v>
      </c>
      <c r="AC197" s="16" t="n">
        <v>29.4075455502983</v>
      </c>
      <c r="AD197" s="16" t="n">
        <v>24.2302170521396</v>
      </c>
      <c r="AE197" s="16" t="n">
        <v>653.683373262198</v>
      </c>
      <c r="AF197" s="16" t="n">
        <v>0.03</v>
      </c>
      <c r="AG197" s="16" t="n">
        <v>0.70275179256799</v>
      </c>
      <c r="AH197" s="16" t="n">
        <v>8567.93169795486</v>
      </c>
      <c r="AI197" s="16" t="n">
        <v>19676.8936899531</v>
      </c>
      <c r="AJ197" s="16" t="n">
        <v>22.39175</v>
      </c>
      <c r="AK197" s="16" t="n">
        <v>0</v>
      </c>
      <c r="AL197" s="16" t="n">
        <v>-34524.2926465884</v>
      </c>
      <c r="AM197" s="16" t="n">
        <v>684.5</v>
      </c>
      <c r="AN197" s="16" t="n">
        <v>21854.1913884852</v>
      </c>
      <c r="AO197" s="16" t="n">
        <v>-5613.79256375324</v>
      </c>
      <c r="AP197" s="16" t="n">
        <v>0.519414437863832</v>
      </c>
      <c r="AQ197" s="16" t="n">
        <v>55.1135384114197</v>
      </c>
      <c r="AR197" s="16" t="n">
        <v>318.3265975</v>
      </c>
      <c r="AS197" s="16" t="n">
        <v>318.3265975</v>
      </c>
      <c r="AT197" s="16" t="n">
        <v>-9474.70033668996</v>
      </c>
      <c r="AU197" s="16" t="n">
        <v>0</v>
      </c>
      <c r="AV197" s="16" t="n">
        <v>0</v>
      </c>
      <c r="AW197" s="16" t="n">
        <v>2254.3125</v>
      </c>
      <c r="AX197" s="16" t="n">
        <v>318.3265975</v>
      </c>
      <c r="AY197" s="16" t="n">
        <v>315.076026072389</v>
      </c>
      <c r="AZ197" s="16" t="n">
        <v>6851.17654354031</v>
      </c>
      <c r="BA197" s="16" t="n">
        <v>775</v>
      </c>
      <c r="BB197" s="16" t="n">
        <v>289.821666666667</v>
      </c>
      <c r="BC197" s="16" t="n">
        <v>95888.0766578307</v>
      </c>
      <c r="BD197" s="16" t="n">
        <v>20.4454886399715</v>
      </c>
      <c r="BE197" s="16" t="n">
        <v>29.1027812619079</v>
      </c>
      <c r="BF197" s="16" t="n">
        <v>37.8350123029602</v>
      </c>
      <c r="BG197" s="16" t="n">
        <v>-9.69653106523862</v>
      </c>
      <c r="BH197" s="16" t="n">
        <v>-0.237386954030208</v>
      </c>
      <c r="BI197" s="16" t="n">
        <v>-0.367037357938344</v>
      </c>
      <c r="BJ197" s="16" t="n">
        <v>9.09210675327006</v>
      </c>
      <c r="BK197" s="16" t="n">
        <v>3.14199510649876</v>
      </c>
      <c r="BL197" s="16" t="n">
        <v>16.4951966225644</v>
      </c>
      <c r="BM197" s="16" t="n">
        <v>5.11489923648504</v>
      </c>
      <c r="BN197" s="16" t="n">
        <v>6.14038025700283</v>
      </c>
      <c r="BO197" s="16" t="n">
        <v>6.42123287671233</v>
      </c>
      <c r="BP197" s="16" t="n">
        <v>7672.79585778466</v>
      </c>
      <c r="BQ197" s="16" t="n">
        <v>7590.86385711683</v>
      </c>
      <c r="BR197" s="16" t="n">
        <v>7590.86385711683</v>
      </c>
      <c r="BS197" s="16" t="n">
        <v>318.3265975</v>
      </c>
      <c r="BT197" s="16" t="n">
        <v>292.4</v>
      </c>
      <c r="BU197" s="16" t="n">
        <v>950</v>
      </c>
      <c r="BV197" s="16" t="s">
        <v>3238</v>
      </c>
      <c r="BW197" s="16" t="n">
        <v>41.1282051282051</v>
      </c>
      <c r="BX197" s="16" t="n">
        <v>0.140695465658278</v>
      </c>
      <c r="BY197" s="16" t="n">
        <v>0.244045334276294</v>
      </c>
      <c r="BZ197" s="16" t="n">
        <v>13434.1777535968</v>
      </c>
      <c r="CA197" s="16" t="n">
        <v>13948.7116911521</v>
      </c>
      <c r="CB197" s="16" t="n">
        <v>80.6089338677347</v>
      </c>
      <c r="CC197" s="16" t="n">
        <v>0</v>
      </c>
      <c r="CD197" s="16" t="n">
        <v>0</v>
      </c>
      <c r="CE197" s="16" t="n">
        <v>14925.9913884852</v>
      </c>
      <c r="CF197" s="16" t="n">
        <v>20.4454886399715</v>
      </c>
      <c r="CG197" s="16" t="n">
        <v>23.1034021631678</v>
      </c>
      <c r="CH197" s="16" t="n">
        <v>1931.14787912326</v>
      </c>
      <c r="CI197" s="16" t="n">
        <v>2.14057969233447</v>
      </c>
      <c r="CJ197" s="16" t="n">
        <v>14.8102625047176</v>
      </c>
      <c r="CK197" s="16" t="n">
        <v>0</v>
      </c>
      <c r="CL197" s="16" t="n">
        <v>0</v>
      </c>
      <c r="CM197" s="16" t="n">
        <v>0</v>
      </c>
      <c r="CN197" s="16" t="n">
        <v>-34524.2926465884</v>
      </c>
      <c r="CO197" s="16" t="n">
        <v>1.25539772727273</v>
      </c>
      <c r="CP197" s="16" t="n">
        <v>0.780487804878049</v>
      </c>
      <c r="CQ197" s="16" t="n">
        <v>62.2782984049043</v>
      </c>
      <c r="CR197" s="16" t="n">
        <v>64.104797836632</v>
      </c>
      <c r="CS197" s="16" t="n">
        <v>62.2782984049043</v>
      </c>
      <c r="CT197" s="16" t="n">
        <v>55.1135384114197</v>
      </c>
      <c r="CU197" s="16" t="n">
        <v>62.2782984049043</v>
      </c>
      <c r="CV197" s="16" t="n">
        <v>0</v>
      </c>
      <c r="CW197" s="16" t="n">
        <v>0</v>
      </c>
      <c r="CX197" s="16" t="n">
        <v>0</v>
      </c>
      <c r="CY197" s="16" t="n">
        <v>0</v>
      </c>
      <c r="CZ197" s="16" t="n">
        <v>0</v>
      </c>
      <c r="DA197" s="16" t="n">
        <v>0</v>
      </c>
      <c r="DB197" s="16" t="n">
        <v>17917.843210207</v>
      </c>
      <c r="DC197" s="16" t="n">
        <v>13295.0396619736</v>
      </c>
      <c r="DD197" s="16" t="n">
        <v>11066.6666666667</v>
      </c>
      <c r="DE197" s="16" t="n">
        <v>0</v>
      </c>
      <c r="DF197" s="16" t="n">
        <v>318.3265975</v>
      </c>
      <c r="DG197" s="16" t="n">
        <v>0</v>
      </c>
      <c r="DH197" s="16" t="n">
        <v>0</v>
      </c>
      <c r="DI197" s="16" t="n">
        <v>62.2782984049043</v>
      </c>
    </row>
    <row r="198" customFormat="false" ht="15" hidden="false" customHeight="false" outlineLevel="0" collapsed="false">
      <c r="A198" s="0" t="s">
        <v>3413</v>
      </c>
      <c r="B198" s="16" t="n">
        <v>2423.40833661368</v>
      </c>
      <c r="C198" s="16" t="n">
        <v>7623.23059414707</v>
      </c>
      <c r="D198" s="16" t="n">
        <v>19676.8936899531</v>
      </c>
      <c r="E198" s="16" t="n">
        <v>4080.0469608901</v>
      </c>
      <c r="F198" s="16" t="n">
        <v>-868.602294557115</v>
      </c>
      <c r="G198" s="16" t="n">
        <v>4643.72003168134</v>
      </c>
      <c r="H198" s="16" t="n">
        <v>27144.222985051</v>
      </c>
      <c r="I198" s="17" t="n">
        <v>56.7503877328455</v>
      </c>
      <c r="J198" s="17" t="n">
        <v>64.1279381381154</v>
      </c>
      <c r="K198" s="16" t="s">
        <v>70</v>
      </c>
      <c r="L198" s="16" t="n">
        <v>-10193.9950765441</v>
      </c>
      <c r="M198" s="16" t="n">
        <v>27439.2646118829</v>
      </c>
      <c r="N198" s="16" t="n">
        <v>12255.4592881127</v>
      </c>
      <c r="O198" s="16" t="n">
        <v>-20673.3052500267</v>
      </c>
      <c r="P198" s="16" t="n">
        <v>968.519919991184</v>
      </c>
      <c r="Q198" s="16" t="n">
        <v>2076.48379112788</v>
      </c>
      <c r="R198" s="16" t="n">
        <v>16720.3421667323</v>
      </c>
      <c r="S198" s="16" t="n">
        <v>23676.9378737991</v>
      </c>
      <c r="T198" s="16" t="n">
        <v>-936.775265661052</v>
      </c>
      <c r="U198" s="16" t="n">
        <v>18065.1578338024</v>
      </c>
      <c r="V198" s="16" t="n">
        <v>0.82509878873241</v>
      </c>
      <c r="W198" s="16" t="n">
        <v>58538.4152607005</v>
      </c>
      <c r="X198" s="16" t="n">
        <v>21998.9473468173</v>
      </c>
      <c r="Y198" s="16" t="n">
        <v>60.3264896529375</v>
      </c>
      <c r="Z198" s="16" t="n">
        <v>81.8849642085596</v>
      </c>
      <c r="AA198" s="16" t="n">
        <v>30.1575455502983</v>
      </c>
      <c r="AB198" s="16" t="n">
        <v>27.9575455502983</v>
      </c>
      <c r="AC198" s="16" t="n">
        <v>29.4075455502983</v>
      </c>
      <c r="AD198" s="16" t="n">
        <v>24.2302170521396</v>
      </c>
      <c r="AE198" s="16" t="n">
        <v>653.683373262198</v>
      </c>
      <c r="AF198" s="16" t="n">
        <v>0.03</v>
      </c>
      <c r="AG198" s="16" t="n">
        <v>0.70275179256799</v>
      </c>
      <c r="AH198" s="16" t="n">
        <v>7811.44814326736</v>
      </c>
      <c r="AI198" s="16" t="n">
        <v>19676.8936899531</v>
      </c>
      <c r="AJ198" s="16" t="n">
        <v>22.39175</v>
      </c>
      <c r="AK198" s="16" t="n">
        <v>0</v>
      </c>
      <c r="AL198" s="16" t="n">
        <v>-35161.445977645</v>
      </c>
      <c r="AM198" s="16" t="n">
        <v>684.5</v>
      </c>
      <c r="AN198" s="16" t="n">
        <v>21854.1913884852</v>
      </c>
      <c r="AO198" s="16" t="n">
        <v>-5613.79256375324</v>
      </c>
      <c r="AP198" s="16" t="n">
        <v>0.519414437863832</v>
      </c>
      <c r="AQ198" s="16" t="n">
        <v>55.1340165543254</v>
      </c>
      <c r="AR198" s="16" t="n">
        <v>318.3265975</v>
      </c>
      <c r="AS198" s="16" t="n">
        <v>318.3265975</v>
      </c>
      <c r="AT198" s="16" t="n">
        <v>-10193.9950765441</v>
      </c>
      <c r="AU198" s="16" t="n">
        <v>0</v>
      </c>
      <c r="AV198" s="16" t="n">
        <v>0</v>
      </c>
      <c r="AW198" s="16" t="n">
        <v>2254.3125</v>
      </c>
      <c r="AX198" s="16" t="n">
        <v>318.3265975</v>
      </c>
      <c r="AY198" s="16" t="n">
        <v>315.077199027657</v>
      </c>
      <c r="AZ198" s="16" t="n">
        <v>6851.17654354031</v>
      </c>
      <c r="BA198" s="16" t="n">
        <v>0</v>
      </c>
      <c r="BB198" s="16" t="n">
        <v>289.821666666667</v>
      </c>
      <c r="BC198" s="16" t="n">
        <v>95888.0766578307</v>
      </c>
      <c r="BD198" s="16" t="n">
        <v>20.4854782889436</v>
      </c>
      <c r="BE198" s="16" t="n">
        <v>29.14277091088</v>
      </c>
      <c r="BF198" s="16" t="n">
        <v>37.8750019519323</v>
      </c>
      <c r="BG198" s="16" t="n">
        <v>-9.69653106523862</v>
      </c>
      <c r="BH198" s="16" t="n">
        <v>-0.237386954030208</v>
      </c>
      <c r="BI198" s="16" t="n">
        <v>-0.367037357938344</v>
      </c>
      <c r="BJ198" s="16" t="n">
        <v>9.09210675327006</v>
      </c>
      <c r="BK198" s="16" t="n">
        <v>3.14199510649876</v>
      </c>
      <c r="BL198" s="16" t="n">
        <v>16.4951966225644</v>
      </c>
      <c r="BM198" s="16" t="n">
        <v>5.11489923648504</v>
      </c>
      <c r="BN198" s="16" t="n">
        <v>6.14038025700283</v>
      </c>
      <c r="BO198" s="16" t="n">
        <v>6.42123287671233</v>
      </c>
      <c r="BP198" s="16" t="n">
        <v>7672.79585778466</v>
      </c>
      <c r="BQ198" s="16" t="n">
        <v>7590.86385711683</v>
      </c>
      <c r="BR198" s="16" t="n">
        <v>7590.86385711683</v>
      </c>
      <c r="BS198" s="16" t="n">
        <v>318.3265975</v>
      </c>
      <c r="BT198" s="16" t="n">
        <v>292.4</v>
      </c>
      <c r="BU198" s="16" t="n">
        <v>950</v>
      </c>
      <c r="BV198" s="16" t="s">
        <v>3238</v>
      </c>
      <c r="BW198" s="16" t="n">
        <v>41.1282051282051</v>
      </c>
      <c r="BX198" s="16" t="n">
        <v>0.140695465658278</v>
      </c>
      <c r="BY198" s="16" t="n">
        <v>0.244045334276294</v>
      </c>
      <c r="BZ198" s="16" t="n">
        <v>13434.1777535968</v>
      </c>
      <c r="CA198" s="16" t="n">
        <v>13948.7116911521</v>
      </c>
      <c r="CB198" s="16" t="n">
        <v>82.0821242708347</v>
      </c>
      <c r="CC198" s="16" t="n">
        <v>0</v>
      </c>
      <c r="CD198" s="16" t="n">
        <v>0</v>
      </c>
      <c r="CE198" s="16" t="n">
        <v>14925.9913884852</v>
      </c>
      <c r="CF198" s="16" t="n">
        <v>20.4854782889436</v>
      </c>
      <c r="CG198" s="16" t="n">
        <v>23.1485904665063</v>
      </c>
      <c r="CH198" s="16" t="n">
        <v>1931.14787912326</v>
      </c>
      <c r="CI198" s="16" t="n">
        <v>2.14057969233447</v>
      </c>
      <c r="CJ198" s="16" t="n">
        <v>14.8102625047176</v>
      </c>
      <c r="CK198" s="16" t="n">
        <v>0</v>
      </c>
      <c r="CL198" s="16" t="n">
        <v>0</v>
      </c>
      <c r="CM198" s="16" t="n">
        <v>0</v>
      </c>
      <c r="CN198" s="16" t="n">
        <v>-35161.445977645</v>
      </c>
      <c r="CO198" s="16" t="n">
        <v>1.25539772727273</v>
      </c>
      <c r="CP198" s="16" t="n">
        <v>0.780487804878049</v>
      </c>
      <c r="CQ198" s="16" t="n">
        <v>62.3014387063877</v>
      </c>
      <c r="CR198" s="16" t="n">
        <v>64.1279381381154</v>
      </c>
      <c r="CS198" s="16" t="n">
        <v>62.3014387063877</v>
      </c>
      <c r="CT198" s="16" t="n">
        <v>55.1340165543254</v>
      </c>
      <c r="CU198" s="16" t="n">
        <v>62.3014387063877</v>
      </c>
      <c r="CV198" s="16" t="n">
        <v>0</v>
      </c>
      <c r="CW198" s="16" t="n">
        <v>0</v>
      </c>
      <c r="CX198" s="16" t="n">
        <v>0</v>
      </c>
      <c r="CY198" s="16" t="n">
        <v>0</v>
      </c>
      <c r="CZ198" s="16" t="n">
        <v>0</v>
      </c>
      <c r="DA198" s="16" t="n">
        <v>0</v>
      </c>
      <c r="DB198" s="16" t="n">
        <v>17917.843210207</v>
      </c>
      <c r="DC198" s="16" t="n">
        <v>13295.0396619736</v>
      </c>
      <c r="DD198" s="16" t="n">
        <v>11066.6666666667</v>
      </c>
      <c r="DE198" s="16" t="n">
        <v>0</v>
      </c>
      <c r="DF198" s="16" t="n">
        <v>318.3265975</v>
      </c>
      <c r="DG198" s="16" t="n">
        <v>0</v>
      </c>
      <c r="DH198" s="16" t="n">
        <v>0</v>
      </c>
      <c r="DI198" s="16" t="n">
        <v>62.3014387063877</v>
      </c>
    </row>
    <row r="199" customFormat="false" ht="15" hidden="false" customHeight="false" outlineLevel="0" collapsed="false">
      <c r="A199" s="0" t="s">
        <v>3414</v>
      </c>
      <c r="B199" s="16" t="n">
        <v>2423.40833661368</v>
      </c>
      <c r="C199" s="16" t="n">
        <v>7623.23059414707</v>
      </c>
      <c r="D199" s="16" t="n">
        <v>19676.8936899531</v>
      </c>
      <c r="E199" s="16" t="n">
        <v>4080.0469608901</v>
      </c>
      <c r="F199" s="16" t="n">
        <v>-868.602294557115</v>
      </c>
      <c r="G199" s="16" t="n">
        <v>4643.72003168134</v>
      </c>
      <c r="H199" s="16" t="n">
        <v>27144.222985051</v>
      </c>
      <c r="I199" s="17" t="n">
        <v>57.3289688349061</v>
      </c>
      <c r="J199" s="17" t="n">
        <v>64.7817347834439</v>
      </c>
      <c r="K199" s="16" t="s">
        <v>70</v>
      </c>
      <c r="L199" s="16" t="n">
        <v>-10193.9950765441</v>
      </c>
      <c r="M199" s="16" t="n">
        <v>27439.2646118829</v>
      </c>
      <c r="N199" s="16" t="n">
        <v>12255.4592881127</v>
      </c>
      <c r="O199" s="16" t="n">
        <v>-20673.3052500267</v>
      </c>
      <c r="P199" s="16" t="n">
        <v>968.519919991184</v>
      </c>
      <c r="Q199" s="16" t="n">
        <v>2076.48379112788</v>
      </c>
      <c r="R199" s="16" t="n">
        <v>16720.3421667323</v>
      </c>
      <c r="S199" s="16" t="n">
        <v>23676.9378737991</v>
      </c>
      <c r="T199" s="16" t="n">
        <v>-936.775265661052</v>
      </c>
      <c r="U199" s="16" t="n">
        <v>18249.3355873992</v>
      </c>
      <c r="V199" s="16" t="n">
        <v>0.82509878873241</v>
      </c>
      <c r="W199" s="16" t="n">
        <v>58538.4152607005</v>
      </c>
      <c r="X199" s="16" t="n">
        <v>21998.9473468173</v>
      </c>
      <c r="Y199" s="16" t="n">
        <v>60.9415298008772</v>
      </c>
      <c r="Z199" s="16" t="n">
        <v>82.7197971449795</v>
      </c>
      <c r="AA199" s="16" t="n">
        <v>30.1575455502983</v>
      </c>
      <c r="AB199" s="16" t="n">
        <v>27.9575455502983</v>
      </c>
      <c r="AC199" s="16" t="n">
        <v>29.4075455502983</v>
      </c>
      <c r="AD199" s="16" t="n">
        <v>24.2302170521396</v>
      </c>
      <c r="AE199" s="16" t="n">
        <v>653.683373262198</v>
      </c>
      <c r="AF199" s="16" t="n">
        <v>0.03</v>
      </c>
      <c r="AG199" s="16" t="n">
        <v>0.70275179256799</v>
      </c>
      <c r="AH199" s="16" t="n">
        <v>7811.44814326736</v>
      </c>
      <c r="AI199" s="16" t="n">
        <v>19676.8936899531</v>
      </c>
      <c r="AJ199" s="16" t="n">
        <v>22.39175</v>
      </c>
      <c r="AK199" s="16" t="n">
        <v>0</v>
      </c>
      <c r="AL199" s="16" t="n">
        <v>-35161.445977645</v>
      </c>
      <c r="AM199" s="16" t="n">
        <v>684.5</v>
      </c>
      <c r="AN199" s="16" t="n">
        <v>21854.1913884852</v>
      </c>
      <c r="AO199" s="16" t="n">
        <v>-5613.79256375324</v>
      </c>
      <c r="AP199" s="16" t="n">
        <v>0.519414437863832</v>
      </c>
      <c r="AQ199" s="16" t="n">
        <v>57.3289688349061</v>
      </c>
      <c r="AR199" s="16" t="n">
        <v>318.3265975</v>
      </c>
      <c r="AS199" s="16" t="n">
        <v>318.3265975</v>
      </c>
      <c r="AT199" s="16" t="n">
        <v>-10193.9950765441</v>
      </c>
      <c r="AU199" s="16" t="n">
        <v>0</v>
      </c>
      <c r="AV199" s="16" t="n">
        <v>0</v>
      </c>
      <c r="AW199" s="16" t="n">
        <v>2254.3125</v>
      </c>
      <c r="AX199" s="16" t="n">
        <v>318.3265975</v>
      </c>
      <c r="AY199" s="16" t="n">
        <v>315.274039542714</v>
      </c>
      <c r="AZ199" s="16" t="n">
        <v>6851.17654354031</v>
      </c>
      <c r="BA199" s="16" t="n">
        <v>0</v>
      </c>
      <c r="BB199" s="16" t="n">
        <v>289.821666666667</v>
      </c>
      <c r="BC199" s="16" t="n">
        <v>95888.0766578307</v>
      </c>
      <c r="BD199" s="16" t="n">
        <v>21.1001713942892</v>
      </c>
      <c r="BE199" s="16" t="n">
        <v>29.7574640162255</v>
      </c>
      <c r="BF199" s="16" t="n">
        <v>38.4896950572778</v>
      </c>
      <c r="BG199" s="16" t="n">
        <v>-9.69653106523862</v>
      </c>
      <c r="BH199" s="16" t="n">
        <v>-0.237386954030208</v>
      </c>
      <c r="BI199" s="16" t="n">
        <v>-0.367037357938344</v>
      </c>
      <c r="BJ199" s="16" t="n">
        <v>9.09210675327006</v>
      </c>
      <c r="BK199" s="16" t="n">
        <v>3.14199510649876</v>
      </c>
      <c r="BL199" s="16" t="n">
        <v>16.4951966225644</v>
      </c>
      <c r="BM199" s="16" t="n">
        <v>5.11489923648504</v>
      </c>
      <c r="BN199" s="16" t="n">
        <v>6.14038025700283</v>
      </c>
      <c r="BO199" s="16" t="n">
        <v>6.42123287671233</v>
      </c>
      <c r="BP199" s="16" t="n">
        <v>7672.79585778466</v>
      </c>
      <c r="BQ199" s="16" t="n">
        <v>7590.86385711683</v>
      </c>
      <c r="BR199" s="16" t="n">
        <v>7590.86385711683</v>
      </c>
      <c r="BS199" s="16" t="n">
        <v>318.3265975</v>
      </c>
      <c r="BT199" s="16" t="n">
        <v>292.4</v>
      </c>
      <c r="BU199" s="16" t="n">
        <v>950</v>
      </c>
      <c r="BV199" s="16" t="s">
        <v>3238</v>
      </c>
      <c r="BW199" s="16" t="n">
        <v>41.1282051282051</v>
      </c>
      <c r="BX199" s="16" t="n">
        <v>0.140695465658278</v>
      </c>
      <c r="BY199" s="16" t="n">
        <v>0.244045334276294</v>
      </c>
      <c r="BZ199" s="16" t="n">
        <v>13250</v>
      </c>
      <c r="CA199" s="16" t="n">
        <v>13250</v>
      </c>
      <c r="CB199" s="16" t="n">
        <v>82.0821242708347</v>
      </c>
      <c r="CC199" s="16" t="n">
        <v>0</v>
      </c>
      <c r="CD199" s="16" t="n">
        <v>0</v>
      </c>
      <c r="CE199" s="16" t="n">
        <v>14925.9913884852</v>
      </c>
      <c r="CF199" s="16" t="n">
        <v>21.1001713942892</v>
      </c>
      <c r="CG199" s="16" t="n">
        <v>23.8431936755468</v>
      </c>
      <c r="CH199" s="16" t="n">
        <v>1931.14787912326</v>
      </c>
      <c r="CI199" s="16" t="n">
        <v>2.14057969233447</v>
      </c>
      <c r="CJ199" s="16" t="n">
        <v>14.8102625047176</v>
      </c>
      <c r="CK199" s="16" t="n">
        <v>0</v>
      </c>
      <c r="CL199" s="16" t="n">
        <v>0</v>
      </c>
      <c r="CM199" s="16" t="n">
        <v>0</v>
      </c>
      <c r="CN199" s="16" t="n">
        <v>-35161.445977645</v>
      </c>
      <c r="CO199" s="16" t="n">
        <v>1.25539772727273</v>
      </c>
      <c r="CP199" s="16" t="n">
        <v>0.780487804878049</v>
      </c>
      <c r="CQ199" s="16" t="n">
        <v>64.7817347834439</v>
      </c>
      <c r="CR199" s="16" t="n">
        <v>64.7817347834439</v>
      </c>
      <c r="CS199" s="16" t="n">
        <v>64.7817347834439</v>
      </c>
      <c r="CT199" s="16" t="n">
        <v>57.3289688349061</v>
      </c>
      <c r="CU199" s="16" t="n">
        <v>64.7817347834439</v>
      </c>
      <c r="CV199" s="16" t="n">
        <v>0</v>
      </c>
      <c r="CW199" s="16" t="n">
        <v>0</v>
      </c>
      <c r="CX199" s="16" t="n">
        <v>0</v>
      </c>
      <c r="CY199" s="16" t="n">
        <v>0</v>
      </c>
      <c r="CZ199" s="16" t="n">
        <v>0</v>
      </c>
      <c r="DA199" s="16" t="n">
        <v>0</v>
      </c>
      <c r="DB199" s="16" t="n">
        <v>17917.843210207</v>
      </c>
      <c r="DC199" s="16" t="n">
        <v>13295.0396619736</v>
      </c>
      <c r="DD199" s="16" t="n">
        <v>11066.6666666667</v>
      </c>
      <c r="DE199" s="16" t="n">
        <v>0</v>
      </c>
      <c r="DF199" s="16" t="n">
        <v>318.3265975</v>
      </c>
      <c r="DG199" s="16" t="n">
        <v>0</v>
      </c>
      <c r="DH199" s="16" t="n">
        <v>0</v>
      </c>
      <c r="DI199" s="16" t="n">
        <v>64.7817347834439</v>
      </c>
    </row>
    <row r="200" customFormat="false" ht="15" hidden="false" customHeight="false" outlineLevel="0" collapsed="false">
      <c r="A200" s="0" t="s">
        <v>3415</v>
      </c>
      <c r="B200" s="16" t="n">
        <v>2423.40833661368</v>
      </c>
      <c r="C200" s="16" t="n">
        <v>7621.71734378923</v>
      </c>
      <c r="D200" s="16" t="n">
        <v>19606.894648061</v>
      </c>
      <c r="E200" s="16" t="n">
        <v>4078.97255313604</v>
      </c>
      <c r="F200" s="16" t="n">
        <v>-869.615036714096</v>
      </c>
      <c r="G200" s="16" t="n">
        <v>4643.71889609856</v>
      </c>
      <c r="H200" s="16" t="n">
        <v>26024.112404063</v>
      </c>
      <c r="I200" s="17" t="n">
        <v>53.8102223971756</v>
      </c>
      <c r="J200" s="17" t="n">
        <v>60.8055513088084</v>
      </c>
      <c r="K200" s="16" t="s">
        <v>70</v>
      </c>
      <c r="L200" s="16" t="n">
        <v>-10195.0392192911</v>
      </c>
      <c r="M200" s="16" t="n">
        <v>27439.2343468758</v>
      </c>
      <c r="N200" s="16" t="n">
        <v>12202.2600162747</v>
      </c>
      <c r="O200" s="16" t="n">
        <v>-20714.5368772925</v>
      </c>
      <c r="P200" s="16" t="n">
        <v>968.519919991184</v>
      </c>
      <c r="Q200" s="16" t="n">
        <v>2026.16761715315</v>
      </c>
      <c r="R200" s="16" t="n">
        <v>16720.3421667323</v>
      </c>
      <c r="S200" s="16" t="n">
        <v>23675.5378929612</v>
      </c>
      <c r="T200" s="16" t="n">
        <v>-936.775265661052</v>
      </c>
      <c r="U200" s="16" t="n">
        <v>17129.2250064112</v>
      </c>
      <c r="V200" s="16" t="n">
        <v>0.82509878873241</v>
      </c>
      <c r="W200" s="16" t="n">
        <v>57617.3326897501</v>
      </c>
      <c r="X200" s="16" t="n">
        <v>21955.5413172654</v>
      </c>
      <c r="Y200" s="16" t="n">
        <v>57.2010510297656</v>
      </c>
      <c r="Z200" s="16" t="n">
        <v>77.6426084662174</v>
      </c>
      <c r="AA200" s="16" t="n">
        <v>30.1575455502983</v>
      </c>
      <c r="AB200" s="16" t="n">
        <v>27.9575455502983</v>
      </c>
      <c r="AC200" s="16" t="n">
        <v>29.4075455502983</v>
      </c>
      <c r="AD200" s="16" t="n">
        <v>24.2302170521396</v>
      </c>
      <c r="AE200" s="16" t="n">
        <v>653.683373262198</v>
      </c>
      <c r="AF200" s="16" t="n">
        <v>0.03</v>
      </c>
      <c r="AG200" s="16" t="n">
        <v>0.702129022128044</v>
      </c>
      <c r="AH200" s="16" t="n">
        <v>7811.44814326736</v>
      </c>
      <c r="AI200" s="16" t="n">
        <v>19606.894648061</v>
      </c>
      <c r="AJ200" s="16" t="n">
        <v>22.39175</v>
      </c>
      <c r="AK200" s="16" t="n">
        <v>0</v>
      </c>
      <c r="AL200" s="16" t="n">
        <v>-35264.9930202368</v>
      </c>
      <c r="AM200" s="16" t="n">
        <v>684.5</v>
      </c>
      <c r="AN200" s="16" t="n">
        <v>21854.1913884852</v>
      </c>
      <c r="AO200" s="16" t="n">
        <v>-5613.79256375324</v>
      </c>
      <c r="AP200" s="16" t="n">
        <v>0.519414437863832</v>
      </c>
      <c r="AQ200" s="16" t="n">
        <v>53.8102223971756</v>
      </c>
      <c r="AR200" s="16" t="n">
        <v>318.3265975</v>
      </c>
      <c r="AS200" s="16" t="n">
        <v>318.3265975</v>
      </c>
      <c r="AT200" s="16" t="n">
        <v>-10195.0392192911</v>
      </c>
      <c r="AU200" s="16" t="n">
        <v>0</v>
      </c>
      <c r="AV200" s="16" t="n">
        <v>0</v>
      </c>
      <c r="AW200" s="16" t="n">
        <v>2254.3125</v>
      </c>
      <c r="AX200" s="16" t="n">
        <v>318.3265975</v>
      </c>
      <c r="AY200" s="16" t="n">
        <v>315.074427332252</v>
      </c>
      <c r="AZ200" s="16" t="n">
        <v>6839.73993545842</v>
      </c>
      <c r="BA200" s="16" t="n">
        <v>0</v>
      </c>
      <c r="BB200" s="16" t="n">
        <v>289.821666666667</v>
      </c>
      <c r="BC200" s="16" t="n">
        <v>95878.475389386</v>
      </c>
      <c r="BD200" s="16" t="n">
        <v>21.0638560837084</v>
      </c>
      <c r="BE200" s="16" t="n">
        <v>29.7211487056448</v>
      </c>
      <c r="BF200" s="16" t="n">
        <v>38.4533797466971</v>
      </c>
      <c r="BG200" s="16" t="n">
        <v>-9.69653106523862</v>
      </c>
      <c r="BH200" s="16" t="n">
        <v>-0.237386954030208</v>
      </c>
      <c r="BI200" s="16" t="n">
        <v>-0.367037357938344</v>
      </c>
      <c r="BJ200" s="16" t="n">
        <v>9.09210675327006</v>
      </c>
      <c r="BK200" s="16" t="n">
        <v>3.14199510649876</v>
      </c>
      <c r="BL200" s="16" t="n">
        <v>16.4951966225644</v>
      </c>
      <c r="BM200" s="16" t="n">
        <v>5.11489923648504</v>
      </c>
      <c r="BN200" s="16" t="n">
        <v>6.14038025700283</v>
      </c>
      <c r="BO200" s="16" t="n">
        <v>6.42123287671233</v>
      </c>
      <c r="BP200" s="16" t="n">
        <v>7672.79585778466</v>
      </c>
      <c r="BQ200" s="16" t="n">
        <v>7589.35060675899</v>
      </c>
      <c r="BR200" s="16" t="n">
        <v>7589.35060675899</v>
      </c>
      <c r="BS200" s="16" t="n">
        <v>318.3265975</v>
      </c>
      <c r="BT200" s="16" t="n">
        <v>292.4</v>
      </c>
      <c r="BU200" s="16" t="n">
        <v>950</v>
      </c>
      <c r="BV200" s="16" t="s">
        <v>3238</v>
      </c>
      <c r="BW200" s="16" t="n">
        <v>41.1282051282051</v>
      </c>
      <c r="BX200" s="16" t="n">
        <v>0.140695465658278</v>
      </c>
      <c r="BY200" s="16" t="n">
        <v>0.244045334276294</v>
      </c>
      <c r="BZ200" s="16" t="n">
        <v>13250</v>
      </c>
      <c r="CA200" s="16" t="n">
        <v>13250</v>
      </c>
      <c r="CB200" s="16" t="n">
        <v>82.306286615184</v>
      </c>
      <c r="CC200" s="16" t="n">
        <v>0</v>
      </c>
      <c r="CD200" s="16" t="n">
        <v>0</v>
      </c>
      <c r="CE200" s="16" t="n">
        <v>14925.9913884852</v>
      </c>
      <c r="CF200" s="16" t="n">
        <v>21.0638560837084</v>
      </c>
      <c r="CG200" s="16" t="n">
        <v>23.8021573745905</v>
      </c>
      <c r="CH200" s="16" t="n">
        <v>1931.14787912326</v>
      </c>
      <c r="CI200" s="16" t="n">
        <v>2.14057969233447</v>
      </c>
      <c r="CJ200" s="16" t="n">
        <v>14.8102625047176</v>
      </c>
      <c r="CK200" s="16" t="n">
        <v>0</v>
      </c>
      <c r="CL200" s="16" t="n">
        <v>0</v>
      </c>
      <c r="CM200" s="16" t="n">
        <v>0</v>
      </c>
      <c r="CN200" s="16" t="n">
        <v>-35264.9930202368</v>
      </c>
      <c r="CO200" s="16" t="n">
        <v>1.25539772727273</v>
      </c>
      <c r="CP200" s="16" t="n">
        <v>0.780487804878049</v>
      </c>
      <c r="CQ200" s="16" t="n">
        <v>60.8055513088084</v>
      </c>
      <c r="CR200" s="16" t="n">
        <v>60.8055513088084</v>
      </c>
      <c r="CS200" s="16" t="n">
        <v>60.8055513088084</v>
      </c>
      <c r="CT200" s="16" t="n">
        <v>53.8102223971756</v>
      </c>
      <c r="CU200" s="16" t="n">
        <v>60.8055513088084</v>
      </c>
      <c r="CV200" s="16" t="n">
        <v>0</v>
      </c>
      <c r="CW200" s="16" t="n">
        <v>0</v>
      </c>
      <c r="CX200" s="16" t="n">
        <v>0</v>
      </c>
      <c r="CY200" s="16" t="n">
        <v>0</v>
      </c>
      <c r="CZ200" s="16" t="n">
        <v>0</v>
      </c>
      <c r="DA200" s="16" t="n">
        <v>0</v>
      </c>
      <c r="DB200" s="16" t="n">
        <v>17906.4066021251</v>
      </c>
      <c r="DC200" s="16" t="n">
        <v>13286.5536987768</v>
      </c>
      <c r="DD200" s="16" t="n">
        <v>11066.6666666667</v>
      </c>
      <c r="DE200" s="16" t="n">
        <v>0</v>
      </c>
      <c r="DF200" s="16" t="n">
        <v>318.3265975</v>
      </c>
      <c r="DG200" s="16" t="n">
        <v>0</v>
      </c>
      <c r="DH200" s="16" t="n">
        <v>0</v>
      </c>
      <c r="DI200" s="16" t="n">
        <v>60.8055513088084</v>
      </c>
    </row>
    <row r="201" customFormat="false" ht="15" hidden="false" customHeight="false" outlineLevel="0" collapsed="false">
      <c r="A201" s="0" t="s">
        <v>3416</v>
      </c>
      <c r="B201" s="16" t="n">
        <v>2423.40833661368</v>
      </c>
      <c r="C201" s="16" t="n">
        <v>7621.71734378923</v>
      </c>
      <c r="D201" s="16" t="n">
        <v>19606.894648061</v>
      </c>
      <c r="E201" s="16" t="n">
        <v>4078.97255313604</v>
      </c>
      <c r="F201" s="16" t="n">
        <v>-875.240036714096</v>
      </c>
      <c r="G201" s="16" t="n">
        <v>4649.34389609856</v>
      </c>
      <c r="H201" s="16" t="n">
        <v>25285.7602636984</v>
      </c>
      <c r="I201" s="17" t="n">
        <v>51.4907425102817</v>
      </c>
      <c r="J201" s="17" t="n">
        <v>58.1845390366183</v>
      </c>
      <c r="K201" s="16" t="s">
        <v>70</v>
      </c>
      <c r="L201" s="16" t="n">
        <v>-10420.8440805267</v>
      </c>
      <c r="M201" s="16" t="n">
        <v>27776.7343468758</v>
      </c>
      <c r="N201" s="16" t="n">
        <v>12202.2600162747</v>
      </c>
      <c r="O201" s="16" t="n">
        <v>-21038.2228344146</v>
      </c>
      <c r="P201" s="16" t="n">
        <v>968.519919991184</v>
      </c>
      <c r="Q201" s="16" t="n">
        <v>1958.66761715315</v>
      </c>
      <c r="R201" s="16" t="n">
        <v>16720.3421667323</v>
      </c>
      <c r="S201" s="16" t="n">
        <v>23788.0378929612</v>
      </c>
      <c r="T201" s="16" t="n">
        <v>-936.775265661052</v>
      </c>
      <c r="U201" s="16" t="n">
        <v>16390.8728660466</v>
      </c>
      <c r="V201" s="16" t="n">
        <v>0.82509878873241</v>
      </c>
      <c r="W201" s="16" t="n">
        <v>57203.1010233033</v>
      </c>
      <c r="X201" s="16" t="n">
        <v>22031.0454672654</v>
      </c>
      <c r="Y201" s="16" t="n">
        <v>54.7354100890269</v>
      </c>
      <c r="Z201" s="16" t="n">
        <v>74.2958378958579</v>
      </c>
      <c r="AA201" s="16" t="n">
        <v>30.1575455502983</v>
      </c>
      <c r="AB201" s="16" t="n">
        <v>27.9575455502983</v>
      </c>
      <c r="AC201" s="16" t="n">
        <v>29.4075455502983</v>
      </c>
      <c r="AD201" s="16" t="n">
        <v>24.2302170521396</v>
      </c>
      <c r="AE201" s="16" t="n">
        <v>653.683373262198</v>
      </c>
      <c r="AF201" s="16" t="n">
        <v>0.03</v>
      </c>
      <c r="AG201" s="16" t="n">
        <v>0.702129022128044</v>
      </c>
      <c r="AH201" s="16" t="n">
        <v>7811.44814326736</v>
      </c>
      <c r="AI201" s="16" t="n">
        <v>19606.894648061</v>
      </c>
      <c r="AJ201" s="16" t="n">
        <v>22.39175</v>
      </c>
      <c r="AK201" s="16" t="n">
        <v>0</v>
      </c>
      <c r="AL201" s="16" t="n">
        <v>-35594.9593166338</v>
      </c>
      <c r="AM201" s="16" t="n">
        <v>684.5</v>
      </c>
      <c r="AN201" s="16" t="n">
        <v>21992.8703698339</v>
      </c>
      <c r="AO201" s="16" t="n">
        <v>-5636.94041441882</v>
      </c>
      <c r="AP201" s="16" t="n">
        <v>0.519414437863832</v>
      </c>
      <c r="AQ201" s="16" t="n">
        <v>51.4907425102817</v>
      </c>
      <c r="AR201" s="16" t="n">
        <v>318.3265975</v>
      </c>
      <c r="AS201" s="16" t="n">
        <v>318.3265975</v>
      </c>
      <c r="AT201" s="16" t="n">
        <v>-10420.8440805267</v>
      </c>
      <c r="AU201" s="16" t="n">
        <v>0</v>
      </c>
      <c r="AV201" s="16" t="n">
        <v>0</v>
      </c>
      <c r="AW201" s="16" t="n">
        <v>2254.3125</v>
      </c>
      <c r="AX201" s="16" t="n">
        <v>318.3265975</v>
      </c>
      <c r="AY201" s="16" t="n">
        <v>314.927928312717</v>
      </c>
      <c r="AZ201" s="16" t="n">
        <v>5879.73993545842</v>
      </c>
      <c r="BA201" s="16" t="n">
        <v>0</v>
      </c>
      <c r="BB201" s="16" t="n">
        <v>289.821666666667</v>
      </c>
      <c r="BC201" s="16" t="n">
        <v>96328.475389386</v>
      </c>
      <c r="BD201" s="16" t="n">
        <v>18.0155136111956</v>
      </c>
      <c r="BE201" s="16" t="n">
        <v>26.672806233132</v>
      </c>
      <c r="BF201" s="16" t="n">
        <v>35.4050372741843</v>
      </c>
      <c r="BG201" s="16" t="n">
        <v>-9.69653106523862</v>
      </c>
      <c r="BH201" s="16" t="n">
        <v>-0.237386954030208</v>
      </c>
      <c r="BI201" s="16" t="n">
        <v>-0.367037357938344</v>
      </c>
      <c r="BJ201" s="16" t="n">
        <v>9.09210675327006</v>
      </c>
      <c r="BK201" s="16" t="n">
        <v>3.14199510649876</v>
      </c>
      <c r="BL201" s="16" t="n">
        <v>16.4951966225644</v>
      </c>
      <c r="BM201" s="16" t="n">
        <v>5.11489923648504</v>
      </c>
      <c r="BN201" s="16" t="n">
        <v>6.14038025700283</v>
      </c>
      <c r="BO201" s="16" t="n">
        <v>6.42123287671233</v>
      </c>
      <c r="BP201" s="16" t="n">
        <v>7672.79585778466</v>
      </c>
      <c r="BQ201" s="16" t="n">
        <v>7589.35060675899</v>
      </c>
      <c r="BR201" s="16" t="n">
        <v>7589.35060675899</v>
      </c>
      <c r="BS201" s="16" t="n">
        <v>318.3265975</v>
      </c>
      <c r="BT201" s="16" t="n">
        <v>292.4</v>
      </c>
      <c r="BU201" s="16" t="n">
        <v>950</v>
      </c>
      <c r="BV201" s="16" t="s">
        <v>3238</v>
      </c>
      <c r="BW201" s="16" t="n">
        <v>41.1282051282051</v>
      </c>
      <c r="BX201" s="16" t="n">
        <v>0.140695465658278</v>
      </c>
      <c r="BY201" s="16" t="n">
        <v>0.244045334276294</v>
      </c>
      <c r="BZ201" s="16" t="n">
        <v>13250</v>
      </c>
      <c r="CA201" s="16" t="n">
        <v>13250</v>
      </c>
      <c r="CB201" s="16" t="n">
        <v>83.0510201611923</v>
      </c>
      <c r="CC201" s="16" t="n">
        <v>0</v>
      </c>
      <c r="CD201" s="16" t="n">
        <v>0</v>
      </c>
      <c r="CE201" s="16" t="n">
        <v>15064.6703698339</v>
      </c>
      <c r="CF201" s="16" t="n">
        <v>18.0155136111956</v>
      </c>
      <c r="CG201" s="16" t="n">
        <v>20.357530380651</v>
      </c>
      <c r="CH201" s="16" t="n">
        <v>1931.14787912326</v>
      </c>
      <c r="CI201" s="16" t="n">
        <v>2.14057969233447</v>
      </c>
      <c r="CJ201" s="16" t="n">
        <v>14.8102625047176</v>
      </c>
      <c r="CK201" s="16" t="n">
        <v>0</v>
      </c>
      <c r="CL201" s="16" t="n">
        <v>0</v>
      </c>
      <c r="CM201" s="16" t="n">
        <v>0</v>
      </c>
      <c r="CN201" s="16" t="n">
        <v>-35594.9593166338</v>
      </c>
      <c r="CO201" s="16" t="n">
        <v>1.25539772727273</v>
      </c>
      <c r="CP201" s="16" t="n">
        <v>1</v>
      </c>
      <c r="CQ201" s="16" t="n">
        <v>58.1845390366183</v>
      </c>
      <c r="CR201" s="16" t="n">
        <v>58.1845390366183</v>
      </c>
      <c r="CS201" s="16" t="n">
        <v>58.1845390366183</v>
      </c>
      <c r="CT201" s="16" t="n">
        <v>51.4907425102817</v>
      </c>
      <c r="CU201" s="16" t="n">
        <v>58.1845390366183</v>
      </c>
      <c r="CV201" s="16" t="n">
        <v>0</v>
      </c>
      <c r="CW201" s="16" t="n">
        <v>0</v>
      </c>
      <c r="CX201" s="16" t="n">
        <v>0</v>
      </c>
      <c r="CY201" s="16" t="n">
        <v>0</v>
      </c>
      <c r="CZ201" s="16" t="n">
        <v>0</v>
      </c>
      <c r="DA201" s="16" t="n">
        <v>0</v>
      </c>
      <c r="DB201" s="16" t="n">
        <v>17906.4066021251</v>
      </c>
      <c r="DC201" s="16" t="n">
        <v>13286.5536987768</v>
      </c>
      <c r="DD201" s="16" t="n">
        <v>12026.6666666667</v>
      </c>
      <c r="DE201" s="16" t="n">
        <v>0</v>
      </c>
      <c r="DF201" s="16" t="n">
        <v>318.3265975</v>
      </c>
      <c r="DG201" s="16" t="n">
        <v>0</v>
      </c>
      <c r="DH201" s="16" t="n">
        <v>0</v>
      </c>
      <c r="DI201" s="16" t="n">
        <v>58.1845390366183</v>
      </c>
    </row>
    <row r="202" customFormat="false" ht="15" hidden="false" customHeight="false" outlineLevel="0" collapsed="false">
      <c r="A202" s="0" t="s">
        <v>3417</v>
      </c>
      <c r="B202" s="16" t="n">
        <v>2423.40833661368</v>
      </c>
      <c r="C202" s="16" t="n">
        <v>7621.71734378923</v>
      </c>
      <c r="D202" s="16" t="n">
        <v>19606.894648061</v>
      </c>
      <c r="E202" s="16" t="n">
        <v>4078.97255313604</v>
      </c>
      <c r="F202" s="16" t="n">
        <v>-974.040036714096</v>
      </c>
      <c r="G202" s="16" t="n">
        <v>4748.14389609856</v>
      </c>
      <c r="H202" s="16" t="n">
        <v>-308.827567722828</v>
      </c>
      <c r="I202" s="17" t="n">
        <v>0.01</v>
      </c>
      <c r="J202" s="17" t="n">
        <v>0.0113</v>
      </c>
      <c r="K202" s="16" t="s">
        <v>70</v>
      </c>
      <c r="L202" s="16" t="n">
        <v>-13507.4496750321</v>
      </c>
      <c r="M202" s="16" t="n">
        <v>32170.7343468758</v>
      </c>
      <c r="N202" s="16" t="n">
        <v>12202.2600162747</v>
      </c>
      <c r="O202" s="16" t="n">
        <v>-28655.0135480726</v>
      </c>
      <c r="P202" s="16" t="n">
        <v>968.519919991184</v>
      </c>
      <c r="Q202" s="16" t="n">
        <v>903.067617153153</v>
      </c>
      <c r="R202" s="16" t="n">
        <v>16850.3421667323</v>
      </c>
      <c r="S202" s="16" t="n">
        <v>29456.0378929612</v>
      </c>
      <c r="T202" s="16" t="n">
        <v>-936.775265661052</v>
      </c>
      <c r="U202" s="16" t="n">
        <v>-9378.71496537464</v>
      </c>
      <c r="V202" s="16" t="n">
        <v>0.82509878873241</v>
      </c>
      <c r="W202" s="16" t="n">
        <v>45973.5272130968</v>
      </c>
      <c r="X202" s="16" t="n">
        <v>25494.8402952654</v>
      </c>
      <c r="Y202" s="16" t="n">
        <v>0.0106301458127347</v>
      </c>
      <c r="Z202" s="16" t="n">
        <v>0.01442897</v>
      </c>
      <c r="AA202" s="16" t="n">
        <v>30.1575455502983</v>
      </c>
      <c r="AB202" s="16" t="n">
        <v>27.9575455502983</v>
      </c>
      <c r="AC202" s="16" t="n">
        <v>29.4075455502983</v>
      </c>
      <c r="AD202" s="16" t="n">
        <v>24.2302170521396</v>
      </c>
      <c r="AE202" s="16" t="n">
        <v>653.683373262198</v>
      </c>
      <c r="AF202" s="16" t="n">
        <v>0.03</v>
      </c>
      <c r="AG202" s="16" t="n">
        <v>0.702129022128044</v>
      </c>
      <c r="AH202" s="16" t="n">
        <v>7709.97126154693</v>
      </c>
      <c r="AI202" s="16" t="n">
        <v>19606.894648061</v>
      </c>
      <c r="AJ202" s="16" t="n">
        <v>22.39175</v>
      </c>
      <c r="AK202" s="16" t="n">
        <v>0</v>
      </c>
      <c r="AL202" s="16" t="n">
        <v>-51366.284299732</v>
      </c>
      <c r="AM202" s="16" t="n">
        <v>684.5</v>
      </c>
      <c r="AN202" s="16" t="n">
        <v>27078.2628664013</v>
      </c>
      <c r="AO202" s="16" t="n">
        <v>-7119.9037923103</v>
      </c>
      <c r="AP202" s="16" t="n">
        <v>0.519414437863832</v>
      </c>
      <c r="AQ202" s="16" t="n">
        <v>0</v>
      </c>
      <c r="AR202" s="16" t="n">
        <v>314.925245</v>
      </c>
      <c r="AS202" s="16" t="n">
        <v>314.925245</v>
      </c>
      <c r="AT202" s="16" t="n">
        <v>-13507.4496750321</v>
      </c>
      <c r="AU202" s="16" t="n">
        <v>0</v>
      </c>
      <c r="AV202" s="16" t="n">
        <v>0</v>
      </c>
      <c r="AW202" s="16" t="n">
        <v>2254.3125</v>
      </c>
      <c r="AX202" s="16" t="n">
        <v>314.925245</v>
      </c>
      <c r="AY202" s="16" t="n">
        <v>314.925245</v>
      </c>
      <c r="AZ202" s="16" t="n">
        <v>5879.73993545842</v>
      </c>
      <c r="BA202" s="16" t="n">
        <v>0</v>
      </c>
      <c r="BB202" s="16" t="n">
        <v>289.821666666667</v>
      </c>
      <c r="BC202" s="16" t="n">
        <v>116972.475389386</v>
      </c>
      <c r="BD202" s="16" t="n">
        <v>18.0155136111956</v>
      </c>
      <c r="BE202" s="16" t="n">
        <v>26.672806233132</v>
      </c>
      <c r="BF202" s="16" t="n">
        <v>35.4050372741843</v>
      </c>
      <c r="BG202" s="16" t="n">
        <v>-9.69653106523862</v>
      </c>
      <c r="BH202" s="16" t="n">
        <v>-10.758179234591</v>
      </c>
      <c r="BI202" s="16" t="n">
        <v>-0.367037357938344</v>
      </c>
      <c r="BJ202" s="16" t="n">
        <v>-1.42868552729068</v>
      </c>
      <c r="BK202" s="16" t="n">
        <v>3.14199510649876</v>
      </c>
      <c r="BL202" s="16" t="n">
        <v>3.49519662256435</v>
      </c>
      <c r="BM202" s="16" t="n">
        <v>5.11489923648504</v>
      </c>
      <c r="BN202" s="16" t="n">
        <v>6.14038025700283</v>
      </c>
      <c r="BO202" s="16" t="n">
        <v>6.42123287671233</v>
      </c>
      <c r="BP202" s="16" t="n">
        <v>7672.79585778466</v>
      </c>
      <c r="BQ202" s="16" t="n">
        <v>7589.35060675899</v>
      </c>
      <c r="BR202" s="16" t="n">
        <v>7589.35060675899</v>
      </c>
      <c r="BS202" s="16" t="n">
        <v>314.925245</v>
      </c>
      <c r="BT202" s="16" t="n">
        <v>292.4</v>
      </c>
      <c r="BU202" s="16" t="n">
        <v>950</v>
      </c>
      <c r="BV202" s="16" t="s">
        <v>3237</v>
      </c>
      <c r="BW202" s="16" t="n">
        <v>41.1282051282051</v>
      </c>
      <c r="BX202" s="16" t="n">
        <v>0.140695465658278</v>
      </c>
      <c r="BY202" s="16" t="n">
        <v>0.133025200277385</v>
      </c>
      <c r="BZ202" s="16" t="n">
        <v>13425</v>
      </c>
      <c r="CA202" s="16" t="n">
        <v>13425</v>
      </c>
      <c r="CB202" s="16" t="n">
        <v>117.554126497149</v>
      </c>
      <c r="CC202" s="16" t="n">
        <v>0</v>
      </c>
      <c r="CD202" s="16" t="n">
        <v>0</v>
      </c>
      <c r="CE202" s="16" t="n">
        <v>17798.3628664013</v>
      </c>
      <c r="CF202" s="16" t="n">
        <v>18.0155136111956</v>
      </c>
      <c r="CG202" s="16" t="n">
        <v>20.357530380651</v>
      </c>
      <c r="CH202" s="16" t="n">
        <v>1931.14787912326</v>
      </c>
      <c r="CI202" s="16" t="n">
        <v>2.14057969233447</v>
      </c>
      <c r="CJ202" s="16" t="n">
        <v>14.8102625047176</v>
      </c>
      <c r="CK202" s="16" t="n">
        <v>0</v>
      </c>
      <c r="CL202" s="16" t="n">
        <v>0</v>
      </c>
      <c r="CM202" s="16" t="n">
        <v>0</v>
      </c>
      <c r="CN202" s="16" t="n">
        <v>-51366.284299732</v>
      </c>
      <c r="CO202" s="16" t="n">
        <v>1.25539772727273</v>
      </c>
      <c r="CP202" s="16" t="n">
        <v>1</v>
      </c>
      <c r="CQ202" s="16" t="n">
        <v>0</v>
      </c>
      <c r="CR202" s="16" t="n">
        <v>0.0113</v>
      </c>
      <c r="CS202" s="16" t="n">
        <v>0</v>
      </c>
      <c r="CT202" s="16" t="n">
        <v>0</v>
      </c>
      <c r="CU202" s="16" t="n">
        <v>0.0113</v>
      </c>
      <c r="CV202" s="16" t="n">
        <v>0</v>
      </c>
      <c r="CW202" s="16" t="n">
        <v>0</v>
      </c>
      <c r="CX202" s="16" t="n">
        <v>0</v>
      </c>
      <c r="CY202" s="16" t="n">
        <v>0</v>
      </c>
      <c r="CZ202" s="16" t="n">
        <v>0</v>
      </c>
      <c r="DA202" s="16" t="n">
        <v>0</v>
      </c>
      <c r="DB202" s="16" t="n">
        <v>17906.4066021251</v>
      </c>
      <c r="DC202" s="16" t="n">
        <v>13286.5536987768</v>
      </c>
      <c r="DD202" s="16" t="n">
        <v>12026.6666666667</v>
      </c>
      <c r="DE202" s="16" t="n">
        <v>0</v>
      </c>
      <c r="DF202" s="16" t="n">
        <v>314.925245</v>
      </c>
      <c r="DG202" s="16" t="n">
        <v>0</v>
      </c>
      <c r="DH202" s="16" t="n">
        <v>0</v>
      </c>
      <c r="DI202" s="16" t="n">
        <v>0.0113</v>
      </c>
    </row>
    <row r="203" customFormat="false" ht="15" hidden="false" customHeight="false" outlineLevel="0" collapsed="false">
      <c r="A203" s="0" t="s">
        <v>3418</v>
      </c>
      <c r="B203" s="16" t="n">
        <v>2423.40833661368</v>
      </c>
      <c r="C203" s="16" t="n">
        <v>7621.71734378923</v>
      </c>
      <c r="D203" s="16" t="n">
        <v>19606.894648061</v>
      </c>
      <c r="E203" s="16" t="n">
        <v>4078.97255313604</v>
      </c>
      <c r="F203" s="16" t="n">
        <v>-974.040036714096</v>
      </c>
      <c r="G203" s="16" t="n">
        <v>4748.14389609856</v>
      </c>
      <c r="H203" s="16" t="n">
        <v>-308.827567722828</v>
      </c>
      <c r="I203" s="17" t="n">
        <v>0.01</v>
      </c>
      <c r="J203" s="17" t="n">
        <v>0.0113</v>
      </c>
      <c r="K203" s="16" t="s">
        <v>70</v>
      </c>
      <c r="L203" s="16" t="n">
        <v>-13507.4496750321</v>
      </c>
      <c r="M203" s="16" t="n">
        <v>32170.7343468758</v>
      </c>
      <c r="N203" s="16" t="n">
        <v>12202.2600162747</v>
      </c>
      <c r="O203" s="16" t="n">
        <v>-28655.0135480726</v>
      </c>
      <c r="P203" s="16" t="n">
        <v>968.519919991184</v>
      </c>
      <c r="Q203" s="16" t="n">
        <v>903.067617153153</v>
      </c>
      <c r="R203" s="16" t="n">
        <v>16850.3421667323</v>
      </c>
      <c r="S203" s="16" t="n">
        <v>29456.0378929612</v>
      </c>
      <c r="T203" s="16" t="n">
        <v>-936.775265661052</v>
      </c>
      <c r="U203" s="16" t="n">
        <v>-9378.71496537464</v>
      </c>
      <c r="V203" s="16" t="n">
        <v>0.82509878873241</v>
      </c>
      <c r="W203" s="16" t="n">
        <v>45973.5272130968</v>
      </c>
      <c r="X203" s="16" t="n">
        <v>25494.8402952654</v>
      </c>
      <c r="Y203" s="16" t="n">
        <v>0.0106301458127347</v>
      </c>
      <c r="Z203" s="16" t="n">
        <v>0.01442897</v>
      </c>
      <c r="AA203" s="16" t="n">
        <v>30.1575455502983</v>
      </c>
      <c r="AB203" s="16" t="n">
        <v>27.9575455502983</v>
      </c>
      <c r="AC203" s="16" t="n">
        <v>29.4075455502983</v>
      </c>
      <c r="AD203" s="16" t="n">
        <v>24.2302170521396</v>
      </c>
      <c r="AE203" s="16" t="n">
        <v>653.683373262198</v>
      </c>
      <c r="AF203" s="16" t="n">
        <v>0.03</v>
      </c>
      <c r="AG203" s="16" t="n">
        <v>0.702129022128044</v>
      </c>
      <c r="AH203" s="16" t="n">
        <v>7709.97126154693</v>
      </c>
      <c r="AI203" s="16" t="n">
        <v>19606.894648061</v>
      </c>
      <c r="AJ203" s="16" t="n">
        <v>22.39175</v>
      </c>
      <c r="AK203" s="16" t="n">
        <v>0</v>
      </c>
      <c r="AL203" s="16" t="n">
        <v>-51366.284299732</v>
      </c>
      <c r="AM203" s="16" t="n">
        <v>684.5</v>
      </c>
      <c r="AN203" s="16" t="n">
        <v>27078.2628664013</v>
      </c>
      <c r="AO203" s="16" t="n">
        <v>-7119.9037923103</v>
      </c>
      <c r="AP203" s="16" t="n">
        <v>0.519414437863832</v>
      </c>
      <c r="AQ203" s="16" t="n">
        <v>0</v>
      </c>
      <c r="AR203" s="16" t="n">
        <v>314.925245</v>
      </c>
      <c r="AS203" s="16" t="n">
        <v>314.925245</v>
      </c>
      <c r="AT203" s="16" t="n">
        <v>-13507.4496750321</v>
      </c>
      <c r="AU203" s="16" t="n">
        <v>0</v>
      </c>
      <c r="AV203" s="16" t="n">
        <v>0</v>
      </c>
      <c r="AW203" s="16" t="n">
        <v>2254.3125</v>
      </c>
      <c r="AX203" s="16" t="n">
        <v>314.925245</v>
      </c>
      <c r="AY203" s="16" t="n">
        <v>314.925245</v>
      </c>
      <c r="AZ203" s="16" t="n">
        <v>5879.73993545842</v>
      </c>
      <c r="BA203" s="16" t="n">
        <v>0</v>
      </c>
      <c r="BB203" s="16" t="n">
        <v>289.821666666667</v>
      </c>
      <c r="BC203" s="16" t="n">
        <v>116972.475389386</v>
      </c>
      <c r="BD203" s="16" t="n">
        <v>18.0155136111956</v>
      </c>
      <c r="BE203" s="16" t="n">
        <v>26.672806233132</v>
      </c>
      <c r="BF203" s="16" t="n">
        <v>40.9006614419344</v>
      </c>
      <c r="BG203" s="16" t="n">
        <v>-9.69653106523862</v>
      </c>
      <c r="BH203" s="16" t="n">
        <v>-10.758179234591</v>
      </c>
      <c r="BI203" s="16" t="n">
        <v>-0.367037357938344</v>
      </c>
      <c r="BJ203" s="16" t="n">
        <v>-1.42868552729068</v>
      </c>
      <c r="BK203" s="16" t="n">
        <v>3.14199510649876</v>
      </c>
      <c r="BL203" s="16" t="n">
        <v>3.49519662256435</v>
      </c>
      <c r="BM203" s="16" t="n">
        <v>5.11489923648504</v>
      </c>
      <c r="BN203" s="16" t="n">
        <v>6.14038025700283</v>
      </c>
      <c r="BO203" s="16" t="n">
        <v>6.42123287671233</v>
      </c>
      <c r="BP203" s="16" t="n">
        <v>7672.79585778466</v>
      </c>
      <c r="BQ203" s="16" t="n">
        <v>7589.35060675899</v>
      </c>
      <c r="BR203" s="16" t="n">
        <v>7589.35060675899</v>
      </c>
      <c r="BS203" s="16" t="n">
        <v>314.925245</v>
      </c>
      <c r="BT203" s="16" t="n">
        <v>292.4</v>
      </c>
      <c r="BU203" s="16" t="n">
        <v>950</v>
      </c>
      <c r="BV203" s="16" t="s">
        <v>3237</v>
      </c>
      <c r="BW203" s="16" t="n">
        <v>41.1282051282051</v>
      </c>
      <c r="BX203" s="16" t="n">
        <v>0.140695465658278</v>
      </c>
      <c r="BY203" s="16" t="n">
        <v>0.133025200277385</v>
      </c>
      <c r="BZ203" s="16" t="n">
        <v>13425</v>
      </c>
      <c r="CA203" s="16" t="n">
        <v>13425</v>
      </c>
      <c r="CB203" s="16" t="n">
        <v>117.554126497149</v>
      </c>
      <c r="CC203" s="16" t="n">
        <v>0</v>
      </c>
      <c r="CD203" s="16" t="n">
        <v>0</v>
      </c>
      <c r="CE203" s="16" t="n">
        <v>17798.3628664013</v>
      </c>
      <c r="CF203" s="16" t="n">
        <v>18.0155136111956</v>
      </c>
      <c r="CG203" s="16" t="n">
        <v>20.357530380651</v>
      </c>
      <c r="CH203" s="16" t="n">
        <v>1931.14787912326</v>
      </c>
      <c r="CI203" s="16" t="n">
        <v>2.14057969233447</v>
      </c>
      <c r="CJ203" s="16" t="n">
        <v>14.8102625047176</v>
      </c>
      <c r="CK203" s="16" t="n">
        <v>0</v>
      </c>
      <c r="CL203" s="16" t="n">
        <v>0</v>
      </c>
      <c r="CM203" s="16" t="n">
        <v>0</v>
      </c>
      <c r="CN203" s="16" t="n">
        <v>-51366.284299732</v>
      </c>
      <c r="CO203" s="16" t="n">
        <v>1.25539772727273</v>
      </c>
      <c r="CP203" s="16" t="n">
        <v>1</v>
      </c>
      <c r="CQ203" s="16" t="n">
        <v>0</v>
      </c>
      <c r="CR203" s="16" t="n">
        <v>0.0113</v>
      </c>
      <c r="CS203" s="16" t="n">
        <v>0</v>
      </c>
      <c r="CT203" s="16" t="n">
        <v>0</v>
      </c>
      <c r="CU203" s="16" t="n">
        <v>0.0113</v>
      </c>
      <c r="CV203" s="16" t="n">
        <v>0</v>
      </c>
      <c r="CW203" s="16" t="n">
        <v>0</v>
      </c>
      <c r="CX203" s="16" t="n">
        <v>0</v>
      </c>
      <c r="CY203" s="16" t="n">
        <v>0</v>
      </c>
      <c r="CZ203" s="16" t="n">
        <v>0</v>
      </c>
      <c r="DA203" s="16" t="n">
        <v>0</v>
      </c>
      <c r="DB203" s="16" t="n">
        <v>17906.4066021251</v>
      </c>
      <c r="DC203" s="16" t="n">
        <v>13286.5536987768</v>
      </c>
      <c r="DD203" s="16" t="n">
        <v>12026.6666666667</v>
      </c>
      <c r="DE203" s="16" t="n">
        <v>0</v>
      </c>
      <c r="DF203" s="16" t="n">
        <v>314.925245</v>
      </c>
      <c r="DG203" s="16" t="n">
        <v>0</v>
      </c>
      <c r="DH203" s="16" t="n">
        <v>0</v>
      </c>
      <c r="DI203" s="16" t="n">
        <v>0.0113</v>
      </c>
    </row>
    <row r="204" customFormat="false" ht="15" hidden="false" customHeight="false" outlineLevel="0" collapsed="false">
      <c r="A204" s="0" t="s">
        <v>3419</v>
      </c>
      <c r="B204" s="16" t="n">
        <v>2423.40833661368</v>
      </c>
      <c r="C204" s="16" t="n">
        <v>7621.71734378923</v>
      </c>
      <c r="D204" s="16" t="n">
        <v>19606.894648061</v>
      </c>
      <c r="E204" s="16" t="n">
        <v>4078.97255313604</v>
      </c>
      <c r="F204" s="16" t="n">
        <v>-984.824838083892</v>
      </c>
      <c r="G204" s="16" t="n">
        <v>4758.92869746836</v>
      </c>
      <c r="H204" s="16" t="n">
        <v>-183.968096750174</v>
      </c>
      <c r="I204" s="17" t="n">
        <v>0.01</v>
      </c>
      <c r="J204" s="17" t="n">
        <v>0</v>
      </c>
      <c r="K204" s="16" t="s">
        <v>95</v>
      </c>
      <c r="L204" s="16" t="n">
        <v>2073.20268369447</v>
      </c>
      <c r="M204" s="16" t="n">
        <v>32170.7343468758</v>
      </c>
      <c r="N204" s="16" t="n">
        <v>12202.2600162747</v>
      </c>
      <c r="O204" s="16" t="n">
        <v>-13352.5358355777</v>
      </c>
      <c r="P204" s="16" t="n">
        <v>968.519919991184</v>
      </c>
      <c r="Q204" s="16" t="n">
        <v>847.617452637149</v>
      </c>
      <c r="R204" s="16" t="n">
        <v>16850.3421667323</v>
      </c>
      <c r="S204" s="16" t="n">
        <v>29456.0378929612</v>
      </c>
      <c r="T204" s="16" t="n">
        <v>-936.775265661052</v>
      </c>
      <c r="U204" s="16" t="n">
        <v>-9253.85549440198</v>
      </c>
      <c r="V204" s="16" t="n">
        <v>0.82509878873241</v>
      </c>
      <c r="W204" s="16" t="n">
        <v>46042.3702753286</v>
      </c>
      <c r="X204" s="16" t="n">
        <v>25494.8402952654</v>
      </c>
      <c r="Y204" s="16" t="n">
        <v>0</v>
      </c>
      <c r="Z204" s="16" t="n">
        <v>0</v>
      </c>
      <c r="AA204" s="16" t="n">
        <v>30.1575455502983</v>
      </c>
      <c r="AB204" s="16" t="n">
        <v>27.9575455502983</v>
      </c>
      <c r="AC204" s="16" t="n">
        <v>29.4075455502983</v>
      </c>
      <c r="AD204" s="16" t="n">
        <v>24.2302170521396</v>
      </c>
      <c r="AE204" s="16" t="n">
        <v>653.683373262198</v>
      </c>
      <c r="AF204" s="16" t="n">
        <v>0.03</v>
      </c>
      <c r="AG204" s="16" t="n">
        <v>0.702129022128044</v>
      </c>
      <c r="AH204" s="16" t="n">
        <v>10689.3730662169</v>
      </c>
      <c r="AI204" s="16" t="n">
        <v>19606.894648061</v>
      </c>
      <c r="AJ204" s="16" t="n">
        <v>22.39175</v>
      </c>
      <c r="AK204" s="16" t="n">
        <v>0</v>
      </c>
      <c r="AL204" s="16" t="n">
        <v>-36275.5225432373</v>
      </c>
      <c r="AM204" s="16" t="n">
        <v>684.5</v>
      </c>
      <c r="AN204" s="16" t="n">
        <v>27078.2628664013</v>
      </c>
      <c r="AO204" s="16" t="n">
        <v>-7119.9037923103</v>
      </c>
      <c r="AP204" s="16" t="n">
        <v>0.519414437863832</v>
      </c>
      <c r="AQ204" s="16" t="n">
        <v>0</v>
      </c>
      <c r="AR204" s="16" t="n">
        <v>327.195752</v>
      </c>
      <c r="AS204" s="16" t="n">
        <v>314.925245</v>
      </c>
      <c r="AT204" s="16" t="n">
        <v>2073.20268369447</v>
      </c>
      <c r="AU204" s="16" t="n">
        <v>12.270507</v>
      </c>
      <c r="AV204" s="16" t="n">
        <v>0</v>
      </c>
      <c r="AW204" s="16" t="n">
        <v>2254.3125</v>
      </c>
      <c r="AX204" s="16" t="n">
        <v>314.925245</v>
      </c>
      <c r="AY204" s="16" t="n">
        <v>314.925245</v>
      </c>
      <c r="AZ204" s="16" t="n">
        <v>5879.73993545842</v>
      </c>
      <c r="BA204" s="16" t="n">
        <v>0</v>
      </c>
      <c r="BB204" s="16" t="n">
        <v>289.821666666667</v>
      </c>
      <c r="BC204" s="16" t="n">
        <v>116972.475389386</v>
      </c>
      <c r="BD204" s="16" t="n">
        <v>18.0155136111956</v>
      </c>
      <c r="BE204" s="16" t="n">
        <v>26.672806233132</v>
      </c>
      <c r="BF204" s="16" t="n">
        <v>40.9006614419344</v>
      </c>
      <c r="BG204" s="16" t="n">
        <v>-9.69653106523862</v>
      </c>
      <c r="BH204" s="16" t="n">
        <v>-10.758179234591</v>
      </c>
      <c r="BI204" s="16" t="n">
        <v>-0.367037357938344</v>
      </c>
      <c r="BJ204" s="16" t="n">
        <v>-1.42868552729068</v>
      </c>
      <c r="BK204" s="16" t="n">
        <v>3.14199510649876</v>
      </c>
      <c r="BL204" s="16" t="n">
        <v>3.49519662256435</v>
      </c>
      <c r="BM204" s="16" t="n">
        <v>5.11489923648504</v>
      </c>
      <c r="BN204" s="16" t="n">
        <v>6.14038025700283</v>
      </c>
      <c r="BO204" s="16" t="n">
        <v>6.42123287671233</v>
      </c>
      <c r="BP204" s="16" t="n">
        <v>7672.79585778466</v>
      </c>
      <c r="BQ204" s="16" t="n">
        <v>7589.35060675899</v>
      </c>
      <c r="BR204" s="16" t="n">
        <v>7589.35060675899</v>
      </c>
      <c r="BS204" s="16" t="n">
        <v>327.195752</v>
      </c>
      <c r="BT204" s="16" t="n">
        <v>292.4</v>
      </c>
      <c r="BU204" s="16" t="n">
        <v>950</v>
      </c>
      <c r="BV204" s="16" t="s">
        <v>3237</v>
      </c>
      <c r="BW204" s="16" t="n">
        <v>41.1282051282051</v>
      </c>
      <c r="BX204" s="16" t="n">
        <v>0.140695465658278</v>
      </c>
      <c r="BY204" s="16" t="n">
        <v>0.133025200277385</v>
      </c>
      <c r="BZ204" s="16" t="n">
        <v>13425</v>
      </c>
      <c r="CA204" s="16" t="n">
        <v>26225</v>
      </c>
      <c r="CB204" s="16" t="n">
        <v>95.3577254919771</v>
      </c>
      <c r="CC204" s="16" t="n">
        <v>0</v>
      </c>
      <c r="CD204" s="16" t="n">
        <v>0</v>
      </c>
      <c r="CE204" s="16" t="n">
        <v>17798.3628664013</v>
      </c>
      <c r="CF204" s="16" t="n">
        <v>18.0155136111956</v>
      </c>
      <c r="CG204" s="16" t="n">
        <v>20.357530380651</v>
      </c>
      <c r="CH204" s="16" t="n">
        <v>1931.14787912326</v>
      </c>
      <c r="CI204" s="16" t="n">
        <v>2.14057969233447</v>
      </c>
      <c r="CJ204" s="16" t="n">
        <v>14.8102625047176</v>
      </c>
      <c r="CK204" s="16" t="n">
        <v>0</v>
      </c>
      <c r="CL204" s="16" t="n">
        <v>0</v>
      </c>
      <c r="CM204" s="16" t="n">
        <v>12.270507</v>
      </c>
      <c r="CN204" s="16" t="n">
        <v>-36275.5225432373</v>
      </c>
      <c r="CO204" s="16" t="n">
        <v>1.25539772727273</v>
      </c>
      <c r="CP204" s="16" t="n">
        <v>1</v>
      </c>
      <c r="CQ204" s="16" t="n">
        <v>0</v>
      </c>
      <c r="CR204" s="16" t="n">
        <v>0</v>
      </c>
      <c r="CS204" s="16" t="n">
        <v>0</v>
      </c>
      <c r="CT204" s="16" t="n">
        <v>0</v>
      </c>
      <c r="CU204" s="16" t="n">
        <v>0.0113</v>
      </c>
      <c r="CV204" s="16" t="n">
        <v>12.270507</v>
      </c>
      <c r="CW204" s="16" t="n">
        <v>37.1349976050118</v>
      </c>
      <c r="CX204" s="16" t="n">
        <v>49.4055046050118</v>
      </c>
      <c r="CY204" s="16" t="n">
        <v>263663.876519469</v>
      </c>
      <c r="CZ204" s="16" t="n">
        <v>14.0233433393425</v>
      </c>
      <c r="DA204" s="16" t="n">
        <v>0</v>
      </c>
      <c r="DB204" s="16" t="n">
        <v>17906.4066021251</v>
      </c>
      <c r="DC204" s="16" t="n">
        <v>13286.5536987768</v>
      </c>
      <c r="DD204" s="16" t="n">
        <v>12026.6666666667</v>
      </c>
      <c r="DE204" s="16" t="n">
        <v>0</v>
      </c>
      <c r="DF204" s="16" t="n">
        <v>263978.801764469</v>
      </c>
      <c r="DG204" s="16" t="n">
        <v>12.270507</v>
      </c>
      <c r="DH204" s="16" t="n">
        <v>0</v>
      </c>
      <c r="DI204" s="16" t="n">
        <v>0.0113</v>
      </c>
    </row>
    <row r="205" customFormat="false" ht="15" hidden="false" customHeight="false" outlineLevel="0" collapsed="false">
      <c r="A205" s="0" t="s">
        <v>3420</v>
      </c>
      <c r="B205" s="16" t="n">
        <v>2423.40833661368</v>
      </c>
      <c r="C205" s="16" t="n">
        <v>7621.71734378923</v>
      </c>
      <c r="D205" s="16" t="n">
        <v>19606.894648061</v>
      </c>
      <c r="E205" s="16" t="n">
        <v>4078.97255313604</v>
      </c>
      <c r="F205" s="16" t="n">
        <v>-984.824838083892</v>
      </c>
      <c r="G205" s="16" t="n">
        <v>4758.92869746836</v>
      </c>
      <c r="H205" s="16" t="n">
        <v>-480.656470997969</v>
      </c>
      <c r="I205" s="17" t="n">
        <v>0.01</v>
      </c>
      <c r="J205" s="17" t="n">
        <v>0</v>
      </c>
      <c r="K205" s="16" t="s">
        <v>95</v>
      </c>
      <c r="L205" s="16" t="n">
        <v>2073.20268369447</v>
      </c>
      <c r="M205" s="16" t="n">
        <v>32170.7343468758</v>
      </c>
      <c r="N205" s="16" t="n">
        <v>12202.2600162747</v>
      </c>
      <c r="O205" s="16" t="n">
        <v>-13352.5358355777</v>
      </c>
      <c r="P205" s="16" t="n">
        <v>968.519919991184</v>
      </c>
      <c r="Q205" s="16" t="n">
        <v>847.617452637149</v>
      </c>
      <c r="R205" s="16" t="n">
        <v>16850.3421667323</v>
      </c>
      <c r="S205" s="16" t="n">
        <v>29456.0378929612</v>
      </c>
      <c r="T205" s="16" t="n">
        <v>-936.775265661052</v>
      </c>
      <c r="U205" s="16" t="n">
        <v>-9550.54386864978</v>
      </c>
      <c r="V205" s="16" t="n">
        <v>0.82509878873241</v>
      </c>
      <c r="W205" s="16" t="n">
        <v>45884.7436274607</v>
      </c>
      <c r="X205" s="16" t="n">
        <v>25494.8402952654</v>
      </c>
      <c r="Y205" s="16" t="n">
        <v>0</v>
      </c>
      <c r="Z205" s="16" t="n">
        <v>0</v>
      </c>
      <c r="AA205" s="16" t="n">
        <v>30.1575455502983</v>
      </c>
      <c r="AB205" s="16" t="n">
        <v>27.9575455502983</v>
      </c>
      <c r="AC205" s="16" t="n">
        <v>29.4075455502983</v>
      </c>
      <c r="AD205" s="16" t="n">
        <v>24.2302170521396</v>
      </c>
      <c r="AE205" s="16" t="n">
        <v>653.683373262198</v>
      </c>
      <c r="AF205" s="16" t="n">
        <v>0.03</v>
      </c>
      <c r="AG205" s="16" t="n">
        <v>0.702129022128044</v>
      </c>
      <c r="AH205" s="16" t="n">
        <v>10689.3730662169</v>
      </c>
      <c r="AI205" s="16" t="n">
        <v>19606.894648061</v>
      </c>
      <c r="AJ205" s="16" t="n">
        <v>22.39175</v>
      </c>
      <c r="AK205" s="16" t="n">
        <v>0</v>
      </c>
      <c r="AL205" s="16" t="n">
        <v>-36275.5225432373</v>
      </c>
      <c r="AM205" s="16" t="n">
        <v>684.5</v>
      </c>
      <c r="AN205" s="16" t="n">
        <v>27078.2628664013</v>
      </c>
      <c r="AO205" s="16" t="n">
        <v>-7119.9037923103</v>
      </c>
      <c r="AP205" s="16" t="n">
        <v>0.519414437863832</v>
      </c>
      <c r="AQ205" s="16" t="n">
        <v>0</v>
      </c>
      <c r="AR205" s="16" t="n">
        <v>327.195752</v>
      </c>
      <c r="AS205" s="16" t="n">
        <v>314.925245</v>
      </c>
      <c r="AT205" s="16" t="n">
        <v>2073.20268369447</v>
      </c>
      <c r="AU205" s="16" t="n">
        <v>12.270507</v>
      </c>
      <c r="AV205" s="16" t="n">
        <v>0</v>
      </c>
      <c r="AW205" s="16" t="n">
        <v>2254.3125</v>
      </c>
      <c r="AX205" s="16" t="n">
        <v>314.925245</v>
      </c>
      <c r="AY205" s="16" t="n">
        <v>314.925245</v>
      </c>
      <c r="AZ205" s="16" t="n">
        <v>5879.73993545842</v>
      </c>
      <c r="BA205" s="16" t="n">
        <v>0</v>
      </c>
      <c r="BB205" s="16" t="n">
        <v>289.821666666667</v>
      </c>
      <c r="BC205" s="16" t="n">
        <v>116972.475389386</v>
      </c>
      <c r="BD205" s="16" t="n">
        <v>18.0155136111956</v>
      </c>
      <c r="BE205" s="16" t="n">
        <v>26.672806233132</v>
      </c>
      <c r="BF205" s="16" t="n">
        <v>40.9006614419344</v>
      </c>
      <c r="BG205" s="16" t="n">
        <v>-9.69653106523862</v>
      </c>
      <c r="BH205" s="16" t="n">
        <v>-10.758179234591</v>
      </c>
      <c r="BI205" s="16" t="n">
        <v>-0.367037357938344</v>
      </c>
      <c r="BJ205" s="16" t="n">
        <v>-1.42868552729068</v>
      </c>
      <c r="BK205" s="16" t="n">
        <v>3.14199510649876</v>
      </c>
      <c r="BL205" s="16" t="n">
        <v>3.49519662256435</v>
      </c>
      <c r="BM205" s="16" t="n">
        <v>5.11489923648504</v>
      </c>
      <c r="BN205" s="16" t="n">
        <v>6.14038025700283</v>
      </c>
      <c r="BO205" s="16" t="n">
        <v>6.42123287671233</v>
      </c>
      <c r="BP205" s="16" t="n">
        <v>7672.79585778466</v>
      </c>
      <c r="BQ205" s="16" t="n">
        <v>7589.35060675899</v>
      </c>
      <c r="BR205" s="16" t="n">
        <v>7589.35060675899</v>
      </c>
      <c r="BS205" s="16" t="n">
        <v>327.195752</v>
      </c>
      <c r="BT205" s="16" t="n">
        <v>292.4</v>
      </c>
      <c r="BU205" s="16" t="n">
        <v>950</v>
      </c>
      <c r="BV205" s="16" t="s">
        <v>3237</v>
      </c>
      <c r="BW205" s="16" t="n">
        <v>41.1282051282051</v>
      </c>
      <c r="BX205" s="16" t="n">
        <v>0.140695465658278</v>
      </c>
      <c r="BY205" s="16" t="n">
        <v>0.133025200277385</v>
      </c>
      <c r="BZ205" s="16" t="n">
        <v>13425</v>
      </c>
      <c r="CA205" s="16" t="n">
        <v>26225</v>
      </c>
      <c r="CB205" s="16" t="n">
        <v>95.3577254919771</v>
      </c>
      <c r="CC205" s="16" t="n">
        <v>0</v>
      </c>
      <c r="CD205" s="16" t="n">
        <v>0</v>
      </c>
      <c r="CE205" s="16" t="n">
        <v>17798.3628664013</v>
      </c>
      <c r="CF205" s="16" t="n">
        <v>18.0155136111956</v>
      </c>
      <c r="CG205" s="16" t="n">
        <v>20.357530380651</v>
      </c>
      <c r="CH205" s="16" t="n">
        <v>1931.14787912326</v>
      </c>
      <c r="CI205" s="16" t="n">
        <v>2.14057969233447</v>
      </c>
      <c r="CJ205" s="16" t="n">
        <v>14.8102625047176</v>
      </c>
      <c r="CK205" s="16" t="n">
        <v>0</v>
      </c>
      <c r="CL205" s="16" t="n">
        <v>0</v>
      </c>
      <c r="CM205" s="16" t="n">
        <v>12.270507</v>
      </c>
      <c r="CN205" s="16" t="n">
        <v>-36275.5225432373</v>
      </c>
      <c r="CO205" s="16" t="n">
        <v>1.25539772727273</v>
      </c>
      <c r="CP205" s="16" t="n">
        <v>1</v>
      </c>
      <c r="CQ205" s="16" t="n">
        <v>0</v>
      </c>
      <c r="CR205" s="16" t="n">
        <v>0</v>
      </c>
      <c r="CS205" s="16" t="n">
        <v>0</v>
      </c>
      <c r="CT205" s="16" t="n">
        <v>0</v>
      </c>
      <c r="CU205" s="16" t="n">
        <v>0.0113</v>
      </c>
      <c r="CV205" s="16" t="n">
        <v>12.270507</v>
      </c>
      <c r="CW205" s="16" t="n">
        <v>37.1349976050118</v>
      </c>
      <c r="CX205" s="16" t="n">
        <v>49.4055046050118</v>
      </c>
      <c r="CY205" s="16" t="n">
        <v>263663.876519469</v>
      </c>
      <c r="CZ205" s="16" t="n">
        <v>14.0233433393425</v>
      </c>
      <c r="DA205" s="16" t="n">
        <v>0</v>
      </c>
      <c r="DB205" s="16" t="n">
        <v>17906.4066021251</v>
      </c>
      <c r="DC205" s="16" t="n">
        <v>13286.5536987768</v>
      </c>
      <c r="DD205" s="16" t="n">
        <v>12026.6666666667</v>
      </c>
      <c r="DE205" s="16" t="n">
        <v>0</v>
      </c>
      <c r="DF205" s="16" t="n">
        <v>263978.801764469</v>
      </c>
      <c r="DG205" s="16" t="n">
        <v>12.270507</v>
      </c>
      <c r="DH205" s="16" t="n">
        <v>0</v>
      </c>
      <c r="DI205" s="16" t="n">
        <v>0.0113</v>
      </c>
    </row>
    <row r="206" customFormat="false" ht="15" hidden="false" customHeight="false" outlineLevel="0" collapsed="false">
      <c r="A206" s="0" t="s">
        <v>3421</v>
      </c>
      <c r="B206" s="16" t="n">
        <v>2423.40833661368</v>
      </c>
      <c r="C206" s="16" t="n">
        <v>7621.71734378923</v>
      </c>
      <c r="D206" s="16" t="n">
        <v>19606.894648061</v>
      </c>
      <c r="E206" s="16" t="n">
        <v>3979.41586186791</v>
      </c>
      <c r="F206" s="16" t="n">
        <v>-1084.38152935202</v>
      </c>
      <c r="G206" s="16" t="n">
        <v>4758.92869746836</v>
      </c>
      <c r="H206" s="16" t="n">
        <v>-3764.79894932358</v>
      </c>
      <c r="I206" s="17" t="n">
        <v>0.01</v>
      </c>
      <c r="J206" s="17" t="n">
        <v>0</v>
      </c>
      <c r="K206" s="16" t="s">
        <v>95</v>
      </c>
      <c r="L206" s="16" t="n">
        <v>1948.44774121372</v>
      </c>
      <c r="M206" s="16" t="n">
        <v>32170.7343468758</v>
      </c>
      <c r="N206" s="16" t="n">
        <v>11776.3209816172</v>
      </c>
      <c r="O206" s="16" t="n">
        <v>-13871.463532564</v>
      </c>
      <c r="P206" s="16" t="n">
        <v>945.057363780535</v>
      </c>
      <c r="Q206" s="16" t="n">
        <v>421.678417979643</v>
      </c>
      <c r="R206" s="16" t="n">
        <v>16850.3421667323</v>
      </c>
      <c r="S206" s="16" t="n">
        <v>29456.0378929612</v>
      </c>
      <c r="T206" s="16" t="n">
        <v>-960.237821871701</v>
      </c>
      <c r="U206" s="16" t="n">
        <v>-12847.864569867</v>
      </c>
      <c r="V206" s="16" t="n">
        <v>0.82509878873241</v>
      </c>
      <c r="W206" s="16" t="n">
        <v>44143.3158468079</v>
      </c>
      <c r="X206" s="16" t="n">
        <v>25209.0102367056</v>
      </c>
      <c r="Y206" s="16" t="n">
        <v>0</v>
      </c>
      <c r="Z206" s="16" t="n">
        <v>0</v>
      </c>
      <c r="AA206" s="16" t="n">
        <v>30.1575455502983</v>
      </c>
      <c r="AB206" s="16" t="n">
        <v>27.9575455502983</v>
      </c>
      <c r="AC206" s="16" t="n">
        <v>29.4075455502983</v>
      </c>
      <c r="AD206" s="16" t="n">
        <v>24.2302170521396</v>
      </c>
      <c r="AE206" s="16" t="n">
        <v>653.683373262198</v>
      </c>
      <c r="AF206" s="16" t="n">
        <v>0.03</v>
      </c>
      <c r="AG206" s="16" t="n">
        <v>0.669954845956548</v>
      </c>
      <c r="AH206" s="16" t="n">
        <v>10665.795200556</v>
      </c>
      <c r="AI206" s="16" t="n">
        <v>19606.894648061</v>
      </c>
      <c r="AJ206" s="16" t="n">
        <v>22.39175</v>
      </c>
      <c r="AK206" s="16" t="n">
        <v>0</v>
      </c>
      <c r="AL206" s="16" t="n">
        <v>-37282.1474423799</v>
      </c>
      <c r="AM206" s="16" t="n">
        <v>684.5</v>
      </c>
      <c r="AN206" s="16" t="n">
        <v>27078.2628664013</v>
      </c>
      <c r="AO206" s="16" t="n">
        <v>-7119.9037923103</v>
      </c>
      <c r="AP206" s="16" t="n">
        <v>0.519414437863832</v>
      </c>
      <c r="AQ206" s="16" t="n">
        <v>0</v>
      </c>
      <c r="AR206" s="16" t="n">
        <v>327.195752</v>
      </c>
      <c r="AS206" s="16" t="n">
        <v>314.925245</v>
      </c>
      <c r="AT206" s="16" t="n">
        <v>1948.44774121372</v>
      </c>
      <c r="AU206" s="16" t="n">
        <v>12.270507</v>
      </c>
      <c r="AV206" s="16" t="n">
        <v>0</v>
      </c>
      <c r="AW206" s="16" t="n">
        <v>2254.3125</v>
      </c>
      <c r="AX206" s="16" t="n">
        <v>314.925245</v>
      </c>
      <c r="AY206" s="16" t="n">
        <v>314.925245</v>
      </c>
      <c r="AZ206" s="16" t="n">
        <v>5201.47191290208</v>
      </c>
      <c r="BA206" s="16" t="n">
        <v>0</v>
      </c>
      <c r="BB206" s="16" t="n">
        <v>289.821666666667</v>
      </c>
      <c r="BC206" s="16" t="n">
        <v>116972.475389386</v>
      </c>
      <c r="BD206" s="16" t="n">
        <v>15.8199251138432</v>
      </c>
      <c r="BE206" s="16" t="n">
        <v>24.4772177357795</v>
      </c>
      <c r="BF206" s="16" t="n">
        <v>38.705072944582</v>
      </c>
      <c r="BG206" s="16" t="n">
        <v>-9.69653106523862</v>
      </c>
      <c r="BH206" s="16" t="n">
        <v>-13.0699849945128</v>
      </c>
      <c r="BI206" s="16" t="n">
        <v>-0.367037357938344</v>
      </c>
      <c r="BJ206" s="16" t="n">
        <v>-3.74049128721252</v>
      </c>
      <c r="BK206" s="16" t="n">
        <v>3.14199510649876</v>
      </c>
      <c r="BL206" s="16" t="n">
        <v>0.379555436685852</v>
      </c>
      <c r="BM206" s="16" t="n">
        <v>5.11489923648504</v>
      </c>
      <c r="BN206" s="16" t="n">
        <v>6.14038025700283</v>
      </c>
      <c r="BO206" s="16" t="n">
        <v>6.42123287671233</v>
      </c>
      <c r="BP206" s="16" t="n">
        <v>7672.79585778466</v>
      </c>
      <c r="BQ206" s="16" t="n">
        <v>7589.35060675899</v>
      </c>
      <c r="BR206" s="16" t="n">
        <v>7589.35060675899</v>
      </c>
      <c r="BS206" s="16" t="n">
        <v>327.195752</v>
      </c>
      <c r="BT206" s="16" t="n">
        <v>292.4</v>
      </c>
      <c r="BU206" s="16" t="n">
        <v>950</v>
      </c>
      <c r="BV206" s="16" t="s">
        <v>3237</v>
      </c>
      <c r="BW206" s="16" t="n">
        <v>41.1282051282051</v>
      </c>
      <c r="BX206" s="16" t="n">
        <v>0.140695465658278</v>
      </c>
      <c r="BY206" s="16" t="n">
        <v>0.112520132993455</v>
      </c>
      <c r="BZ206" s="16" t="n">
        <v>13425</v>
      </c>
      <c r="CA206" s="16" t="n">
        <v>26225</v>
      </c>
      <c r="CB206" s="16" t="n">
        <v>97.5517266069175</v>
      </c>
      <c r="CC206" s="16" t="n">
        <v>0</v>
      </c>
      <c r="CD206" s="16" t="n">
        <v>0</v>
      </c>
      <c r="CE206" s="16" t="n">
        <v>17798.3628664013</v>
      </c>
      <c r="CF206" s="16" t="n">
        <v>15.8199251138432</v>
      </c>
      <c r="CG206" s="16" t="n">
        <v>17.8765153786428</v>
      </c>
      <c r="CH206" s="16" t="n">
        <v>1931.14787912326</v>
      </c>
      <c r="CI206" s="16" t="n">
        <v>2.14057969233447</v>
      </c>
      <c r="CJ206" s="16" t="n">
        <v>14.8102625047176</v>
      </c>
      <c r="CK206" s="16" t="n">
        <v>0</v>
      </c>
      <c r="CL206" s="16" t="n">
        <v>0</v>
      </c>
      <c r="CM206" s="16" t="n">
        <v>12.270507</v>
      </c>
      <c r="CN206" s="16" t="n">
        <v>-37282.1474423799</v>
      </c>
      <c r="CO206" s="16" t="n">
        <v>1.25539772727273</v>
      </c>
      <c r="CP206" s="16" t="n">
        <v>1</v>
      </c>
      <c r="CQ206" s="16" t="n">
        <v>0</v>
      </c>
      <c r="CR206" s="16" t="n">
        <v>0</v>
      </c>
      <c r="CS206" s="16" t="n">
        <v>0</v>
      </c>
      <c r="CT206" s="16" t="n">
        <v>0</v>
      </c>
      <c r="CU206" s="16" t="n">
        <v>0.0113</v>
      </c>
      <c r="CV206" s="16" t="n">
        <v>12.270507</v>
      </c>
      <c r="CW206" s="16" t="n">
        <v>37.1349976050118</v>
      </c>
      <c r="CX206" s="16" t="n">
        <v>49.4055046050118</v>
      </c>
      <c r="CY206" s="16" t="n">
        <v>263663.876519469</v>
      </c>
      <c r="CZ206" s="16" t="n">
        <v>14.0233433393425</v>
      </c>
      <c r="DA206" s="16" t="n">
        <v>0</v>
      </c>
      <c r="DB206" s="16" t="n">
        <v>17228.1385795688</v>
      </c>
      <c r="DC206" s="16" t="n">
        <v>12783.27882604</v>
      </c>
      <c r="DD206" s="16" t="n">
        <v>12026.6666666667</v>
      </c>
      <c r="DE206" s="16" t="n">
        <v>0</v>
      </c>
      <c r="DF206" s="16" t="n">
        <v>263978.801764469</v>
      </c>
      <c r="DG206" s="16" t="n">
        <v>12.270507</v>
      </c>
      <c r="DH206" s="16" t="n">
        <v>0</v>
      </c>
      <c r="DI206" s="16" t="n">
        <v>0.0113</v>
      </c>
    </row>
    <row r="207" customFormat="false" ht="15" hidden="false" customHeight="false" outlineLevel="0" collapsed="false">
      <c r="A207" s="0" t="s">
        <v>3422</v>
      </c>
      <c r="B207" s="16" t="n">
        <v>2423.40833661368</v>
      </c>
      <c r="C207" s="16" t="n">
        <v>7621.71734378923</v>
      </c>
      <c r="D207" s="16" t="n">
        <v>19606.894648061</v>
      </c>
      <c r="E207" s="16" t="n">
        <v>3979.41586186791</v>
      </c>
      <c r="F207" s="16" t="n">
        <v>-1091.94402935202</v>
      </c>
      <c r="G207" s="16" t="n">
        <v>4766.49119746836</v>
      </c>
      <c r="H207" s="16" t="n">
        <v>-3890.73528591035</v>
      </c>
      <c r="I207" s="17" t="n">
        <v>0.01</v>
      </c>
      <c r="J207" s="17" t="n">
        <v>0</v>
      </c>
      <c r="K207" s="16" t="s">
        <v>95</v>
      </c>
      <c r="L207" s="16" t="n">
        <v>1778.80160737149</v>
      </c>
      <c r="M207" s="16" t="n">
        <v>32335.7343468758</v>
      </c>
      <c r="N207" s="16" t="n">
        <v>11776.3209816172</v>
      </c>
      <c r="O207" s="16" t="n">
        <v>-14220.7062593072</v>
      </c>
      <c r="P207" s="16" t="n">
        <v>945.057363780535</v>
      </c>
      <c r="Q207" s="16" t="n">
        <v>436.240917979643</v>
      </c>
      <c r="R207" s="16" t="n">
        <v>16880.3421667323</v>
      </c>
      <c r="S207" s="16" t="n">
        <v>29681.0378929612</v>
      </c>
      <c r="T207" s="16" t="n">
        <v>-960.237821871701</v>
      </c>
      <c r="U207" s="16" t="n">
        <v>-12981.4884064537</v>
      </c>
      <c r="V207" s="16" t="n">
        <v>0.82509878873241</v>
      </c>
      <c r="W207" s="16" t="n">
        <v>44087.0748433818</v>
      </c>
      <c r="X207" s="16" t="n">
        <v>25092.4402184556</v>
      </c>
      <c r="Y207" s="16" t="n">
        <v>0</v>
      </c>
      <c r="Z207" s="16" t="n">
        <v>0</v>
      </c>
      <c r="AA207" s="16" t="n">
        <v>30.1575455502983</v>
      </c>
      <c r="AB207" s="16" t="n">
        <v>27.9575455502983</v>
      </c>
      <c r="AC207" s="16" t="n">
        <v>29.4075455502983</v>
      </c>
      <c r="AD207" s="16" t="n">
        <v>24.2302170521396</v>
      </c>
      <c r="AE207" s="16" t="n">
        <v>653.683373262198</v>
      </c>
      <c r="AF207" s="16" t="n">
        <v>0.03</v>
      </c>
      <c r="AG207" s="16" t="n">
        <v>0.669954845956548</v>
      </c>
      <c r="AH207" s="16" t="n">
        <v>10644.3800854686</v>
      </c>
      <c r="AI207" s="16" t="n">
        <v>19606.894648061</v>
      </c>
      <c r="AJ207" s="16" t="n">
        <v>22.39175</v>
      </c>
      <c r="AK207" s="16" t="n">
        <v>0</v>
      </c>
      <c r="AL207" s="16" t="n">
        <v>-37310.4564284642</v>
      </c>
      <c r="AM207" s="16" t="n">
        <v>684.5</v>
      </c>
      <c r="AN207" s="16" t="n">
        <v>27066.6679880054</v>
      </c>
      <c r="AO207" s="16" t="n">
        <v>-7103.49664045297</v>
      </c>
      <c r="AP207" s="16" t="n">
        <v>0.519414437863832</v>
      </c>
      <c r="AQ207" s="16" t="n">
        <v>0</v>
      </c>
      <c r="AR207" s="16" t="n">
        <v>327.195752</v>
      </c>
      <c r="AS207" s="16" t="n">
        <v>314.925245</v>
      </c>
      <c r="AT207" s="16" t="n">
        <v>1778.80160737149</v>
      </c>
      <c r="AU207" s="16" t="n">
        <v>12.270507</v>
      </c>
      <c r="AV207" s="16" t="n">
        <v>0</v>
      </c>
      <c r="AW207" s="16" t="n">
        <v>2254.3125</v>
      </c>
      <c r="AX207" s="16" t="n">
        <v>314.925245</v>
      </c>
      <c r="AY207" s="16" t="n">
        <v>314.925245</v>
      </c>
      <c r="AZ207" s="16" t="n">
        <v>5201.47191290208</v>
      </c>
      <c r="BA207" s="16" t="n">
        <v>0</v>
      </c>
      <c r="BB207" s="16" t="n">
        <v>289.821666666667</v>
      </c>
      <c r="BC207" s="16" t="n">
        <v>116972.475389386</v>
      </c>
      <c r="BD207" s="16" t="n">
        <v>15.7955145588875</v>
      </c>
      <c r="BE207" s="16" t="n">
        <v>24.4528071808238</v>
      </c>
      <c r="BF207" s="16" t="n">
        <v>38.6806623896263</v>
      </c>
      <c r="BG207" s="16" t="n">
        <v>-9.69653106523862</v>
      </c>
      <c r="BH207" s="16" t="n">
        <v>-12.688904085028</v>
      </c>
      <c r="BI207" s="16" t="n">
        <v>-0.367037357938344</v>
      </c>
      <c r="BJ207" s="16" t="n">
        <v>-3.35941037772768</v>
      </c>
      <c r="BK207" s="16" t="n">
        <v>3.14199510649876</v>
      </c>
      <c r="BL207" s="16" t="n">
        <v>0.915310107849828</v>
      </c>
      <c r="BM207" s="16" t="n">
        <v>5.11489923648504</v>
      </c>
      <c r="BN207" s="16" t="n">
        <v>6.14038025700283</v>
      </c>
      <c r="BO207" s="16" t="n">
        <v>6.42123287671233</v>
      </c>
      <c r="BP207" s="16" t="n">
        <v>7672.79585778466</v>
      </c>
      <c r="BQ207" s="16" t="n">
        <v>7589.35060675899</v>
      </c>
      <c r="BR207" s="16" t="n">
        <v>7589.35060675899</v>
      </c>
      <c r="BS207" s="16" t="n">
        <v>327.195752</v>
      </c>
      <c r="BT207" s="16" t="n">
        <v>292.4</v>
      </c>
      <c r="BU207" s="16" t="n">
        <v>950</v>
      </c>
      <c r="BV207" s="16" t="s">
        <v>3237</v>
      </c>
      <c r="BW207" s="16" t="n">
        <v>41.1282051282051</v>
      </c>
      <c r="BX207" s="16" t="n">
        <v>0.140695465658278</v>
      </c>
      <c r="BY207" s="16" t="n">
        <v>0.116026783287097</v>
      </c>
      <c r="BZ207" s="16" t="n">
        <v>13425</v>
      </c>
      <c r="CA207" s="16" t="n">
        <v>26225</v>
      </c>
      <c r="CB207" s="16" t="n">
        <v>97.6374720477878</v>
      </c>
      <c r="CC207" s="16" t="n">
        <v>0</v>
      </c>
      <c r="CD207" s="16" t="n">
        <v>0</v>
      </c>
      <c r="CE207" s="16" t="n">
        <v>17881.2679880054</v>
      </c>
      <c r="CF207" s="16" t="n">
        <v>15.7955145588875</v>
      </c>
      <c r="CG207" s="16" t="n">
        <v>17.8489314515429</v>
      </c>
      <c r="CH207" s="16" t="n">
        <v>1931.14787912326</v>
      </c>
      <c r="CI207" s="16" t="n">
        <v>2.14057969233447</v>
      </c>
      <c r="CJ207" s="16" t="n">
        <v>14.8102625047176</v>
      </c>
      <c r="CK207" s="16" t="n">
        <v>0</v>
      </c>
      <c r="CL207" s="16" t="n">
        <v>0</v>
      </c>
      <c r="CM207" s="16" t="n">
        <v>12.270507</v>
      </c>
      <c r="CN207" s="16" t="n">
        <v>-37310.4564284642</v>
      </c>
      <c r="CO207" s="16" t="n">
        <v>1.25539772727273</v>
      </c>
      <c r="CP207" s="16" t="n">
        <v>1</v>
      </c>
      <c r="CQ207" s="16" t="n">
        <v>0</v>
      </c>
      <c r="CR207" s="16" t="n">
        <v>0</v>
      </c>
      <c r="CS207" s="16" t="n">
        <v>0</v>
      </c>
      <c r="CT207" s="16" t="n">
        <v>0</v>
      </c>
      <c r="CU207" s="16" t="n">
        <v>0.0113</v>
      </c>
      <c r="CV207" s="16" t="n">
        <v>12.270507</v>
      </c>
      <c r="CW207" s="16" t="n">
        <v>37.1349976050118</v>
      </c>
      <c r="CX207" s="16" t="n">
        <v>49.4055046050118</v>
      </c>
      <c r="CY207" s="16" t="n">
        <v>263663.876519469</v>
      </c>
      <c r="CZ207" s="16" t="n">
        <v>14.0233433393425</v>
      </c>
      <c r="DA207" s="16" t="n">
        <v>0</v>
      </c>
      <c r="DB207" s="16" t="n">
        <v>17228.1385795688</v>
      </c>
      <c r="DC207" s="16" t="n">
        <v>12783.27882604</v>
      </c>
      <c r="DD207" s="16" t="n">
        <v>12026.6666666667</v>
      </c>
      <c r="DE207" s="16" t="n">
        <v>0</v>
      </c>
      <c r="DF207" s="16" t="n">
        <v>263978.801764469</v>
      </c>
      <c r="DG207" s="16" t="n">
        <v>12.270507</v>
      </c>
      <c r="DH207" s="16" t="n">
        <v>0</v>
      </c>
      <c r="DI207" s="16" t="n">
        <v>0.0113</v>
      </c>
    </row>
    <row r="208" customFormat="false" ht="15" hidden="false" customHeight="false" outlineLevel="0" collapsed="false">
      <c r="A208" s="0" t="s">
        <v>3423</v>
      </c>
      <c r="B208" s="16" t="n">
        <v>2423.40833661368</v>
      </c>
      <c r="C208" s="16" t="n">
        <v>7621.71734378923</v>
      </c>
      <c r="D208" s="16" t="n">
        <v>19606.894648061</v>
      </c>
      <c r="E208" s="16" t="n">
        <v>3979.41586186791</v>
      </c>
      <c r="F208" s="16" t="n">
        <v>-1091.94402935202</v>
      </c>
      <c r="G208" s="16" t="n">
        <v>4766.49119746836</v>
      </c>
      <c r="H208" s="16" t="n">
        <v>-1118.47907173227</v>
      </c>
      <c r="I208" s="17" t="n">
        <v>0.01</v>
      </c>
      <c r="J208" s="17" t="n">
        <v>0</v>
      </c>
      <c r="K208" s="16" t="s">
        <v>95</v>
      </c>
      <c r="L208" s="16" t="n">
        <v>1778.80160737149</v>
      </c>
      <c r="M208" s="16" t="n">
        <v>32335.7343468758</v>
      </c>
      <c r="N208" s="16" t="n">
        <v>11776.3209816172</v>
      </c>
      <c r="O208" s="16" t="n">
        <v>-14204.8571393072</v>
      </c>
      <c r="P208" s="16" t="n">
        <v>945.057363780535</v>
      </c>
      <c r="Q208" s="16" t="n">
        <v>436.240917979643</v>
      </c>
      <c r="R208" s="16" t="n">
        <v>16880.3421667323</v>
      </c>
      <c r="S208" s="16" t="n">
        <v>29681.0378929612</v>
      </c>
      <c r="T208" s="16" t="n">
        <v>-960.237821871701</v>
      </c>
      <c r="U208" s="16" t="n">
        <v>-10209.2321922756</v>
      </c>
      <c r="V208" s="16" t="n">
        <v>0.82509878873241</v>
      </c>
      <c r="W208" s="16" t="n">
        <v>46556.0410960424</v>
      </c>
      <c r="X208" s="16" t="n">
        <v>23273.9506659504</v>
      </c>
      <c r="Y208" s="16" t="n">
        <v>0</v>
      </c>
      <c r="Z208" s="16" t="n">
        <v>0</v>
      </c>
      <c r="AA208" s="16" t="n">
        <v>30.1575455502983</v>
      </c>
      <c r="AB208" s="16" t="n">
        <v>27.9575455502983</v>
      </c>
      <c r="AC208" s="16" t="n">
        <v>29.4075455502983</v>
      </c>
      <c r="AD208" s="16" t="n">
        <v>24.2302170521396</v>
      </c>
      <c r="AE208" s="16" t="n">
        <v>653.683373262198</v>
      </c>
      <c r="AF208" s="16" t="n">
        <v>0.03</v>
      </c>
      <c r="AG208" s="16" t="n">
        <v>0.669954845956548</v>
      </c>
      <c r="AH208" s="16" t="n">
        <v>10644.3800854686</v>
      </c>
      <c r="AI208" s="16" t="n">
        <v>19606.894648061</v>
      </c>
      <c r="AJ208" s="16" t="n">
        <v>22.39175</v>
      </c>
      <c r="AK208" s="16" t="n">
        <v>0</v>
      </c>
      <c r="AL208" s="16" t="n">
        <v>-37259.9528359363</v>
      </c>
      <c r="AM208" s="16" t="n">
        <v>684.5</v>
      </c>
      <c r="AN208" s="16" t="n">
        <v>27066.6679880054</v>
      </c>
      <c r="AO208" s="16" t="n">
        <v>-7103.49664045297</v>
      </c>
      <c r="AP208" s="16" t="n">
        <v>0.519414437863832</v>
      </c>
      <c r="AQ208" s="16" t="n">
        <v>0</v>
      </c>
      <c r="AR208" s="16" t="n">
        <v>327.195752</v>
      </c>
      <c r="AS208" s="16" t="n">
        <v>314.925245</v>
      </c>
      <c r="AT208" s="16" t="n">
        <v>1778.80160737149</v>
      </c>
      <c r="AU208" s="16" t="n">
        <v>12.270507</v>
      </c>
      <c r="AV208" s="16" t="n">
        <v>0</v>
      </c>
      <c r="AW208" s="16" t="n">
        <v>2254.3125</v>
      </c>
      <c r="AX208" s="16" t="n">
        <v>314.925245</v>
      </c>
      <c r="AY208" s="16" t="n">
        <v>314.925245</v>
      </c>
      <c r="AZ208" s="16" t="n">
        <v>5201.47191290208</v>
      </c>
      <c r="BA208" s="16" t="n">
        <v>0</v>
      </c>
      <c r="BB208" s="16" t="n">
        <v>289.821666666667</v>
      </c>
      <c r="BC208" s="16" t="n">
        <v>116972.475389386</v>
      </c>
      <c r="BD208" s="16" t="n">
        <v>15.7955145588875</v>
      </c>
      <c r="BE208" s="16" t="n">
        <v>24.4528071808238</v>
      </c>
      <c r="BF208" s="16" t="n">
        <v>38.6806623896263</v>
      </c>
      <c r="BG208" s="16" t="n">
        <v>-7.04788063944062</v>
      </c>
      <c r="BH208" s="16" t="n">
        <v>-9.81567980766605</v>
      </c>
      <c r="BI208" s="16" t="n">
        <v>2.28161306785965</v>
      </c>
      <c r="BJ208" s="16" t="n">
        <v>-0.486186100365767</v>
      </c>
      <c r="BK208" s="16" t="n">
        <v>6.71160484477099</v>
      </c>
      <c r="BL208" s="16" t="n">
        <v>4.78758002343192</v>
      </c>
      <c r="BM208" s="16" t="n">
        <v>5.11489923648504</v>
      </c>
      <c r="BN208" s="16" t="n">
        <v>6.14038025700283</v>
      </c>
      <c r="BO208" s="16" t="n">
        <v>6.42123287671233</v>
      </c>
      <c r="BP208" s="16" t="n">
        <v>7672.79585778466</v>
      </c>
      <c r="BQ208" s="16" t="n">
        <v>7589.35060675899</v>
      </c>
      <c r="BR208" s="16" t="n">
        <v>7589.35060675899</v>
      </c>
      <c r="BS208" s="16" t="n">
        <v>327.195752</v>
      </c>
      <c r="BT208" s="16" t="n">
        <v>292.4</v>
      </c>
      <c r="BU208" s="16" t="n">
        <v>950</v>
      </c>
      <c r="BV208" s="16" t="s">
        <v>3237</v>
      </c>
      <c r="BW208" s="16" t="n">
        <v>41.1282051282051</v>
      </c>
      <c r="BX208" s="16" t="n">
        <v>0.170777119735353</v>
      </c>
      <c r="BY208" s="16" t="n">
        <v>0.139794847683292</v>
      </c>
      <c r="BZ208" s="16" t="n">
        <v>13425</v>
      </c>
      <c r="CA208" s="16" t="n">
        <v>26225</v>
      </c>
      <c r="CB208" s="16" t="n">
        <v>97.5287207020509</v>
      </c>
      <c r="CC208" s="16" t="n">
        <v>0</v>
      </c>
      <c r="CD208" s="16" t="n">
        <v>0</v>
      </c>
      <c r="CE208" s="16" t="n">
        <v>17881.2679880054</v>
      </c>
      <c r="CF208" s="16" t="n">
        <v>15.7955145588875</v>
      </c>
      <c r="CG208" s="16" t="n">
        <v>17.8489314515429</v>
      </c>
      <c r="CH208" s="16" t="n">
        <v>1931.14787912326</v>
      </c>
      <c r="CI208" s="16" t="n">
        <v>4.84867613766409</v>
      </c>
      <c r="CJ208" s="16" t="n">
        <v>17.5183589500472</v>
      </c>
      <c r="CK208" s="16" t="n">
        <v>0</v>
      </c>
      <c r="CL208" s="16" t="n">
        <v>0</v>
      </c>
      <c r="CM208" s="16" t="n">
        <v>12.270507</v>
      </c>
      <c r="CN208" s="16" t="n">
        <v>-37259.9528359363</v>
      </c>
      <c r="CO208" s="16" t="n">
        <v>1.25539772727273</v>
      </c>
      <c r="CP208" s="16" t="n">
        <v>1</v>
      </c>
      <c r="CQ208" s="16" t="n">
        <v>0</v>
      </c>
      <c r="CR208" s="16" t="n">
        <v>0</v>
      </c>
      <c r="CS208" s="16" t="n">
        <v>0</v>
      </c>
      <c r="CT208" s="16" t="n">
        <v>0</v>
      </c>
      <c r="CU208" s="16" t="n">
        <v>0.0113</v>
      </c>
      <c r="CV208" s="16" t="n">
        <v>12.270507</v>
      </c>
      <c r="CW208" s="16" t="n">
        <v>37.1349976050118</v>
      </c>
      <c r="CX208" s="16" t="n">
        <v>49.4055046050118</v>
      </c>
      <c r="CY208" s="16" t="n">
        <v>263663.876519469</v>
      </c>
      <c r="CZ208" s="16" t="n">
        <v>14.0233433393425</v>
      </c>
      <c r="DA208" s="16" t="n">
        <v>0</v>
      </c>
      <c r="DB208" s="16" t="n">
        <v>17228.1385795688</v>
      </c>
      <c r="DC208" s="16" t="n">
        <v>12783.27882604</v>
      </c>
      <c r="DD208" s="16" t="n">
        <v>12026.6666666667</v>
      </c>
      <c r="DE208" s="16" t="n">
        <v>0</v>
      </c>
      <c r="DF208" s="16" t="n">
        <v>263978.801764469</v>
      </c>
      <c r="DG208" s="16" t="n">
        <v>12.270507</v>
      </c>
      <c r="DH208" s="16" t="n">
        <v>0</v>
      </c>
      <c r="DI208" s="16" t="n">
        <v>0.0113</v>
      </c>
    </row>
    <row r="209" customFormat="false" ht="15" hidden="false" customHeight="false" outlineLevel="0" collapsed="false">
      <c r="A209" s="0" t="s">
        <v>3424</v>
      </c>
      <c r="B209" s="16" t="n">
        <v>2465.07954157611</v>
      </c>
      <c r="C209" s="16" t="n">
        <v>8349.83355520186</v>
      </c>
      <c r="D209" s="16" t="n">
        <v>22070.4816314923</v>
      </c>
      <c r="E209" s="16" t="n">
        <v>4312.96513042944</v>
      </c>
      <c r="F209" s="16" t="n">
        <v>-1238.41766627784</v>
      </c>
      <c r="G209" s="16" t="n">
        <v>5217.3894544992</v>
      </c>
      <c r="H209" s="16" t="n">
        <v>8286.36583696916</v>
      </c>
      <c r="I209" s="17" t="n">
        <v>0.01</v>
      </c>
      <c r="J209" s="17" t="n">
        <v>7.00872410996055</v>
      </c>
      <c r="K209" s="16" t="s">
        <v>62</v>
      </c>
      <c r="L209" s="16" t="n">
        <v>-995.45659814626</v>
      </c>
      <c r="M209" s="16" t="n">
        <v>35956.886846104</v>
      </c>
      <c r="N209" s="16" t="n">
        <v>13191.5045829555</v>
      </c>
      <c r="O209" s="16" t="n">
        <v>-15185.8252079135</v>
      </c>
      <c r="P209" s="16" t="n">
        <v>951.290832135856</v>
      </c>
      <c r="Q209" s="16" t="n">
        <v>784.839793915735</v>
      </c>
      <c r="R209" s="16" t="n">
        <v>18027.6371658315</v>
      </c>
      <c r="S209" s="16" t="n">
        <v>28539.6208826298</v>
      </c>
      <c r="T209" s="16" t="n">
        <v>-955.692204749296</v>
      </c>
      <c r="U209" s="16" t="n">
        <v>-794.173279024035</v>
      </c>
      <c r="V209" s="16" t="n">
        <v>0.750319556751226</v>
      </c>
      <c r="W209" s="16" t="n">
        <v>54286.4210752949</v>
      </c>
      <c r="X209" s="16" t="n">
        <v>23666.9956188325</v>
      </c>
      <c r="Y209" s="16" t="n">
        <v>6.59325303098314</v>
      </c>
      <c r="Z209" s="16" t="n">
        <v>8.94943981600862</v>
      </c>
      <c r="AA209" s="16" t="n">
        <v>27.424347870838</v>
      </c>
      <c r="AB209" s="16" t="n">
        <v>25.224347870838</v>
      </c>
      <c r="AC209" s="16" t="n">
        <v>26.674347870838</v>
      </c>
      <c r="AD209" s="16" t="n">
        <v>22.0342169529515</v>
      </c>
      <c r="AE209" s="16" t="n">
        <v>674.686407680941</v>
      </c>
      <c r="AF209" s="16" t="n">
        <v>0.03</v>
      </c>
      <c r="AG209" s="16" t="n">
        <v>0.670229486358198</v>
      </c>
      <c r="AH209" s="16" t="n">
        <v>9947.94542593384</v>
      </c>
      <c r="AI209" s="16" t="n">
        <v>22070.4816314923</v>
      </c>
      <c r="AJ209" s="16" t="n">
        <v>22.39175</v>
      </c>
      <c r="AK209" s="16" t="n">
        <v>0</v>
      </c>
      <c r="AL209" s="16" t="n">
        <v>-35713.3706789851</v>
      </c>
      <c r="AM209" s="16" t="n">
        <v>812.6073</v>
      </c>
      <c r="AN209" s="16" t="n">
        <v>28219.6666536226</v>
      </c>
      <c r="AO209" s="16" t="n">
        <v>-6970.38017764711</v>
      </c>
      <c r="AP209" s="16" t="n">
        <v>0.401891966794121</v>
      </c>
      <c r="AQ209" s="16" t="n">
        <v>6.20241071677924</v>
      </c>
      <c r="AR209" s="16" t="n">
        <v>327.195752</v>
      </c>
      <c r="AS209" s="16" t="n">
        <v>314.925245</v>
      </c>
      <c r="AT209" s="16" t="n">
        <v>-995.45659814626</v>
      </c>
      <c r="AU209" s="16" t="n">
        <v>12.270507</v>
      </c>
      <c r="AV209" s="16" t="n">
        <v>0</v>
      </c>
      <c r="AW209" s="16" t="n">
        <v>2254.3125</v>
      </c>
      <c r="AX209" s="16" t="n">
        <v>314.925245</v>
      </c>
      <c r="AY209" s="16" t="n">
        <v>314.925245</v>
      </c>
      <c r="AZ209" s="16" t="n">
        <v>5114.35123011686</v>
      </c>
      <c r="BA209" s="16" t="n">
        <v>0</v>
      </c>
      <c r="BB209" s="16" t="n">
        <v>417.928966666667</v>
      </c>
      <c r="BC209" s="16" t="n">
        <v>118356.804870544</v>
      </c>
      <c r="BD209" s="16" t="n">
        <v>15.5513084196336</v>
      </c>
      <c r="BE209" s="16" t="n">
        <v>24.2086010415699</v>
      </c>
      <c r="BF209" s="16" t="n">
        <v>38.4364562503724</v>
      </c>
      <c r="BG209" s="16" t="n">
        <v>-7.04788063944062</v>
      </c>
      <c r="BH209" s="16" t="n">
        <v>-9.81567980766605</v>
      </c>
      <c r="BI209" s="16" t="n">
        <v>2.28161306785965</v>
      </c>
      <c r="BJ209" s="16" t="n">
        <v>-0.486186100365767</v>
      </c>
      <c r="BK209" s="16" t="n">
        <v>6.71160484477099</v>
      </c>
      <c r="BL209" s="16" t="n">
        <v>4.78758002343192</v>
      </c>
      <c r="BM209" s="16" t="n">
        <v>5.11489923648504</v>
      </c>
      <c r="BN209" s="16" t="n">
        <v>6.14038025700283</v>
      </c>
      <c r="BO209" s="16" t="n">
        <v>6.42123287671233</v>
      </c>
      <c r="BP209" s="16" t="n">
        <v>8712.70308277889</v>
      </c>
      <c r="BQ209" s="16" t="n">
        <v>8317.46681817163</v>
      </c>
      <c r="BR209" s="16" t="n">
        <v>8317.46681817163</v>
      </c>
      <c r="BS209" s="16" t="n">
        <v>327.195752</v>
      </c>
      <c r="BT209" s="16" t="n">
        <v>301.7195</v>
      </c>
      <c r="BU209" s="16" t="n">
        <v>1081.9108</v>
      </c>
      <c r="BV209" s="16" t="s">
        <v>3238</v>
      </c>
      <c r="BW209" s="16" t="n">
        <v>41.1282051282051</v>
      </c>
      <c r="BX209" s="16" t="n">
        <v>0.170777119735353</v>
      </c>
      <c r="BY209" s="16" t="n">
        <v>0.139794847683292</v>
      </c>
      <c r="BZ209" s="16" t="n">
        <v>13425</v>
      </c>
      <c r="CA209" s="16" t="n">
        <v>26225</v>
      </c>
      <c r="CB209" s="16" t="n">
        <v>94.429019695586</v>
      </c>
      <c r="CC209" s="16" t="n">
        <v>0</v>
      </c>
      <c r="CD209" s="16" t="n">
        <v>0</v>
      </c>
      <c r="CE209" s="16" t="n">
        <v>19560.8411286226</v>
      </c>
      <c r="CF209" s="16" t="n">
        <v>15.5513084196336</v>
      </c>
      <c r="CG209" s="16" t="n">
        <v>17.5729785141859</v>
      </c>
      <c r="CH209" s="16" t="n">
        <v>1931.14787912326</v>
      </c>
      <c r="CI209" s="16" t="n">
        <v>4.84867613766409</v>
      </c>
      <c r="CJ209" s="16" t="n">
        <v>17.5183589500472</v>
      </c>
      <c r="CK209" s="16" t="n">
        <v>0</v>
      </c>
      <c r="CL209" s="16" t="n">
        <v>0</v>
      </c>
      <c r="CM209" s="16" t="n">
        <v>12.270507</v>
      </c>
      <c r="CN209" s="16" t="n">
        <v>-35713.3706789851</v>
      </c>
      <c r="CO209" s="16" t="n">
        <v>1.25539772727273</v>
      </c>
      <c r="CP209" s="16" t="n">
        <v>1</v>
      </c>
      <c r="CQ209" s="16" t="n">
        <v>0</v>
      </c>
      <c r="CR209" s="16" t="n">
        <v>7.00872410996055</v>
      </c>
      <c r="CS209" s="16" t="n">
        <v>6.97258985635358</v>
      </c>
      <c r="CT209" s="16" t="n">
        <v>0</v>
      </c>
      <c r="CU209" s="16" t="n">
        <v>0.0113</v>
      </c>
      <c r="CV209" s="16" t="n">
        <v>12.270507</v>
      </c>
      <c r="CW209" s="16" t="n">
        <v>37.1349976050118</v>
      </c>
      <c r="CX209" s="16" t="n">
        <v>49.4055046050118</v>
      </c>
      <c r="CY209" s="16" t="n">
        <v>263663.876519469</v>
      </c>
      <c r="CZ209" s="16" t="n">
        <v>13.9661429868372</v>
      </c>
      <c r="DA209" s="16" t="n">
        <v>0</v>
      </c>
      <c r="DB209" s="16" t="n">
        <v>17141.0178967835</v>
      </c>
      <c r="DC209" s="16" t="n">
        <v>12718.6352794134</v>
      </c>
      <c r="DD209" s="16" t="n">
        <v>12026.6666666667</v>
      </c>
      <c r="DE209" s="16" t="n">
        <v>0</v>
      </c>
      <c r="DF209" s="16" t="n">
        <v>263978.801764469</v>
      </c>
      <c r="DG209" s="16" t="n">
        <v>12.270507</v>
      </c>
      <c r="DH209" s="16" t="n">
        <v>0</v>
      </c>
      <c r="DI209" s="16" t="n">
        <v>6.97258985635358</v>
      </c>
    </row>
    <row r="210" customFormat="false" ht="15" hidden="false" customHeight="false" outlineLevel="0" collapsed="false">
      <c r="A210" s="0" t="s">
        <v>3425</v>
      </c>
      <c r="B210" s="16" t="n">
        <v>2465.07954157611</v>
      </c>
      <c r="C210" s="16" t="n">
        <v>8349.83355520186</v>
      </c>
      <c r="D210" s="16" t="n">
        <v>22070.4816314923</v>
      </c>
      <c r="E210" s="16" t="n">
        <v>4312.96513042944</v>
      </c>
      <c r="F210" s="16" t="n">
        <v>-1007.61082327784</v>
      </c>
      <c r="G210" s="16" t="n">
        <v>4986.5826114992</v>
      </c>
      <c r="H210" s="16" t="n">
        <v>13126.0746130506</v>
      </c>
      <c r="I210" s="17" t="n">
        <v>13.4789680930706</v>
      </c>
      <c r="J210" s="17" t="n">
        <v>24.4115047155353</v>
      </c>
      <c r="K210" s="16" t="s">
        <v>95</v>
      </c>
      <c r="L210" s="16" t="n">
        <v>849.254057144572</v>
      </c>
      <c r="M210" s="16" t="n">
        <v>34510.281706104</v>
      </c>
      <c r="N210" s="16" t="n">
        <v>13191.5045829555</v>
      </c>
      <c r="O210" s="16" t="n">
        <v>-13130.6095865016</v>
      </c>
      <c r="P210" s="16" t="n">
        <v>951.290832135856</v>
      </c>
      <c r="Q210" s="16" t="n">
        <v>1247.48195391574</v>
      </c>
      <c r="R210" s="16" t="n">
        <v>17161.0315058315</v>
      </c>
      <c r="S210" s="16" t="n">
        <v>28341.1672826298</v>
      </c>
      <c r="T210" s="16" t="n">
        <v>-955.692204749296</v>
      </c>
      <c r="U210" s="16" t="n">
        <v>4244.86732905743</v>
      </c>
      <c r="V210" s="16" t="n">
        <v>0.750319556751226</v>
      </c>
      <c r="W210" s="16" t="n">
        <v>57369.1201270492</v>
      </c>
      <c r="X210" s="16" t="n">
        <v>23149.5927524325</v>
      </c>
      <c r="Y210" s="16" t="n">
        <v>22.9644119145487</v>
      </c>
      <c r="Z210" s="16" t="n">
        <v>31.1710503712671</v>
      </c>
      <c r="AA210" s="16" t="n">
        <v>27.424347870838</v>
      </c>
      <c r="AB210" s="16" t="n">
        <v>25.224347870838</v>
      </c>
      <c r="AC210" s="16" t="n">
        <v>26.674347870838</v>
      </c>
      <c r="AD210" s="16" t="n">
        <v>22.0342169529515</v>
      </c>
      <c r="AE210" s="16" t="n">
        <v>674.686407680941</v>
      </c>
      <c r="AF210" s="16" t="n">
        <v>0.03</v>
      </c>
      <c r="AG210" s="16" t="n">
        <v>0.670229486358198</v>
      </c>
      <c r="AH210" s="16" t="n">
        <v>10555.9005851127</v>
      </c>
      <c r="AI210" s="16" t="n">
        <v>22070.4816314923</v>
      </c>
      <c r="AJ210" s="16" t="n">
        <v>22.39175</v>
      </c>
      <c r="AK210" s="16" t="n">
        <v>0</v>
      </c>
      <c r="AL210" s="16" t="n">
        <v>-33652.1238041504</v>
      </c>
      <c r="AM210" s="16" t="n">
        <v>812.6073</v>
      </c>
      <c r="AN210" s="16" t="n">
        <v>27591.5562695673</v>
      </c>
      <c r="AO210" s="16" t="n">
        <v>-6914.67819639031</v>
      </c>
      <c r="AP210" s="16" t="n">
        <v>0.401891966794121</v>
      </c>
      <c r="AQ210" s="16" t="n">
        <v>21.6031015181729</v>
      </c>
      <c r="AR210" s="16" t="n">
        <v>327.195752</v>
      </c>
      <c r="AS210" s="16" t="n">
        <v>314.925245</v>
      </c>
      <c r="AT210" s="16" t="n">
        <v>849.254057144572</v>
      </c>
      <c r="AU210" s="16" t="n">
        <v>12.270507</v>
      </c>
      <c r="AV210" s="16" t="n">
        <v>0</v>
      </c>
      <c r="AW210" s="16" t="n">
        <v>2254.3125</v>
      </c>
      <c r="AX210" s="16" t="n">
        <v>314.925245</v>
      </c>
      <c r="AY210" s="16" t="n">
        <v>314.925245</v>
      </c>
      <c r="AZ210" s="16" t="n">
        <v>5917.01789678353</v>
      </c>
      <c r="BA210" s="16" t="n">
        <v>0</v>
      </c>
      <c r="BB210" s="16" t="n">
        <v>417.928966666667</v>
      </c>
      <c r="BC210" s="16" t="n">
        <v>115845.140470544</v>
      </c>
      <c r="BD210" s="16" t="n">
        <v>18.7330111080499</v>
      </c>
      <c r="BE210" s="16" t="n">
        <v>27.3903037299863</v>
      </c>
      <c r="BF210" s="16" t="n">
        <v>41.6181589387887</v>
      </c>
      <c r="BG210" s="16" t="n">
        <v>-7.04788063944062</v>
      </c>
      <c r="BH210" s="16" t="n">
        <v>-9.81567980766605</v>
      </c>
      <c r="BI210" s="16" t="n">
        <v>2.28161306785965</v>
      </c>
      <c r="BJ210" s="16" t="n">
        <v>-0.486186100365767</v>
      </c>
      <c r="BK210" s="16" t="n">
        <v>6.71160484477099</v>
      </c>
      <c r="BL210" s="16" t="n">
        <v>4.78758002343192</v>
      </c>
      <c r="BM210" s="16" t="n">
        <v>5.11489923648504</v>
      </c>
      <c r="BN210" s="16" t="n">
        <v>6.14038025700283</v>
      </c>
      <c r="BO210" s="16" t="n">
        <v>6.42123287671233</v>
      </c>
      <c r="BP210" s="16" t="n">
        <v>8712.70308277889</v>
      </c>
      <c r="BQ210" s="16" t="n">
        <v>8317.46681817163</v>
      </c>
      <c r="BR210" s="16" t="n">
        <v>8317.46681817163</v>
      </c>
      <c r="BS210" s="16" t="n">
        <v>327.195752</v>
      </c>
      <c r="BT210" s="16" t="n">
        <v>301.7195</v>
      </c>
      <c r="BU210" s="16" t="n">
        <v>1081.9108</v>
      </c>
      <c r="BV210" s="16" t="s">
        <v>3238</v>
      </c>
      <c r="BW210" s="16" t="n">
        <v>41.1282051282051</v>
      </c>
      <c r="BX210" s="16" t="n">
        <v>0.170777119735353</v>
      </c>
      <c r="BY210" s="16" t="n">
        <v>0.139794847683292</v>
      </c>
      <c r="BZ210" s="16" t="n">
        <v>13425</v>
      </c>
      <c r="CA210" s="16" t="n">
        <v>26225</v>
      </c>
      <c r="CB210" s="16" t="n">
        <v>89.7834470258935</v>
      </c>
      <c r="CC210" s="16" t="n">
        <v>0</v>
      </c>
      <c r="CD210" s="16" t="n">
        <v>0</v>
      </c>
      <c r="CE210" s="16" t="n">
        <v>18932.7307445673</v>
      </c>
      <c r="CF210" s="16" t="n">
        <v>18.7330111080499</v>
      </c>
      <c r="CG210" s="16" t="n">
        <v>21.1683025520964</v>
      </c>
      <c r="CH210" s="16" t="n">
        <v>1931.14787912326</v>
      </c>
      <c r="CI210" s="16" t="n">
        <v>8.04461063629249</v>
      </c>
      <c r="CJ210" s="16" t="n">
        <v>20.7142934486756</v>
      </c>
      <c r="CK210" s="16" t="n">
        <v>0</v>
      </c>
      <c r="CL210" s="16" t="n">
        <v>0</v>
      </c>
      <c r="CM210" s="16" t="n">
        <v>12.270507</v>
      </c>
      <c r="CN210" s="16" t="n">
        <v>-33652.1238041504</v>
      </c>
      <c r="CO210" s="16" t="n">
        <v>1.25539772727273</v>
      </c>
      <c r="CP210" s="16" t="n">
        <v>1.11716621253406</v>
      </c>
      <c r="CQ210" s="16" t="n">
        <v>15.9019923543479</v>
      </c>
      <c r="CR210" s="16" t="n">
        <v>24.4115047155353</v>
      </c>
      <c r="CS210" s="16" t="n">
        <v>24.2960157617862</v>
      </c>
      <c r="CT210" s="16" t="n">
        <v>14.0725596056176</v>
      </c>
      <c r="CU210" s="16" t="n">
        <v>15.9019923543479</v>
      </c>
      <c r="CV210" s="16" t="n">
        <v>12.270507</v>
      </c>
      <c r="CW210" s="16" t="n">
        <v>37.1349976050118</v>
      </c>
      <c r="CX210" s="16" t="n">
        <v>49.4055046050118</v>
      </c>
      <c r="CY210" s="16" t="n">
        <v>187.36028406248</v>
      </c>
      <c r="CZ210" s="16" t="n">
        <v>13.8258029563464</v>
      </c>
      <c r="DA210" s="16" t="n">
        <v>0</v>
      </c>
      <c r="DB210" s="16" t="n">
        <v>17141.0178967835</v>
      </c>
      <c r="DC210" s="16" t="n">
        <v>12718.6352794134</v>
      </c>
      <c r="DD210" s="16" t="n">
        <v>11224</v>
      </c>
      <c r="DE210" s="16" t="n">
        <v>0</v>
      </c>
      <c r="DF210" s="16" t="n">
        <v>502.28552906248</v>
      </c>
      <c r="DG210" s="16" t="n">
        <v>12.270507</v>
      </c>
      <c r="DH210" s="16" t="n">
        <v>0</v>
      </c>
      <c r="DI210" s="16" t="n">
        <v>24.2960157617862</v>
      </c>
    </row>
    <row r="211" customFormat="false" ht="15" hidden="false" customHeight="false" outlineLevel="0" collapsed="false">
      <c r="A211" s="0" t="s">
        <v>3426</v>
      </c>
      <c r="B211" s="16" t="n">
        <v>2465.07954157611</v>
      </c>
      <c r="C211" s="16" t="n">
        <v>8349.83355520186</v>
      </c>
      <c r="D211" s="16" t="n">
        <v>22070.4816314923</v>
      </c>
      <c r="E211" s="16" t="n">
        <v>4312.96513042944</v>
      </c>
      <c r="F211" s="16" t="n">
        <v>-1007.61082327784</v>
      </c>
      <c r="G211" s="16" t="n">
        <v>4986.5826114992</v>
      </c>
      <c r="H211" s="16" t="n">
        <v>13126.0746130506</v>
      </c>
      <c r="I211" s="17" t="n">
        <v>13.2063389366171</v>
      </c>
      <c r="J211" s="17" t="n">
        <v>21.3652113770361</v>
      </c>
      <c r="K211" s="16" t="s">
        <v>95</v>
      </c>
      <c r="L211" s="16" t="n">
        <v>849.254057144572</v>
      </c>
      <c r="M211" s="16" t="n">
        <v>34510.281706104</v>
      </c>
      <c r="N211" s="16" t="n">
        <v>13191.5045829555</v>
      </c>
      <c r="O211" s="16" t="n">
        <v>-13130.6095865016</v>
      </c>
      <c r="P211" s="16" t="n">
        <v>951.290832135856</v>
      </c>
      <c r="Q211" s="16" t="n">
        <v>1247.48195391574</v>
      </c>
      <c r="R211" s="16" t="n">
        <v>17161.0315058315</v>
      </c>
      <c r="S211" s="16" t="n">
        <v>28341.1672826298</v>
      </c>
      <c r="T211" s="16" t="n">
        <v>-955.692204749296</v>
      </c>
      <c r="U211" s="16" t="n">
        <v>4159.00952516717</v>
      </c>
      <c r="V211" s="16" t="n">
        <v>0.750319556751226</v>
      </c>
      <c r="W211" s="16" t="n">
        <v>57369.1201270492</v>
      </c>
      <c r="X211" s="16" t="n">
        <v>23149.5927524325</v>
      </c>
      <c r="Y211" s="16" t="n">
        <v>20.0987001998045</v>
      </c>
      <c r="Z211" s="16" t="n">
        <v>27.2812384073374</v>
      </c>
      <c r="AA211" s="16" t="n">
        <v>27.424347870838</v>
      </c>
      <c r="AB211" s="16" t="n">
        <v>25.224347870838</v>
      </c>
      <c r="AC211" s="16" t="n">
        <v>26.674347870838</v>
      </c>
      <c r="AD211" s="16" t="n">
        <v>22.0342169529515</v>
      </c>
      <c r="AE211" s="16" t="n">
        <v>674.686407680941</v>
      </c>
      <c r="AF211" s="16" t="n">
        <v>0.03</v>
      </c>
      <c r="AG211" s="16" t="n">
        <v>0.670229486358198</v>
      </c>
      <c r="AH211" s="16" t="n">
        <v>10555.9005851127</v>
      </c>
      <c r="AI211" s="16" t="n">
        <v>22070.4816314923</v>
      </c>
      <c r="AJ211" s="16" t="n">
        <v>22.39175</v>
      </c>
      <c r="AK211" s="16" t="n">
        <v>0</v>
      </c>
      <c r="AL211" s="16" t="n">
        <v>-33652.1238041504</v>
      </c>
      <c r="AM211" s="16" t="n">
        <v>812.6073</v>
      </c>
      <c r="AN211" s="16" t="n">
        <v>27591.5562695673</v>
      </c>
      <c r="AO211" s="16" t="n">
        <v>-6914.67819639031</v>
      </c>
      <c r="AP211" s="16" t="n">
        <v>0.401891966794121</v>
      </c>
      <c r="AQ211" s="16" t="n">
        <v>18.9072667053417</v>
      </c>
      <c r="AR211" s="16" t="n">
        <v>327.195752</v>
      </c>
      <c r="AS211" s="16" t="n">
        <v>314.925245</v>
      </c>
      <c r="AT211" s="16" t="n">
        <v>849.254057144572</v>
      </c>
      <c r="AU211" s="16" t="n">
        <v>12.270507</v>
      </c>
      <c r="AV211" s="16" t="n">
        <v>0</v>
      </c>
      <c r="AW211" s="16" t="n">
        <v>2254.3125</v>
      </c>
      <c r="AX211" s="16" t="n">
        <v>314.925245</v>
      </c>
      <c r="AY211" s="16" t="n">
        <v>314.925245</v>
      </c>
      <c r="AZ211" s="16" t="n">
        <v>5917.01789678353</v>
      </c>
      <c r="BA211" s="16" t="n">
        <v>0</v>
      </c>
      <c r="BB211" s="16" t="n">
        <v>417.928966666667</v>
      </c>
      <c r="BC211" s="16" t="n">
        <v>115845.140470544</v>
      </c>
      <c r="BD211" s="16" t="n">
        <v>18.4603819515964</v>
      </c>
      <c r="BE211" s="16" t="n">
        <v>27.1176745735328</v>
      </c>
      <c r="BF211" s="16" t="n">
        <v>41.3455297823352</v>
      </c>
      <c r="BG211" s="16" t="n">
        <v>-7.04788063944062</v>
      </c>
      <c r="BH211" s="16" t="n">
        <v>-9.81567980766605</v>
      </c>
      <c r="BI211" s="16" t="n">
        <v>2.28161306785965</v>
      </c>
      <c r="BJ211" s="16" t="n">
        <v>-0.486186100365767</v>
      </c>
      <c r="BK211" s="16" t="n">
        <v>6.71160484477099</v>
      </c>
      <c r="BL211" s="16" t="n">
        <v>4.78758002343192</v>
      </c>
      <c r="BM211" s="16" t="n">
        <v>5.11489923648504</v>
      </c>
      <c r="BN211" s="16" t="n">
        <v>6.14038025700283</v>
      </c>
      <c r="BO211" s="16" t="n">
        <v>6.42123287671233</v>
      </c>
      <c r="BP211" s="16" t="n">
        <v>8712.70308277889</v>
      </c>
      <c r="BQ211" s="16" t="n">
        <v>8317.46681817163</v>
      </c>
      <c r="BR211" s="16" t="n">
        <v>8317.46681817163</v>
      </c>
      <c r="BS211" s="16" t="n">
        <v>327.195752</v>
      </c>
      <c r="BT211" s="16" t="n">
        <v>301.7195</v>
      </c>
      <c r="BU211" s="16" t="n">
        <v>1081.9108</v>
      </c>
      <c r="BV211" s="16" t="s">
        <v>3238</v>
      </c>
      <c r="BW211" s="16" t="n">
        <v>41.1282051282051</v>
      </c>
      <c r="BX211" s="16" t="n">
        <v>0.170777119735353</v>
      </c>
      <c r="BY211" s="16" t="n">
        <v>0.139794847683292</v>
      </c>
      <c r="BZ211" s="16" t="n">
        <v>13510.8578038903</v>
      </c>
      <c r="CA211" s="16" t="n">
        <v>27107.0656988521</v>
      </c>
      <c r="CB211" s="16" t="n">
        <v>89.7834470258935</v>
      </c>
      <c r="CC211" s="16" t="n">
        <v>0</v>
      </c>
      <c r="CD211" s="16" t="n">
        <v>0</v>
      </c>
      <c r="CE211" s="16" t="n">
        <v>18932.7307445673</v>
      </c>
      <c r="CF211" s="16" t="n">
        <v>18.4603819515964</v>
      </c>
      <c r="CG211" s="16" t="n">
        <v>20.8602316053039</v>
      </c>
      <c r="CH211" s="16" t="n">
        <v>1931.14787912326</v>
      </c>
      <c r="CI211" s="16" t="n">
        <v>8.04461063629249</v>
      </c>
      <c r="CJ211" s="16" t="n">
        <v>20.7142934486756</v>
      </c>
      <c r="CK211" s="16" t="n">
        <v>0</v>
      </c>
      <c r="CL211" s="16" t="n">
        <v>0</v>
      </c>
      <c r="CM211" s="16" t="n">
        <v>12.270507</v>
      </c>
      <c r="CN211" s="16" t="n">
        <v>-33652.1238041504</v>
      </c>
      <c r="CO211" s="16" t="n">
        <v>1.25539772727273</v>
      </c>
      <c r="CP211" s="16" t="n">
        <v>1.11716621253406</v>
      </c>
      <c r="CQ211" s="16" t="n">
        <v>12.737005566125</v>
      </c>
      <c r="CR211" s="16" t="n">
        <v>21.3652113770361</v>
      </c>
      <c r="CS211" s="16" t="n">
        <v>21.2625579976156</v>
      </c>
      <c r="CT211" s="16" t="n">
        <v>11.2716863417036</v>
      </c>
      <c r="CU211" s="16" t="n">
        <v>12.737005566125</v>
      </c>
      <c r="CV211" s="16" t="n">
        <v>12.270507</v>
      </c>
      <c r="CW211" s="16" t="n">
        <v>37.1349976050118</v>
      </c>
      <c r="CX211" s="16" t="n">
        <v>49.4055046050118</v>
      </c>
      <c r="CY211" s="16" t="n">
        <v>233.916974378493</v>
      </c>
      <c r="CZ211" s="16" t="n">
        <v>13.8501734577521</v>
      </c>
      <c r="DA211" s="16" t="n">
        <v>0</v>
      </c>
      <c r="DB211" s="16" t="n">
        <v>17141.0178967835</v>
      </c>
      <c r="DC211" s="16" t="n">
        <v>12718.6352794134</v>
      </c>
      <c r="DD211" s="16" t="n">
        <v>11224</v>
      </c>
      <c r="DE211" s="16" t="n">
        <v>0</v>
      </c>
      <c r="DF211" s="16" t="n">
        <v>548.842219378493</v>
      </c>
      <c r="DG211" s="16" t="n">
        <v>12.270507</v>
      </c>
      <c r="DH211" s="16" t="n">
        <v>0</v>
      </c>
      <c r="DI211" s="16" t="n">
        <v>21.2625579976156</v>
      </c>
    </row>
    <row r="212" customFormat="false" ht="15" hidden="false" customHeight="false" outlineLevel="0" collapsed="false">
      <c r="A212" s="0" t="s">
        <v>3427</v>
      </c>
      <c r="B212" s="16" t="n">
        <v>2465.07954157611</v>
      </c>
      <c r="C212" s="16" t="n">
        <v>8349.83355520186</v>
      </c>
      <c r="D212" s="16" t="n">
        <v>22070.4816314923</v>
      </c>
      <c r="E212" s="16" t="n">
        <v>4312.96513042944</v>
      </c>
      <c r="F212" s="16" t="n">
        <v>-1012.30747415284</v>
      </c>
      <c r="G212" s="16" t="n">
        <v>4991.2792623742</v>
      </c>
      <c r="H212" s="16" t="n">
        <v>13027.7181407711</v>
      </c>
      <c r="I212" s="17" t="n">
        <v>12.881142259293</v>
      </c>
      <c r="J212" s="17" t="n">
        <v>21.0115200891804</v>
      </c>
      <c r="K212" s="16" t="s">
        <v>95</v>
      </c>
      <c r="L212" s="16" t="n">
        <v>811.662072478144</v>
      </c>
      <c r="M212" s="16" t="n">
        <v>34539.718438604</v>
      </c>
      <c r="N212" s="16" t="n">
        <v>13191.5045829555</v>
      </c>
      <c r="O212" s="16" t="n">
        <v>-13172.2062458431</v>
      </c>
      <c r="P212" s="16" t="n">
        <v>951.290832135856</v>
      </c>
      <c r="Q212" s="16" t="n">
        <v>1238.06772391574</v>
      </c>
      <c r="R212" s="16" t="n">
        <v>17178.6659233315</v>
      </c>
      <c r="S212" s="16" t="n">
        <v>28345.2055826298</v>
      </c>
      <c r="T212" s="16" t="n">
        <v>-955.692204749296</v>
      </c>
      <c r="U212" s="16" t="n">
        <v>4056.59688188769</v>
      </c>
      <c r="V212" s="16" t="n">
        <v>0.750319556751226</v>
      </c>
      <c r="W212" s="16" t="n">
        <v>57306.3907858798</v>
      </c>
      <c r="X212" s="16" t="n">
        <v>23160.1212991325</v>
      </c>
      <c r="Y212" s="16" t="n">
        <v>19.7659754243532</v>
      </c>
      <c r="Z212" s="16" t="n">
        <v>26.8296100018744</v>
      </c>
      <c r="AA212" s="16" t="n">
        <v>27.424347870838</v>
      </c>
      <c r="AB212" s="16" t="n">
        <v>25.224347870838</v>
      </c>
      <c r="AC212" s="16" t="n">
        <v>26.674347870838</v>
      </c>
      <c r="AD212" s="16" t="n">
        <v>22.0342169529515</v>
      </c>
      <c r="AE212" s="16" t="n">
        <v>674.686407680941</v>
      </c>
      <c r="AF212" s="16" t="n">
        <v>0.03</v>
      </c>
      <c r="AG212" s="16" t="n">
        <v>0.670229486358198</v>
      </c>
      <c r="AH212" s="16" t="n">
        <v>10543.529404548</v>
      </c>
      <c r="AI212" s="16" t="n">
        <v>22070.4816314923</v>
      </c>
      <c r="AJ212" s="16" t="n">
        <v>22.39175</v>
      </c>
      <c r="AK212" s="16" t="n">
        <v>0</v>
      </c>
      <c r="AL212" s="16" t="n">
        <v>-33693.8451150313</v>
      </c>
      <c r="AM212" s="16" t="n">
        <v>812.6073</v>
      </c>
      <c r="AN212" s="16" t="n">
        <v>27604.3375855219</v>
      </c>
      <c r="AO212" s="16" t="n">
        <v>-6915.81166693913</v>
      </c>
      <c r="AP212" s="16" t="n">
        <v>0.401891966794121</v>
      </c>
      <c r="AQ212" s="16" t="n">
        <v>18.5942655656464</v>
      </c>
      <c r="AR212" s="16" t="n">
        <v>327.195752</v>
      </c>
      <c r="AS212" s="16" t="n">
        <v>314.925245</v>
      </c>
      <c r="AT212" s="16" t="n">
        <v>811.662072478144</v>
      </c>
      <c r="AU212" s="16" t="n">
        <v>12.270507</v>
      </c>
      <c r="AV212" s="16" t="n">
        <v>0</v>
      </c>
      <c r="AW212" s="16" t="n">
        <v>2254.3125</v>
      </c>
      <c r="AX212" s="16" t="n">
        <v>314.925245</v>
      </c>
      <c r="AY212" s="16" t="n">
        <v>314.925245</v>
      </c>
      <c r="AZ212" s="16" t="n">
        <v>5900.68456345019</v>
      </c>
      <c r="BA212" s="16" t="n">
        <v>0</v>
      </c>
      <c r="BB212" s="16" t="n">
        <v>417.928966666667</v>
      </c>
      <c r="BC212" s="16" t="n">
        <v>115896.249920544</v>
      </c>
      <c r="BD212" s="16" t="n">
        <v>18.3956380015414</v>
      </c>
      <c r="BE212" s="16" t="n">
        <v>27.0529306234778</v>
      </c>
      <c r="BF212" s="16" t="n">
        <v>41.2807858322802</v>
      </c>
      <c r="BG212" s="16" t="n">
        <v>-7.04788063944062</v>
      </c>
      <c r="BH212" s="16" t="n">
        <v>-9.81567980766605</v>
      </c>
      <c r="BI212" s="16" t="n">
        <v>2.28161306785965</v>
      </c>
      <c r="BJ212" s="16" t="n">
        <v>-0.486186100365767</v>
      </c>
      <c r="BK212" s="16" t="n">
        <v>6.71160484477099</v>
      </c>
      <c r="BL212" s="16" t="n">
        <v>4.78758002343192</v>
      </c>
      <c r="BM212" s="16" t="n">
        <v>5.11489923648504</v>
      </c>
      <c r="BN212" s="16" t="n">
        <v>6.14038025700283</v>
      </c>
      <c r="BO212" s="16" t="n">
        <v>6.42123287671233</v>
      </c>
      <c r="BP212" s="16" t="n">
        <v>8712.70308277889</v>
      </c>
      <c r="BQ212" s="16" t="n">
        <v>8317.46681817163</v>
      </c>
      <c r="BR212" s="16" t="n">
        <v>8317.46681817163</v>
      </c>
      <c r="BS212" s="16" t="n">
        <v>327.195752</v>
      </c>
      <c r="BT212" s="16" t="n">
        <v>301.7195</v>
      </c>
      <c r="BU212" s="16" t="n">
        <v>1081.9108</v>
      </c>
      <c r="BV212" s="16" t="s">
        <v>3238</v>
      </c>
      <c r="BW212" s="16" t="n">
        <v>41.1282051282051</v>
      </c>
      <c r="BX212" s="16" t="n">
        <v>0.170777119735353</v>
      </c>
      <c r="BY212" s="16" t="n">
        <v>0.139794847683292</v>
      </c>
      <c r="BZ212" s="16" t="n">
        <v>13510.8578038903</v>
      </c>
      <c r="CA212" s="16" t="n">
        <v>27107.0656988521</v>
      </c>
      <c r="CB212" s="16" t="n">
        <v>89.8773685438685</v>
      </c>
      <c r="CC212" s="16" t="n">
        <v>0</v>
      </c>
      <c r="CD212" s="16" t="n">
        <v>0</v>
      </c>
      <c r="CE212" s="16" t="n">
        <v>18945.5120605219</v>
      </c>
      <c r="CF212" s="16" t="n">
        <v>18.3956380015414</v>
      </c>
      <c r="CG212" s="16" t="n">
        <v>20.7870709417418</v>
      </c>
      <c r="CH212" s="16" t="n">
        <v>1931.14787912326</v>
      </c>
      <c r="CI212" s="16" t="n">
        <v>7.9795770854483</v>
      </c>
      <c r="CJ212" s="16" t="n">
        <v>20.6492598978314</v>
      </c>
      <c r="CK212" s="16" t="n">
        <v>0</v>
      </c>
      <c r="CL212" s="16" t="n">
        <v>0</v>
      </c>
      <c r="CM212" s="16" t="n">
        <v>12.270507</v>
      </c>
      <c r="CN212" s="16" t="n">
        <v>-33693.8451150313</v>
      </c>
      <c r="CO212" s="16" t="n">
        <v>1.25539772727273</v>
      </c>
      <c r="CP212" s="16" t="n">
        <v>1.11450900441726</v>
      </c>
      <c r="CQ212" s="16" t="n">
        <v>12.3695333207488</v>
      </c>
      <c r="CR212" s="16" t="n">
        <v>21.0115200891804</v>
      </c>
      <c r="CS212" s="16" t="n">
        <v>20.9103857884777</v>
      </c>
      <c r="CT212" s="16" t="n">
        <v>10.9464896643795</v>
      </c>
      <c r="CU212" s="16" t="n">
        <v>12.3695333207488</v>
      </c>
      <c r="CV212" s="16" t="n">
        <v>12.270507</v>
      </c>
      <c r="CW212" s="16" t="n">
        <v>37.1349976050118</v>
      </c>
      <c r="CX212" s="16" t="n">
        <v>49.4055046050118</v>
      </c>
      <c r="CY212" s="16" t="n">
        <v>240.8661448587</v>
      </c>
      <c r="CZ212" s="16" t="n">
        <v>13.8530083419713</v>
      </c>
      <c r="DA212" s="16" t="n">
        <v>0</v>
      </c>
      <c r="DB212" s="16" t="n">
        <v>17141.0178967835</v>
      </c>
      <c r="DC212" s="16" t="n">
        <v>12718.6352794134</v>
      </c>
      <c r="DD212" s="16" t="n">
        <v>11240.3333333333</v>
      </c>
      <c r="DE212" s="16" t="n">
        <v>0</v>
      </c>
      <c r="DF212" s="16" t="n">
        <v>555.7913898587</v>
      </c>
      <c r="DG212" s="16" t="n">
        <v>12.270507</v>
      </c>
      <c r="DH212" s="16" t="n">
        <v>0</v>
      </c>
      <c r="DI212" s="16" t="n">
        <v>20.9103857884777</v>
      </c>
    </row>
    <row r="213" customFormat="false" ht="15" hidden="false" customHeight="false" outlineLevel="0" collapsed="false">
      <c r="A213" s="0" t="s">
        <v>3428</v>
      </c>
      <c r="B213" s="16" t="n">
        <v>2465.07954157611</v>
      </c>
      <c r="C213" s="16" t="n">
        <v>8349.83355520186</v>
      </c>
      <c r="D213" s="16" t="n">
        <v>22070.4816314923</v>
      </c>
      <c r="E213" s="16" t="n">
        <v>4312.96513042944</v>
      </c>
      <c r="F213" s="16" t="n">
        <v>-987.294931652838</v>
      </c>
      <c r="G213" s="16" t="n">
        <v>4966.2667198742</v>
      </c>
      <c r="H213" s="16" t="n">
        <v>21625.7346620258</v>
      </c>
      <c r="I213" s="17" t="n">
        <v>40.1829119896131</v>
      </c>
      <c r="J213" s="17" t="n">
        <v>50.7055445672786</v>
      </c>
      <c r="K213" s="16" t="s">
        <v>95</v>
      </c>
      <c r="L213" s="16" t="n">
        <v>1582.01537093433</v>
      </c>
      <c r="M213" s="16" t="n">
        <v>33433.435588604</v>
      </c>
      <c r="N213" s="16" t="n">
        <v>13191.5045829555</v>
      </c>
      <c r="O213" s="16" t="n">
        <v>-11256.6531256845</v>
      </c>
      <c r="P213" s="16" t="n">
        <v>951.290832135856</v>
      </c>
      <c r="Q213" s="16" t="n">
        <v>1504.43761891574</v>
      </c>
      <c r="R213" s="16" t="n">
        <v>17147.1861733315</v>
      </c>
      <c r="S213" s="16" t="n">
        <v>26914.7733826298</v>
      </c>
      <c r="T213" s="16" t="n">
        <v>-955.692204749296</v>
      </c>
      <c r="U213" s="16" t="n">
        <v>12654.6134031423</v>
      </c>
      <c r="V213" s="16" t="n">
        <v>0.750319556751226</v>
      </c>
      <c r="W213" s="16" t="n">
        <v>62332.0115387698</v>
      </c>
      <c r="X213" s="16" t="n">
        <v>22261.0176327188</v>
      </c>
      <c r="Y213" s="16" t="n">
        <v>47.6997639171935</v>
      </c>
      <c r="Z213" s="16" t="n">
        <v>64.745909857958</v>
      </c>
      <c r="AA213" s="16" t="n">
        <v>27.424347870838</v>
      </c>
      <c r="AB213" s="16" t="n">
        <v>25.224347870838</v>
      </c>
      <c r="AC213" s="16" t="n">
        <v>26.674347870838</v>
      </c>
      <c r="AD213" s="16" t="n">
        <v>22.0342169529515</v>
      </c>
      <c r="AE213" s="16" t="n">
        <v>674.686407680941</v>
      </c>
      <c r="AF213" s="16" t="n">
        <v>0.03</v>
      </c>
      <c r="AG213" s="16" t="n">
        <v>0.670229486358198</v>
      </c>
      <c r="AH213" s="16" t="n">
        <v>10567.1399440652</v>
      </c>
      <c r="AI213" s="16" t="n">
        <v>22070.4816314923</v>
      </c>
      <c r="AJ213" s="16" t="n">
        <v>22.39175</v>
      </c>
      <c r="AK213" s="16" t="n">
        <v>0</v>
      </c>
      <c r="AL213" s="16" t="n">
        <v>-29767.7416351496</v>
      </c>
      <c r="AM213" s="16" t="n">
        <v>812.6073</v>
      </c>
      <c r="AN213" s="16" t="n">
        <v>26321.0217026062</v>
      </c>
      <c r="AO213" s="16" t="n">
        <v>-6546.04445387379</v>
      </c>
      <c r="AP213" s="16" t="n">
        <v>0.401891966794121</v>
      </c>
      <c r="AQ213" s="16" t="n">
        <v>44.8721633338749</v>
      </c>
      <c r="AR213" s="16" t="n">
        <v>327.195752</v>
      </c>
      <c r="AS213" s="16" t="n">
        <v>314.925245</v>
      </c>
      <c r="AT213" s="16" t="n">
        <v>1582.01537093433</v>
      </c>
      <c r="AU213" s="16" t="n">
        <v>12.270507</v>
      </c>
      <c r="AV213" s="16" t="n">
        <v>0</v>
      </c>
      <c r="AW213" s="16" t="n">
        <v>2254.3125</v>
      </c>
      <c r="AX213" s="16" t="n">
        <v>314.925245</v>
      </c>
      <c r="AY213" s="16" t="n">
        <v>314.925245</v>
      </c>
      <c r="AZ213" s="16" t="n">
        <v>5890.01789678353</v>
      </c>
      <c r="BA213" s="16" t="n">
        <v>0</v>
      </c>
      <c r="BB213" s="16" t="n">
        <v>417.928966666667</v>
      </c>
      <c r="BC213" s="16" t="n">
        <v>110755.448520544</v>
      </c>
      <c r="BD213" s="16" t="n">
        <v>18.3617675296246</v>
      </c>
      <c r="BE213" s="16" t="n">
        <v>27.019060151561</v>
      </c>
      <c r="BF213" s="16" t="n">
        <v>41.2469153603634</v>
      </c>
      <c r="BG213" s="16" t="n">
        <v>-7.04788063944062</v>
      </c>
      <c r="BH213" s="16" t="n">
        <v>-7.28866183200638</v>
      </c>
      <c r="BI213" s="16" t="n">
        <v>2.28161306785965</v>
      </c>
      <c r="BJ213" s="16" t="n">
        <v>2.04083187529388</v>
      </c>
      <c r="BK213" s="16" t="n">
        <v>6.71160484477099</v>
      </c>
      <c r="BL213" s="16" t="n">
        <v>7.88491984612206</v>
      </c>
      <c r="BM213" s="16" t="n">
        <v>5.11489923648504</v>
      </c>
      <c r="BN213" s="16" t="n">
        <v>6.14038025700283</v>
      </c>
      <c r="BO213" s="16" t="n">
        <v>6.42123287671233</v>
      </c>
      <c r="BP213" s="16" t="n">
        <v>8712.70308277889</v>
      </c>
      <c r="BQ213" s="16" t="n">
        <v>8317.46681817163</v>
      </c>
      <c r="BR213" s="16" t="n">
        <v>8317.46681817163</v>
      </c>
      <c r="BS213" s="16" t="n">
        <v>327.195752</v>
      </c>
      <c r="BT213" s="16" t="n">
        <v>301.7195</v>
      </c>
      <c r="BU213" s="16" t="n">
        <v>1081.9108</v>
      </c>
      <c r="BV213" s="16" t="s">
        <v>3238</v>
      </c>
      <c r="BW213" s="16" t="n">
        <v>41.1282051282051</v>
      </c>
      <c r="BX213" s="16" t="n">
        <v>0.170777119735353</v>
      </c>
      <c r="BY213" s="16" t="n">
        <v>0.161741466184191</v>
      </c>
      <c r="BZ213" s="16" t="n">
        <v>13510.8578038903</v>
      </c>
      <c r="CA213" s="16" t="n">
        <v>27107.0656988521</v>
      </c>
      <c r="CB213" s="16" t="n">
        <v>81.30633591373</v>
      </c>
      <c r="CC213" s="16" t="n">
        <v>0</v>
      </c>
      <c r="CD213" s="16" t="n">
        <v>0</v>
      </c>
      <c r="CE213" s="16" t="n">
        <v>18241.0326626062</v>
      </c>
      <c r="CF213" s="16" t="n">
        <v>18.3617675296246</v>
      </c>
      <c r="CG213" s="16" t="n">
        <v>20.7487973084758</v>
      </c>
      <c r="CH213" s="16" t="n">
        <v>1931.14787912326</v>
      </c>
      <c r="CI213" s="16" t="n">
        <v>7.9795770854483</v>
      </c>
      <c r="CJ213" s="16" t="n">
        <v>20.6492598978314</v>
      </c>
      <c r="CK213" s="16" t="n">
        <v>0</v>
      </c>
      <c r="CL213" s="16" t="n">
        <v>0</v>
      </c>
      <c r="CM213" s="16" t="n">
        <v>12.270507</v>
      </c>
      <c r="CN213" s="16" t="n">
        <v>-29767.7416351496</v>
      </c>
      <c r="CO213" s="16" t="n">
        <v>1.25539772727273</v>
      </c>
      <c r="CP213" s="16" t="n">
        <v>1.11722731906218</v>
      </c>
      <c r="CQ213" s="16" t="n">
        <v>43.2205331160105</v>
      </c>
      <c r="CR213" s="16" t="n">
        <v>50.7055445672786</v>
      </c>
      <c r="CS213" s="16" t="n">
        <v>50.497454022419</v>
      </c>
      <c r="CT213" s="16" t="n">
        <v>38.2482593946996</v>
      </c>
      <c r="CU213" s="16" t="n">
        <v>43.2205331160105</v>
      </c>
      <c r="CV213" s="16" t="n">
        <v>12.270507</v>
      </c>
      <c r="CW213" s="16" t="n">
        <v>37.1349976050118</v>
      </c>
      <c r="CX213" s="16" t="n">
        <v>49.4055046050118</v>
      </c>
      <c r="CY213" s="16" t="n">
        <v>68.9348693749989</v>
      </c>
      <c r="CZ213" s="16" t="n">
        <v>13.6188193778712</v>
      </c>
      <c r="DA213" s="16" t="n">
        <v>0</v>
      </c>
      <c r="DB213" s="16" t="n">
        <v>17141.0178967835</v>
      </c>
      <c r="DC213" s="16" t="n">
        <v>12718.6352794134</v>
      </c>
      <c r="DD213" s="16" t="n">
        <v>11251</v>
      </c>
      <c r="DE213" s="16" t="n">
        <v>0</v>
      </c>
      <c r="DF213" s="16" t="n">
        <v>383.860114374999</v>
      </c>
      <c r="DG213" s="16" t="n">
        <v>12.270507</v>
      </c>
      <c r="DH213" s="16" t="n">
        <v>0</v>
      </c>
      <c r="DI213" s="16" t="n">
        <v>50.497454022419</v>
      </c>
    </row>
    <row r="214" customFormat="false" ht="15" hidden="false" customHeight="false" outlineLevel="0" collapsed="false">
      <c r="A214" s="0" t="s">
        <v>3429</v>
      </c>
      <c r="B214" s="16" t="n">
        <v>2465.07954157611</v>
      </c>
      <c r="C214" s="16" t="n">
        <v>8349.83355520186</v>
      </c>
      <c r="D214" s="16" t="n">
        <v>22070.4816314923</v>
      </c>
      <c r="E214" s="16" t="n">
        <v>4312.96513042944</v>
      </c>
      <c r="F214" s="16" t="n">
        <v>-1041.94738765284</v>
      </c>
      <c r="G214" s="16" t="n">
        <v>5020.9191758742</v>
      </c>
      <c r="H214" s="16" t="n">
        <v>21002.7405922851</v>
      </c>
      <c r="I214" s="17" t="n">
        <v>37.4791069334617</v>
      </c>
      <c r="J214" s="17" t="n">
        <v>47.7648248148809</v>
      </c>
      <c r="K214" s="16" t="s">
        <v>95</v>
      </c>
      <c r="L214" s="16" t="n">
        <v>698.191461183871</v>
      </c>
      <c r="M214" s="16" t="n">
        <v>33819.758788604</v>
      </c>
      <c r="N214" s="16" t="n">
        <v>13191.5045829555</v>
      </c>
      <c r="O214" s="16" t="n">
        <v>-12210.4954472316</v>
      </c>
      <c r="P214" s="16" t="n">
        <v>951.290832135856</v>
      </c>
      <c r="Q214" s="16" t="n">
        <v>1415.90613091574</v>
      </c>
      <c r="R214" s="16" t="n">
        <v>17617.7170533315</v>
      </c>
      <c r="S214" s="16" t="n">
        <v>27008.6165826298</v>
      </c>
      <c r="T214" s="16" t="n">
        <v>-955.692204749296</v>
      </c>
      <c r="U214" s="16" t="n">
        <v>11803.1169334016</v>
      </c>
      <c r="V214" s="16" t="n">
        <v>0.750319556751226</v>
      </c>
      <c r="W214" s="16" t="n">
        <v>62332.0115387698</v>
      </c>
      <c r="X214" s="16" t="n">
        <v>22261.0176327188</v>
      </c>
      <c r="Y214" s="16" t="n">
        <v>44.9333674780451</v>
      </c>
      <c r="Z214" s="16" t="n">
        <v>60.9909048061214</v>
      </c>
      <c r="AA214" s="16" t="n">
        <v>27.424347870838</v>
      </c>
      <c r="AB214" s="16" t="n">
        <v>25.224347870838</v>
      </c>
      <c r="AC214" s="16" t="n">
        <v>26.674347870838</v>
      </c>
      <c r="AD214" s="16" t="n">
        <v>22.0342169529515</v>
      </c>
      <c r="AE214" s="16" t="n">
        <v>674.686407680941</v>
      </c>
      <c r="AF214" s="16" t="n">
        <v>0.03</v>
      </c>
      <c r="AG214" s="16" t="n">
        <v>0.670229486358198</v>
      </c>
      <c r="AH214" s="16" t="n">
        <v>10094.6096680652</v>
      </c>
      <c r="AI214" s="16" t="n">
        <v>22070.4816314923</v>
      </c>
      <c r="AJ214" s="16" t="n">
        <v>22.39175</v>
      </c>
      <c r="AK214" s="16" t="n">
        <v>0</v>
      </c>
      <c r="AL214" s="16" t="n">
        <v>-30696.5029295068</v>
      </c>
      <c r="AM214" s="16" t="n">
        <v>812.6073</v>
      </c>
      <c r="AN214" s="16" t="n">
        <v>26321.0217026062</v>
      </c>
      <c r="AO214" s="16" t="n">
        <v>-6546.04445387379</v>
      </c>
      <c r="AP214" s="16" t="n">
        <v>0.401891966794121</v>
      </c>
      <c r="AQ214" s="16" t="n">
        <v>42.2697564733459</v>
      </c>
      <c r="AR214" s="16" t="n">
        <v>327.195752</v>
      </c>
      <c r="AS214" s="16" t="n">
        <v>314.925245</v>
      </c>
      <c r="AT214" s="16" t="n">
        <v>698.191461183871</v>
      </c>
      <c r="AU214" s="16" t="n">
        <v>12.270507</v>
      </c>
      <c r="AV214" s="16" t="n">
        <v>0</v>
      </c>
      <c r="AW214" s="16" t="n">
        <v>2254.3125</v>
      </c>
      <c r="AX214" s="16" t="n">
        <v>314.925245</v>
      </c>
      <c r="AY214" s="16" t="n">
        <v>314.925245</v>
      </c>
      <c r="AZ214" s="16" t="n">
        <v>5890.01789678353</v>
      </c>
      <c r="BA214" s="16" t="n">
        <v>0</v>
      </c>
      <c r="BB214" s="16" t="n">
        <v>417.928966666667</v>
      </c>
      <c r="BC214" s="16" t="n">
        <v>111706.145800544</v>
      </c>
      <c r="BD214" s="16" t="n">
        <v>17.6361908931755</v>
      </c>
      <c r="BE214" s="16" t="n">
        <v>26.2934835151119</v>
      </c>
      <c r="BF214" s="16" t="n">
        <v>40.5213387239143</v>
      </c>
      <c r="BG214" s="16" t="n">
        <v>-8.27711430924607</v>
      </c>
      <c r="BH214" s="16" t="n">
        <v>-7.28866183200638</v>
      </c>
      <c r="BI214" s="16" t="n">
        <v>1.09242813813745</v>
      </c>
      <c r="BJ214" s="16" t="n">
        <v>2.04083187529388</v>
      </c>
      <c r="BK214" s="16" t="n">
        <v>5.25403316350504</v>
      </c>
      <c r="BL214" s="16" t="n">
        <v>7.88491984612206</v>
      </c>
      <c r="BM214" s="16" t="n">
        <v>5.11489923648504</v>
      </c>
      <c r="BN214" s="16" t="n">
        <v>6.14038025700283</v>
      </c>
      <c r="BO214" s="16" t="n">
        <v>6.42123287671233</v>
      </c>
      <c r="BP214" s="16" t="n">
        <v>8712.70308277889</v>
      </c>
      <c r="BQ214" s="16" t="n">
        <v>8317.46681817163</v>
      </c>
      <c r="BR214" s="16" t="n">
        <v>8317.46681817163</v>
      </c>
      <c r="BS214" s="16" t="n">
        <v>327.195752</v>
      </c>
      <c r="BT214" s="16" t="n">
        <v>301.7195</v>
      </c>
      <c r="BU214" s="16" t="n">
        <v>1081.9108</v>
      </c>
      <c r="BV214" s="16" t="s">
        <v>3238</v>
      </c>
      <c r="BW214" s="16" t="n">
        <v>42.7692307692308</v>
      </c>
      <c r="BX214" s="16" t="n">
        <v>0.155994305554286</v>
      </c>
      <c r="BY214" s="16" t="n">
        <v>0.161741466184191</v>
      </c>
      <c r="BZ214" s="16" t="n">
        <v>13510.8578038903</v>
      </c>
      <c r="CA214" s="16" t="n">
        <v>27107.0656988521</v>
      </c>
      <c r="CB214" s="16" t="n">
        <v>83.4030067771906</v>
      </c>
      <c r="CC214" s="16" t="n">
        <v>0</v>
      </c>
      <c r="CD214" s="16" t="n">
        <v>950.69728</v>
      </c>
      <c r="CE214" s="16" t="n">
        <v>18241.0326626062</v>
      </c>
      <c r="CF214" s="16" t="n">
        <v>17.6361908931755</v>
      </c>
      <c r="CG214" s="16" t="n">
        <v>19.9288957092883</v>
      </c>
      <c r="CH214" s="16" t="n">
        <v>1931.14787912326</v>
      </c>
      <c r="CI214" s="16" t="n">
        <v>6.79039215572612</v>
      </c>
      <c r="CJ214" s="16" t="n">
        <v>19.4600749681092</v>
      </c>
      <c r="CK214" s="16" t="n">
        <v>0</v>
      </c>
      <c r="CL214" s="16" t="n">
        <v>0</v>
      </c>
      <c r="CM214" s="16" t="n">
        <v>12.270507</v>
      </c>
      <c r="CN214" s="16" t="n">
        <v>-30696.5029295068</v>
      </c>
      <c r="CO214" s="16" t="n">
        <v>1.25539772727273</v>
      </c>
      <c r="CP214" s="16" t="n">
        <v>1.11722731906218</v>
      </c>
      <c r="CQ214" s="16" t="n">
        <v>40.1652334025594</v>
      </c>
      <c r="CR214" s="16" t="n">
        <v>47.7648248148809</v>
      </c>
      <c r="CS214" s="16" t="n">
        <v>47.5654940920372</v>
      </c>
      <c r="CT214" s="16" t="n">
        <v>35.5444543385482</v>
      </c>
      <c r="CU214" s="16" t="n">
        <v>40.1652334025594</v>
      </c>
      <c r="CV214" s="16" t="n">
        <v>12.270507</v>
      </c>
      <c r="CW214" s="16" t="n">
        <v>37.1349976050118</v>
      </c>
      <c r="CX214" s="16" t="n">
        <v>49.4055046050118</v>
      </c>
      <c r="CY214" s="16" t="n">
        <v>74.1786254497439</v>
      </c>
      <c r="CZ214" s="16" t="n">
        <v>13.6416725266597</v>
      </c>
      <c r="DA214" s="16" t="n">
        <v>0</v>
      </c>
      <c r="DB214" s="16" t="n">
        <v>17141.0178967835</v>
      </c>
      <c r="DC214" s="16" t="n">
        <v>12718.6352794134</v>
      </c>
      <c r="DD214" s="16" t="n">
        <v>11251</v>
      </c>
      <c r="DE214" s="16" t="n">
        <v>0</v>
      </c>
      <c r="DF214" s="16" t="n">
        <v>389.103870449744</v>
      </c>
      <c r="DG214" s="16" t="n">
        <v>12.270507</v>
      </c>
      <c r="DH214" s="16" t="n">
        <v>0</v>
      </c>
      <c r="DI214" s="16" t="n">
        <v>47.5654940920372</v>
      </c>
    </row>
    <row r="215" customFormat="false" ht="15" hidden="false" customHeight="false" outlineLevel="0" collapsed="false">
      <c r="A215" s="0" t="s">
        <v>3430</v>
      </c>
      <c r="B215" s="16" t="n">
        <v>2465.07954157611</v>
      </c>
      <c r="C215" s="16" t="n">
        <v>7505.46533149617</v>
      </c>
      <c r="D215" s="16" t="n">
        <v>20180.6645744977</v>
      </c>
      <c r="E215" s="16" t="n">
        <v>3713.46369159839</v>
      </c>
      <c r="F215" s="16" t="n">
        <v>-1606.96308130411</v>
      </c>
      <c r="G215" s="16" t="n">
        <v>5020.20815964266</v>
      </c>
      <c r="H215" s="16" t="n">
        <v>9057.7281902452</v>
      </c>
      <c r="I215" s="17" t="n">
        <v>0.01</v>
      </c>
      <c r="J215" s="17" t="n">
        <v>6.511648599118</v>
      </c>
      <c r="K215" s="16" t="s">
        <v>95</v>
      </c>
      <c r="L215" s="16" t="n">
        <v>111.269596161281</v>
      </c>
      <c r="M215" s="16" t="n">
        <v>33802.8714241299</v>
      </c>
      <c r="N215" s="16" t="n">
        <v>11755.2436196396</v>
      </c>
      <c r="O215" s="16" t="n">
        <v>-14053.7666899708</v>
      </c>
      <c r="P215" s="16" t="n">
        <v>951.290832135856</v>
      </c>
      <c r="Q215" s="16" t="n">
        <v>61.4155828462308</v>
      </c>
      <c r="R215" s="16" t="n">
        <v>17617.7170533315</v>
      </c>
      <c r="S215" s="16" t="n">
        <v>26970.82024149</v>
      </c>
      <c r="T215" s="16" t="n">
        <v>-955.692204749296</v>
      </c>
      <c r="U215" s="16" t="n">
        <v>-141.895468638255</v>
      </c>
      <c r="V215" s="16" t="n">
        <v>0.750319556751226</v>
      </c>
      <c r="W215" s="16" t="n">
        <v>53464.5708424573</v>
      </c>
      <c r="X215" s="16" t="n">
        <v>22173.3734272866</v>
      </c>
      <c r="Y215" s="16" t="n">
        <v>6.12564372477112</v>
      </c>
      <c r="Z215" s="16" t="n">
        <v>8.31472409621378</v>
      </c>
      <c r="AA215" s="16" t="n">
        <v>27.424347870838</v>
      </c>
      <c r="AB215" s="16" t="n">
        <v>25.224347870838</v>
      </c>
      <c r="AC215" s="16" t="n">
        <v>26.674347870838</v>
      </c>
      <c r="AD215" s="16" t="n">
        <v>30.2970483103083</v>
      </c>
      <c r="AE215" s="16" t="n">
        <v>674.686407680941</v>
      </c>
      <c r="AF215" s="16" t="n">
        <v>0.03</v>
      </c>
      <c r="AG215" s="16" t="n">
        <v>0.664073049535931</v>
      </c>
      <c r="AH215" s="16" t="n">
        <v>10094.6096680652</v>
      </c>
      <c r="AI215" s="16" t="n">
        <v>20180.6645744977</v>
      </c>
      <c r="AJ215" s="16" t="n">
        <v>16.69175</v>
      </c>
      <c r="AK215" s="16" t="n">
        <v>0</v>
      </c>
      <c r="AL215" s="16" t="n">
        <v>-33441.442494152</v>
      </c>
      <c r="AM215" s="16" t="n">
        <v>812.6073</v>
      </c>
      <c r="AN215" s="16" t="n">
        <v>26321.0217026062</v>
      </c>
      <c r="AO215" s="16" t="n">
        <v>-6546.04445387379</v>
      </c>
      <c r="AP215" s="16" t="n">
        <v>0.516474502037109</v>
      </c>
      <c r="AQ215" s="16" t="n">
        <v>5.76252088417522</v>
      </c>
      <c r="AR215" s="16" t="n">
        <v>327.195752</v>
      </c>
      <c r="AS215" s="16" t="n">
        <v>314.925245</v>
      </c>
      <c r="AT215" s="16" t="n">
        <v>111.269596161281</v>
      </c>
      <c r="AU215" s="16" t="n">
        <v>12.270507</v>
      </c>
      <c r="AV215" s="16" t="n">
        <v>0</v>
      </c>
      <c r="AW215" s="16" t="n">
        <v>2254.3125</v>
      </c>
      <c r="AX215" s="16" t="n">
        <v>314.925245</v>
      </c>
      <c r="AY215" s="16" t="n">
        <v>314.925245</v>
      </c>
      <c r="AZ215" s="16" t="n">
        <v>5568.83612056339</v>
      </c>
      <c r="BA215" s="16" t="n">
        <v>0</v>
      </c>
      <c r="BB215" s="16" t="n">
        <v>417.928966666667</v>
      </c>
      <c r="BC215" s="16" t="n">
        <v>111572.015532967</v>
      </c>
      <c r="BD215" s="16" t="n">
        <v>16.6163241745829</v>
      </c>
      <c r="BE215" s="16" t="n">
        <v>25.2736167965192</v>
      </c>
      <c r="BF215" s="16" t="n">
        <v>39.5014720053217</v>
      </c>
      <c r="BG215" s="16" t="n">
        <v>-8.27711430924607</v>
      </c>
      <c r="BH215" s="16" t="n">
        <v>-7.28866183200638</v>
      </c>
      <c r="BI215" s="16" t="n">
        <v>1.09242813813745</v>
      </c>
      <c r="BJ215" s="16" t="n">
        <v>2.04083187529388</v>
      </c>
      <c r="BK215" s="16" t="n">
        <v>5.25403316350504</v>
      </c>
      <c r="BL215" s="16" t="n">
        <v>7.88491984612206</v>
      </c>
      <c r="BM215" s="16" t="n">
        <v>3.71992671744367</v>
      </c>
      <c r="BN215" s="16" t="n">
        <v>4.46573109600205</v>
      </c>
      <c r="BO215" s="16" t="n">
        <v>6.42123287671233</v>
      </c>
      <c r="BP215" s="16" t="n">
        <v>8712.70308277889</v>
      </c>
      <c r="BQ215" s="16" t="n">
        <v>7473.09859446594</v>
      </c>
      <c r="BR215" s="16" t="n">
        <v>7473.09859446594</v>
      </c>
      <c r="BS215" s="16" t="n">
        <v>327.195752</v>
      </c>
      <c r="BT215" s="16" t="n">
        <v>301.7195</v>
      </c>
      <c r="BU215" s="16" t="n">
        <v>1081.9108</v>
      </c>
      <c r="BV215" s="16" t="s">
        <v>3238</v>
      </c>
      <c r="BW215" s="16" t="n">
        <v>42.7692307692308</v>
      </c>
      <c r="BX215" s="16" t="n">
        <v>0.155994305554286</v>
      </c>
      <c r="BY215" s="16" t="n">
        <v>0.161741466184191</v>
      </c>
      <c r="BZ215" s="16" t="n">
        <v>13510.8578038903</v>
      </c>
      <c r="CA215" s="16" t="n">
        <v>27107.0656988521</v>
      </c>
      <c r="CB215" s="16" t="n">
        <v>89.4338461244326</v>
      </c>
      <c r="CC215" s="16" t="n">
        <v>0</v>
      </c>
      <c r="CD215" s="16" t="n">
        <v>950.69728</v>
      </c>
      <c r="CE215" s="16" t="n">
        <v>18241.0326626062</v>
      </c>
      <c r="CF215" s="16" t="n">
        <v>16.6163241745829</v>
      </c>
      <c r="CG215" s="16" t="n">
        <v>18.7764463172787</v>
      </c>
      <c r="CH215" s="16" t="n">
        <v>1931.14787912326</v>
      </c>
      <c r="CI215" s="16" t="n">
        <v>-6.2083733271085</v>
      </c>
      <c r="CJ215" s="16" t="n">
        <v>3.00594144553374</v>
      </c>
      <c r="CK215" s="16" t="n">
        <v>0</v>
      </c>
      <c r="CL215" s="16" t="n">
        <v>0</v>
      </c>
      <c r="CM215" s="16" t="n">
        <v>12.270507</v>
      </c>
      <c r="CN215" s="16" t="n">
        <v>-33441.442494152</v>
      </c>
      <c r="CO215" s="16" t="n">
        <v>1.726171875</v>
      </c>
      <c r="CP215" s="16" t="n">
        <v>1.11722731906218</v>
      </c>
      <c r="CQ215" s="16" t="n">
        <v>0</v>
      </c>
      <c r="CR215" s="16" t="n">
        <v>6.511648599118</v>
      </c>
      <c r="CS215" s="16" t="n">
        <v>6.47799732981984</v>
      </c>
      <c r="CT215" s="16" t="n">
        <v>0</v>
      </c>
      <c r="CU215" s="16" t="n">
        <v>0.0113</v>
      </c>
      <c r="CV215" s="16" t="n">
        <v>12.270507</v>
      </c>
      <c r="CW215" s="16" t="n">
        <v>37.1349976050118</v>
      </c>
      <c r="CX215" s="16" t="n">
        <v>49.4055046050118</v>
      </c>
      <c r="CY215" s="16" t="n">
        <v>263663.876519469</v>
      </c>
      <c r="CZ215" s="16" t="n">
        <v>13.9701916097917</v>
      </c>
      <c r="DA215" s="16" t="n">
        <v>0</v>
      </c>
      <c r="DB215" s="16" t="n">
        <v>16819.8361205634</v>
      </c>
      <c r="DC215" s="16" t="n">
        <v>12480.318401458</v>
      </c>
      <c r="DD215" s="16" t="n">
        <v>11251</v>
      </c>
      <c r="DE215" s="16" t="n">
        <v>0</v>
      </c>
      <c r="DF215" s="16" t="n">
        <v>263978.801764469</v>
      </c>
      <c r="DG215" s="16" t="n">
        <v>12.270507</v>
      </c>
      <c r="DH215" s="16" t="n">
        <v>0</v>
      </c>
      <c r="DI215" s="16" t="n">
        <v>6.47799732981984</v>
      </c>
    </row>
    <row r="216" customFormat="false" ht="15" hidden="false" customHeight="false" outlineLevel="0" collapsed="false">
      <c r="A216" s="0" t="s">
        <v>3431</v>
      </c>
      <c r="B216" s="16" t="n">
        <v>2465.07954157611</v>
      </c>
      <c r="C216" s="16" t="n">
        <v>7505.46533149617</v>
      </c>
      <c r="D216" s="16" t="n">
        <v>20180.6645744977</v>
      </c>
      <c r="E216" s="16" t="n">
        <v>3713.46369159839</v>
      </c>
      <c r="F216" s="16" t="n">
        <v>-1606.96308130411</v>
      </c>
      <c r="G216" s="16" t="n">
        <v>5020.20815964266</v>
      </c>
      <c r="H216" s="16" t="n">
        <v>7854.59013302158</v>
      </c>
      <c r="I216" s="17" t="n">
        <v>0.01</v>
      </c>
      <c r="J216" s="17" t="n">
        <v>2.28688359991828</v>
      </c>
      <c r="K216" s="16" t="s">
        <v>72</v>
      </c>
      <c r="L216" s="16" t="n">
        <v>-4956.48323642636</v>
      </c>
      <c r="M216" s="16" t="n">
        <v>33802.8714241299</v>
      </c>
      <c r="N216" s="16" t="n">
        <v>11755.2436196396</v>
      </c>
      <c r="O216" s="16" t="n">
        <v>-19023.84719661</v>
      </c>
      <c r="P216" s="16" t="n">
        <v>951.290832135856</v>
      </c>
      <c r="Q216" s="16" t="n">
        <v>61.4155828462308</v>
      </c>
      <c r="R216" s="16" t="n">
        <v>17617.7170533315</v>
      </c>
      <c r="S216" s="16" t="n">
        <v>26970.82024149</v>
      </c>
      <c r="T216" s="16" t="n">
        <v>-955.692204749296</v>
      </c>
      <c r="U216" s="16" t="n">
        <v>-1365.19207123687</v>
      </c>
      <c r="V216" s="16" t="n">
        <v>0.750319556751226</v>
      </c>
      <c r="W216" s="16" t="n">
        <v>53464.5708424573</v>
      </c>
      <c r="X216" s="16" t="n">
        <v>22173.3734272866</v>
      </c>
      <c r="Y216" s="16" t="n">
        <v>2.15131912600733</v>
      </c>
      <c r="Z216" s="16" t="n">
        <v>2.92012166873565</v>
      </c>
      <c r="AA216" s="16" t="n">
        <v>27.424347870838</v>
      </c>
      <c r="AB216" s="16" t="n">
        <v>25.224347870838</v>
      </c>
      <c r="AC216" s="16" t="n">
        <v>26.674347870838</v>
      </c>
      <c r="AD216" s="16" t="n">
        <v>30.2970483103083</v>
      </c>
      <c r="AE216" s="16" t="n">
        <v>674.686407680941</v>
      </c>
      <c r="AF216" s="16" t="n">
        <v>0.03</v>
      </c>
      <c r="AG216" s="16" t="n">
        <v>0.664073049535931</v>
      </c>
      <c r="AH216" s="16" t="n">
        <v>9819.91719809611</v>
      </c>
      <c r="AI216" s="16" t="n">
        <v>20180.6645744977</v>
      </c>
      <c r="AJ216" s="16" t="n">
        <v>16.69175</v>
      </c>
      <c r="AK216" s="16" t="n">
        <v>0</v>
      </c>
      <c r="AL216" s="16" t="n">
        <v>-37200.0960732068</v>
      </c>
      <c r="AM216" s="16" t="n">
        <v>812.6073</v>
      </c>
      <c r="AN216" s="16" t="n">
        <v>20079.98904</v>
      </c>
      <c r="AO216" s="16" t="n">
        <v>-5508.72242389994</v>
      </c>
      <c r="AP216" s="16" t="n">
        <v>0.516474502037109</v>
      </c>
      <c r="AQ216" s="16" t="n">
        <v>2.02379079638786</v>
      </c>
      <c r="AR216" s="16" t="n">
        <v>327.195752</v>
      </c>
      <c r="AS216" s="16" t="n">
        <v>314.925245</v>
      </c>
      <c r="AT216" s="16" t="n">
        <v>-4956.48323642636</v>
      </c>
      <c r="AU216" s="16" t="n">
        <v>12.270507</v>
      </c>
      <c r="AV216" s="16" t="n">
        <v>0</v>
      </c>
      <c r="AW216" s="16" t="n">
        <v>2254.3125</v>
      </c>
      <c r="AX216" s="16" t="n">
        <v>314.925245</v>
      </c>
      <c r="AY216" s="16" t="n">
        <v>314.925245</v>
      </c>
      <c r="AZ216" s="16" t="n">
        <v>5568.83612056339</v>
      </c>
      <c r="BA216" s="16" t="n">
        <v>0</v>
      </c>
      <c r="BB216" s="16" t="n">
        <v>417.928966666667</v>
      </c>
      <c r="BC216" s="16" t="n">
        <v>111572.015532967</v>
      </c>
      <c r="BD216" s="16" t="n">
        <v>16.5523136016134</v>
      </c>
      <c r="BE216" s="16" t="n">
        <v>25.2096062235498</v>
      </c>
      <c r="BF216" s="16" t="n">
        <v>39.4374614323522</v>
      </c>
      <c r="BG216" s="16" t="n">
        <v>-8.27711430924607</v>
      </c>
      <c r="BH216" s="16" t="n">
        <v>-7.28866183200638</v>
      </c>
      <c r="BI216" s="16" t="n">
        <v>1.09242813813745</v>
      </c>
      <c r="BJ216" s="16" t="n">
        <v>2.04083187529388</v>
      </c>
      <c r="BK216" s="16" t="n">
        <v>5.25403316350504</v>
      </c>
      <c r="BL216" s="16" t="n">
        <v>7.88491984612206</v>
      </c>
      <c r="BM216" s="16" t="n">
        <v>3.71992671744367</v>
      </c>
      <c r="BN216" s="16" t="n">
        <v>4.46573109600205</v>
      </c>
      <c r="BO216" s="16" t="n">
        <v>6.42123287671233</v>
      </c>
      <c r="BP216" s="16" t="n">
        <v>8712.70308277889</v>
      </c>
      <c r="BQ216" s="16" t="n">
        <v>7473.09859446594</v>
      </c>
      <c r="BR216" s="16" t="n">
        <v>7473.09859446594</v>
      </c>
      <c r="BS216" s="16" t="n">
        <v>327.195752</v>
      </c>
      <c r="BT216" s="16" t="n">
        <v>301.7195</v>
      </c>
      <c r="BU216" s="16" t="n">
        <v>1081.9108</v>
      </c>
      <c r="BV216" s="16" t="s">
        <v>3238</v>
      </c>
      <c r="BW216" s="16" t="n">
        <v>42.7692307692308</v>
      </c>
      <c r="BX216" s="16" t="n">
        <v>0.155994305554286</v>
      </c>
      <c r="BY216" s="16" t="n">
        <v>0.161741466184191</v>
      </c>
      <c r="BZ216" s="16" t="n">
        <v>13510.8578038903</v>
      </c>
      <c r="CA216" s="16" t="n">
        <v>27107.0656988521</v>
      </c>
      <c r="CB216" s="16" t="n">
        <v>98.1216364538248</v>
      </c>
      <c r="CC216" s="16" t="n">
        <v>0</v>
      </c>
      <c r="CD216" s="16" t="n">
        <v>950.69728</v>
      </c>
      <c r="CE216" s="16" t="n">
        <v>12000</v>
      </c>
      <c r="CF216" s="16" t="n">
        <v>16.5523136016134</v>
      </c>
      <c r="CG216" s="16" t="n">
        <v>18.7041143698232</v>
      </c>
      <c r="CH216" s="16" t="n">
        <v>1931.14787912326</v>
      </c>
      <c r="CI216" s="16" t="n">
        <v>-6.2083733271085</v>
      </c>
      <c r="CJ216" s="16" t="n">
        <v>3.00594144553374</v>
      </c>
      <c r="CK216" s="16" t="n">
        <v>0</v>
      </c>
      <c r="CL216" s="16" t="n">
        <v>0</v>
      </c>
      <c r="CM216" s="16" t="n">
        <v>12.270507</v>
      </c>
      <c r="CN216" s="16" t="n">
        <v>-37200.0960732068</v>
      </c>
      <c r="CO216" s="16" t="n">
        <v>1.726171875</v>
      </c>
      <c r="CP216" s="16" t="n">
        <v>1.11722731906218</v>
      </c>
      <c r="CQ216" s="16" t="n">
        <v>0</v>
      </c>
      <c r="CR216" s="16" t="n">
        <v>2.28688359991828</v>
      </c>
      <c r="CS216" s="16" t="n">
        <v>2.2748266826879</v>
      </c>
      <c r="CT216" s="16" t="n">
        <v>0</v>
      </c>
      <c r="CU216" s="16" t="n">
        <v>0.0113</v>
      </c>
      <c r="CV216" s="16" t="n">
        <v>12.270507</v>
      </c>
      <c r="CW216" s="16" t="n">
        <v>37.1349976050118</v>
      </c>
      <c r="CX216" s="16" t="n">
        <v>49.4055046050118</v>
      </c>
      <c r="CY216" s="16" t="n">
        <v>263663.876519469</v>
      </c>
      <c r="CZ216" s="16" t="n">
        <v>14.0046927865564</v>
      </c>
      <c r="DA216" s="16" t="n">
        <v>0</v>
      </c>
      <c r="DB216" s="16" t="n">
        <v>16819.8361205634</v>
      </c>
      <c r="DC216" s="16" t="n">
        <v>12480.318401458</v>
      </c>
      <c r="DD216" s="16" t="n">
        <v>11251</v>
      </c>
      <c r="DE216" s="16" t="n">
        <v>0</v>
      </c>
      <c r="DF216" s="16" t="n">
        <v>263978.801764469</v>
      </c>
      <c r="DG216" s="16" t="n">
        <v>12.270507</v>
      </c>
      <c r="DH216" s="16" t="n">
        <v>0</v>
      </c>
      <c r="DI216" s="16" t="n">
        <v>2.2748266826879</v>
      </c>
    </row>
    <row r="217" customFormat="false" ht="15" hidden="false" customHeight="false" outlineLevel="0" collapsed="false">
      <c r="A217" s="0" t="s">
        <v>3432</v>
      </c>
      <c r="B217" s="16" t="n">
        <v>2465.07954157611</v>
      </c>
      <c r="C217" s="16" t="n">
        <v>7505.46533149617</v>
      </c>
      <c r="D217" s="16" t="n">
        <v>20180.6645744977</v>
      </c>
      <c r="E217" s="16" t="n">
        <v>3713.46369159839</v>
      </c>
      <c r="F217" s="16" t="n">
        <v>-1606.96308130411</v>
      </c>
      <c r="G217" s="16" t="n">
        <v>5020.20815964266</v>
      </c>
      <c r="H217" s="16" t="n">
        <v>7854.59013302158</v>
      </c>
      <c r="I217" s="17" t="n">
        <v>0.01</v>
      </c>
      <c r="J217" s="17" t="n">
        <v>2.28688359991828</v>
      </c>
      <c r="K217" s="16" t="s">
        <v>72</v>
      </c>
      <c r="L217" s="16" t="n">
        <v>-4956.48323642636</v>
      </c>
      <c r="M217" s="16" t="n">
        <v>33802.8714241299</v>
      </c>
      <c r="N217" s="16" t="n">
        <v>11755.2436196396</v>
      </c>
      <c r="O217" s="16" t="n">
        <v>-19023.84719661</v>
      </c>
      <c r="P217" s="16" t="n">
        <v>951.290832135856</v>
      </c>
      <c r="Q217" s="16" t="n">
        <v>61.4155828462308</v>
      </c>
      <c r="R217" s="16" t="n">
        <v>17617.7170533315</v>
      </c>
      <c r="S217" s="16" t="n">
        <v>26970.82024149</v>
      </c>
      <c r="T217" s="16" t="n">
        <v>-955.692204749296</v>
      </c>
      <c r="U217" s="16" t="n">
        <v>-1365.19207123687</v>
      </c>
      <c r="V217" s="16" t="n">
        <v>0.750319556751226</v>
      </c>
      <c r="W217" s="16" t="n">
        <v>53464.5708424573</v>
      </c>
      <c r="X217" s="16" t="n">
        <v>22173.3734272866</v>
      </c>
      <c r="Y217" s="16" t="n">
        <v>2.15131912600733</v>
      </c>
      <c r="Z217" s="16" t="n">
        <v>2.92012166873565</v>
      </c>
      <c r="AA217" s="16" t="n">
        <v>27.424347870838</v>
      </c>
      <c r="AB217" s="16" t="n">
        <v>25.224347870838</v>
      </c>
      <c r="AC217" s="16" t="n">
        <v>26.674347870838</v>
      </c>
      <c r="AD217" s="16" t="n">
        <v>30.2970483103083</v>
      </c>
      <c r="AE217" s="16" t="n">
        <v>674.686407680941</v>
      </c>
      <c r="AF217" s="16" t="n">
        <v>0.03</v>
      </c>
      <c r="AG217" s="16" t="n">
        <v>0.664073049535931</v>
      </c>
      <c r="AH217" s="16" t="n">
        <v>9819.91719809611</v>
      </c>
      <c r="AI217" s="16" t="n">
        <v>20180.6645744977</v>
      </c>
      <c r="AJ217" s="16" t="n">
        <v>16.69175</v>
      </c>
      <c r="AK217" s="16" t="n">
        <v>0</v>
      </c>
      <c r="AL217" s="16" t="n">
        <v>-37200.0960732068</v>
      </c>
      <c r="AM217" s="16" t="n">
        <v>812.6073</v>
      </c>
      <c r="AN217" s="16" t="n">
        <v>20079.98904</v>
      </c>
      <c r="AO217" s="16" t="n">
        <v>-5508.72242389994</v>
      </c>
      <c r="AP217" s="16" t="n">
        <v>0.516474502037109</v>
      </c>
      <c r="AQ217" s="16" t="n">
        <v>2.02379079638786</v>
      </c>
      <c r="AR217" s="16" t="n">
        <v>327.195752</v>
      </c>
      <c r="AS217" s="16" t="n">
        <v>314.925245</v>
      </c>
      <c r="AT217" s="16" t="n">
        <v>-4956.48323642636</v>
      </c>
      <c r="AU217" s="16" t="n">
        <v>12.270507</v>
      </c>
      <c r="AV217" s="16" t="n">
        <v>0</v>
      </c>
      <c r="AW217" s="16" t="n">
        <v>2254.3125</v>
      </c>
      <c r="AX217" s="16" t="n">
        <v>314.925245</v>
      </c>
      <c r="AY217" s="16" t="n">
        <v>314.925245</v>
      </c>
      <c r="AZ217" s="16" t="n">
        <v>5568.83612056339</v>
      </c>
      <c r="BA217" s="16" t="n">
        <v>0</v>
      </c>
      <c r="BB217" s="16" t="n">
        <v>417.928966666667</v>
      </c>
      <c r="BC217" s="16" t="n">
        <v>111572.015532967</v>
      </c>
      <c r="BD217" s="16" t="n">
        <v>16.5523136016134</v>
      </c>
      <c r="BE217" s="16" t="n">
        <v>25.2096062235498</v>
      </c>
      <c r="BF217" s="16" t="n">
        <v>39.4374614323522</v>
      </c>
      <c r="BG217" s="16" t="n">
        <v>-8.27711430924607</v>
      </c>
      <c r="BH217" s="16" t="n">
        <v>-7.28866183200638</v>
      </c>
      <c r="BI217" s="16" t="n">
        <v>1.09242813813745</v>
      </c>
      <c r="BJ217" s="16" t="n">
        <v>2.04083187529388</v>
      </c>
      <c r="BK217" s="16" t="n">
        <v>5.25403316350504</v>
      </c>
      <c r="BL217" s="16" t="n">
        <v>7.88491984612206</v>
      </c>
      <c r="BM217" s="16" t="n">
        <v>3.71992671744367</v>
      </c>
      <c r="BN217" s="16" t="n">
        <v>4.46573109600205</v>
      </c>
      <c r="BO217" s="16" t="n">
        <v>6.42123287671233</v>
      </c>
      <c r="BP217" s="16" t="n">
        <v>8712.70308277889</v>
      </c>
      <c r="BQ217" s="16" t="n">
        <v>7473.09859446594</v>
      </c>
      <c r="BR217" s="16" t="n">
        <v>7473.09859446594</v>
      </c>
      <c r="BS217" s="16" t="n">
        <v>327.195752</v>
      </c>
      <c r="BT217" s="16" t="n">
        <v>301.7195</v>
      </c>
      <c r="BU217" s="16" t="n">
        <v>1081.9108</v>
      </c>
      <c r="BV217" s="16" t="s">
        <v>3238</v>
      </c>
      <c r="BW217" s="16" t="n">
        <v>42.7692307692308</v>
      </c>
      <c r="BX217" s="16" t="n">
        <v>0.155994305554286</v>
      </c>
      <c r="BY217" s="16" t="n">
        <v>0.161741466184191</v>
      </c>
      <c r="BZ217" s="16" t="n">
        <v>13510.8578038903</v>
      </c>
      <c r="CA217" s="16" t="n">
        <v>27107.0656988521</v>
      </c>
      <c r="CB217" s="16" t="n">
        <v>98.1216364538248</v>
      </c>
      <c r="CC217" s="16" t="n">
        <v>0</v>
      </c>
      <c r="CD217" s="16" t="n">
        <v>950.69728</v>
      </c>
      <c r="CE217" s="16" t="n">
        <v>12000</v>
      </c>
      <c r="CF217" s="16" t="n">
        <v>0</v>
      </c>
      <c r="CG217" s="16" t="n">
        <v>0</v>
      </c>
      <c r="CH217" s="16" t="n">
        <v>1931.14787912326</v>
      </c>
      <c r="CI217" s="16" t="n">
        <v>-6.2083733271085</v>
      </c>
      <c r="CJ217" s="16" t="n">
        <v>3.00594144553374</v>
      </c>
      <c r="CK217" s="16" t="n">
        <v>0</v>
      </c>
      <c r="CL217" s="16" t="n">
        <v>0</v>
      </c>
      <c r="CM217" s="16" t="n">
        <v>12.270507</v>
      </c>
      <c r="CN217" s="16" t="n">
        <v>-37200.0960732068</v>
      </c>
      <c r="CO217" s="16" t="n">
        <v>1.726171875</v>
      </c>
      <c r="CP217" s="16" t="n">
        <v>1.11722731906218</v>
      </c>
      <c r="CQ217" s="16" t="n">
        <v>0</v>
      </c>
      <c r="CR217" s="16" t="n">
        <v>2.28688359991828</v>
      </c>
      <c r="CS217" s="16" t="n">
        <v>2.2748266826879</v>
      </c>
      <c r="CT217" s="16" t="n">
        <v>0</v>
      </c>
      <c r="CU217" s="16" t="n">
        <v>0.0113</v>
      </c>
      <c r="CV217" s="16" t="n">
        <v>12.270507</v>
      </c>
      <c r="CW217" s="16" t="n">
        <v>37.1349976050118</v>
      </c>
      <c r="CX217" s="16" t="n">
        <v>49.4055046050118</v>
      </c>
      <c r="CY217" s="16" t="n">
        <v>263663.876519469</v>
      </c>
      <c r="CZ217" s="16" t="n">
        <v>14.0046927865564</v>
      </c>
      <c r="DA217" s="16" t="n">
        <v>0</v>
      </c>
      <c r="DB217" s="16" t="n">
        <v>16819.8361205634</v>
      </c>
      <c r="DC217" s="16" t="n">
        <v>12480.318401458</v>
      </c>
      <c r="DD217" s="16" t="n">
        <v>11251</v>
      </c>
      <c r="DE217" s="16" t="n">
        <v>0</v>
      </c>
      <c r="DF217" s="16" t="n">
        <v>263978.801764469</v>
      </c>
      <c r="DG217" s="16" t="n">
        <v>12.270507</v>
      </c>
      <c r="DH217" s="16" t="n">
        <v>0</v>
      </c>
      <c r="DI217" s="16" t="n">
        <v>2.2748266826879</v>
      </c>
    </row>
    <row r="218" customFormat="false" ht="15" hidden="false" customHeight="false" outlineLevel="0" collapsed="false">
      <c r="A218" s="0" t="s">
        <v>3433</v>
      </c>
      <c r="B218" s="16" t="n">
        <v>2465.07954157611</v>
      </c>
      <c r="C218" s="16" t="n">
        <v>7505.46533149617</v>
      </c>
      <c r="D218" s="16" t="n">
        <v>20180.6645744977</v>
      </c>
      <c r="E218" s="16" t="n">
        <v>3713.46369159839</v>
      </c>
      <c r="F218" s="16" t="n">
        <v>-1606.96308130411</v>
      </c>
      <c r="G218" s="16" t="n">
        <v>5020.20815964266</v>
      </c>
      <c r="H218" s="16" t="n">
        <v>7854.59013302158</v>
      </c>
      <c r="I218" s="17" t="n">
        <v>0.01</v>
      </c>
      <c r="J218" s="17" t="n">
        <v>2.28688359991828</v>
      </c>
      <c r="K218" s="16" t="s">
        <v>72</v>
      </c>
      <c r="L218" s="16" t="n">
        <v>-4956.48323642636</v>
      </c>
      <c r="M218" s="16" t="n">
        <v>33802.8714241299</v>
      </c>
      <c r="N218" s="16" t="n">
        <v>11755.2436196396</v>
      </c>
      <c r="O218" s="16" t="n">
        <v>-19023.84719661</v>
      </c>
      <c r="P218" s="16" t="n">
        <v>951.290832135856</v>
      </c>
      <c r="Q218" s="16" t="n">
        <v>61.4155828462308</v>
      </c>
      <c r="R218" s="16" t="n">
        <v>17617.7170533315</v>
      </c>
      <c r="S218" s="16" t="n">
        <v>26970.82024149</v>
      </c>
      <c r="T218" s="16" t="n">
        <v>-955.692204749296</v>
      </c>
      <c r="U218" s="16" t="n">
        <v>-1365.19207123687</v>
      </c>
      <c r="V218" s="16" t="n">
        <v>0.750319556751226</v>
      </c>
      <c r="W218" s="16" t="n">
        <v>53464.5708424573</v>
      </c>
      <c r="X218" s="16" t="n">
        <v>22173.3734272866</v>
      </c>
      <c r="Y218" s="16" t="n">
        <v>2.15131912600733</v>
      </c>
      <c r="Z218" s="16" t="n">
        <v>2.92012166873565</v>
      </c>
      <c r="AA218" s="16" t="n">
        <v>27.424347870838</v>
      </c>
      <c r="AB218" s="16" t="n">
        <v>25.224347870838</v>
      </c>
      <c r="AC218" s="16" t="n">
        <v>26.674347870838</v>
      </c>
      <c r="AD218" s="16" t="n">
        <v>30.2970483103083</v>
      </c>
      <c r="AE218" s="16" t="n">
        <v>674.686407680941</v>
      </c>
      <c r="AF218" s="16" t="n">
        <v>0.03</v>
      </c>
      <c r="AG218" s="16" t="n">
        <v>0.664073049535931</v>
      </c>
      <c r="AH218" s="16" t="n">
        <v>9819.91719809611</v>
      </c>
      <c r="AI218" s="16" t="n">
        <v>20180.6645744977</v>
      </c>
      <c r="AJ218" s="16" t="n">
        <v>16.69175</v>
      </c>
      <c r="AK218" s="16" t="n">
        <v>0</v>
      </c>
      <c r="AL218" s="16" t="n">
        <v>-37200.0960732068</v>
      </c>
      <c r="AM218" s="16" t="n">
        <v>812.6073</v>
      </c>
      <c r="AN218" s="16" t="n">
        <v>20079.98904</v>
      </c>
      <c r="AO218" s="16" t="n">
        <v>-5508.72242389994</v>
      </c>
      <c r="AP218" s="16" t="n">
        <v>0.516474502037109</v>
      </c>
      <c r="AQ218" s="16" t="n">
        <v>2.02379079638786</v>
      </c>
      <c r="AR218" s="16" t="n">
        <v>327.195752</v>
      </c>
      <c r="AS218" s="16" t="n">
        <v>314.925245</v>
      </c>
      <c r="AT218" s="16" t="n">
        <v>-4956.48323642636</v>
      </c>
      <c r="AU218" s="16" t="n">
        <v>12.270507</v>
      </c>
      <c r="AV218" s="16" t="n">
        <v>0</v>
      </c>
      <c r="AW218" s="16" t="n">
        <v>2254.3125</v>
      </c>
      <c r="AX218" s="16" t="n">
        <v>314.925245</v>
      </c>
      <c r="AY218" s="16" t="n">
        <v>314.925245</v>
      </c>
      <c r="AZ218" s="16" t="n">
        <v>5568.83612056339</v>
      </c>
      <c r="BA218" s="16" t="n">
        <v>0</v>
      </c>
      <c r="BB218" s="16" t="n">
        <v>417.928966666667</v>
      </c>
      <c r="BC218" s="16" t="n">
        <v>111572.015532967</v>
      </c>
      <c r="BD218" s="16" t="n">
        <v>16.5523136016134</v>
      </c>
      <c r="BE218" s="16" t="n">
        <v>25.2096062235498</v>
      </c>
      <c r="BF218" s="16" t="n">
        <v>39.4374614323522</v>
      </c>
      <c r="BG218" s="16" t="n">
        <v>-8.27711430924607</v>
      </c>
      <c r="BH218" s="16" t="n">
        <v>-7.28866183200638</v>
      </c>
      <c r="BI218" s="16" t="n">
        <v>1.09242813813745</v>
      </c>
      <c r="BJ218" s="16" t="n">
        <v>2.04083187529388</v>
      </c>
      <c r="BK218" s="16" t="n">
        <v>5.25403316350504</v>
      </c>
      <c r="BL218" s="16" t="n">
        <v>7.88491984612206</v>
      </c>
      <c r="BM218" s="16" t="n">
        <v>3.71992671744367</v>
      </c>
      <c r="BN218" s="16" t="n">
        <v>4.46573109600205</v>
      </c>
      <c r="BO218" s="16" t="n">
        <v>6.42123287671233</v>
      </c>
      <c r="BP218" s="16" t="n">
        <v>8712.70308277889</v>
      </c>
      <c r="BQ218" s="16" t="n">
        <v>7473.09859446594</v>
      </c>
      <c r="BR218" s="16" t="n">
        <v>7473.09859446594</v>
      </c>
      <c r="BS218" s="16" t="n">
        <v>327.195752</v>
      </c>
      <c r="BT218" s="16" t="n">
        <v>301.7195</v>
      </c>
      <c r="BU218" s="16" t="n">
        <v>1081.9108</v>
      </c>
      <c r="BV218" s="16" t="s">
        <v>3238</v>
      </c>
      <c r="BW218" s="16" t="n">
        <v>42.7692307692308</v>
      </c>
      <c r="BX218" s="16" t="n">
        <v>0.155994305554286</v>
      </c>
      <c r="BY218" s="16" t="n">
        <v>0.161741466184191</v>
      </c>
      <c r="BZ218" s="16" t="n">
        <v>13510.8578038903</v>
      </c>
      <c r="CA218" s="16" t="n">
        <v>27107.0656988521</v>
      </c>
      <c r="CB218" s="16" t="n">
        <v>98.1216364538248</v>
      </c>
      <c r="CC218" s="16" t="n">
        <v>0</v>
      </c>
      <c r="CD218" s="16" t="n">
        <v>950.69728</v>
      </c>
      <c r="CE218" s="16" t="n">
        <v>12000</v>
      </c>
      <c r="CF218" s="16" t="n">
        <v>0</v>
      </c>
      <c r="CG218" s="16" t="n">
        <v>0</v>
      </c>
      <c r="CH218" s="16" t="n">
        <v>1931.14787912326</v>
      </c>
      <c r="CI218" s="16" t="n">
        <v>-6.2083733271085</v>
      </c>
      <c r="CJ218" s="16" t="n">
        <v>3.00594144553374</v>
      </c>
      <c r="CK218" s="16" t="n">
        <v>0</v>
      </c>
      <c r="CL218" s="16" t="n">
        <v>0</v>
      </c>
      <c r="CM218" s="16" t="n">
        <v>12.270507</v>
      </c>
      <c r="CN218" s="16" t="n">
        <v>-37200.0960732068</v>
      </c>
      <c r="CO218" s="16" t="n">
        <v>1.726171875</v>
      </c>
      <c r="CP218" s="16" t="n">
        <v>1.11722731906218</v>
      </c>
      <c r="CQ218" s="16" t="n">
        <v>0</v>
      </c>
      <c r="CR218" s="16" t="n">
        <v>2.28688359991828</v>
      </c>
      <c r="CS218" s="16" t="n">
        <v>2.2748266826879</v>
      </c>
      <c r="CT218" s="16" t="n">
        <v>0</v>
      </c>
      <c r="CU218" s="16" t="n">
        <v>0.0113</v>
      </c>
      <c r="CV218" s="16" t="n">
        <v>12.270507</v>
      </c>
      <c r="CW218" s="16" t="n">
        <v>37.1349976050118</v>
      </c>
      <c r="CX218" s="16" t="n">
        <v>49.4055046050118</v>
      </c>
      <c r="CY218" s="16" t="n">
        <v>263663.876519469</v>
      </c>
      <c r="CZ218" s="16" t="n">
        <v>14.0046927865564</v>
      </c>
      <c r="DA218" s="16" t="n">
        <v>0</v>
      </c>
      <c r="DB218" s="16" t="n">
        <v>16819.8361205634</v>
      </c>
      <c r="DC218" s="16" t="n">
        <v>12480.318401458</v>
      </c>
      <c r="DD218" s="16" t="n">
        <v>11251</v>
      </c>
      <c r="DE218" s="16" t="n">
        <v>0</v>
      </c>
      <c r="DF218" s="16" t="n">
        <v>263978.801764469</v>
      </c>
      <c r="DG218" s="16" t="n">
        <v>12.270507</v>
      </c>
      <c r="DH218" s="16" t="n">
        <v>0</v>
      </c>
      <c r="DI218" s="16" t="n">
        <v>2.2748266826879</v>
      </c>
    </row>
    <row r="219" customFormat="false" ht="15" hidden="false" customHeight="false" outlineLevel="0" collapsed="false">
      <c r="A219" s="0" t="s">
        <v>3434</v>
      </c>
      <c r="B219" s="16" t="n">
        <v>2465.07954157611</v>
      </c>
      <c r="C219" s="16" t="n">
        <v>7505.46533149617</v>
      </c>
      <c r="D219" s="16" t="n">
        <v>20180.6645744977</v>
      </c>
      <c r="E219" s="16" t="n">
        <v>3713.46369159839</v>
      </c>
      <c r="F219" s="16" t="n">
        <v>-1606.33808130411</v>
      </c>
      <c r="G219" s="16" t="n">
        <v>5019.58315964266</v>
      </c>
      <c r="H219" s="16" t="n">
        <v>7955.2706472915</v>
      </c>
      <c r="I219" s="17" t="n">
        <v>0.01</v>
      </c>
      <c r="J219" s="17" t="n">
        <v>2.63459282422693</v>
      </c>
      <c r="K219" s="16" t="s">
        <v>72</v>
      </c>
      <c r="L219" s="16" t="n">
        <v>-4918.87386142636</v>
      </c>
      <c r="M219" s="16" t="n">
        <v>33765.3714241299</v>
      </c>
      <c r="N219" s="16" t="n">
        <v>11755.2436196396</v>
      </c>
      <c r="O219" s="16" t="n">
        <v>-18973.73782161</v>
      </c>
      <c r="P219" s="16" t="n">
        <v>951.290832135856</v>
      </c>
      <c r="Q219" s="16" t="n">
        <v>68.9155828462317</v>
      </c>
      <c r="R219" s="16" t="n">
        <v>17617.7170533315</v>
      </c>
      <c r="S219" s="16" t="n">
        <v>26958.32024149</v>
      </c>
      <c r="T219" s="16" t="n">
        <v>-955.692204749296</v>
      </c>
      <c r="U219" s="16" t="n">
        <v>-1264.51155696695</v>
      </c>
      <c r="V219" s="16" t="n">
        <v>0.750319556751226</v>
      </c>
      <c r="W219" s="16" t="n">
        <v>53525.9384967457</v>
      </c>
      <c r="X219" s="16" t="n">
        <v>22163.0734272866</v>
      </c>
      <c r="Y219" s="16" t="n">
        <v>2.47841644944395</v>
      </c>
      <c r="Z219" s="16" t="n">
        <v>3.36411157725536</v>
      </c>
      <c r="AA219" s="16" t="n">
        <v>27.424347870838</v>
      </c>
      <c r="AB219" s="16" t="n">
        <v>25.224347870838</v>
      </c>
      <c r="AC219" s="16" t="n">
        <v>26.674347870838</v>
      </c>
      <c r="AD219" s="16" t="n">
        <v>30.2970483103083</v>
      </c>
      <c r="AE219" s="16" t="n">
        <v>674.686407680941</v>
      </c>
      <c r="AF219" s="16" t="n">
        <v>0.03</v>
      </c>
      <c r="AG219" s="16" t="n">
        <v>0.664073049535931</v>
      </c>
      <c r="AH219" s="16" t="n">
        <v>9819.91719809611</v>
      </c>
      <c r="AI219" s="16" t="n">
        <v>20180.6645744977</v>
      </c>
      <c r="AJ219" s="16" t="n">
        <v>16.69175</v>
      </c>
      <c r="AK219" s="16" t="n">
        <v>0</v>
      </c>
      <c r="AL219" s="16" t="n">
        <v>-37151.5123439537</v>
      </c>
      <c r="AM219" s="16" t="n">
        <v>812.6073</v>
      </c>
      <c r="AN219" s="16" t="n">
        <v>20079.98904</v>
      </c>
      <c r="AO219" s="16" t="n">
        <v>-5508.72242389994</v>
      </c>
      <c r="AP219" s="16" t="n">
        <v>0.516474502037109</v>
      </c>
      <c r="AQ219" s="16" t="n">
        <v>2.3314980745371</v>
      </c>
      <c r="AR219" s="16" t="n">
        <v>327.195752</v>
      </c>
      <c r="AS219" s="16" t="n">
        <v>314.925245</v>
      </c>
      <c r="AT219" s="16" t="n">
        <v>-4918.87386142636</v>
      </c>
      <c r="AU219" s="16" t="n">
        <v>12.270507</v>
      </c>
      <c r="AV219" s="16" t="n">
        <v>0</v>
      </c>
      <c r="AW219" s="16" t="n">
        <v>2254.3125</v>
      </c>
      <c r="AX219" s="16" t="n">
        <v>314.925245</v>
      </c>
      <c r="AY219" s="16" t="n">
        <v>314.925245</v>
      </c>
      <c r="AZ219" s="16" t="n">
        <v>5675.50278723006</v>
      </c>
      <c r="BA219" s="16" t="n">
        <v>0</v>
      </c>
      <c r="BB219" s="16" t="n">
        <v>417.928966666667</v>
      </c>
      <c r="BC219" s="16" t="n">
        <v>111522.015532967</v>
      </c>
      <c r="BD219" s="16" t="n">
        <v>16.8910183207815</v>
      </c>
      <c r="BE219" s="16" t="n">
        <v>25.5483109427179</v>
      </c>
      <c r="BF219" s="16" t="n">
        <v>39.7761661515203</v>
      </c>
      <c r="BG219" s="16" t="n">
        <v>-8.27711430924607</v>
      </c>
      <c r="BH219" s="16" t="n">
        <v>-7.28866183200638</v>
      </c>
      <c r="BI219" s="16" t="n">
        <v>1.09242813813745</v>
      </c>
      <c r="BJ219" s="16" t="n">
        <v>2.04083187529388</v>
      </c>
      <c r="BK219" s="16" t="n">
        <v>5.25403316350504</v>
      </c>
      <c r="BL219" s="16" t="n">
        <v>7.88491984612206</v>
      </c>
      <c r="BM219" s="16" t="n">
        <v>3.71992671744367</v>
      </c>
      <c r="BN219" s="16" t="n">
        <v>4.46573109600205</v>
      </c>
      <c r="BO219" s="16" t="n">
        <v>6.42123287671233</v>
      </c>
      <c r="BP219" s="16" t="n">
        <v>8712.70308277889</v>
      </c>
      <c r="BQ219" s="16" t="n">
        <v>7473.09859446594</v>
      </c>
      <c r="BR219" s="16" t="n">
        <v>7473.09859446594</v>
      </c>
      <c r="BS219" s="16" t="n">
        <v>327.195752</v>
      </c>
      <c r="BT219" s="16" t="n">
        <v>301.7195</v>
      </c>
      <c r="BU219" s="16" t="n">
        <v>1081.9108</v>
      </c>
      <c r="BV219" s="16" t="s">
        <v>3238</v>
      </c>
      <c r="BW219" s="16" t="n">
        <v>42.7692307692308</v>
      </c>
      <c r="BX219" s="16" t="n">
        <v>0.155994305554286</v>
      </c>
      <c r="BY219" s="16" t="n">
        <v>0.161741466184191</v>
      </c>
      <c r="BZ219" s="16" t="n">
        <v>13510.8578038903</v>
      </c>
      <c r="CA219" s="16" t="n">
        <v>27107.0656988521</v>
      </c>
      <c r="CB219" s="16" t="n">
        <v>98.0118139670941</v>
      </c>
      <c r="CC219" s="16" t="n">
        <v>0</v>
      </c>
      <c r="CD219" s="16" t="n">
        <v>950.69728</v>
      </c>
      <c r="CE219" s="16" t="n">
        <v>12000</v>
      </c>
      <c r="CF219" s="16" t="n">
        <v>0</v>
      </c>
      <c r="CG219" s="16" t="n">
        <v>0</v>
      </c>
      <c r="CH219" s="16" t="n">
        <v>1931.14787912326</v>
      </c>
      <c r="CI219" s="16" t="n">
        <v>-6.2083733271085</v>
      </c>
      <c r="CJ219" s="16" t="n">
        <v>3.00594144553374</v>
      </c>
      <c r="CK219" s="16" t="n">
        <v>0</v>
      </c>
      <c r="CL219" s="16" t="n">
        <v>0</v>
      </c>
      <c r="CM219" s="16" t="n">
        <v>12.270507</v>
      </c>
      <c r="CN219" s="16" t="n">
        <v>-37151.5123439537</v>
      </c>
      <c r="CO219" s="16" t="n">
        <v>1.726171875</v>
      </c>
      <c r="CP219" s="16" t="n">
        <v>1.09004417261298</v>
      </c>
      <c r="CQ219" s="16" t="n">
        <v>0</v>
      </c>
      <c r="CR219" s="16" t="n">
        <v>2.63459282422693</v>
      </c>
      <c r="CS219" s="16" t="n">
        <v>2.62072538586844</v>
      </c>
      <c r="CT219" s="16" t="n">
        <v>0</v>
      </c>
      <c r="CU219" s="16" t="n">
        <v>0.0113</v>
      </c>
      <c r="CV219" s="16" t="n">
        <v>12.270507</v>
      </c>
      <c r="CW219" s="16" t="n">
        <v>37.1349976050118</v>
      </c>
      <c r="CX219" s="16" t="n">
        <v>49.4055046050118</v>
      </c>
      <c r="CY219" s="16" t="n">
        <v>263663.876519469</v>
      </c>
      <c r="CZ219" s="16" t="n">
        <v>14.001847088697</v>
      </c>
      <c r="DA219" s="16" t="n">
        <v>0</v>
      </c>
      <c r="DB219" s="16" t="n">
        <v>16819.8361205634</v>
      </c>
      <c r="DC219" s="16" t="n">
        <v>12480.318401458</v>
      </c>
      <c r="DD219" s="16" t="n">
        <v>11144.3333333333</v>
      </c>
      <c r="DE219" s="16" t="n">
        <v>0</v>
      </c>
      <c r="DF219" s="16" t="n">
        <v>263978.801764469</v>
      </c>
      <c r="DG219" s="16" t="n">
        <v>12.270507</v>
      </c>
      <c r="DH219" s="16" t="n">
        <v>0</v>
      </c>
      <c r="DI219" s="16" t="n">
        <v>2.62072538586844</v>
      </c>
    </row>
    <row r="220" customFormat="false" ht="15" hidden="false" customHeight="false" outlineLevel="0" collapsed="false">
      <c r="A220" s="0" t="s">
        <v>3435</v>
      </c>
      <c r="B220" s="16" t="n">
        <v>2465.07954157611</v>
      </c>
      <c r="C220" s="16" t="n">
        <v>7496.61462837117</v>
      </c>
      <c r="D220" s="16" t="n">
        <v>19644.3262151227</v>
      </c>
      <c r="E220" s="16" t="n">
        <v>3707.17969237964</v>
      </c>
      <c r="F220" s="16" t="n">
        <v>-1612.26101130411</v>
      </c>
      <c r="G220" s="16" t="n">
        <v>5019.57611854891</v>
      </c>
      <c r="H220" s="16" t="n">
        <v>-6467.81306851104</v>
      </c>
      <c r="I220" s="17" t="n">
        <v>0.01</v>
      </c>
      <c r="J220" s="17" t="n">
        <v>0</v>
      </c>
      <c r="K220" s="16" t="s">
        <v>72</v>
      </c>
      <c r="L220" s="16" t="n">
        <v>-4924.99501678378</v>
      </c>
      <c r="M220" s="16" t="n">
        <v>33765.1944100674</v>
      </c>
      <c r="N220" s="16" t="n">
        <v>11347.6264665146</v>
      </c>
      <c r="O220" s="16" t="n">
        <v>-19376.749362905</v>
      </c>
      <c r="P220" s="16" t="n">
        <v>951.290832135856</v>
      </c>
      <c r="Q220" s="16" t="n">
        <v>-316.676561450643</v>
      </c>
      <c r="R220" s="16" t="n">
        <v>17617.7170533315</v>
      </c>
      <c r="S220" s="16" t="n">
        <v>26947.5934743025</v>
      </c>
      <c r="T220" s="16" t="n">
        <v>-955.692204749296</v>
      </c>
      <c r="U220" s="16" t="n">
        <v>-15687.5952727695</v>
      </c>
      <c r="V220" s="16" t="n">
        <v>0.750319556751226</v>
      </c>
      <c r="W220" s="16" t="n">
        <v>41087.6312130737</v>
      </c>
      <c r="X220" s="16" t="n">
        <v>22146.2416811813</v>
      </c>
      <c r="Y220" s="16" t="n">
        <v>0</v>
      </c>
      <c r="Z220" s="16" t="n">
        <v>0</v>
      </c>
      <c r="AA220" s="16" t="n">
        <v>27.424347870838</v>
      </c>
      <c r="AB220" s="16" t="n">
        <v>25.224347870838</v>
      </c>
      <c r="AC220" s="16" t="n">
        <v>26.674347870838</v>
      </c>
      <c r="AD220" s="16" t="n">
        <v>27.2673434792775</v>
      </c>
      <c r="AE220" s="16" t="n">
        <v>674.686407680941</v>
      </c>
      <c r="AF220" s="16" t="n">
        <v>0.03</v>
      </c>
      <c r="AG220" s="16" t="n">
        <v>0.654405917289144</v>
      </c>
      <c r="AH220" s="16" t="n">
        <v>9819.91719809611</v>
      </c>
      <c r="AI220" s="16" t="n">
        <v>19644.3262151227</v>
      </c>
      <c r="AJ220" s="16" t="n">
        <v>16.69175</v>
      </c>
      <c r="AK220" s="16" t="n">
        <v>0</v>
      </c>
      <c r="AL220" s="16" t="n">
        <v>-38285.9729772628</v>
      </c>
      <c r="AM220" s="16" t="n">
        <v>812.6073</v>
      </c>
      <c r="AN220" s="16" t="n">
        <v>20079.98904</v>
      </c>
      <c r="AO220" s="16" t="n">
        <v>-5508.72242389994</v>
      </c>
      <c r="AP220" s="16" t="n">
        <v>0.52915910882411</v>
      </c>
      <c r="AQ220" s="16" t="n">
        <v>0</v>
      </c>
      <c r="AR220" s="16" t="n">
        <v>327.195752</v>
      </c>
      <c r="AS220" s="16" t="n">
        <v>314.925245</v>
      </c>
      <c r="AT220" s="16" t="n">
        <v>-4924.99501678378</v>
      </c>
      <c r="AU220" s="16" t="n">
        <v>12.270507</v>
      </c>
      <c r="AV220" s="16" t="n">
        <v>0</v>
      </c>
      <c r="AW220" s="16" t="n">
        <v>2254.3125</v>
      </c>
      <c r="AX220" s="16" t="n">
        <v>314.925245</v>
      </c>
      <c r="AY220" s="16" t="n">
        <v>314.925245</v>
      </c>
      <c r="AZ220" s="16" t="n">
        <v>5523.34717982985</v>
      </c>
      <c r="BA220" s="16" t="n">
        <v>0</v>
      </c>
      <c r="BB220" s="16" t="n">
        <v>417.928966666667</v>
      </c>
      <c r="BC220" s="16" t="n">
        <v>111426.205255978</v>
      </c>
      <c r="BD220" s="16" t="n">
        <v>16.4078699869596</v>
      </c>
      <c r="BE220" s="16" t="n">
        <v>25.065162608896</v>
      </c>
      <c r="BF220" s="16" t="n">
        <v>39.2930178176984</v>
      </c>
      <c r="BG220" s="16" t="n">
        <v>-8.27711430924607</v>
      </c>
      <c r="BH220" s="16" t="n">
        <v>-7.28866183200638</v>
      </c>
      <c r="BI220" s="16" t="n">
        <v>1.09242813813745</v>
      </c>
      <c r="BJ220" s="16" t="n">
        <v>2.04083187529388</v>
      </c>
      <c r="BK220" s="16" t="n">
        <v>5.25403316350504</v>
      </c>
      <c r="BL220" s="16" t="n">
        <v>7.88491984612206</v>
      </c>
      <c r="BM220" s="16" t="n">
        <v>3.71992671744367</v>
      </c>
      <c r="BN220" s="16" t="n">
        <v>4.46573109600205</v>
      </c>
      <c r="BO220" s="16" t="n">
        <v>5.7791095890411</v>
      </c>
      <c r="BP220" s="16" t="n">
        <v>8712.70308277889</v>
      </c>
      <c r="BQ220" s="16" t="n">
        <v>7464.24789134094</v>
      </c>
      <c r="BR220" s="16" t="n">
        <v>7464.24789134094</v>
      </c>
      <c r="BS220" s="16" t="n">
        <v>327.195752</v>
      </c>
      <c r="BT220" s="16" t="n">
        <v>301.7195</v>
      </c>
      <c r="BU220" s="16" t="n">
        <v>1081.9108</v>
      </c>
      <c r="BV220" s="16" t="s">
        <v>3237</v>
      </c>
      <c r="BW220" s="16" t="n">
        <v>42.7692307692308</v>
      </c>
      <c r="BX220" s="16" t="n">
        <v>0.155994305554286</v>
      </c>
      <c r="BY220" s="16" t="n">
        <v>0.161741466184191</v>
      </c>
      <c r="BZ220" s="16" t="n">
        <v>13510.8578038903</v>
      </c>
      <c r="CA220" s="16" t="n">
        <v>27107.0656988521</v>
      </c>
      <c r="CB220" s="16" t="n">
        <v>100.462750728378</v>
      </c>
      <c r="CC220" s="16" t="n">
        <v>0</v>
      </c>
      <c r="CD220" s="16" t="n">
        <v>950.69728</v>
      </c>
      <c r="CE220" s="16" t="n">
        <v>12000</v>
      </c>
      <c r="CF220" s="16" t="n">
        <v>0</v>
      </c>
      <c r="CG220" s="16" t="n">
        <v>0</v>
      </c>
      <c r="CH220" s="16" t="n">
        <v>1931.14787912326</v>
      </c>
      <c r="CI220" s="16" t="n">
        <v>-6.2083733271085</v>
      </c>
      <c r="CJ220" s="16" t="n">
        <v>3.00594144553374</v>
      </c>
      <c r="CK220" s="16" t="n">
        <v>0</v>
      </c>
      <c r="CL220" s="16" t="n">
        <v>0</v>
      </c>
      <c r="CM220" s="16" t="n">
        <v>12.270507</v>
      </c>
      <c r="CN220" s="16" t="n">
        <v>-38285.9729772628</v>
      </c>
      <c r="CO220" s="16" t="n">
        <v>1.5535546875</v>
      </c>
      <c r="CP220" s="16" t="n">
        <v>1.09004417261298</v>
      </c>
      <c r="CQ220" s="16" t="n">
        <v>0</v>
      </c>
      <c r="CR220" s="16" t="n">
        <v>0</v>
      </c>
      <c r="CS220" s="16" t="n">
        <v>0</v>
      </c>
      <c r="CT220" s="16" t="n">
        <v>0</v>
      </c>
      <c r="CU220" s="16" t="n">
        <v>0.0113</v>
      </c>
      <c r="CV220" s="16" t="n">
        <v>12.270507</v>
      </c>
      <c r="CW220" s="16" t="n">
        <v>37.1349976050118</v>
      </c>
      <c r="CX220" s="16" t="n">
        <v>49.4055046050118</v>
      </c>
      <c r="CY220" s="16" t="n">
        <v>263663.876519469</v>
      </c>
      <c r="CZ220" s="16" t="n">
        <v>14.0233433393425</v>
      </c>
      <c r="DA220" s="16" t="n">
        <v>0</v>
      </c>
      <c r="DB220" s="16" t="n">
        <v>16667.6805131632</v>
      </c>
      <c r="DC220" s="16" t="n">
        <v>12367.4189407671</v>
      </c>
      <c r="DD220" s="16" t="n">
        <v>11144.3333333333</v>
      </c>
      <c r="DE220" s="16" t="n">
        <v>0</v>
      </c>
      <c r="DF220" s="16" t="n">
        <v>263978.801764469</v>
      </c>
      <c r="DG220" s="16" t="n">
        <v>12.270507</v>
      </c>
      <c r="DH220" s="16" t="n">
        <v>0</v>
      </c>
      <c r="DI220" s="16" t="n">
        <v>0.0113</v>
      </c>
    </row>
    <row r="221" customFormat="false" ht="15" hidden="false" customHeight="false" outlineLevel="0" collapsed="false">
      <c r="A221" s="0" t="s">
        <v>3436</v>
      </c>
      <c r="B221" s="16" t="n">
        <v>2465.07954157611</v>
      </c>
      <c r="C221" s="16" t="n">
        <v>7496.61462837117</v>
      </c>
      <c r="D221" s="16" t="n">
        <v>19644.3262151227</v>
      </c>
      <c r="E221" s="16" t="n">
        <v>3707.17969237964</v>
      </c>
      <c r="F221" s="16" t="n">
        <v>-1612.26101130411</v>
      </c>
      <c r="G221" s="16" t="n">
        <v>5019.57611854891</v>
      </c>
      <c r="H221" s="16" t="n">
        <v>-6467.81306851104</v>
      </c>
      <c r="I221" s="17" t="n">
        <v>0.01</v>
      </c>
      <c r="J221" s="17" t="n">
        <v>0</v>
      </c>
      <c r="K221" s="16" t="s">
        <v>72</v>
      </c>
      <c r="L221" s="16" t="n">
        <v>-4924.99501678378</v>
      </c>
      <c r="M221" s="16" t="n">
        <v>33765.1944100674</v>
      </c>
      <c r="N221" s="16" t="n">
        <v>11347.6264665146</v>
      </c>
      <c r="O221" s="16" t="n">
        <v>-19376.749362905</v>
      </c>
      <c r="P221" s="16" t="n">
        <v>951.290832135856</v>
      </c>
      <c r="Q221" s="16" t="n">
        <v>-316.676561450643</v>
      </c>
      <c r="R221" s="16" t="n">
        <v>17617.7170533315</v>
      </c>
      <c r="S221" s="16" t="n">
        <v>26947.5934743025</v>
      </c>
      <c r="T221" s="16" t="n">
        <v>-955.692204749296</v>
      </c>
      <c r="U221" s="16" t="n">
        <v>-15687.5952727695</v>
      </c>
      <c r="V221" s="16" t="n">
        <v>0.750319556751226</v>
      </c>
      <c r="W221" s="16" t="n">
        <v>41087.6312130737</v>
      </c>
      <c r="X221" s="16" t="n">
        <v>22146.2416811813</v>
      </c>
      <c r="Y221" s="16" t="n">
        <v>0</v>
      </c>
      <c r="Z221" s="16" t="n">
        <v>0</v>
      </c>
      <c r="AA221" s="16" t="n">
        <v>27.424347870838</v>
      </c>
      <c r="AB221" s="16" t="n">
        <v>25.224347870838</v>
      </c>
      <c r="AC221" s="16" t="n">
        <v>26.674347870838</v>
      </c>
      <c r="AD221" s="16" t="n">
        <v>27.2673434792775</v>
      </c>
      <c r="AE221" s="16" t="n">
        <v>674.686407680941</v>
      </c>
      <c r="AF221" s="16" t="n">
        <v>0.03</v>
      </c>
      <c r="AG221" s="16" t="n">
        <v>0.654405917289144</v>
      </c>
      <c r="AH221" s="16" t="n">
        <v>9819.91719809611</v>
      </c>
      <c r="AI221" s="16" t="n">
        <v>19644.3262151227</v>
      </c>
      <c r="AJ221" s="16" t="n">
        <v>16.69175</v>
      </c>
      <c r="AK221" s="16" t="n">
        <v>0</v>
      </c>
      <c r="AL221" s="16" t="n">
        <v>-38285.9729772628</v>
      </c>
      <c r="AM221" s="16" t="n">
        <v>812.6073</v>
      </c>
      <c r="AN221" s="16" t="n">
        <v>20079.98904</v>
      </c>
      <c r="AO221" s="16" t="n">
        <v>-5508.72242389994</v>
      </c>
      <c r="AP221" s="16" t="n">
        <v>0.52915910882411</v>
      </c>
      <c r="AQ221" s="16" t="n">
        <v>0</v>
      </c>
      <c r="AR221" s="16" t="n">
        <v>327.195752</v>
      </c>
      <c r="AS221" s="16" t="n">
        <v>314.925245</v>
      </c>
      <c r="AT221" s="16" t="n">
        <v>-4924.99501678378</v>
      </c>
      <c r="AU221" s="16" t="n">
        <v>12.270507</v>
      </c>
      <c r="AV221" s="16" t="n">
        <v>0</v>
      </c>
      <c r="AW221" s="16" t="n">
        <v>2254.3125</v>
      </c>
      <c r="AX221" s="16" t="n">
        <v>314.925245</v>
      </c>
      <c r="AY221" s="16" t="n">
        <v>314.925245</v>
      </c>
      <c r="AZ221" s="16" t="n">
        <v>5523.34717982985</v>
      </c>
      <c r="BA221" s="16" t="n">
        <v>0</v>
      </c>
      <c r="BB221" s="16" t="n">
        <v>417.928966666667</v>
      </c>
      <c r="BC221" s="16" t="n">
        <v>111426.205255978</v>
      </c>
      <c r="BD221" s="16" t="n">
        <v>16.4078699869596</v>
      </c>
      <c r="BE221" s="16" t="n">
        <v>25.065162608896</v>
      </c>
      <c r="BF221" s="16" t="n">
        <v>39.2930178176984</v>
      </c>
      <c r="BG221" s="16" t="n">
        <v>-8.27711430924607</v>
      </c>
      <c r="BH221" s="16" t="n">
        <v>-7.28866183200638</v>
      </c>
      <c r="BI221" s="16" t="n">
        <v>1.09242813813745</v>
      </c>
      <c r="BJ221" s="16" t="n">
        <v>2.04083187529388</v>
      </c>
      <c r="BK221" s="16" t="n">
        <v>5.25403316350504</v>
      </c>
      <c r="BL221" s="16" t="n">
        <v>7.88491984612206</v>
      </c>
      <c r="BM221" s="16" t="n">
        <v>3.71992671744367</v>
      </c>
      <c r="BN221" s="16" t="n">
        <v>4.46573109600205</v>
      </c>
      <c r="BO221" s="16" t="n">
        <v>5.7791095890411</v>
      </c>
      <c r="BP221" s="16" t="n">
        <v>8712.70308277889</v>
      </c>
      <c r="BQ221" s="16" t="n">
        <v>7464.24789134094</v>
      </c>
      <c r="BR221" s="16" t="n">
        <v>7464.24789134094</v>
      </c>
      <c r="BS221" s="16" t="n">
        <v>327.195752</v>
      </c>
      <c r="BT221" s="16" t="n">
        <v>301.7195</v>
      </c>
      <c r="BU221" s="16" t="n">
        <v>1081.9108</v>
      </c>
      <c r="BV221" s="16" t="s">
        <v>3237</v>
      </c>
      <c r="BW221" s="16" t="n">
        <v>42.7692307692308</v>
      </c>
      <c r="BX221" s="16" t="n">
        <v>0.155994305554286</v>
      </c>
      <c r="BY221" s="16" t="n">
        <v>0.161741466184191</v>
      </c>
      <c r="BZ221" s="16" t="n">
        <v>13510.8578038903</v>
      </c>
      <c r="CA221" s="16" t="n">
        <v>27107.0656988521</v>
      </c>
      <c r="CB221" s="16" t="n">
        <v>100.462750728378</v>
      </c>
      <c r="CC221" s="16" t="n">
        <v>0</v>
      </c>
      <c r="CD221" s="16" t="n">
        <v>950.69728</v>
      </c>
      <c r="CE221" s="16" t="n">
        <v>12000</v>
      </c>
      <c r="CF221" s="16" t="n">
        <v>0</v>
      </c>
      <c r="CG221" s="16" t="n">
        <v>0</v>
      </c>
      <c r="CH221" s="16" t="n">
        <v>1931.14787912326</v>
      </c>
      <c r="CI221" s="16" t="n">
        <v>-6.2083733271085</v>
      </c>
      <c r="CJ221" s="16" t="n">
        <v>3.00594144553374</v>
      </c>
      <c r="CK221" s="16" t="n">
        <v>0</v>
      </c>
      <c r="CL221" s="16" t="n">
        <v>0</v>
      </c>
      <c r="CM221" s="16" t="n">
        <v>12.270507</v>
      </c>
      <c r="CN221" s="16" t="n">
        <v>-38285.9729772628</v>
      </c>
      <c r="CO221" s="16" t="n">
        <v>1.5535546875</v>
      </c>
      <c r="CP221" s="16" t="n">
        <v>1.09004417261298</v>
      </c>
      <c r="CQ221" s="16" t="n">
        <v>0</v>
      </c>
      <c r="CR221" s="16" t="n">
        <v>0</v>
      </c>
      <c r="CS221" s="16" t="n">
        <v>0</v>
      </c>
      <c r="CT221" s="16" t="n">
        <v>0</v>
      </c>
      <c r="CU221" s="16" t="n">
        <v>0.0113</v>
      </c>
      <c r="CV221" s="16" t="n">
        <v>12.270507</v>
      </c>
      <c r="CW221" s="16" t="n">
        <v>37.1349976050118</v>
      </c>
      <c r="CX221" s="16" t="n">
        <v>49.4055046050118</v>
      </c>
      <c r="CY221" s="16" t="n">
        <v>263663.876519469</v>
      </c>
      <c r="CZ221" s="16" t="n">
        <v>14.0233433393425</v>
      </c>
      <c r="DA221" s="16" t="n">
        <v>0</v>
      </c>
      <c r="DB221" s="16" t="n">
        <v>16667.6805131632</v>
      </c>
      <c r="DC221" s="16" t="n">
        <v>12367.4189407671</v>
      </c>
      <c r="DD221" s="16" t="n">
        <v>11144.3333333333</v>
      </c>
      <c r="DE221" s="16" t="n">
        <v>0</v>
      </c>
      <c r="DF221" s="16" t="n">
        <v>263978.801764469</v>
      </c>
      <c r="DG221" s="16" t="n">
        <v>12.270507</v>
      </c>
      <c r="DH221" s="16" t="n">
        <v>0</v>
      </c>
      <c r="DI221" s="16" t="n">
        <v>0.0113</v>
      </c>
    </row>
    <row r="222" customFormat="false" ht="15" hidden="false" customHeight="false" outlineLevel="0" collapsed="false">
      <c r="A222" s="0" t="s">
        <v>3437</v>
      </c>
      <c r="B222" s="16" t="n">
        <v>2465.07954157611</v>
      </c>
      <c r="C222" s="16" t="n">
        <v>7496.61462837117</v>
      </c>
      <c r="D222" s="16" t="n">
        <v>19644.3262151227</v>
      </c>
      <c r="E222" s="16" t="n">
        <v>3707.17969237964</v>
      </c>
      <c r="F222" s="16" t="n">
        <v>-1612.26101130411</v>
      </c>
      <c r="G222" s="16" t="n">
        <v>5019.57611854891</v>
      </c>
      <c r="H222" s="16" t="n">
        <v>-6467.81306851104</v>
      </c>
      <c r="I222" s="17" t="n">
        <v>0.01</v>
      </c>
      <c r="J222" s="17" t="n">
        <v>0</v>
      </c>
      <c r="K222" s="16" t="s">
        <v>72</v>
      </c>
      <c r="L222" s="16" t="n">
        <v>-4924.99501678378</v>
      </c>
      <c r="M222" s="16" t="n">
        <v>33765.1944100674</v>
      </c>
      <c r="N222" s="16" t="n">
        <v>11347.6264665146</v>
      </c>
      <c r="O222" s="16" t="n">
        <v>-19376.749362905</v>
      </c>
      <c r="P222" s="16" t="n">
        <v>951.290832135856</v>
      </c>
      <c r="Q222" s="16" t="n">
        <v>-316.676561450643</v>
      </c>
      <c r="R222" s="16" t="n">
        <v>17617.7170533315</v>
      </c>
      <c r="S222" s="16" t="n">
        <v>26947.5934743025</v>
      </c>
      <c r="T222" s="16" t="n">
        <v>-955.692204749296</v>
      </c>
      <c r="U222" s="16" t="n">
        <v>-15687.5952727695</v>
      </c>
      <c r="V222" s="16" t="n">
        <v>0.750319556751226</v>
      </c>
      <c r="W222" s="16" t="n">
        <v>41087.6312130737</v>
      </c>
      <c r="X222" s="16" t="n">
        <v>22146.2416811813</v>
      </c>
      <c r="Y222" s="16" t="n">
        <v>0</v>
      </c>
      <c r="Z222" s="16" t="n">
        <v>0</v>
      </c>
      <c r="AA222" s="16" t="n">
        <v>27.424347870838</v>
      </c>
      <c r="AB222" s="16" t="n">
        <v>25.224347870838</v>
      </c>
      <c r="AC222" s="16" t="n">
        <v>26.674347870838</v>
      </c>
      <c r="AD222" s="16" t="n">
        <v>27.2673434792775</v>
      </c>
      <c r="AE222" s="16" t="n">
        <v>674.686407680941</v>
      </c>
      <c r="AF222" s="16" t="n">
        <v>0.03</v>
      </c>
      <c r="AG222" s="16" t="n">
        <v>0.654405917289144</v>
      </c>
      <c r="AH222" s="16" t="n">
        <v>9819.91719809611</v>
      </c>
      <c r="AI222" s="16" t="n">
        <v>19644.3262151227</v>
      </c>
      <c r="AJ222" s="16" t="n">
        <v>16.69175</v>
      </c>
      <c r="AK222" s="16" t="n">
        <v>0</v>
      </c>
      <c r="AL222" s="16" t="n">
        <v>-38285.9729772628</v>
      </c>
      <c r="AM222" s="16" t="n">
        <v>812.6073</v>
      </c>
      <c r="AN222" s="16" t="n">
        <v>20079.98904</v>
      </c>
      <c r="AO222" s="16" t="n">
        <v>-5508.72242389994</v>
      </c>
      <c r="AP222" s="16" t="n">
        <v>0.52915910882411</v>
      </c>
      <c r="AQ222" s="16" t="n">
        <v>0</v>
      </c>
      <c r="AR222" s="16" t="n">
        <v>327.195752</v>
      </c>
      <c r="AS222" s="16" t="n">
        <v>314.925245</v>
      </c>
      <c r="AT222" s="16" t="n">
        <v>-4924.99501678378</v>
      </c>
      <c r="AU222" s="16" t="n">
        <v>12.270507</v>
      </c>
      <c r="AV222" s="16" t="n">
        <v>0</v>
      </c>
      <c r="AW222" s="16" t="n">
        <v>2254.3125</v>
      </c>
      <c r="AX222" s="16" t="n">
        <v>314.925245</v>
      </c>
      <c r="AY222" s="16" t="n">
        <v>314.925245</v>
      </c>
      <c r="AZ222" s="16" t="n">
        <v>5523.34717982985</v>
      </c>
      <c r="BA222" s="16" t="n">
        <v>0</v>
      </c>
      <c r="BB222" s="16" t="n">
        <v>417.928966666667</v>
      </c>
      <c r="BC222" s="16" t="n">
        <v>111426.205255978</v>
      </c>
      <c r="BD222" s="16" t="n">
        <v>16.4078699869596</v>
      </c>
      <c r="BE222" s="16" t="n">
        <v>25.065162608896</v>
      </c>
      <c r="BF222" s="16" t="n">
        <v>39.2930178176984</v>
      </c>
      <c r="BG222" s="16" t="n">
        <v>-8.27711430924607</v>
      </c>
      <c r="BH222" s="16" t="n">
        <v>-7.28866183200638</v>
      </c>
      <c r="BI222" s="16" t="n">
        <v>1.09242813813745</v>
      </c>
      <c r="BJ222" s="16" t="n">
        <v>2.04083187529388</v>
      </c>
      <c r="BK222" s="16" t="n">
        <v>5.25403316350504</v>
      </c>
      <c r="BL222" s="16" t="n">
        <v>7.88491984612206</v>
      </c>
      <c r="BM222" s="16" t="n">
        <v>3.71992671744367</v>
      </c>
      <c r="BN222" s="16" t="n">
        <v>4.46573109600205</v>
      </c>
      <c r="BO222" s="16" t="n">
        <v>5.7791095890411</v>
      </c>
      <c r="BP222" s="16" t="n">
        <v>8712.70308277889</v>
      </c>
      <c r="BQ222" s="16" t="n">
        <v>7464.24789134094</v>
      </c>
      <c r="BR222" s="16" t="n">
        <v>7464.24789134094</v>
      </c>
      <c r="BS222" s="16" t="n">
        <v>327.195752</v>
      </c>
      <c r="BT222" s="16" t="n">
        <v>301.7195</v>
      </c>
      <c r="BU222" s="16" t="n">
        <v>1081.9108</v>
      </c>
      <c r="BV222" s="16" t="s">
        <v>3237</v>
      </c>
      <c r="BW222" s="16" t="n">
        <v>42.7692307692308</v>
      </c>
      <c r="BX222" s="16" t="n">
        <v>0.155994305554286</v>
      </c>
      <c r="BY222" s="16" t="n">
        <v>0.161741466184191</v>
      </c>
      <c r="BZ222" s="16" t="n">
        <v>13510.8578038903</v>
      </c>
      <c r="CA222" s="16" t="n">
        <v>27107.0656988521</v>
      </c>
      <c r="CB222" s="16" t="n">
        <v>100.462750728378</v>
      </c>
      <c r="CC222" s="16" t="n">
        <v>0</v>
      </c>
      <c r="CD222" s="16" t="n">
        <v>950.69728</v>
      </c>
      <c r="CE222" s="16" t="n">
        <v>12000</v>
      </c>
      <c r="CF222" s="16" t="n">
        <v>0</v>
      </c>
      <c r="CG222" s="16" t="n">
        <v>0</v>
      </c>
      <c r="CH222" s="16" t="n">
        <v>1931.14787912326</v>
      </c>
      <c r="CI222" s="16" t="n">
        <v>-6.2083733271085</v>
      </c>
      <c r="CJ222" s="16" t="n">
        <v>3.00594144553374</v>
      </c>
      <c r="CK222" s="16" t="n">
        <v>0</v>
      </c>
      <c r="CL222" s="16" t="n">
        <v>0</v>
      </c>
      <c r="CM222" s="16" t="n">
        <v>12.270507</v>
      </c>
      <c r="CN222" s="16" t="n">
        <v>-38285.9729772628</v>
      </c>
      <c r="CO222" s="16" t="n">
        <v>1.5535546875</v>
      </c>
      <c r="CP222" s="16" t="n">
        <v>1.09004417261298</v>
      </c>
      <c r="CQ222" s="16" t="n">
        <v>0</v>
      </c>
      <c r="CR222" s="16" t="n">
        <v>0</v>
      </c>
      <c r="CS222" s="16" t="n">
        <v>0</v>
      </c>
      <c r="CT222" s="16" t="n">
        <v>0</v>
      </c>
      <c r="CU222" s="16" t="n">
        <v>0.0113</v>
      </c>
      <c r="CV222" s="16" t="n">
        <v>12.270507</v>
      </c>
      <c r="CW222" s="16" t="n">
        <v>37.1349976050118</v>
      </c>
      <c r="CX222" s="16" t="n">
        <v>49.4055046050118</v>
      </c>
      <c r="CY222" s="16" t="n">
        <v>263663.876519469</v>
      </c>
      <c r="CZ222" s="16" t="n">
        <v>14.0233433393425</v>
      </c>
      <c r="DA222" s="16" t="n">
        <v>0</v>
      </c>
      <c r="DB222" s="16" t="n">
        <v>16667.6805131632</v>
      </c>
      <c r="DC222" s="16" t="n">
        <v>12367.4189407671</v>
      </c>
      <c r="DD222" s="16" t="n">
        <v>11144.3333333333</v>
      </c>
      <c r="DE222" s="16" t="n">
        <v>0</v>
      </c>
      <c r="DF222" s="16" t="n">
        <v>263978.801764469</v>
      </c>
      <c r="DG222" s="16" t="n">
        <v>12.270507</v>
      </c>
      <c r="DH222" s="16" t="n">
        <v>0</v>
      </c>
      <c r="DI222" s="16" t="n">
        <v>0.0113</v>
      </c>
    </row>
    <row r="223" customFormat="false" ht="15" hidden="false" customHeight="false" outlineLevel="0" collapsed="false">
      <c r="A223" s="0" t="s">
        <v>3438</v>
      </c>
      <c r="B223" s="16" t="n">
        <v>2465.07954157611</v>
      </c>
      <c r="C223" s="16" t="n">
        <v>7496.61462837117</v>
      </c>
      <c r="D223" s="16" t="n">
        <v>19644.3262151227</v>
      </c>
      <c r="E223" s="16" t="n">
        <v>3707.17969237964</v>
      </c>
      <c r="F223" s="16" t="n">
        <v>-1612.26101130411</v>
      </c>
      <c r="G223" s="16" t="n">
        <v>5019.57611854891</v>
      </c>
      <c r="H223" s="16" t="n">
        <v>-1390.50065667787</v>
      </c>
      <c r="I223" s="17" t="n">
        <v>0.01</v>
      </c>
      <c r="J223" s="17" t="n">
        <v>0</v>
      </c>
      <c r="K223" s="16" t="s">
        <v>72</v>
      </c>
      <c r="L223" s="16" t="n">
        <v>-4924.99501678378</v>
      </c>
      <c r="M223" s="16" t="n">
        <v>33765.1944100674</v>
      </c>
      <c r="N223" s="16" t="n">
        <v>11347.6264665146</v>
      </c>
      <c r="O223" s="16" t="n">
        <v>-19376.749362905</v>
      </c>
      <c r="P223" s="16" t="n">
        <v>951.290832135856</v>
      </c>
      <c r="Q223" s="16" t="n">
        <v>-316.676561450643</v>
      </c>
      <c r="R223" s="16" t="n">
        <v>17617.7170533315</v>
      </c>
      <c r="S223" s="16" t="n">
        <v>26947.5934743025</v>
      </c>
      <c r="T223" s="16" t="n">
        <v>-955.692204749296</v>
      </c>
      <c r="U223" s="16" t="n">
        <v>-10610.2828609363</v>
      </c>
      <c r="V223" s="16" t="n">
        <v>0.750319556751226</v>
      </c>
      <c r="W223" s="16" t="n">
        <v>46164.9436249069</v>
      </c>
      <c r="X223" s="16" t="n">
        <v>22146.2416811813</v>
      </c>
      <c r="Y223" s="16" t="n">
        <v>0</v>
      </c>
      <c r="Z223" s="16" t="n">
        <v>0</v>
      </c>
      <c r="AA223" s="16" t="n">
        <v>27.424347870838</v>
      </c>
      <c r="AB223" s="16" t="n">
        <v>25.224347870838</v>
      </c>
      <c r="AC223" s="16" t="n">
        <v>26.674347870838</v>
      </c>
      <c r="AD223" s="16" t="n">
        <v>27.2673434792775</v>
      </c>
      <c r="AE223" s="16" t="n">
        <v>674.686407680941</v>
      </c>
      <c r="AF223" s="16" t="n">
        <v>0.03</v>
      </c>
      <c r="AG223" s="16" t="n">
        <v>0.654405917289144</v>
      </c>
      <c r="AH223" s="16" t="n">
        <v>9819.91719809611</v>
      </c>
      <c r="AI223" s="16" t="n">
        <v>19644.3262151227</v>
      </c>
      <c r="AJ223" s="16" t="n">
        <v>16.69175</v>
      </c>
      <c r="AK223" s="16" t="n">
        <v>0</v>
      </c>
      <c r="AL223" s="16" t="n">
        <v>-38285.9729772628</v>
      </c>
      <c r="AM223" s="16" t="n">
        <v>812.6073</v>
      </c>
      <c r="AN223" s="16" t="n">
        <v>20079.98904</v>
      </c>
      <c r="AO223" s="16" t="n">
        <v>-5508.72242389994</v>
      </c>
      <c r="AP223" s="16" t="n">
        <v>0.52915910882411</v>
      </c>
      <c r="AQ223" s="16" t="n">
        <v>0</v>
      </c>
      <c r="AR223" s="16" t="n">
        <v>327.195752</v>
      </c>
      <c r="AS223" s="16" t="n">
        <v>314.925245</v>
      </c>
      <c r="AT223" s="16" t="n">
        <v>-4924.99501678378</v>
      </c>
      <c r="AU223" s="16" t="n">
        <v>12.270507</v>
      </c>
      <c r="AV223" s="16" t="n">
        <v>0</v>
      </c>
      <c r="AW223" s="16" t="n">
        <v>2254.3125</v>
      </c>
      <c r="AX223" s="16" t="n">
        <v>314.925245</v>
      </c>
      <c r="AY223" s="16" t="n">
        <v>314.925245</v>
      </c>
      <c r="AZ223" s="16" t="n">
        <v>5523.34717982985</v>
      </c>
      <c r="BA223" s="16" t="n">
        <v>0</v>
      </c>
      <c r="BB223" s="16" t="n">
        <v>417.928966666667</v>
      </c>
      <c r="BC223" s="16" t="n">
        <v>111426.205255978</v>
      </c>
      <c r="BD223" s="16" t="n">
        <v>16.4078699869596</v>
      </c>
      <c r="BE223" s="16" t="n">
        <v>25.065162608896</v>
      </c>
      <c r="BF223" s="16" t="n">
        <v>39.2930178176984</v>
      </c>
      <c r="BG223" s="16" t="n">
        <v>-8.27711430924607</v>
      </c>
      <c r="BH223" s="16" t="n">
        <v>-7.28866183200638</v>
      </c>
      <c r="BI223" s="16" t="n">
        <v>1.09242813813745</v>
      </c>
      <c r="BJ223" s="16" t="n">
        <v>2.04083187529388</v>
      </c>
      <c r="BK223" s="16" t="n">
        <v>5.25403316350504</v>
      </c>
      <c r="BL223" s="16" t="n">
        <v>7.88491984612206</v>
      </c>
      <c r="BM223" s="16" t="n">
        <v>3.71992671744367</v>
      </c>
      <c r="BN223" s="16" t="n">
        <v>4.46573109600205</v>
      </c>
      <c r="BO223" s="16" t="n">
        <v>5.7791095890411</v>
      </c>
      <c r="BP223" s="16" t="n">
        <v>8712.70308277889</v>
      </c>
      <c r="BQ223" s="16" t="n">
        <v>7464.24789134094</v>
      </c>
      <c r="BR223" s="16" t="n">
        <v>7464.24789134094</v>
      </c>
      <c r="BS223" s="16" t="n">
        <v>327.195752</v>
      </c>
      <c r="BT223" s="16" t="n">
        <v>301.7195</v>
      </c>
      <c r="BU223" s="16" t="n">
        <v>1081.9108</v>
      </c>
      <c r="BV223" s="16" t="s">
        <v>3237</v>
      </c>
      <c r="BW223" s="16" t="n">
        <v>42.7692307692308</v>
      </c>
      <c r="BX223" s="16" t="n">
        <v>0.155994305554286</v>
      </c>
      <c r="BY223" s="16" t="n">
        <v>0.161741466184191</v>
      </c>
      <c r="BZ223" s="16" t="n">
        <v>13510.8578038903</v>
      </c>
      <c r="CA223" s="16" t="n">
        <v>27107.0656988521</v>
      </c>
      <c r="CB223" s="16" t="n">
        <v>100.462750728378</v>
      </c>
      <c r="CC223" s="16" t="n">
        <v>0</v>
      </c>
      <c r="CD223" s="16" t="n">
        <v>950.69728</v>
      </c>
      <c r="CE223" s="16" t="n">
        <v>12000</v>
      </c>
      <c r="CF223" s="16" t="n">
        <v>0</v>
      </c>
      <c r="CG223" s="16" t="n">
        <v>0</v>
      </c>
      <c r="CH223" s="16" t="n">
        <v>1931.14787912326</v>
      </c>
      <c r="CI223" s="16" t="n">
        <v>-6.2083733271085</v>
      </c>
      <c r="CJ223" s="16" t="n">
        <v>3.00594144553374</v>
      </c>
      <c r="CK223" s="16" t="n">
        <v>0</v>
      </c>
      <c r="CL223" s="16" t="n">
        <v>0</v>
      </c>
      <c r="CM223" s="16" t="n">
        <v>12.270507</v>
      </c>
      <c r="CN223" s="16" t="n">
        <v>-38285.9729772628</v>
      </c>
      <c r="CO223" s="16" t="n">
        <v>1.5535546875</v>
      </c>
      <c r="CP223" s="16" t="n">
        <v>1.09004417261298</v>
      </c>
      <c r="CQ223" s="16" t="n">
        <v>0</v>
      </c>
      <c r="CR223" s="16" t="n">
        <v>0</v>
      </c>
      <c r="CS223" s="16" t="n">
        <v>0</v>
      </c>
      <c r="CT223" s="16" t="n">
        <v>0</v>
      </c>
      <c r="CU223" s="16" t="n">
        <v>0.0113</v>
      </c>
      <c r="CV223" s="16" t="n">
        <v>12.270507</v>
      </c>
      <c r="CW223" s="16" t="n">
        <v>37.1349976050118</v>
      </c>
      <c r="CX223" s="16" t="n">
        <v>49.4055046050118</v>
      </c>
      <c r="CY223" s="16" t="n">
        <v>263663.876519469</v>
      </c>
      <c r="CZ223" s="16" t="n">
        <v>14.0233433393425</v>
      </c>
      <c r="DA223" s="16" t="n">
        <v>0</v>
      </c>
      <c r="DB223" s="16" t="n">
        <v>16667.6805131632</v>
      </c>
      <c r="DC223" s="16" t="n">
        <v>12367.4189407671</v>
      </c>
      <c r="DD223" s="16" t="n">
        <v>11144.3333333333</v>
      </c>
      <c r="DE223" s="16" t="n">
        <v>0</v>
      </c>
      <c r="DF223" s="16" t="n">
        <v>263978.801764469</v>
      </c>
      <c r="DG223" s="16" t="n">
        <v>12.270507</v>
      </c>
      <c r="DH223" s="16" t="n">
        <v>0</v>
      </c>
      <c r="DI223" s="16" t="n">
        <v>0.0113</v>
      </c>
    </row>
    <row r="224" customFormat="false" ht="15" hidden="false" customHeight="false" outlineLevel="0" collapsed="false">
      <c r="A224" s="0" t="s">
        <v>3439</v>
      </c>
      <c r="B224" s="16" t="n">
        <v>2465.07954157611</v>
      </c>
      <c r="C224" s="16" t="n">
        <v>7496.61462837117</v>
      </c>
      <c r="D224" s="16" t="n">
        <v>19644.3262151227</v>
      </c>
      <c r="E224" s="16" t="n">
        <v>3707.17969237964</v>
      </c>
      <c r="F224" s="16" t="n">
        <v>-1612.26101130411</v>
      </c>
      <c r="G224" s="16" t="n">
        <v>5019.57611854891</v>
      </c>
      <c r="H224" s="16" t="n">
        <v>-1390.50065667787</v>
      </c>
      <c r="I224" s="17" t="n">
        <v>0.01</v>
      </c>
      <c r="J224" s="17" t="n">
        <v>67.4922469757098</v>
      </c>
      <c r="K224" s="16" t="s">
        <v>116</v>
      </c>
      <c r="L224" s="16" t="n">
        <v>1000</v>
      </c>
      <c r="M224" s="16" t="n">
        <v>33765.1944100674</v>
      </c>
      <c r="N224" s="16" t="n">
        <v>11347.6264665146</v>
      </c>
      <c r="O224" s="16" t="n">
        <v>1000</v>
      </c>
      <c r="P224" s="16" t="n">
        <v>951.290832135856</v>
      </c>
      <c r="Q224" s="16" t="n">
        <v>-316.676561450643</v>
      </c>
      <c r="R224" s="16" t="n">
        <v>17617.7170533315</v>
      </c>
      <c r="S224" s="16" t="n">
        <v>26947.5934743025</v>
      </c>
      <c r="T224" s="16" t="n">
        <v>-955.692204749296</v>
      </c>
      <c r="U224" s="16" t="n">
        <v>-10610.2828609363</v>
      </c>
      <c r="V224" s="16" t="n">
        <v>0.750319556751226</v>
      </c>
      <c r="W224" s="16" t="n">
        <v>46164.9436249069</v>
      </c>
      <c r="X224" s="16" t="n">
        <v>22146.2416811813</v>
      </c>
      <c r="Y224" s="16" t="n">
        <v>63.4913651841499</v>
      </c>
      <c r="Z224" s="16" t="n">
        <v>86.1808501632838</v>
      </c>
      <c r="AA224" s="16" t="n">
        <v>27.424347870838</v>
      </c>
      <c r="AB224" s="16" t="n">
        <v>25.224347870838</v>
      </c>
      <c r="AC224" s="16" t="n">
        <v>26.674347870838</v>
      </c>
      <c r="AD224" s="16" t="n">
        <v>27.2673434792775</v>
      </c>
      <c r="AE224" s="16" t="n">
        <v>674.686407680941</v>
      </c>
      <c r="AF224" s="16" t="n">
        <v>0.03</v>
      </c>
      <c r="AG224" s="16" t="n">
        <v>0.654405917289144</v>
      </c>
      <c r="AH224" s="16" t="n">
        <v>9819.91719809611</v>
      </c>
      <c r="AI224" s="16" t="n">
        <v>19644.3262151227</v>
      </c>
      <c r="AJ224" s="16" t="n">
        <v>16.69175</v>
      </c>
      <c r="AK224" s="16" t="n">
        <v>0</v>
      </c>
      <c r="AL224" s="16" t="n">
        <v>1000</v>
      </c>
      <c r="AM224" s="16" t="n">
        <v>812.6073</v>
      </c>
      <c r="AN224" s="16" t="n">
        <v>20079.98904</v>
      </c>
      <c r="AO224" s="16" t="n">
        <v>-5508.72242389994</v>
      </c>
      <c r="AP224" s="16" t="n">
        <v>0.52915910882411</v>
      </c>
      <c r="AQ224" s="16" t="n">
        <v>59.7276521908936</v>
      </c>
      <c r="AR224" s="16" t="n">
        <v>508.79470472731</v>
      </c>
      <c r="AS224" s="16" t="n">
        <v>314.925245</v>
      </c>
      <c r="AT224" s="16" t="n">
        <v>1000</v>
      </c>
      <c r="AU224" s="16" t="n">
        <v>12.270507</v>
      </c>
      <c r="AV224" s="16" t="n">
        <v>0</v>
      </c>
      <c r="AW224" s="16" t="n">
        <v>2254.3125</v>
      </c>
      <c r="AX224" s="16" t="n">
        <v>314.925245</v>
      </c>
      <c r="AY224" s="16" t="n">
        <v>314.925245</v>
      </c>
      <c r="AZ224" s="16" t="n">
        <v>5523.34717982985</v>
      </c>
      <c r="BA224" s="16" t="n">
        <v>0</v>
      </c>
      <c r="BB224" s="16" t="n">
        <v>417.928966666667</v>
      </c>
      <c r="BC224" s="16" t="n">
        <v>111426.205255978</v>
      </c>
      <c r="BD224" s="16" t="n">
        <v>16.4078699869596</v>
      </c>
      <c r="BE224" s="16" t="n">
        <v>25.065162608896</v>
      </c>
      <c r="BF224" s="16" t="n">
        <v>39.2930178176984</v>
      </c>
      <c r="BG224" s="16" t="n">
        <v>-8.27711430924607</v>
      </c>
      <c r="BH224" s="16" t="n">
        <v>-7.28866183200638</v>
      </c>
      <c r="BI224" s="16" t="n">
        <v>1.09242813813745</v>
      </c>
      <c r="BJ224" s="16" t="n">
        <v>2.04083187529388</v>
      </c>
      <c r="BK224" s="16" t="n">
        <v>5.25403316350504</v>
      </c>
      <c r="BL224" s="16" t="n">
        <v>7.88491984612206</v>
      </c>
      <c r="BM224" s="16" t="n">
        <v>3.71992671744367</v>
      </c>
      <c r="BN224" s="16" t="n">
        <v>4.46573109600205</v>
      </c>
      <c r="BO224" s="16" t="n">
        <v>5.7791095890411</v>
      </c>
      <c r="BP224" s="16" t="n">
        <v>8712.70308277889</v>
      </c>
      <c r="BQ224" s="16" t="n">
        <v>7464.24789134094</v>
      </c>
      <c r="BR224" s="16" t="n">
        <v>7464.24789134094</v>
      </c>
      <c r="BS224" s="16" t="n">
        <v>508.79470472731</v>
      </c>
      <c r="BT224" s="16" t="n">
        <v>301.7195</v>
      </c>
      <c r="BU224" s="16" t="n">
        <v>1081.9108</v>
      </c>
      <c r="BV224" s="16" t="s">
        <v>3237</v>
      </c>
      <c r="BW224" s="16" t="n">
        <v>42.7692307692308</v>
      </c>
      <c r="BX224" s="16" t="n">
        <v>0.155994305554286</v>
      </c>
      <c r="BY224" s="16" t="n">
        <v>0.161741466184191</v>
      </c>
      <c r="BZ224" s="16" t="n">
        <v>13510.8578038903</v>
      </c>
      <c r="CA224" s="16" t="n">
        <v>19402.010477409</v>
      </c>
      <c r="CB224" s="16" t="n">
        <v>282.061703455688</v>
      </c>
      <c r="CC224" s="16" t="n">
        <v>0</v>
      </c>
      <c r="CD224" s="16" t="n">
        <v>950.69728</v>
      </c>
      <c r="CE224" s="16" t="n">
        <v>12000</v>
      </c>
      <c r="CF224" s="16" t="n">
        <v>73.3163310278977</v>
      </c>
      <c r="CG224" s="16" t="n">
        <v>82.8474540615243</v>
      </c>
      <c r="CH224" s="16" t="n">
        <v>1931.14787912326</v>
      </c>
      <c r="CI224" s="16" t="n">
        <v>-6.2083733271085</v>
      </c>
      <c r="CJ224" s="16" t="n">
        <v>3.00594144553374</v>
      </c>
      <c r="CK224" s="16" t="n">
        <v>39285.9729772628</v>
      </c>
      <c r="CL224" s="16" t="n">
        <v>166.80121522731</v>
      </c>
      <c r="CM224" s="16" t="n">
        <v>192.16878347731</v>
      </c>
      <c r="CN224" s="16" t="n">
        <v>1000</v>
      </c>
      <c r="CO224" s="16" t="n">
        <v>1.5535546875</v>
      </c>
      <c r="CP224" s="16" t="n">
        <v>1.09004417261298</v>
      </c>
      <c r="CQ224" s="16" t="n">
        <v>0</v>
      </c>
      <c r="CR224" s="16" t="n">
        <v>67.4922469757098</v>
      </c>
      <c r="CS224" s="16" t="n">
        <v>5.71469848504878</v>
      </c>
      <c r="CT224" s="16" t="n">
        <v>0</v>
      </c>
      <c r="CU224" s="16" t="n">
        <v>0.0113</v>
      </c>
      <c r="CV224" s="16" t="n">
        <v>192.16878347731</v>
      </c>
      <c r="CW224" s="16" t="n">
        <v>37.1349976050118</v>
      </c>
      <c r="CX224" s="16" t="n">
        <v>229.303781082322</v>
      </c>
      <c r="CY224" s="16" t="n">
        <v>3910320.77716219</v>
      </c>
      <c r="CZ224" s="16" t="n">
        <v>5673.18958735686</v>
      </c>
      <c r="DA224" s="16" t="n">
        <v>0</v>
      </c>
      <c r="DB224" s="16" t="n">
        <v>16667.6805131632</v>
      </c>
      <c r="DC224" s="16" t="n">
        <v>12367.4189407671</v>
      </c>
      <c r="DD224" s="16" t="n">
        <v>11144.3333333333</v>
      </c>
      <c r="DE224" s="16" t="n">
        <v>1921.25</v>
      </c>
      <c r="DF224" s="16" t="n">
        <v>3910635.70240719</v>
      </c>
      <c r="DG224" s="16" t="n">
        <v>192.16878347731</v>
      </c>
      <c r="DH224" s="16" t="n">
        <v>0</v>
      </c>
      <c r="DI224" s="16" t="n">
        <v>5.73834907112235</v>
      </c>
    </row>
    <row r="225" customFormat="false" ht="15" hidden="false" customHeight="false" outlineLevel="0" collapsed="false">
      <c r="A225" s="0" t="s">
        <v>3440</v>
      </c>
      <c r="B225" s="16" t="n">
        <v>2465.07954157611</v>
      </c>
      <c r="C225" s="16" t="n">
        <v>7496.61462837117</v>
      </c>
      <c r="D225" s="16" t="n">
        <v>19644.3262151227</v>
      </c>
      <c r="E225" s="16" t="n">
        <v>3707.17969237964</v>
      </c>
      <c r="F225" s="16" t="n">
        <v>-1612.26101130411</v>
      </c>
      <c r="G225" s="16" t="n">
        <v>5019.57611854891</v>
      </c>
      <c r="H225" s="16" t="n">
        <v>-1390.50065667787</v>
      </c>
      <c r="I225" s="17" t="n">
        <v>0.01</v>
      </c>
      <c r="J225" s="17" t="n">
        <v>67.4922469757098</v>
      </c>
      <c r="K225" s="16" t="s">
        <v>116</v>
      </c>
      <c r="L225" s="16" t="n">
        <v>1000</v>
      </c>
      <c r="M225" s="16" t="n">
        <v>33765.1944100674</v>
      </c>
      <c r="N225" s="16" t="n">
        <v>11347.6264665146</v>
      </c>
      <c r="O225" s="16" t="n">
        <v>1000</v>
      </c>
      <c r="P225" s="16" t="n">
        <v>951.290832135856</v>
      </c>
      <c r="Q225" s="16" t="n">
        <v>-316.676561450643</v>
      </c>
      <c r="R225" s="16" t="n">
        <v>17617.7170533315</v>
      </c>
      <c r="S225" s="16" t="n">
        <v>26947.5934743025</v>
      </c>
      <c r="T225" s="16" t="n">
        <v>-955.692204749296</v>
      </c>
      <c r="U225" s="16" t="n">
        <v>-10610.2828609363</v>
      </c>
      <c r="V225" s="16" t="n">
        <v>0.750319556751226</v>
      </c>
      <c r="W225" s="16" t="n">
        <v>46164.9436249069</v>
      </c>
      <c r="X225" s="16" t="n">
        <v>22146.2416811813</v>
      </c>
      <c r="Y225" s="16" t="n">
        <v>63.4913651841499</v>
      </c>
      <c r="Z225" s="16" t="n">
        <v>86.1808501632838</v>
      </c>
      <c r="AA225" s="16" t="n">
        <v>27.424347870838</v>
      </c>
      <c r="AB225" s="16" t="n">
        <v>25.224347870838</v>
      </c>
      <c r="AC225" s="16" t="n">
        <v>26.674347870838</v>
      </c>
      <c r="AD225" s="16" t="n">
        <v>27.2673434792775</v>
      </c>
      <c r="AE225" s="16" t="n">
        <v>674.686407680941</v>
      </c>
      <c r="AF225" s="16" t="n">
        <v>0.03</v>
      </c>
      <c r="AG225" s="16" t="n">
        <v>0.654405917289144</v>
      </c>
      <c r="AH225" s="16" t="n">
        <v>9819.91719809611</v>
      </c>
      <c r="AI225" s="16" t="n">
        <v>19644.3262151227</v>
      </c>
      <c r="AJ225" s="16" t="n">
        <v>16.69175</v>
      </c>
      <c r="AK225" s="16" t="n">
        <v>0</v>
      </c>
      <c r="AL225" s="16" t="n">
        <v>1000</v>
      </c>
      <c r="AM225" s="16" t="n">
        <v>812.6073</v>
      </c>
      <c r="AN225" s="16" t="n">
        <v>20079.98904</v>
      </c>
      <c r="AO225" s="16" t="n">
        <v>-5508.72242389994</v>
      </c>
      <c r="AP225" s="16" t="n">
        <v>0.52915910882411</v>
      </c>
      <c r="AQ225" s="16" t="n">
        <v>59.7276521908936</v>
      </c>
      <c r="AR225" s="16" t="n">
        <v>508.79470472731</v>
      </c>
      <c r="AS225" s="16" t="n">
        <v>314.925245</v>
      </c>
      <c r="AT225" s="16" t="n">
        <v>1000</v>
      </c>
      <c r="AU225" s="16" t="n">
        <v>12.270507</v>
      </c>
      <c r="AV225" s="16" t="n">
        <v>0</v>
      </c>
      <c r="AW225" s="16" t="n">
        <v>2254.3125</v>
      </c>
      <c r="AX225" s="16" t="n">
        <v>314.925245</v>
      </c>
      <c r="AY225" s="16" t="n">
        <v>314.925245</v>
      </c>
      <c r="AZ225" s="16" t="n">
        <v>5523.34717982985</v>
      </c>
      <c r="BA225" s="16" t="n">
        <v>0</v>
      </c>
      <c r="BB225" s="16" t="n">
        <v>417.928966666667</v>
      </c>
      <c r="BC225" s="16" t="n">
        <v>111426.205255978</v>
      </c>
      <c r="BD225" s="16" t="n">
        <v>16.4078699869596</v>
      </c>
      <c r="BE225" s="16" t="n">
        <v>25.065162608896</v>
      </c>
      <c r="BF225" s="16" t="n">
        <v>39.2930178176984</v>
      </c>
      <c r="BG225" s="16" t="n">
        <v>-8.27711430924607</v>
      </c>
      <c r="BH225" s="16" t="n">
        <v>-7.28866183200638</v>
      </c>
      <c r="BI225" s="16" t="n">
        <v>1.09242813813745</v>
      </c>
      <c r="BJ225" s="16" t="n">
        <v>2.04083187529388</v>
      </c>
      <c r="BK225" s="16" t="n">
        <v>5.25403316350504</v>
      </c>
      <c r="BL225" s="16" t="n">
        <v>7.88491984612206</v>
      </c>
      <c r="BM225" s="16" t="n">
        <v>3.71992671744367</v>
      </c>
      <c r="BN225" s="16" t="n">
        <v>4.46573109600205</v>
      </c>
      <c r="BO225" s="16" t="n">
        <v>5.7791095890411</v>
      </c>
      <c r="BP225" s="16" t="n">
        <v>8712.70308277889</v>
      </c>
      <c r="BQ225" s="16" t="n">
        <v>7464.24789134094</v>
      </c>
      <c r="BR225" s="16" t="n">
        <v>7464.24789134094</v>
      </c>
      <c r="BS225" s="16" t="n">
        <v>508.79470472731</v>
      </c>
      <c r="BT225" s="16" t="n">
        <v>301.7195</v>
      </c>
      <c r="BU225" s="16" t="n">
        <v>1081.9108</v>
      </c>
      <c r="BV225" s="16" t="s">
        <v>3237</v>
      </c>
      <c r="BW225" s="16" t="n">
        <v>42.7692307692308</v>
      </c>
      <c r="BX225" s="16" t="n">
        <v>0.155994305554286</v>
      </c>
      <c r="BY225" s="16" t="n">
        <v>0.161741466184191</v>
      </c>
      <c r="BZ225" s="16" t="n">
        <v>13510.8578038903</v>
      </c>
      <c r="CA225" s="16" t="n">
        <v>19402.010477409</v>
      </c>
      <c r="CB225" s="16" t="n">
        <v>282.061703455688</v>
      </c>
      <c r="CC225" s="16" t="n">
        <v>0</v>
      </c>
      <c r="CD225" s="16" t="n">
        <v>950.69728</v>
      </c>
      <c r="CE225" s="16" t="n">
        <v>12000</v>
      </c>
      <c r="CF225" s="16" t="n">
        <v>73.3163310278977</v>
      </c>
      <c r="CG225" s="16" t="n">
        <v>82.8474540615243</v>
      </c>
      <c r="CH225" s="16" t="n">
        <v>1931.14787912326</v>
      </c>
      <c r="CI225" s="16" t="n">
        <v>-6.2083733271085</v>
      </c>
      <c r="CJ225" s="16" t="n">
        <v>3.00594144553374</v>
      </c>
      <c r="CK225" s="16" t="n">
        <v>39285.9729772628</v>
      </c>
      <c r="CL225" s="16" t="n">
        <v>166.80121522731</v>
      </c>
      <c r="CM225" s="16" t="n">
        <v>192.16878347731</v>
      </c>
      <c r="CN225" s="16" t="n">
        <v>1000</v>
      </c>
      <c r="CO225" s="16" t="n">
        <v>1.5535546875</v>
      </c>
      <c r="CP225" s="16" t="n">
        <v>1.09004417261298</v>
      </c>
      <c r="CQ225" s="16" t="n">
        <v>0</v>
      </c>
      <c r="CR225" s="16" t="n">
        <v>67.4922469757098</v>
      </c>
      <c r="CS225" s="16" t="n">
        <v>5.71469848504878</v>
      </c>
      <c r="CT225" s="16" t="n">
        <v>0</v>
      </c>
      <c r="CU225" s="16" t="n">
        <v>0.0113</v>
      </c>
      <c r="CV225" s="16" t="n">
        <v>192.16878347731</v>
      </c>
      <c r="CW225" s="16" t="n">
        <v>37.1349976050118</v>
      </c>
      <c r="CX225" s="16" t="n">
        <v>229.303781082322</v>
      </c>
      <c r="CY225" s="16" t="n">
        <v>3910320.77716219</v>
      </c>
      <c r="CZ225" s="16" t="n">
        <v>5673.18958735686</v>
      </c>
      <c r="DA225" s="16" t="n">
        <v>0</v>
      </c>
      <c r="DB225" s="16" t="n">
        <v>16667.6805131632</v>
      </c>
      <c r="DC225" s="16" t="n">
        <v>12367.4189407671</v>
      </c>
      <c r="DD225" s="16" t="n">
        <v>11144.3333333333</v>
      </c>
      <c r="DE225" s="16" t="n">
        <v>1921.25</v>
      </c>
      <c r="DF225" s="16" t="n">
        <v>3910635.70240719</v>
      </c>
      <c r="DG225" s="16" t="n">
        <v>192.16878347731</v>
      </c>
      <c r="DH225" s="16" t="n">
        <v>0</v>
      </c>
      <c r="DI225" s="16" t="n">
        <v>5.73834907112235</v>
      </c>
    </row>
    <row r="226" customFormat="false" ht="15" hidden="false" customHeight="false" outlineLevel="0" collapsed="false">
      <c r="A226" s="0" t="s">
        <v>3441</v>
      </c>
      <c r="B226" s="16" t="n">
        <v>2465.07954157611</v>
      </c>
      <c r="C226" s="16" t="n">
        <v>7496.61462837117</v>
      </c>
      <c r="D226" s="16" t="n">
        <v>19644.3262151227</v>
      </c>
      <c r="E226" s="16" t="n">
        <v>3707.17969237964</v>
      </c>
      <c r="F226" s="16" t="n">
        <v>-1612.26101130411</v>
      </c>
      <c r="G226" s="16" t="n">
        <v>5019.57611854891</v>
      </c>
      <c r="H226" s="16" t="n">
        <v>-1390.50065667787</v>
      </c>
      <c r="I226" s="17" t="n">
        <v>0.01</v>
      </c>
      <c r="J226" s="17" t="n">
        <v>88.5855777440635</v>
      </c>
      <c r="K226" s="16" t="s">
        <v>116</v>
      </c>
      <c r="L226" s="16" t="n">
        <v>1000</v>
      </c>
      <c r="M226" s="16" t="n">
        <v>33765.1944100674</v>
      </c>
      <c r="N226" s="16" t="n">
        <v>11347.6264665146</v>
      </c>
      <c r="O226" s="16" t="n">
        <v>1000</v>
      </c>
      <c r="P226" s="16" t="n">
        <v>951.290832135856</v>
      </c>
      <c r="Q226" s="16" t="n">
        <v>-316.676561450643</v>
      </c>
      <c r="R226" s="16" t="n">
        <v>17617.7170533315</v>
      </c>
      <c r="S226" s="16" t="n">
        <v>26947.5934743025</v>
      </c>
      <c r="T226" s="16" t="n">
        <v>-955.692204749296</v>
      </c>
      <c r="U226" s="16" t="n">
        <v>-1112.78286093632</v>
      </c>
      <c r="V226" s="16" t="n">
        <v>0.750319556751226</v>
      </c>
      <c r="W226" s="16" t="n">
        <v>46164.9436249069</v>
      </c>
      <c r="X226" s="16" t="n">
        <v>22146.2416811813</v>
      </c>
      <c r="Y226" s="16" t="n">
        <v>83.3343016216581</v>
      </c>
      <c r="Z226" s="16" t="n">
        <v>113.114924221395</v>
      </c>
      <c r="AA226" s="16" t="n">
        <v>27.424347870838</v>
      </c>
      <c r="AB226" s="16" t="n">
        <v>25.224347870838</v>
      </c>
      <c r="AC226" s="16" t="n">
        <v>26.674347870838</v>
      </c>
      <c r="AD226" s="16" t="n">
        <v>27.2673434792775</v>
      </c>
      <c r="AE226" s="16" t="n">
        <v>674.686407680941</v>
      </c>
      <c r="AF226" s="16" t="n">
        <v>0.03</v>
      </c>
      <c r="AG226" s="16" t="n">
        <v>0.654405917289144</v>
      </c>
      <c r="AH226" s="16" t="n">
        <v>9819.91719809611</v>
      </c>
      <c r="AI226" s="16" t="n">
        <v>19644.3262151227</v>
      </c>
      <c r="AJ226" s="16" t="n">
        <v>16.69175</v>
      </c>
      <c r="AK226" s="16" t="n">
        <v>0</v>
      </c>
      <c r="AL226" s="16" t="n">
        <v>1000</v>
      </c>
      <c r="AM226" s="16" t="n">
        <v>812.6073</v>
      </c>
      <c r="AN226" s="16" t="n">
        <v>20079.98904</v>
      </c>
      <c r="AO226" s="16" t="n">
        <v>-5508.72242389994</v>
      </c>
      <c r="AP226" s="16" t="n">
        <v>0.52915910882411</v>
      </c>
      <c r="AQ226" s="16" t="n">
        <v>78.3943165876668</v>
      </c>
      <c r="AR226" s="16" t="n">
        <v>508.79470472731</v>
      </c>
      <c r="AS226" s="16" t="n">
        <v>314.925245</v>
      </c>
      <c r="AT226" s="16" t="n">
        <v>1000</v>
      </c>
      <c r="AU226" s="16" t="n">
        <v>12.270507</v>
      </c>
      <c r="AV226" s="16" t="n">
        <v>0</v>
      </c>
      <c r="AW226" s="16" t="n">
        <v>2254.3125</v>
      </c>
      <c r="AX226" s="16" t="n">
        <v>314.925245</v>
      </c>
      <c r="AY226" s="16" t="n">
        <v>314.925245</v>
      </c>
      <c r="AZ226" s="16" t="n">
        <v>5523.34717982985</v>
      </c>
      <c r="BA226" s="16" t="n">
        <v>0</v>
      </c>
      <c r="BB226" s="16" t="n">
        <v>417.928966666667</v>
      </c>
      <c r="BC226" s="16" t="n">
        <v>111426.205255978</v>
      </c>
      <c r="BD226" s="16" t="n">
        <v>16.4078699869596</v>
      </c>
      <c r="BE226" s="16" t="n">
        <v>25.065162608896</v>
      </c>
      <c r="BF226" s="16" t="n">
        <v>39.2930178176984</v>
      </c>
      <c r="BG226" s="16" t="n">
        <v>-8.27711430924607</v>
      </c>
      <c r="BH226" s="16" t="n">
        <v>-7.28866183200638</v>
      </c>
      <c r="BI226" s="16" t="n">
        <v>1.09242813813745</v>
      </c>
      <c r="BJ226" s="16" t="n">
        <v>2.04083187529388</v>
      </c>
      <c r="BK226" s="16" t="n">
        <v>5.25403316350504</v>
      </c>
      <c r="BL226" s="16" t="n">
        <v>7.88491984612206</v>
      </c>
      <c r="BM226" s="16" t="n">
        <v>3.71992671744367</v>
      </c>
      <c r="BN226" s="16" t="n">
        <v>4.46573109600205</v>
      </c>
      <c r="BO226" s="16" t="n">
        <v>5.7791095890411</v>
      </c>
      <c r="BP226" s="16" t="n">
        <v>8712.70308277889</v>
      </c>
      <c r="BQ226" s="16" t="n">
        <v>7464.24789134094</v>
      </c>
      <c r="BR226" s="16" t="n">
        <v>7464.24789134094</v>
      </c>
      <c r="BS226" s="16" t="n">
        <v>508.79470472731</v>
      </c>
      <c r="BT226" s="16" t="n">
        <v>301.7195</v>
      </c>
      <c r="BU226" s="16" t="n">
        <v>1081.9108</v>
      </c>
      <c r="BV226" s="16" t="s">
        <v>3237</v>
      </c>
      <c r="BW226" s="16" t="n">
        <v>42.7692307692308</v>
      </c>
      <c r="BX226" s="16" t="n">
        <v>0.155994305554286</v>
      </c>
      <c r="BY226" s="16" t="n">
        <v>0.161741466184191</v>
      </c>
      <c r="BZ226" s="16" t="n">
        <v>13510.8578038903</v>
      </c>
      <c r="CA226" s="16" t="n">
        <v>19402.010477409</v>
      </c>
      <c r="CB226" s="16" t="n">
        <v>282.061703455688</v>
      </c>
      <c r="CC226" s="16" t="n">
        <v>0</v>
      </c>
      <c r="CD226" s="16" t="n">
        <v>950.69728</v>
      </c>
      <c r="CE226" s="16" t="n">
        <v>12000</v>
      </c>
      <c r="CF226" s="16" t="n">
        <v>91.9394166653627</v>
      </c>
      <c r="CG226" s="16" t="n">
        <v>103.89154083186</v>
      </c>
      <c r="CH226" s="16" t="n">
        <v>1931.14787912326</v>
      </c>
      <c r="CI226" s="16" t="n">
        <v>-6.2083733271085</v>
      </c>
      <c r="CJ226" s="16" t="n">
        <v>3.00594144553374</v>
      </c>
      <c r="CK226" s="16" t="n">
        <v>39285.9729772628</v>
      </c>
      <c r="CL226" s="16" t="n">
        <v>166.80121522731</v>
      </c>
      <c r="CM226" s="16" t="n">
        <v>192.16878347731</v>
      </c>
      <c r="CN226" s="16" t="n">
        <v>1000</v>
      </c>
      <c r="CO226" s="16" t="n">
        <v>1.5535546875</v>
      </c>
      <c r="CP226" s="16" t="n">
        <v>1.09004417261298</v>
      </c>
      <c r="CQ226" s="16" t="n">
        <v>2.43175480846286</v>
      </c>
      <c r="CR226" s="16" t="n">
        <v>88.5855777440635</v>
      </c>
      <c r="CS226" s="16" t="n">
        <v>30.0623262385527</v>
      </c>
      <c r="CT226" s="16" t="n">
        <v>2.15199540571934</v>
      </c>
      <c r="CU226" s="16" t="n">
        <v>2.43175480846286</v>
      </c>
      <c r="CV226" s="16" t="n">
        <v>192.16878347731</v>
      </c>
      <c r="CW226" s="16" t="n">
        <v>37.1349976050118</v>
      </c>
      <c r="CX226" s="16" t="n">
        <v>229.303781082322</v>
      </c>
      <c r="CY226" s="16" t="n">
        <v>18170.6743739776</v>
      </c>
      <c r="CZ226" s="16" t="n">
        <v>1180.38304897759</v>
      </c>
      <c r="DA226" s="16" t="n">
        <v>24.1059287479248</v>
      </c>
      <c r="DB226" s="16" t="n">
        <v>16667.6805131632</v>
      </c>
      <c r="DC226" s="16" t="n">
        <v>12367.4189407671</v>
      </c>
      <c r="DD226" s="16" t="n">
        <v>11144.3333333333</v>
      </c>
      <c r="DE226" s="16" t="n">
        <v>1921.25</v>
      </c>
      <c r="DF226" s="16" t="n">
        <v>18485.5996189776</v>
      </c>
      <c r="DG226" s="16" t="n">
        <v>192.16878347731</v>
      </c>
      <c r="DH226" s="16" t="n">
        <v>0</v>
      </c>
      <c r="DI226" s="16" t="n">
        <v>30.0623539184816</v>
      </c>
    </row>
    <row r="227" customFormat="false" ht="15" hidden="false" customHeight="false" outlineLevel="0" collapsed="false">
      <c r="A227" s="0" t="s">
        <v>3442</v>
      </c>
      <c r="B227" s="16" t="n">
        <v>2465.07954157611</v>
      </c>
      <c r="C227" s="16" t="n">
        <v>8209.24039226006</v>
      </c>
      <c r="D227" s="16" t="n">
        <v>19716.7966317894</v>
      </c>
      <c r="E227" s="16" t="n">
        <v>4213.14398474076</v>
      </c>
      <c r="F227" s="16" t="n">
        <v>-1135.49021845689</v>
      </c>
      <c r="G227" s="16" t="n">
        <v>5020.26458750724</v>
      </c>
      <c r="H227" s="16" t="n">
        <v>-898.814009603721</v>
      </c>
      <c r="I227" s="17" t="n">
        <v>0.01</v>
      </c>
      <c r="J227" s="17" t="n">
        <v>88.869332374278</v>
      </c>
      <c r="K227" s="16" t="s">
        <v>116</v>
      </c>
      <c r="L227" s="16" t="n">
        <v>1000</v>
      </c>
      <c r="M227" s="16" t="n">
        <v>33779.4469253452</v>
      </c>
      <c r="N227" s="16" t="n">
        <v>11402.7039831813</v>
      </c>
      <c r="O227" s="16" t="n">
        <v>1000</v>
      </c>
      <c r="P227" s="16" t="n">
        <v>951.290832135856</v>
      </c>
      <c r="Q227" s="16" t="n">
        <v>-267.565775756198</v>
      </c>
      <c r="R227" s="16" t="n">
        <v>17617.7170533315</v>
      </c>
      <c r="S227" s="16" t="n">
        <v>26949.0428826358</v>
      </c>
      <c r="T227" s="16" t="n">
        <v>-955.692204749296</v>
      </c>
      <c r="U227" s="16" t="n">
        <v>-621.096213862173</v>
      </c>
      <c r="V227" s="16" t="n">
        <v>0.750319556751226</v>
      </c>
      <c r="W227" s="16" t="n">
        <v>46166.2147180189</v>
      </c>
      <c r="X227" s="16" t="n">
        <v>22149.4762774452</v>
      </c>
      <c r="Y227" s="16" t="n">
        <v>83.6012355238013</v>
      </c>
      <c r="Z227" s="16" t="n">
        <v>113.477250508716</v>
      </c>
      <c r="AA227" s="16" t="n">
        <v>27.424347870838</v>
      </c>
      <c r="AB227" s="16" t="n">
        <v>25.224347870838</v>
      </c>
      <c r="AC227" s="16" t="n">
        <v>26.674347870838</v>
      </c>
      <c r="AD227" s="16" t="n">
        <v>27.2673434792775</v>
      </c>
      <c r="AE227" s="16" t="n">
        <v>674.686407680941</v>
      </c>
      <c r="AF227" s="16" t="n">
        <v>0.03</v>
      </c>
      <c r="AG227" s="16" t="n">
        <v>0.654405917289144</v>
      </c>
      <c r="AH227" s="16" t="n">
        <v>9819.91719809611</v>
      </c>
      <c r="AI227" s="16" t="n">
        <v>19716.7966317894</v>
      </c>
      <c r="AJ227" s="16" t="n">
        <v>16.69175</v>
      </c>
      <c r="AK227" s="16" t="n">
        <v>0</v>
      </c>
      <c r="AL227" s="16" t="n">
        <v>1000</v>
      </c>
      <c r="AM227" s="16" t="n">
        <v>812.6073</v>
      </c>
      <c r="AN227" s="16" t="n">
        <v>20079.98904</v>
      </c>
      <c r="AO227" s="16" t="n">
        <v>-5508.72242389994</v>
      </c>
      <c r="AP227" s="16" t="n">
        <v>0.414483496940676</v>
      </c>
      <c r="AQ227" s="16" t="n">
        <v>78.645426879892</v>
      </c>
      <c r="AR227" s="16" t="n">
        <v>506.474954430797</v>
      </c>
      <c r="AS227" s="16" t="n">
        <v>314.925245</v>
      </c>
      <c r="AT227" s="16" t="n">
        <v>1000</v>
      </c>
      <c r="AU227" s="16" t="n">
        <v>12.270507</v>
      </c>
      <c r="AV227" s="16" t="n">
        <v>0</v>
      </c>
      <c r="AW227" s="16" t="n">
        <v>2254.3125</v>
      </c>
      <c r="AX227" s="16" t="n">
        <v>314.925245</v>
      </c>
      <c r="AY227" s="16" t="n">
        <v>314.925245</v>
      </c>
      <c r="AZ227" s="16" t="n">
        <v>5631.62619515181</v>
      </c>
      <c r="BA227" s="16" t="n">
        <v>0</v>
      </c>
      <c r="BB227" s="16" t="n">
        <v>417.928966666667</v>
      </c>
      <c r="BC227" s="16" t="n">
        <v>111441.907179589</v>
      </c>
      <c r="BD227" s="16" t="n">
        <v>16.751694488301</v>
      </c>
      <c r="BE227" s="16" t="n">
        <v>25.4089871102374</v>
      </c>
      <c r="BF227" s="16" t="n">
        <v>39.6368423190398</v>
      </c>
      <c r="BG227" s="16" t="n">
        <v>-8.27711430924607</v>
      </c>
      <c r="BH227" s="16" t="n">
        <v>-7.28866183200638</v>
      </c>
      <c r="BI227" s="16" t="n">
        <v>1.09242813813745</v>
      </c>
      <c r="BJ227" s="16" t="n">
        <v>2.04083187529388</v>
      </c>
      <c r="BK227" s="16" t="n">
        <v>5.25403316350504</v>
      </c>
      <c r="BL227" s="16" t="n">
        <v>7.88491984612206</v>
      </c>
      <c r="BM227" s="16" t="n">
        <v>3.71992671744367</v>
      </c>
      <c r="BN227" s="16" t="n">
        <v>4.46573109600205</v>
      </c>
      <c r="BO227" s="16" t="n">
        <v>5.7791095890411</v>
      </c>
      <c r="BP227" s="16" t="n">
        <v>8712.70308277889</v>
      </c>
      <c r="BQ227" s="16" t="n">
        <v>8176.87365522983</v>
      </c>
      <c r="BR227" s="16" t="n">
        <v>8176.87365522983</v>
      </c>
      <c r="BS227" s="16" t="n">
        <v>506.474954430797</v>
      </c>
      <c r="BT227" s="16" t="n">
        <v>301.7195</v>
      </c>
      <c r="BU227" s="16" t="n">
        <v>1081.9108</v>
      </c>
      <c r="BV227" s="16" t="s">
        <v>3237</v>
      </c>
      <c r="BW227" s="16" t="n">
        <v>42.7692307692308</v>
      </c>
      <c r="BX227" s="16" t="n">
        <v>0.155994305554286</v>
      </c>
      <c r="BY227" s="16" t="n">
        <v>0.161741466184191</v>
      </c>
      <c r="BZ227" s="16" t="n">
        <v>13510.8578038903</v>
      </c>
      <c r="CA227" s="16" t="n">
        <v>19402.010477409</v>
      </c>
      <c r="CB227" s="16" t="n">
        <v>278.503097417438</v>
      </c>
      <c r="CC227" s="16" t="n">
        <v>0</v>
      </c>
      <c r="CD227" s="16" t="n">
        <v>950.69728</v>
      </c>
      <c r="CE227" s="16" t="n">
        <v>12000</v>
      </c>
      <c r="CF227" s="16" t="n">
        <v>91.501383745125</v>
      </c>
      <c r="CG227" s="16" t="n">
        <v>103.396563631991</v>
      </c>
      <c r="CH227" s="16" t="n">
        <v>2643.77364301215</v>
      </c>
      <c r="CI227" s="16" t="n">
        <v>-6.2083733271085</v>
      </c>
      <c r="CJ227" s="16" t="n">
        <v>3.00594144553374</v>
      </c>
      <c r="CK227" s="16" t="n">
        <v>38739.6121648513</v>
      </c>
      <c r="CL227" s="16" t="n">
        <v>164.481464930797</v>
      </c>
      <c r="CM227" s="16" t="n">
        <v>189.849033180797</v>
      </c>
      <c r="CN227" s="16" t="n">
        <v>1000</v>
      </c>
      <c r="CO227" s="16" t="n">
        <v>1.5535546875</v>
      </c>
      <c r="CP227" s="16" t="n">
        <v>1.09004417261298</v>
      </c>
      <c r="CQ227" s="16" t="n">
        <v>3.97046602096122</v>
      </c>
      <c r="CR227" s="16" t="n">
        <v>88.869332374278</v>
      </c>
      <c r="CS227" s="16" t="n">
        <v>30.251102221468</v>
      </c>
      <c r="CT227" s="16" t="n">
        <v>3.51368674421347</v>
      </c>
      <c r="CU227" s="16" t="n">
        <v>3.97046602096122</v>
      </c>
      <c r="CV227" s="16" t="n">
        <v>189.849033180797</v>
      </c>
      <c r="CW227" s="16" t="n">
        <v>37.1349976050118</v>
      </c>
      <c r="CX227" s="16" t="n">
        <v>226.984030785808</v>
      </c>
      <c r="CY227" s="16" t="n">
        <v>10991.2196047346</v>
      </c>
      <c r="CZ227" s="16" t="n">
        <v>1169.00957579736</v>
      </c>
      <c r="DA227" s="16" t="n">
        <v>24.2501640779233</v>
      </c>
      <c r="DB227" s="16" t="n">
        <v>16775.9595284851</v>
      </c>
      <c r="DC227" s="16" t="n">
        <v>12447.761970136</v>
      </c>
      <c r="DD227" s="16" t="n">
        <v>11144.3333333333</v>
      </c>
      <c r="DE227" s="16" t="n">
        <v>1921.25</v>
      </c>
      <c r="DF227" s="16" t="n">
        <v>11306.1448497346</v>
      </c>
      <c r="DG227" s="16" t="n">
        <v>189.849033180797</v>
      </c>
      <c r="DH227" s="16" t="n">
        <v>0</v>
      </c>
      <c r="DI227" s="16" t="n">
        <v>30.2511309413356</v>
      </c>
    </row>
    <row r="228" customFormat="false" ht="15" hidden="false" customHeight="false" outlineLevel="0" collapsed="false">
      <c r="A228" s="0" t="s">
        <v>3443</v>
      </c>
      <c r="B228" s="16" t="n">
        <v>2465.07954157611</v>
      </c>
      <c r="C228" s="16" t="n">
        <v>8209.24039226006</v>
      </c>
      <c r="D228" s="16" t="n">
        <v>19716.7966317894</v>
      </c>
      <c r="E228" s="16" t="n">
        <v>4213.14398474076</v>
      </c>
      <c r="F228" s="16" t="n">
        <v>-1135.49021845689</v>
      </c>
      <c r="G228" s="16" t="n">
        <v>5020.26458750724</v>
      </c>
      <c r="H228" s="16" t="n">
        <v>-898.814009603721</v>
      </c>
      <c r="I228" s="17" t="n">
        <v>0.01</v>
      </c>
      <c r="J228" s="17" t="n">
        <v>3.97046602096122</v>
      </c>
      <c r="K228" s="16" t="s">
        <v>116</v>
      </c>
      <c r="L228" s="16" t="n">
        <v>1000</v>
      </c>
      <c r="M228" s="16" t="n">
        <v>33779.4469253452</v>
      </c>
      <c r="N228" s="16" t="n">
        <v>11402.7039831813</v>
      </c>
      <c r="O228" s="16" t="n">
        <v>1000</v>
      </c>
      <c r="P228" s="16" t="n">
        <v>951.290832135856</v>
      </c>
      <c r="Q228" s="16" t="n">
        <v>-267.565775756198</v>
      </c>
      <c r="R228" s="16" t="n">
        <v>17617.7170533315</v>
      </c>
      <c r="S228" s="16" t="n">
        <v>26949.0428826358</v>
      </c>
      <c r="T228" s="16" t="n">
        <v>-955.692204749296</v>
      </c>
      <c r="U228" s="16" t="n">
        <v>-621.096213862173</v>
      </c>
      <c r="V228" s="16" t="n">
        <v>0.750319556751226</v>
      </c>
      <c r="W228" s="16" t="n">
        <v>46166.2147180189</v>
      </c>
      <c r="X228" s="16" t="n">
        <v>22149.4762774452</v>
      </c>
      <c r="Y228" s="16" t="n">
        <v>3.7351002431262</v>
      </c>
      <c r="Z228" s="16" t="n">
        <v>5.06988806216538</v>
      </c>
      <c r="AA228" s="16" t="n">
        <v>27.424347870838</v>
      </c>
      <c r="AB228" s="16" t="n">
        <v>25.224347870838</v>
      </c>
      <c r="AC228" s="16" t="n">
        <v>26.674347870838</v>
      </c>
      <c r="AD228" s="16" t="n">
        <v>27.2673434792775</v>
      </c>
      <c r="AE228" s="16" t="n">
        <v>674.686407680941</v>
      </c>
      <c r="AF228" s="16" t="n">
        <v>0.03</v>
      </c>
      <c r="AG228" s="16" t="n">
        <v>0.654405917289144</v>
      </c>
      <c r="AH228" s="16" t="n">
        <v>9819.91719809611</v>
      </c>
      <c r="AI228" s="16" t="n">
        <v>19716.7966317894</v>
      </c>
      <c r="AJ228" s="16" t="n">
        <v>16.69175</v>
      </c>
      <c r="AK228" s="16" t="n">
        <v>0</v>
      </c>
      <c r="AL228" s="16" t="n">
        <v>1000</v>
      </c>
      <c r="AM228" s="16" t="n">
        <v>812.6073</v>
      </c>
      <c r="AN228" s="16" t="n">
        <v>20079.98904</v>
      </c>
      <c r="AO228" s="16" t="n">
        <v>-5508.72242389994</v>
      </c>
      <c r="AP228" s="16" t="n">
        <v>0.414483496940676</v>
      </c>
      <c r="AQ228" s="16" t="n">
        <v>78.645426879892</v>
      </c>
      <c r="AR228" s="16" t="n">
        <v>506.474954430797</v>
      </c>
      <c r="AS228" s="16" t="n">
        <v>314.925245</v>
      </c>
      <c r="AT228" s="16" t="n">
        <v>1000</v>
      </c>
      <c r="AU228" s="16" t="n">
        <v>12.270507</v>
      </c>
      <c r="AV228" s="16" t="n">
        <v>0</v>
      </c>
      <c r="AW228" s="16" t="n">
        <v>2254.3125</v>
      </c>
      <c r="AX228" s="16" t="n">
        <v>314.925245</v>
      </c>
      <c r="AY228" s="16" t="n">
        <v>314.925245</v>
      </c>
      <c r="AZ228" s="16" t="n">
        <v>5631.62619515181</v>
      </c>
      <c r="BA228" s="16" t="n">
        <v>0</v>
      </c>
      <c r="BB228" s="16" t="n">
        <v>417.928966666667</v>
      </c>
      <c r="BC228" s="16" t="n">
        <v>111441.907179589</v>
      </c>
      <c r="BD228" s="16" t="n">
        <v>16.751694488301</v>
      </c>
      <c r="BE228" s="16" t="n">
        <v>25.4089871102374</v>
      </c>
      <c r="BF228" s="16" t="n">
        <v>39.6368423190398</v>
      </c>
      <c r="BG228" s="16" t="n">
        <v>-8.27711430924607</v>
      </c>
      <c r="BH228" s="16" t="n">
        <v>-7.28866183200638</v>
      </c>
      <c r="BI228" s="16" t="n">
        <v>1.09242813813745</v>
      </c>
      <c r="BJ228" s="16" t="n">
        <v>2.04083187529388</v>
      </c>
      <c r="BK228" s="16" t="n">
        <v>5.25403316350504</v>
      </c>
      <c r="BL228" s="16" t="n">
        <v>7.88491984612206</v>
      </c>
      <c r="BM228" s="16" t="n">
        <v>3.71992671744367</v>
      </c>
      <c r="BN228" s="16" t="n">
        <v>4.46573109600205</v>
      </c>
      <c r="BO228" s="16" t="n">
        <v>5.7791095890411</v>
      </c>
      <c r="BP228" s="16" t="n">
        <v>8712.70308277889</v>
      </c>
      <c r="BQ228" s="16" t="n">
        <v>8176.87365522983</v>
      </c>
      <c r="BR228" s="16" t="n">
        <v>8176.87365522983</v>
      </c>
      <c r="BS228" s="16" t="n">
        <v>506.474954430797</v>
      </c>
      <c r="BT228" s="16" t="n">
        <v>301.7195</v>
      </c>
      <c r="BU228" s="16" t="n">
        <v>1081.9108</v>
      </c>
      <c r="BV228" s="16" t="s">
        <v>3237</v>
      </c>
      <c r="BW228" s="16" t="n">
        <v>42.7692307692308</v>
      </c>
      <c r="BX228" s="16" t="n">
        <v>0.155994305554286</v>
      </c>
      <c r="BY228" s="16" t="n">
        <v>0.161741466184191</v>
      </c>
      <c r="BZ228" s="16" t="n">
        <v>13510.8578038903</v>
      </c>
      <c r="CA228" s="16" t="n">
        <v>19402.010477409</v>
      </c>
      <c r="CB228" s="16" t="n">
        <v>278.503097417438</v>
      </c>
      <c r="CC228" s="16" t="n">
        <v>0</v>
      </c>
      <c r="CD228" s="16" t="n">
        <v>950.69728</v>
      </c>
      <c r="CE228" s="16" t="n">
        <v>12000</v>
      </c>
      <c r="CF228" s="16" t="n">
        <v>24.2501640779233</v>
      </c>
      <c r="CG228" s="16" t="n">
        <v>27.4026854080534</v>
      </c>
      <c r="CH228" s="16" t="n">
        <v>2643.77364301215</v>
      </c>
      <c r="CI228" s="16" t="n">
        <v>-6.2083733271085</v>
      </c>
      <c r="CJ228" s="16" t="n">
        <v>3.00594144553374</v>
      </c>
      <c r="CK228" s="16" t="n">
        <v>38739.6121648513</v>
      </c>
      <c r="CL228" s="16" t="n">
        <v>164.481464930797</v>
      </c>
      <c r="CM228" s="16" t="n">
        <v>189.849033180797</v>
      </c>
      <c r="CN228" s="16" t="n">
        <v>1000</v>
      </c>
      <c r="CO228" s="16" t="n">
        <v>1.5535546875</v>
      </c>
      <c r="CP228" s="16" t="n">
        <v>1.09004417261298</v>
      </c>
      <c r="CQ228" s="16" t="n">
        <v>3.97046602096122</v>
      </c>
      <c r="CR228" s="16" t="n">
        <v>88.869332374278</v>
      </c>
      <c r="CS228" s="16" t="n">
        <v>30.251102221468</v>
      </c>
      <c r="CT228" s="16" t="n">
        <v>3.51368674421347</v>
      </c>
      <c r="CU228" s="16" t="n">
        <v>3.97046602096122</v>
      </c>
      <c r="CV228" s="16" t="n">
        <v>10991.2196047346</v>
      </c>
      <c r="CW228" s="16" t="n">
        <v>2270.95477479745</v>
      </c>
      <c r="CX228" s="16" t="n">
        <v>13262.174379532</v>
      </c>
      <c r="CY228" s="16" t="n">
        <v>10991.2196047346</v>
      </c>
      <c r="CZ228" s="16" t="n">
        <v>1169.00957579736</v>
      </c>
      <c r="DA228" s="16" t="n">
        <v>24.2501640779233</v>
      </c>
      <c r="DB228" s="16" t="n">
        <v>16775.9595284851</v>
      </c>
      <c r="DC228" s="16" t="n">
        <v>12447.761970136</v>
      </c>
      <c r="DD228" s="16" t="n">
        <v>11144.3333333333</v>
      </c>
      <c r="DE228" s="16" t="n">
        <v>1921.25</v>
      </c>
      <c r="DF228" s="16" t="n">
        <v>11306.1448497346</v>
      </c>
      <c r="DG228" s="16" t="n">
        <v>189.849033180797</v>
      </c>
      <c r="DH228" s="16" t="n">
        <v>0</v>
      </c>
      <c r="DI228" s="16" t="n">
        <v>30.2511309413356</v>
      </c>
    </row>
    <row r="229" customFormat="false" ht="15" hidden="false" customHeight="false" outlineLevel="0" collapsed="false">
      <c r="A229" s="0" t="s">
        <v>3444</v>
      </c>
      <c r="B229" s="16" t="n">
        <v>2465.07954157611</v>
      </c>
      <c r="C229" s="16" t="n">
        <v>8209.24039226006</v>
      </c>
      <c r="D229" s="16" t="n">
        <v>19716.7966317894</v>
      </c>
      <c r="E229" s="16" t="n">
        <v>4213.14398474076</v>
      </c>
      <c r="F229" s="16" t="n">
        <v>-1135.49021845689</v>
      </c>
      <c r="G229" s="16" t="n">
        <v>5020.26458750724</v>
      </c>
      <c r="H229" s="16" t="n">
        <v>-898.814009603721</v>
      </c>
      <c r="I229" s="17" t="n">
        <v>0.01</v>
      </c>
      <c r="J229" s="17" t="n">
        <v>3.97046602096122</v>
      </c>
      <c r="K229" s="16" t="s">
        <v>116</v>
      </c>
      <c r="L229" s="16" t="n">
        <v>1000</v>
      </c>
      <c r="M229" s="16" t="n">
        <v>33779.4469253452</v>
      </c>
      <c r="N229" s="16" t="n">
        <v>11402.7039831813</v>
      </c>
      <c r="O229" s="16" t="n">
        <v>1000</v>
      </c>
      <c r="P229" s="16" t="n">
        <v>951.290832135856</v>
      </c>
      <c r="Q229" s="16" t="n">
        <v>-267.565775756198</v>
      </c>
      <c r="R229" s="16" t="n">
        <v>17617.7170533315</v>
      </c>
      <c r="S229" s="16" t="n">
        <v>26949.0428826358</v>
      </c>
      <c r="T229" s="16" t="n">
        <v>-955.692204749296</v>
      </c>
      <c r="U229" s="16" t="n">
        <v>-621.096213862173</v>
      </c>
      <c r="V229" s="16" t="n">
        <v>0.750319556751226</v>
      </c>
      <c r="W229" s="16" t="n">
        <v>46166.2147180189</v>
      </c>
      <c r="X229" s="16" t="n">
        <v>22149.4762774452</v>
      </c>
      <c r="Y229" s="16" t="n">
        <v>3.7351002431262</v>
      </c>
      <c r="Z229" s="16" t="n">
        <v>5.06988806216538</v>
      </c>
      <c r="AA229" s="16" t="n">
        <v>27.424347870838</v>
      </c>
      <c r="AB229" s="16" t="n">
        <v>25.224347870838</v>
      </c>
      <c r="AC229" s="16" t="n">
        <v>26.674347870838</v>
      </c>
      <c r="AD229" s="16" t="n">
        <v>27.2673434792775</v>
      </c>
      <c r="AE229" s="16" t="n">
        <v>674.686407680941</v>
      </c>
      <c r="AF229" s="16" t="n">
        <v>0.03</v>
      </c>
      <c r="AG229" s="16" t="n">
        <v>0.654405917289144</v>
      </c>
      <c r="AH229" s="16" t="n">
        <v>9819.91719809611</v>
      </c>
      <c r="AI229" s="16" t="n">
        <v>19716.7966317894</v>
      </c>
      <c r="AJ229" s="16" t="n">
        <v>16.69175</v>
      </c>
      <c r="AK229" s="16" t="n">
        <v>0</v>
      </c>
      <c r="AL229" s="16" t="n">
        <v>1000</v>
      </c>
      <c r="AM229" s="16" t="n">
        <v>812.6073</v>
      </c>
      <c r="AN229" s="16" t="n">
        <v>20079.98904</v>
      </c>
      <c r="AO229" s="16" t="n">
        <v>-5508.72242389994</v>
      </c>
      <c r="AP229" s="16" t="n">
        <v>0.414483496940676</v>
      </c>
      <c r="AQ229" s="16" t="n">
        <v>78.645426879892</v>
      </c>
      <c r="AR229" s="16" t="n">
        <v>506.474954430797</v>
      </c>
      <c r="AS229" s="16" t="n">
        <v>314.925245</v>
      </c>
      <c r="AT229" s="16" t="n">
        <v>1000</v>
      </c>
      <c r="AU229" s="16" t="n">
        <v>12.270507</v>
      </c>
      <c r="AV229" s="16" t="n">
        <v>0</v>
      </c>
      <c r="AW229" s="16" t="n">
        <v>2254.3125</v>
      </c>
      <c r="AX229" s="16" t="n">
        <v>314.925245</v>
      </c>
      <c r="AY229" s="16" t="n">
        <v>314.925245</v>
      </c>
      <c r="AZ229" s="16" t="n">
        <v>5631.62619515181</v>
      </c>
      <c r="BA229" s="16" t="n">
        <v>0</v>
      </c>
      <c r="BB229" s="16" t="n">
        <v>417.928966666667</v>
      </c>
      <c r="BC229" s="16" t="n">
        <v>111441.907179589</v>
      </c>
      <c r="BD229" s="16" t="n">
        <v>16.751694488301</v>
      </c>
      <c r="BE229" s="16" t="n">
        <v>25.4089871102374</v>
      </c>
      <c r="BF229" s="16" t="n">
        <v>39.6368423190398</v>
      </c>
      <c r="BG229" s="16" t="n">
        <v>-8.27711430924607</v>
      </c>
      <c r="BH229" s="16" t="n">
        <v>-7.28866183200638</v>
      </c>
      <c r="BI229" s="16" t="n">
        <v>1.09242813813745</v>
      </c>
      <c r="BJ229" s="16" t="n">
        <v>2.04083187529388</v>
      </c>
      <c r="BK229" s="16" t="n">
        <v>5.25403316350504</v>
      </c>
      <c r="BL229" s="16" t="n">
        <v>7.88491984612206</v>
      </c>
      <c r="BM229" s="16" t="n">
        <v>3.71992671744367</v>
      </c>
      <c r="BN229" s="16" t="n">
        <v>4.46573109600205</v>
      </c>
      <c r="BO229" s="16" t="n">
        <v>5.7791095890411</v>
      </c>
      <c r="BP229" s="16" t="n">
        <v>8712.70308277889</v>
      </c>
      <c r="BQ229" s="16" t="n">
        <v>8176.87365522983</v>
      </c>
      <c r="BR229" s="16" t="n">
        <v>8176.87365522983</v>
      </c>
      <c r="BS229" s="16" t="n">
        <v>506.474954430797</v>
      </c>
      <c r="BT229" s="16" t="n">
        <v>301.7195</v>
      </c>
      <c r="BU229" s="16" t="n">
        <v>1081.9108</v>
      </c>
      <c r="BV229" s="16" t="s">
        <v>3237</v>
      </c>
      <c r="BW229" s="16" t="n">
        <v>42.7692307692308</v>
      </c>
      <c r="BX229" s="16" t="n">
        <v>0.155994305554286</v>
      </c>
      <c r="BY229" s="16" t="n">
        <v>0.161741466184191</v>
      </c>
      <c r="BZ229" s="16" t="n">
        <v>13510.8578038903</v>
      </c>
      <c r="CA229" s="16" t="n">
        <v>19402.010477409</v>
      </c>
      <c r="CB229" s="16" t="n">
        <v>278.503097417438</v>
      </c>
      <c r="CC229" s="16" t="n">
        <v>0</v>
      </c>
      <c r="CD229" s="16" t="n">
        <v>950.69728</v>
      </c>
      <c r="CE229" s="16" t="n">
        <v>12000</v>
      </c>
      <c r="CF229" s="16" t="n">
        <v>24.2501640779233</v>
      </c>
      <c r="CG229" s="16" t="n">
        <v>27.4026854080534</v>
      </c>
      <c r="CH229" s="16" t="n">
        <v>2643.77364301215</v>
      </c>
      <c r="CI229" s="16" t="n">
        <v>-6.2083733271085</v>
      </c>
      <c r="CJ229" s="16" t="n">
        <v>3.00594144553374</v>
      </c>
      <c r="CK229" s="16" t="n">
        <v>38739.6121648513</v>
      </c>
      <c r="CL229" s="16" t="n">
        <v>164.481464930797</v>
      </c>
      <c r="CM229" s="16" t="n">
        <v>189.849033180797</v>
      </c>
      <c r="CN229" s="16" t="n">
        <v>1000</v>
      </c>
      <c r="CO229" s="16" t="n">
        <v>1.5535546875</v>
      </c>
      <c r="CP229" s="16" t="n">
        <v>1.09004417261298</v>
      </c>
      <c r="CQ229" s="16" t="n">
        <v>3.97046602096122</v>
      </c>
      <c r="CR229" s="16" t="n">
        <v>88.869332374278</v>
      </c>
      <c r="CS229" s="16" t="n">
        <v>30.251102221468</v>
      </c>
      <c r="CT229" s="16" t="n">
        <v>3.51368674421347</v>
      </c>
      <c r="CU229" s="16" t="n">
        <v>3.97046602096122</v>
      </c>
      <c r="CV229" s="16" t="n">
        <v>10991.2196047346</v>
      </c>
      <c r="CW229" s="16" t="n">
        <v>2270.95477479745</v>
      </c>
      <c r="CX229" s="16" t="n">
        <v>13262.174379532</v>
      </c>
      <c r="CY229" s="16" t="n">
        <v>10991.2196047346</v>
      </c>
      <c r="CZ229" s="16" t="n">
        <v>1169.00957579736</v>
      </c>
      <c r="DA229" s="16" t="n">
        <v>24.2501640779233</v>
      </c>
      <c r="DB229" s="16" t="n">
        <v>16775.9595284851</v>
      </c>
      <c r="DC229" s="16" t="n">
        <v>12447.761970136</v>
      </c>
      <c r="DD229" s="16" t="n">
        <v>11144.3333333333</v>
      </c>
      <c r="DE229" s="16" t="n">
        <v>1921.25</v>
      </c>
      <c r="DF229" s="16" t="n">
        <v>11306.1448497346</v>
      </c>
      <c r="DG229" s="16" t="n">
        <v>189.849033180797</v>
      </c>
      <c r="DH229" s="16" t="n">
        <v>0</v>
      </c>
      <c r="DI229" s="16" t="n">
        <v>30.2511309413356</v>
      </c>
    </row>
    <row r="230" customFormat="false" ht="15" hidden="false" customHeight="false" outlineLevel="0" collapsed="false">
      <c r="A230" s="0" t="s">
        <v>3445</v>
      </c>
      <c r="B230" s="16" t="n">
        <v>2465.07954157611</v>
      </c>
      <c r="C230" s="16" t="n">
        <v>8209.24039226006</v>
      </c>
      <c r="D230" s="16" t="n">
        <v>19716.7966317894</v>
      </c>
      <c r="E230" s="16" t="n">
        <v>4213.14398474076</v>
      </c>
      <c r="F230" s="16" t="n">
        <v>-1135.49021845689</v>
      </c>
      <c r="G230" s="16" t="n">
        <v>5020.26458750724</v>
      </c>
      <c r="H230" s="16" t="n">
        <v>-898.814009603721</v>
      </c>
      <c r="I230" s="17" t="n">
        <v>0.01</v>
      </c>
      <c r="J230" s="17" t="n">
        <v>3.97046602096122</v>
      </c>
      <c r="K230" s="16" t="s">
        <v>116</v>
      </c>
      <c r="L230" s="16" t="n">
        <v>1000</v>
      </c>
      <c r="M230" s="16" t="n">
        <v>33779.4469253452</v>
      </c>
      <c r="N230" s="16" t="n">
        <v>11402.7039831813</v>
      </c>
      <c r="O230" s="16" t="n">
        <v>1000</v>
      </c>
      <c r="P230" s="16" t="n">
        <v>951.290832135856</v>
      </c>
      <c r="Q230" s="16" t="n">
        <v>-267.565775756198</v>
      </c>
      <c r="R230" s="16" t="n">
        <v>17617.7170533315</v>
      </c>
      <c r="S230" s="16" t="n">
        <v>26949.0428826358</v>
      </c>
      <c r="T230" s="16" t="n">
        <v>-955.692204749296</v>
      </c>
      <c r="U230" s="16" t="n">
        <v>-621.096213862173</v>
      </c>
      <c r="V230" s="16" t="n">
        <v>0.750319556751226</v>
      </c>
      <c r="W230" s="16" t="n">
        <v>46166.2147180189</v>
      </c>
      <c r="X230" s="16" t="n">
        <v>22149.4762774452</v>
      </c>
      <c r="Y230" s="16" t="n">
        <v>3.7351002431262</v>
      </c>
      <c r="Z230" s="16" t="n">
        <v>5.06988806216538</v>
      </c>
      <c r="AA230" s="16" t="n">
        <v>27.424347870838</v>
      </c>
      <c r="AB230" s="16" t="n">
        <v>25.224347870838</v>
      </c>
      <c r="AC230" s="16" t="n">
        <v>26.674347870838</v>
      </c>
      <c r="AD230" s="16" t="n">
        <v>27.2673434792775</v>
      </c>
      <c r="AE230" s="16" t="n">
        <v>674.686407680941</v>
      </c>
      <c r="AF230" s="16" t="n">
        <v>0.03</v>
      </c>
      <c r="AG230" s="16" t="n">
        <v>0.654405917289144</v>
      </c>
      <c r="AH230" s="16" t="n">
        <v>9819.91719809611</v>
      </c>
      <c r="AI230" s="16" t="n">
        <v>19716.7966317894</v>
      </c>
      <c r="AJ230" s="16" t="n">
        <v>16.69175</v>
      </c>
      <c r="AK230" s="16" t="n">
        <v>0</v>
      </c>
      <c r="AL230" s="16" t="n">
        <v>1000</v>
      </c>
      <c r="AM230" s="16" t="n">
        <v>812.6073</v>
      </c>
      <c r="AN230" s="16" t="n">
        <v>20079.98904</v>
      </c>
      <c r="AO230" s="16" t="n">
        <v>-5508.72242389994</v>
      </c>
      <c r="AP230" s="16" t="n">
        <v>0.414483496940676</v>
      </c>
      <c r="AQ230" s="16" t="n">
        <v>78.645426879892</v>
      </c>
      <c r="AR230" s="16" t="n">
        <v>506.474954430797</v>
      </c>
      <c r="AS230" s="16" t="n">
        <v>314.925245</v>
      </c>
      <c r="AT230" s="16" t="n">
        <v>1000</v>
      </c>
      <c r="AU230" s="16" t="n">
        <v>12.270507</v>
      </c>
      <c r="AV230" s="16" t="n">
        <v>0</v>
      </c>
      <c r="AW230" s="16" t="n">
        <v>2254.3125</v>
      </c>
      <c r="AX230" s="16" t="n">
        <v>314.925245</v>
      </c>
      <c r="AY230" s="16" t="n">
        <v>314.925245</v>
      </c>
      <c r="AZ230" s="16" t="n">
        <v>5631.62619515181</v>
      </c>
      <c r="BA230" s="16" t="n">
        <v>0</v>
      </c>
      <c r="BB230" s="16" t="n">
        <v>417.928966666667</v>
      </c>
      <c r="BC230" s="16" t="n">
        <v>111441.907179589</v>
      </c>
      <c r="BD230" s="16" t="n">
        <v>16.751694488301</v>
      </c>
      <c r="BE230" s="16" t="n">
        <v>25.4089871102374</v>
      </c>
      <c r="BF230" s="16" t="n">
        <v>39.6368423190398</v>
      </c>
      <c r="BG230" s="16" t="n">
        <v>-8.27711430924607</v>
      </c>
      <c r="BH230" s="16" t="n">
        <v>-7.28866183200638</v>
      </c>
      <c r="BI230" s="16" t="n">
        <v>1.09242813813745</v>
      </c>
      <c r="BJ230" s="16" t="n">
        <v>2.04083187529388</v>
      </c>
      <c r="BK230" s="16" t="n">
        <v>5.25403316350504</v>
      </c>
      <c r="BL230" s="16" t="n">
        <v>7.88491984612206</v>
      </c>
      <c r="BM230" s="16" t="n">
        <v>3.71992671744367</v>
      </c>
      <c r="BN230" s="16" t="n">
        <v>4.46573109600205</v>
      </c>
      <c r="BO230" s="16" t="n">
        <v>5.7791095890411</v>
      </c>
      <c r="BP230" s="16" t="n">
        <v>8712.70308277889</v>
      </c>
      <c r="BQ230" s="16" t="n">
        <v>8176.87365522983</v>
      </c>
      <c r="BR230" s="16" t="n">
        <v>8176.87365522983</v>
      </c>
      <c r="BS230" s="16" t="n">
        <v>506.474954430797</v>
      </c>
      <c r="BT230" s="16" t="n">
        <v>301.7195</v>
      </c>
      <c r="BU230" s="16" t="n">
        <v>1081.9108</v>
      </c>
      <c r="BV230" s="16" t="s">
        <v>3237</v>
      </c>
      <c r="BW230" s="16" t="n">
        <v>42.7692307692308</v>
      </c>
      <c r="BX230" s="16" t="n">
        <v>0.155994305554286</v>
      </c>
      <c r="BY230" s="16" t="n">
        <v>0.161741466184191</v>
      </c>
      <c r="BZ230" s="16" t="n">
        <v>13510.8578038903</v>
      </c>
      <c r="CA230" s="16" t="n">
        <v>19402.010477409</v>
      </c>
      <c r="CB230" s="16" t="n">
        <v>278.503097417438</v>
      </c>
      <c r="CC230" s="16" t="n">
        <v>0</v>
      </c>
      <c r="CD230" s="16" t="n">
        <v>950.69728</v>
      </c>
      <c r="CE230" s="16" t="n">
        <v>12000</v>
      </c>
      <c r="CF230" s="16" t="n">
        <v>24.2501640779233</v>
      </c>
      <c r="CG230" s="16" t="n">
        <v>27.4026854080534</v>
      </c>
      <c r="CH230" s="16" t="n">
        <v>2643.77364301215</v>
      </c>
      <c r="CI230" s="16" t="n">
        <v>-6.2083733271085</v>
      </c>
      <c r="CJ230" s="16" t="n">
        <v>3.00594144553374</v>
      </c>
      <c r="CK230" s="16" t="n">
        <v>38739.6121648513</v>
      </c>
      <c r="CL230" s="16" t="n">
        <v>164.481464930797</v>
      </c>
      <c r="CM230" s="16" t="n">
        <v>189.849033180797</v>
      </c>
      <c r="CN230" s="16" t="n">
        <v>1000</v>
      </c>
      <c r="CO230" s="16" t="n">
        <v>1.5535546875</v>
      </c>
      <c r="CP230" s="16" t="n">
        <v>1.09004417261298</v>
      </c>
      <c r="CQ230" s="16" t="n">
        <v>3.97046602096122</v>
      </c>
      <c r="CR230" s="16" t="n">
        <v>88.869332374278</v>
      </c>
      <c r="CS230" s="16" t="n">
        <v>30.251102221468</v>
      </c>
      <c r="CT230" s="16" t="n">
        <v>3.51368674421347</v>
      </c>
      <c r="CU230" s="16" t="n">
        <v>3.97046602096122</v>
      </c>
      <c r="CV230" s="16" t="n">
        <v>10991.2196047346</v>
      </c>
      <c r="CW230" s="16" t="n">
        <v>2270.95477479745</v>
      </c>
      <c r="CX230" s="16" t="n">
        <v>13262.174379532</v>
      </c>
      <c r="CY230" s="16" t="n">
        <v>10991.2196047346</v>
      </c>
      <c r="CZ230" s="16" t="n">
        <v>1169.00957579736</v>
      </c>
      <c r="DA230" s="16" t="n">
        <v>24.2501640779233</v>
      </c>
      <c r="DB230" s="16" t="n">
        <v>16775.9595284851</v>
      </c>
      <c r="DC230" s="16" t="n">
        <v>12447.761970136</v>
      </c>
      <c r="DD230" s="16" t="n">
        <v>11144.3333333333</v>
      </c>
      <c r="DE230" s="16" t="n">
        <v>1921.25</v>
      </c>
      <c r="DF230" s="16" t="n">
        <v>11306.1448497346</v>
      </c>
      <c r="DG230" s="16" t="n">
        <v>189.849033180797</v>
      </c>
      <c r="DH230" s="16" t="n">
        <v>0</v>
      </c>
      <c r="DI230" s="16" t="n">
        <v>30.2511309413356</v>
      </c>
    </row>
    <row r="231" customFormat="false" ht="15" hidden="false" customHeight="false" outlineLevel="0" collapsed="false">
      <c r="A231" s="0" t="s">
        <v>3446</v>
      </c>
      <c r="B231" s="16" t="n">
        <v>2465.07954157611</v>
      </c>
      <c r="C231" s="16" t="n">
        <v>7897.89373173501</v>
      </c>
      <c r="D231" s="16" t="n">
        <v>18443.6133977381</v>
      </c>
      <c r="E231" s="16" t="n">
        <v>3992.08785576797</v>
      </c>
      <c r="F231" s="16" t="n">
        <v>-1343.76544515863</v>
      </c>
      <c r="G231" s="16" t="n">
        <v>5019.9375516572</v>
      </c>
      <c r="H231" s="16" t="n">
        <v>-5514.58395182561</v>
      </c>
      <c r="I231" s="17" t="n">
        <v>0.01</v>
      </c>
      <c r="J231" s="17" t="n">
        <v>0</v>
      </c>
      <c r="K231" s="16" t="s">
        <v>116</v>
      </c>
      <c r="L231" s="16" t="n">
        <v>1000</v>
      </c>
      <c r="M231" s="16" t="n">
        <v>33773.2199921347</v>
      </c>
      <c r="N231" s="16" t="n">
        <v>10435.0847253023</v>
      </c>
      <c r="O231" s="16" t="n">
        <v>1000</v>
      </c>
      <c r="P231" s="16" t="n">
        <v>951.290832135856</v>
      </c>
      <c r="Q231" s="16" t="n">
        <v>-1181.26531238763</v>
      </c>
      <c r="R231" s="16" t="n">
        <v>17617.7170533315</v>
      </c>
      <c r="S231" s="16" t="n">
        <v>26923.5792179548</v>
      </c>
      <c r="T231" s="16" t="n">
        <v>-955.692204749296</v>
      </c>
      <c r="U231" s="16" t="n">
        <v>-5236.86615608406</v>
      </c>
      <c r="V231" s="16" t="n">
        <v>0.750319556751226</v>
      </c>
      <c r="W231" s="16" t="n">
        <v>44145.1398544729</v>
      </c>
      <c r="X231" s="16" t="n">
        <v>22129.128988859</v>
      </c>
      <c r="Y231" s="16" t="n">
        <v>0</v>
      </c>
      <c r="Z231" s="16" t="n">
        <v>0</v>
      </c>
      <c r="AA231" s="16" t="n">
        <v>27.424347870838</v>
      </c>
      <c r="AB231" s="16" t="n">
        <v>25.224347870838</v>
      </c>
      <c r="AC231" s="16" t="n">
        <v>26.674347870838</v>
      </c>
      <c r="AD231" s="16" t="n">
        <v>27.2673434792775</v>
      </c>
      <c r="AE231" s="16" t="n">
        <v>674.686407680941</v>
      </c>
      <c r="AF231" s="16" t="n">
        <v>0.03</v>
      </c>
      <c r="AG231" s="16" t="n">
        <v>0.645813345764207</v>
      </c>
      <c r="AH231" s="16" t="n">
        <v>9819.91719809611</v>
      </c>
      <c r="AI231" s="16" t="n">
        <v>18443.6133977381</v>
      </c>
      <c r="AJ231" s="16" t="n">
        <v>16</v>
      </c>
      <c r="AK231" s="16" t="n">
        <v>0</v>
      </c>
      <c r="AL231" s="16" t="n">
        <v>1000</v>
      </c>
      <c r="AM231" s="16" t="n">
        <v>812.6073</v>
      </c>
      <c r="AN231" s="16" t="n">
        <v>20079.98904</v>
      </c>
      <c r="AO231" s="16" t="n">
        <v>-5508.72242389994</v>
      </c>
      <c r="AP231" s="16" t="n">
        <v>0.414483496940676</v>
      </c>
      <c r="AQ231" s="16" t="n">
        <v>72.4400504161704</v>
      </c>
      <c r="AR231" s="16" t="n">
        <v>515.506418476169</v>
      </c>
      <c r="AS231" s="16" t="n">
        <v>314.925245</v>
      </c>
      <c r="AT231" s="16" t="n">
        <v>1000</v>
      </c>
      <c r="AU231" s="16" t="n">
        <v>12.270507</v>
      </c>
      <c r="AV231" s="16" t="n">
        <v>0</v>
      </c>
      <c r="AW231" s="16" t="n">
        <v>2254.3125</v>
      </c>
      <c r="AX231" s="16" t="n">
        <v>314.925245</v>
      </c>
      <c r="AY231" s="16" t="n">
        <v>314.925245</v>
      </c>
      <c r="AZ231" s="16" t="n">
        <v>5378.26838305987</v>
      </c>
      <c r="BA231" s="16" t="n">
        <v>0</v>
      </c>
      <c r="BB231" s="16" t="n">
        <v>417.928966666667</v>
      </c>
      <c r="BC231" s="16" t="n">
        <v>111332.458953258</v>
      </c>
      <c r="BD231" s="16" t="n">
        <v>15.9471930514857</v>
      </c>
      <c r="BE231" s="16" t="n">
        <v>24.604485673422</v>
      </c>
      <c r="BF231" s="16" t="n">
        <v>38.8323408822245</v>
      </c>
      <c r="BG231" s="16" t="n">
        <v>-8.27711430924607</v>
      </c>
      <c r="BH231" s="16" t="n">
        <v>-7.28866183200638</v>
      </c>
      <c r="BI231" s="16" t="n">
        <v>1.09242813813745</v>
      </c>
      <c r="BJ231" s="16" t="n">
        <v>2.04083187529388</v>
      </c>
      <c r="BK231" s="16" t="n">
        <v>5.25403316350504</v>
      </c>
      <c r="BL231" s="16" t="n">
        <v>7.88491984612206</v>
      </c>
      <c r="BM231" s="16" t="n">
        <v>3.71992671744367</v>
      </c>
      <c r="BN231" s="16" t="n">
        <v>4.46573109600205</v>
      </c>
      <c r="BO231" s="16" t="n">
        <v>5.7791095890411</v>
      </c>
      <c r="BP231" s="16" t="n">
        <v>8712.70308277889</v>
      </c>
      <c r="BQ231" s="16" t="n">
        <v>7865.52699470478</v>
      </c>
      <c r="BR231" s="16" t="n">
        <v>7865.52699470478</v>
      </c>
      <c r="BS231" s="16" t="n">
        <v>515.506418476169</v>
      </c>
      <c r="BT231" s="16" t="n">
        <v>301.7195</v>
      </c>
      <c r="BU231" s="16" t="n">
        <v>1081.9108</v>
      </c>
      <c r="BV231" s="16" t="s">
        <v>3237</v>
      </c>
      <c r="BW231" s="16" t="n">
        <v>42.7692307692308</v>
      </c>
      <c r="BX231" s="16" t="n">
        <v>0.155994305554286</v>
      </c>
      <c r="BY231" s="16" t="n">
        <v>0.161741466184191</v>
      </c>
      <c r="BZ231" s="16" t="n">
        <v>13510.8578038903</v>
      </c>
      <c r="CA231" s="16" t="n">
        <v>19402.010477409</v>
      </c>
      <c r="CB231" s="16" t="n">
        <v>292.176658497736</v>
      </c>
      <c r="CC231" s="16" t="n">
        <v>0</v>
      </c>
      <c r="CD231" s="16" t="n">
        <v>950.69728</v>
      </c>
      <c r="CE231" s="16" t="n">
        <v>12000</v>
      </c>
      <c r="CF231" s="16" t="n">
        <v>24.2227214596965</v>
      </c>
      <c r="CG231" s="16" t="n">
        <v>27.371675249457</v>
      </c>
      <c r="CH231" s="16" t="n">
        <v>2643.77364301215</v>
      </c>
      <c r="CI231" s="16" t="n">
        <v>-6.2083733271085</v>
      </c>
      <c r="CJ231" s="16" t="n">
        <v>3.00594144553374</v>
      </c>
      <c r="CK231" s="16" t="n">
        <v>40866.7540561625</v>
      </c>
      <c r="CL231" s="16" t="n">
        <v>173.512928976169</v>
      </c>
      <c r="CM231" s="16" t="n">
        <v>198.880497226169</v>
      </c>
      <c r="CN231" s="16" t="n">
        <v>1000</v>
      </c>
      <c r="CO231" s="16" t="n">
        <v>1.5535546875</v>
      </c>
      <c r="CP231" s="16" t="n">
        <v>1.09004417261298</v>
      </c>
      <c r="CQ231" s="16" t="n">
        <v>0</v>
      </c>
      <c r="CR231" s="16" t="n">
        <v>81.8572569702725</v>
      </c>
      <c r="CS231" s="16" t="n">
        <v>19.4120452433497</v>
      </c>
      <c r="CT231" s="16" t="n">
        <v>0</v>
      </c>
      <c r="CU231" s="16" t="n">
        <v>0.0113</v>
      </c>
      <c r="CV231" s="16" t="n">
        <v>4050212.90803827</v>
      </c>
      <c r="CW231" s="16" t="n">
        <v>797942.368891408</v>
      </c>
      <c r="CX231" s="16" t="n">
        <v>4848155.27692968</v>
      </c>
      <c r="CY231" s="16" t="n">
        <v>4050212.90803827</v>
      </c>
      <c r="CZ231" s="16" t="n">
        <v>1852.72446572912</v>
      </c>
      <c r="DA231" s="16" t="n">
        <v>24.2227214596965</v>
      </c>
      <c r="DB231" s="16" t="n">
        <v>16522.6017163932</v>
      </c>
      <c r="DC231" s="16" t="n">
        <v>12259.7704735638</v>
      </c>
      <c r="DD231" s="16" t="n">
        <v>11144.3333333333</v>
      </c>
      <c r="DE231" s="16" t="n">
        <v>1921.25</v>
      </c>
      <c r="DF231" s="16" t="n">
        <v>4050527.83328327</v>
      </c>
      <c r="DG231" s="16" t="n">
        <v>198.880497226169</v>
      </c>
      <c r="DH231" s="16" t="n">
        <v>0</v>
      </c>
      <c r="DI231" s="16" t="n">
        <v>19.4127344995484</v>
      </c>
    </row>
    <row r="232" customFormat="false" ht="15" hidden="false" customHeight="false" outlineLevel="0" collapsed="false">
      <c r="A232" s="0" t="s">
        <v>3447</v>
      </c>
      <c r="B232" s="16" t="n">
        <v>2465.07954157611</v>
      </c>
      <c r="C232" s="16" t="n">
        <v>8022.43239594503</v>
      </c>
      <c r="D232" s="16" t="n">
        <v>18952.8866913586</v>
      </c>
      <c r="E232" s="16" t="n">
        <v>4080.51030735709</v>
      </c>
      <c r="F232" s="16" t="n">
        <v>-1260.45535447793</v>
      </c>
      <c r="G232" s="16" t="n">
        <v>5020.06836599722</v>
      </c>
      <c r="H232" s="16" t="n">
        <v>-3642.51167230043</v>
      </c>
      <c r="I232" s="17" t="n">
        <v>0.01</v>
      </c>
      <c r="J232" s="17" t="n">
        <v>0</v>
      </c>
      <c r="K232" s="16" t="s">
        <v>116</v>
      </c>
      <c r="L232" s="16" t="n">
        <v>1000</v>
      </c>
      <c r="M232" s="16" t="n">
        <v>33775.7107654189</v>
      </c>
      <c r="N232" s="16" t="n">
        <v>10822.1324284539</v>
      </c>
      <c r="O232" s="16" t="n">
        <v>1000</v>
      </c>
      <c r="P232" s="16" t="n">
        <v>951.290832135856</v>
      </c>
      <c r="Q232" s="16" t="n">
        <v>-815.785497735054</v>
      </c>
      <c r="R232" s="16" t="n">
        <v>17617.7170533315</v>
      </c>
      <c r="S232" s="16" t="n">
        <v>26933.7646838272</v>
      </c>
      <c r="T232" s="16" t="n">
        <v>-955.692204749296</v>
      </c>
      <c r="U232" s="16" t="n">
        <v>-3364.79387655888</v>
      </c>
      <c r="V232" s="16" t="n">
        <v>0.750319556751226</v>
      </c>
      <c r="W232" s="16" t="n">
        <v>44953.5697998913</v>
      </c>
      <c r="X232" s="16" t="n">
        <v>22137.2679042935</v>
      </c>
      <c r="Y232" s="16" t="n">
        <v>0</v>
      </c>
      <c r="Z232" s="16" t="n">
        <v>0</v>
      </c>
      <c r="AA232" s="16" t="n">
        <v>27.424347870838</v>
      </c>
      <c r="AB232" s="16" t="n">
        <v>25.224347870838</v>
      </c>
      <c r="AC232" s="16" t="n">
        <v>26.674347870838</v>
      </c>
      <c r="AD232" s="16" t="n">
        <v>27.2673434792775</v>
      </c>
      <c r="AE232" s="16" t="n">
        <v>674.686407680941</v>
      </c>
      <c r="AF232" s="16" t="n">
        <v>0.03</v>
      </c>
      <c r="AG232" s="16" t="n">
        <v>0.64936179753127</v>
      </c>
      <c r="AH232" s="16" t="n">
        <v>9819.91719809611</v>
      </c>
      <c r="AI232" s="16" t="n">
        <v>18952.8866913586</v>
      </c>
      <c r="AJ232" s="16" t="n">
        <v>16.2767</v>
      </c>
      <c r="AK232" s="16" t="n">
        <v>0</v>
      </c>
      <c r="AL232" s="16" t="n">
        <v>1000</v>
      </c>
      <c r="AM232" s="16" t="n">
        <v>812.6073</v>
      </c>
      <c r="AN232" s="16" t="n">
        <v>20079.98904</v>
      </c>
      <c r="AO232" s="16" t="n">
        <v>-5508.72242389994</v>
      </c>
      <c r="AP232" s="16" t="n">
        <v>0.414483496940676</v>
      </c>
      <c r="AQ232" s="16" t="n">
        <v>74.9462564396917</v>
      </c>
      <c r="AR232" s="16" t="n">
        <v>511.89383285802</v>
      </c>
      <c r="AS232" s="16" t="n">
        <v>314.925245</v>
      </c>
      <c r="AT232" s="16" t="n">
        <v>1000</v>
      </c>
      <c r="AU232" s="16" t="n">
        <v>12.270507</v>
      </c>
      <c r="AV232" s="16" t="n">
        <v>0</v>
      </c>
      <c r="AW232" s="16" t="n">
        <v>2254.3125</v>
      </c>
      <c r="AX232" s="16" t="n">
        <v>314.925245</v>
      </c>
      <c r="AY232" s="16" t="n">
        <v>314.925245</v>
      </c>
      <c r="AZ232" s="16" t="n">
        <v>5483.06174299578</v>
      </c>
      <c r="BA232" s="16" t="n">
        <v>0</v>
      </c>
      <c r="BB232" s="16" t="n">
        <v>417.928966666667</v>
      </c>
      <c r="BC232" s="16" t="n">
        <v>111376.238243791</v>
      </c>
      <c r="BD232" s="16" t="n">
        <v>16.279949353496</v>
      </c>
      <c r="BE232" s="16" t="n">
        <v>24.9372419754324</v>
      </c>
      <c r="BF232" s="16" t="n">
        <v>39.1650971842348</v>
      </c>
      <c r="BG232" s="16" t="n">
        <v>-8.27711430924607</v>
      </c>
      <c r="BH232" s="16" t="n">
        <v>-7.28866183200638</v>
      </c>
      <c r="BI232" s="16" t="n">
        <v>1.09242813813745</v>
      </c>
      <c r="BJ232" s="16" t="n">
        <v>2.04083187529388</v>
      </c>
      <c r="BK232" s="16" t="n">
        <v>5.25403316350504</v>
      </c>
      <c r="BL232" s="16" t="n">
        <v>7.88491984612206</v>
      </c>
      <c r="BM232" s="16" t="n">
        <v>3.71992671744367</v>
      </c>
      <c r="BN232" s="16" t="n">
        <v>4.46573109600205</v>
      </c>
      <c r="BO232" s="16" t="n">
        <v>5.7791095890411</v>
      </c>
      <c r="BP232" s="16" t="n">
        <v>8712.70308277889</v>
      </c>
      <c r="BQ232" s="16" t="n">
        <v>7990.0656589148</v>
      </c>
      <c r="BR232" s="16" t="n">
        <v>7990.0656589148</v>
      </c>
      <c r="BS232" s="16" t="n">
        <v>511.89383285802</v>
      </c>
      <c r="BT232" s="16" t="n">
        <v>301.7195</v>
      </c>
      <c r="BU232" s="16" t="n">
        <v>1081.9108</v>
      </c>
      <c r="BV232" s="16" t="s">
        <v>3237</v>
      </c>
      <c r="BW232" s="16" t="n">
        <v>42.7692307692308</v>
      </c>
      <c r="BX232" s="16" t="n">
        <v>0.155994305554286</v>
      </c>
      <c r="BY232" s="16" t="n">
        <v>0.161741466184191</v>
      </c>
      <c r="BZ232" s="16" t="n">
        <v>13510.8578038903</v>
      </c>
      <c r="CA232" s="16" t="n">
        <v>19402.010477409</v>
      </c>
      <c r="CB232" s="16" t="n">
        <v>286.707234065617</v>
      </c>
      <c r="CC232" s="16" t="n">
        <v>0</v>
      </c>
      <c r="CD232" s="16" t="n">
        <v>950.69728</v>
      </c>
      <c r="CE232" s="16" t="n">
        <v>12000</v>
      </c>
      <c r="CF232" s="16" t="n">
        <v>24.2446542342715</v>
      </c>
      <c r="CG232" s="16" t="n">
        <v>27.3964592847267</v>
      </c>
      <c r="CH232" s="16" t="n">
        <v>2643.77364301215</v>
      </c>
      <c r="CI232" s="16" t="n">
        <v>-6.2083733271085</v>
      </c>
      <c r="CJ232" s="16" t="n">
        <v>3.00594144553374</v>
      </c>
      <c r="CK232" s="16" t="n">
        <v>40015.897299638</v>
      </c>
      <c r="CL232" s="16" t="n">
        <v>169.90034335802</v>
      </c>
      <c r="CM232" s="16" t="n">
        <v>195.26791160802</v>
      </c>
      <c r="CN232" s="16" t="n">
        <v>1000</v>
      </c>
      <c r="CO232" s="16" t="n">
        <v>1.5535546875</v>
      </c>
      <c r="CP232" s="16" t="n">
        <v>1.09004417261298</v>
      </c>
      <c r="CQ232" s="16" t="n">
        <v>0</v>
      </c>
      <c r="CR232" s="16" t="n">
        <v>84.6892697768516</v>
      </c>
      <c r="CS232" s="16" t="n">
        <v>23.7233928521564</v>
      </c>
      <c r="CT232" s="16" t="n">
        <v>0</v>
      </c>
      <c r="CU232" s="16" t="n">
        <v>0.0113</v>
      </c>
      <c r="CV232" s="16" t="n">
        <v>3974915.84993876</v>
      </c>
      <c r="CW232" s="16" t="n">
        <v>797942.368891408</v>
      </c>
      <c r="CX232" s="16" t="n">
        <v>4772858.21883017</v>
      </c>
      <c r="CY232" s="16" t="n">
        <v>3974915.84993876</v>
      </c>
      <c r="CZ232" s="16" t="n">
        <v>1507.43161882729</v>
      </c>
      <c r="DA232" s="16" t="n">
        <v>24.2446542342715</v>
      </c>
      <c r="DB232" s="16" t="n">
        <v>16627.3950763291</v>
      </c>
      <c r="DC232" s="16" t="n">
        <v>12337.5271466362</v>
      </c>
      <c r="DD232" s="16" t="n">
        <v>11144.3333333333</v>
      </c>
      <c r="DE232" s="16" t="n">
        <v>1921.25</v>
      </c>
      <c r="DF232" s="16" t="n">
        <v>3975230.77518376</v>
      </c>
      <c r="DG232" s="16" t="n">
        <v>195.26791160802</v>
      </c>
      <c r="DH232" s="16" t="n">
        <v>0</v>
      </c>
      <c r="DI232" s="16" t="n">
        <v>23.7235875896513</v>
      </c>
    </row>
    <row r="233" customFormat="false" ht="15" hidden="false" customHeight="false" outlineLevel="0" collapsed="false">
      <c r="A233" s="0" t="s">
        <v>3448</v>
      </c>
      <c r="B233" s="16" t="n">
        <v>2465.07954157611</v>
      </c>
      <c r="C233" s="16" t="n">
        <v>8209.24039226006</v>
      </c>
      <c r="D233" s="16" t="n">
        <v>19716.7966317894</v>
      </c>
      <c r="E233" s="16" t="n">
        <v>4213.14398474076</v>
      </c>
      <c r="F233" s="16" t="n">
        <v>-1135.49021845689</v>
      </c>
      <c r="G233" s="16" t="n">
        <v>5020.26458750724</v>
      </c>
      <c r="H233" s="16" t="n">
        <v>-898.814009603721</v>
      </c>
      <c r="I233" s="17" t="n">
        <v>0.01</v>
      </c>
      <c r="J233" s="17" t="n">
        <v>3.97046602096122</v>
      </c>
      <c r="K233" s="16" t="s">
        <v>116</v>
      </c>
      <c r="L233" s="16" t="n">
        <v>1000</v>
      </c>
      <c r="M233" s="16" t="n">
        <v>33779.4469253452</v>
      </c>
      <c r="N233" s="16" t="n">
        <v>11402.7039831813</v>
      </c>
      <c r="O233" s="16" t="n">
        <v>1000</v>
      </c>
      <c r="P233" s="16" t="n">
        <v>951.290832135856</v>
      </c>
      <c r="Q233" s="16" t="n">
        <v>-267.565775756198</v>
      </c>
      <c r="R233" s="16" t="n">
        <v>17617.7170533315</v>
      </c>
      <c r="S233" s="16" t="n">
        <v>26949.0428826358</v>
      </c>
      <c r="T233" s="16" t="n">
        <v>-955.692204749296</v>
      </c>
      <c r="U233" s="16" t="n">
        <v>-621.096213862173</v>
      </c>
      <c r="V233" s="16" t="n">
        <v>0.750319556751226</v>
      </c>
      <c r="W233" s="16" t="n">
        <v>46166.2147180189</v>
      </c>
      <c r="X233" s="16" t="n">
        <v>22149.4762774452</v>
      </c>
      <c r="Y233" s="16" t="n">
        <v>3.7351002431262</v>
      </c>
      <c r="Z233" s="16" t="n">
        <v>5.06988806216538</v>
      </c>
      <c r="AA233" s="16" t="n">
        <v>27.424347870838</v>
      </c>
      <c r="AB233" s="16" t="n">
        <v>25.224347870838</v>
      </c>
      <c r="AC233" s="16" t="n">
        <v>26.674347870838</v>
      </c>
      <c r="AD233" s="16" t="n">
        <v>27.2673434792775</v>
      </c>
      <c r="AE233" s="16" t="n">
        <v>674.686407680941</v>
      </c>
      <c r="AF233" s="16" t="n">
        <v>0.03</v>
      </c>
      <c r="AG233" s="16" t="n">
        <v>0.654405917289144</v>
      </c>
      <c r="AH233" s="16" t="n">
        <v>9819.91719809611</v>
      </c>
      <c r="AI233" s="16" t="n">
        <v>19716.7966317894</v>
      </c>
      <c r="AJ233" s="16" t="n">
        <v>16.69175</v>
      </c>
      <c r="AK233" s="16" t="n">
        <v>0</v>
      </c>
      <c r="AL233" s="16" t="n">
        <v>1000</v>
      </c>
      <c r="AM233" s="16" t="n">
        <v>812.6073</v>
      </c>
      <c r="AN233" s="16" t="n">
        <v>20079.98904</v>
      </c>
      <c r="AO233" s="16" t="n">
        <v>-5508.72242389994</v>
      </c>
      <c r="AP233" s="16" t="n">
        <v>0.414483496940676</v>
      </c>
      <c r="AQ233" s="16" t="n">
        <v>78.645426879892</v>
      </c>
      <c r="AR233" s="16" t="n">
        <v>506.474954430797</v>
      </c>
      <c r="AS233" s="16" t="n">
        <v>314.925245</v>
      </c>
      <c r="AT233" s="16" t="n">
        <v>1000</v>
      </c>
      <c r="AU233" s="16" t="n">
        <v>12.270507</v>
      </c>
      <c r="AV233" s="16" t="n">
        <v>0</v>
      </c>
      <c r="AW233" s="16" t="n">
        <v>2254.3125</v>
      </c>
      <c r="AX233" s="16" t="n">
        <v>314.925245</v>
      </c>
      <c r="AY233" s="16" t="n">
        <v>314.925245</v>
      </c>
      <c r="AZ233" s="16" t="n">
        <v>5631.62619515181</v>
      </c>
      <c r="BA233" s="16" t="n">
        <v>0</v>
      </c>
      <c r="BB233" s="16" t="n">
        <v>417.928966666667</v>
      </c>
      <c r="BC233" s="16" t="n">
        <v>111441.907179589</v>
      </c>
      <c r="BD233" s="16" t="n">
        <v>16.751694488301</v>
      </c>
      <c r="BE233" s="16" t="n">
        <v>25.4089871102374</v>
      </c>
      <c r="BF233" s="16" t="n">
        <v>39.6368423190398</v>
      </c>
      <c r="BG233" s="16" t="n">
        <v>-8.27711430924607</v>
      </c>
      <c r="BH233" s="16" t="n">
        <v>-7.28866183200638</v>
      </c>
      <c r="BI233" s="16" t="n">
        <v>1.09242813813745</v>
      </c>
      <c r="BJ233" s="16" t="n">
        <v>2.04083187529388</v>
      </c>
      <c r="BK233" s="16" t="n">
        <v>5.25403316350504</v>
      </c>
      <c r="BL233" s="16" t="n">
        <v>7.88491984612206</v>
      </c>
      <c r="BM233" s="16" t="n">
        <v>3.71992671744367</v>
      </c>
      <c r="BN233" s="16" t="n">
        <v>4.46573109600205</v>
      </c>
      <c r="BO233" s="16" t="n">
        <v>5.7791095890411</v>
      </c>
      <c r="BP233" s="16" t="n">
        <v>8712.70308277889</v>
      </c>
      <c r="BQ233" s="16" t="n">
        <v>8176.87365522983</v>
      </c>
      <c r="BR233" s="16" t="n">
        <v>8176.87365522983</v>
      </c>
      <c r="BS233" s="16" t="n">
        <v>506.474954430797</v>
      </c>
      <c r="BT233" s="16" t="n">
        <v>301.7195</v>
      </c>
      <c r="BU233" s="16" t="n">
        <v>1081.9108</v>
      </c>
      <c r="BV233" s="16" t="s">
        <v>3237</v>
      </c>
      <c r="BW233" s="16" t="n">
        <v>42.7692307692308</v>
      </c>
      <c r="BX233" s="16" t="n">
        <v>0.155994305554286</v>
      </c>
      <c r="BY233" s="16" t="n">
        <v>0.161741466184191</v>
      </c>
      <c r="BZ233" s="16" t="n">
        <v>13510.8578038903</v>
      </c>
      <c r="CA233" s="16" t="n">
        <v>19402.010477409</v>
      </c>
      <c r="CB233" s="16" t="n">
        <v>278.503097417438</v>
      </c>
      <c r="CC233" s="16" t="n">
        <v>0</v>
      </c>
      <c r="CD233" s="16" t="n">
        <v>950.69728</v>
      </c>
      <c r="CE233" s="16" t="n">
        <v>12000</v>
      </c>
      <c r="CF233" s="16" t="n">
        <v>24.2501640779233</v>
      </c>
      <c r="CG233" s="16" t="n">
        <v>27.4026854080534</v>
      </c>
      <c r="CH233" s="16" t="n">
        <v>2643.77364301215</v>
      </c>
      <c r="CI233" s="16" t="n">
        <v>-6.2083733271085</v>
      </c>
      <c r="CJ233" s="16" t="n">
        <v>3.00594144553374</v>
      </c>
      <c r="CK233" s="16" t="n">
        <v>38739.6121648513</v>
      </c>
      <c r="CL233" s="16" t="n">
        <v>164.481464930797</v>
      </c>
      <c r="CM233" s="16" t="n">
        <v>189.849033180797</v>
      </c>
      <c r="CN233" s="16" t="n">
        <v>1000</v>
      </c>
      <c r="CO233" s="16" t="n">
        <v>1.5535546875</v>
      </c>
      <c r="CP233" s="16" t="n">
        <v>1.09004417261298</v>
      </c>
      <c r="CQ233" s="16" t="n">
        <v>3.97046602096122</v>
      </c>
      <c r="CR233" s="16" t="n">
        <v>88.869332374278</v>
      </c>
      <c r="CS233" s="16" t="n">
        <v>30.251102221468</v>
      </c>
      <c r="CT233" s="16" t="n">
        <v>3.51368674421347</v>
      </c>
      <c r="CU233" s="16" t="n">
        <v>3.97046602096122</v>
      </c>
      <c r="CV233" s="16" t="n">
        <v>10991.2196047346</v>
      </c>
      <c r="CW233" s="16" t="n">
        <v>2270.95477479745</v>
      </c>
      <c r="CX233" s="16" t="n">
        <v>13262.174379532</v>
      </c>
      <c r="CY233" s="16" t="n">
        <v>10991.2196047346</v>
      </c>
      <c r="CZ233" s="16" t="n">
        <v>1169.00957579736</v>
      </c>
      <c r="DA233" s="16" t="n">
        <v>24.2501640779233</v>
      </c>
      <c r="DB233" s="16" t="n">
        <v>16775.9595284851</v>
      </c>
      <c r="DC233" s="16" t="n">
        <v>12447.761970136</v>
      </c>
      <c r="DD233" s="16" t="n">
        <v>11144.3333333333</v>
      </c>
      <c r="DE233" s="16" t="n">
        <v>1921.25</v>
      </c>
      <c r="DF233" s="16" t="n">
        <v>11306.1448497346</v>
      </c>
      <c r="DG233" s="16" t="n">
        <v>189.849033180797</v>
      </c>
      <c r="DH233" s="16" t="n">
        <v>0</v>
      </c>
      <c r="DI233" s="16" t="n">
        <v>30.2511309413356</v>
      </c>
    </row>
    <row r="234" customFormat="false" ht="15" hidden="false" customHeight="false" outlineLevel="0" collapsed="false">
      <c r="A234" s="0" t="s">
        <v>3449</v>
      </c>
      <c r="B234" s="16" t="n">
        <v>2465.07954157611</v>
      </c>
      <c r="C234" s="16" t="n">
        <v>8520.58705278511</v>
      </c>
      <c r="D234" s="16" t="n">
        <v>20989.9798658406</v>
      </c>
      <c r="E234" s="16" t="n">
        <v>4434.20011371354</v>
      </c>
      <c r="F234" s="16" t="n">
        <v>-927.214991755157</v>
      </c>
      <c r="G234" s="16" t="n">
        <v>5020.59162335729</v>
      </c>
      <c r="H234" s="16" t="n">
        <v>5391.26757957381</v>
      </c>
      <c r="I234" s="17" t="n">
        <v>18.0010509329456</v>
      </c>
      <c r="J234" s="17" t="n">
        <v>25.7006171488776</v>
      </c>
      <c r="K234" s="16" t="s">
        <v>116</v>
      </c>
      <c r="L234" s="16" t="n">
        <v>1000</v>
      </c>
      <c r="M234" s="16" t="n">
        <v>33785.6738585557</v>
      </c>
      <c r="N234" s="16" t="n">
        <v>12370.3232410602</v>
      </c>
      <c r="O234" s="16" t="n">
        <v>1000</v>
      </c>
      <c r="P234" s="16" t="n">
        <v>951.290832135856</v>
      </c>
      <c r="Q234" s="16" t="n">
        <v>646.133760875227</v>
      </c>
      <c r="R234" s="16" t="n">
        <v>17617.7170533315</v>
      </c>
      <c r="S234" s="16" t="n">
        <v>26974.5065473168</v>
      </c>
      <c r="T234" s="16" t="n">
        <v>-955.692204749296</v>
      </c>
      <c r="U234" s="16" t="n">
        <v>5668.98537531536</v>
      </c>
      <c r="V234" s="16" t="n">
        <v>0.750319556751226</v>
      </c>
      <c r="W234" s="16" t="n">
        <v>50039.6398490556</v>
      </c>
      <c r="X234" s="16" t="n">
        <v>22169.8235660314</v>
      </c>
      <c r="Y234" s="16" t="n">
        <v>24.1771068822865</v>
      </c>
      <c r="Z234" s="16" t="n">
        <v>32.8171180374018</v>
      </c>
      <c r="AA234" s="16" t="n">
        <v>27.424347870838</v>
      </c>
      <c r="AB234" s="16" t="n">
        <v>25.224347870838</v>
      </c>
      <c r="AC234" s="16" t="n">
        <v>26.674347870838</v>
      </c>
      <c r="AD234" s="16" t="n">
        <v>27.2673434792775</v>
      </c>
      <c r="AE234" s="16" t="n">
        <v>674.686407680941</v>
      </c>
      <c r="AF234" s="16" t="n">
        <v>0.03</v>
      </c>
      <c r="AG234" s="16" t="n">
        <v>0.662143845727379</v>
      </c>
      <c r="AH234" s="16" t="n">
        <v>9819.91719809611</v>
      </c>
      <c r="AI234" s="16" t="n">
        <v>20989.9798658406</v>
      </c>
      <c r="AJ234" s="16" t="n">
        <v>17.3835</v>
      </c>
      <c r="AK234" s="16" t="n">
        <v>0</v>
      </c>
      <c r="AL234" s="16" t="n">
        <v>1000</v>
      </c>
      <c r="AM234" s="16" t="n">
        <v>812.6073</v>
      </c>
      <c r="AN234" s="16" t="n">
        <v>20079.98904</v>
      </c>
      <c r="AO234" s="16" t="n">
        <v>-5508.72242389994</v>
      </c>
      <c r="AP234" s="16" t="n">
        <v>0.414483496940676</v>
      </c>
      <c r="AQ234" s="16" t="n">
        <v>88.5588097888008</v>
      </c>
      <c r="AR234" s="16" t="n">
        <v>497.838985946269</v>
      </c>
      <c r="AS234" s="16" t="n">
        <v>314.925245</v>
      </c>
      <c r="AT234" s="16" t="n">
        <v>1000</v>
      </c>
      <c r="AU234" s="16" t="n">
        <v>12.270507</v>
      </c>
      <c r="AV234" s="16" t="n">
        <v>0</v>
      </c>
      <c r="AW234" s="16" t="n">
        <v>2254.3125</v>
      </c>
      <c r="AX234" s="16" t="n">
        <v>314.925245</v>
      </c>
      <c r="AY234" s="16" t="n">
        <v>314.925245</v>
      </c>
      <c r="AZ234" s="16" t="n">
        <v>5858.69097011371</v>
      </c>
      <c r="BA234" s="16" t="n">
        <v>0</v>
      </c>
      <c r="BB234" s="16" t="n">
        <v>417.928966666667</v>
      </c>
      <c r="BC234" s="16" t="n">
        <v>111551.35540592</v>
      </c>
      <c r="BD234" s="16" t="n">
        <v>17.4727061523926</v>
      </c>
      <c r="BE234" s="16" t="n">
        <v>26.129998774329</v>
      </c>
      <c r="BF234" s="16" t="n">
        <v>40.3578539831314</v>
      </c>
      <c r="BG234" s="16" t="n">
        <v>-8.27711430924607</v>
      </c>
      <c r="BH234" s="16" t="n">
        <v>-7.28866183200638</v>
      </c>
      <c r="BI234" s="16" t="n">
        <v>1.09242813813745</v>
      </c>
      <c r="BJ234" s="16" t="n">
        <v>2.04083187529388</v>
      </c>
      <c r="BK234" s="16" t="n">
        <v>5.25403316350504</v>
      </c>
      <c r="BL234" s="16" t="n">
        <v>7.88491984612206</v>
      </c>
      <c r="BM234" s="16" t="n">
        <v>3.71992671744367</v>
      </c>
      <c r="BN234" s="16" t="n">
        <v>4.46573109600205</v>
      </c>
      <c r="BO234" s="16" t="n">
        <v>5.7791095890411</v>
      </c>
      <c r="BP234" s="16" t="n">
        <v>8712.70308277889</v>
      </c>
      <c r="BQ234" s="16" t="n">
        <v>8488.22031575488</v>
      </c>
      <c r="BR234" s="16" t="n">
        <v>8488.22031575487</v>
      </c>
      <c r="BS234" s="16" t="n">
        <v>497.838985946269</v>
      </c>
      <c r="BT234" s="16" t="n">
        <v>301.7195</v>
      </c>
      <c r="BU234" s="16" t="n">
        <v>1081.9108</v>
      </c>
      <c r="BV234" s="16" t="s">
        <v>3237</v>
      </c>
      <c r="BW234" s="16" t="n">
        <v>42.7692307692308</v>
      </c>
      <c r="BX234" s="16" t="n">
        <v>0.155994305554286</v>
      </c>
      <c r="BY234" s="16" t="n">
        <v>0.161741466184191</v>
      </c>
      <c r="BZ234" s="16" t="n">
        <v>13510.8578038903</v>
      </c>
      <c r="CA234" s="16" t="n">
        <v>19402.010477409</v>
      </c>
      <c r="CB234" s="16" t="n">
        <v>265.42416709283</v>
      </c>
      <c r="CC234" s="16" t="n">
        <v>0</v>
      </c>
      <c r="CD234" s="16" t="n">
        <v>950.69728</v>
      </c>
      <c r="CE234" s="16" t="n">
        <v>12000</v>
      </c>
      <c r="CF234" s="16" t="n">
        <v>24.2281449959209</v>
      </c>
      <c r="CG234" s="16" t="n">
        <v>27.3778038453906</v>
      </c>
      <c r="CH234" s="16" t="n">
        <v>2643.77364301215</v>
      </c>
      <c r="CI234" s="16" t="n">
        <v>-6.2083733271085</v>
      </c>
      <c r="CJ234" s="16" t="n">
        <v>3.00594144553374</v>
      </c>
      <c r="CK234" s="16" t="n">
        <v>36705.6196423551</v>
      </c>
      <c r="CL234" s="16" t="n">
        <v>155.845496446269</v>
      </c>
      <c r="CM234" s="16" t="n">
        <v>181.213064696269</v>
      </c>
      <c r="CN234" s="16" t="n">
        <v>1000</v>
      </c>
      <c r="CO234" s="16" t="n">
        <v>1.5535546875</v>
      </c>
      <c r="CP234" s="16" t="n">
        <v>1.09004417261298</v>
      </c>
      <c r="CQ234" s="16" t="n">
        <v>25.7006171488776</v>
      </c>
      <c r="CR234" s="16" t="n">
        <v>100.071455061345</v>
      </c>
      <c r="CS234" s="16" t="n">
        <v>46.6561555000837</v>
      </c>
      <c r="CT234" s="16" t="n">
        <v>22.7439089813076</v>
      </c>
      <c r="CU234" s="16" t="n">
        <v>25.7006171488776</v>
      </c>
      <c r="CV234" s="16" t="n">
        <v>1618.88219282867</v>
      </c>
      <c r="CW234" s="16" t="n">
        <v>350.837830712041</v>
      </c>
      <c r="CX234" s="16" t="n">
        <v>1969.72002354071</v>
      </c>
      <c r="CY234" s="16" t="n">
        <v>1618.88219282867</v>
      </c>
      <c r="CZ234" s="16" t="n">
        <v>750.315644794218</v>
      </c>
      <c r="DA234" s="16" t="n">
        <v>24.2281449959209</v>
      </c>
      <c r="DB234" s="16" t="n">
        <v>17003.024303447</v>
      </c>
      <c r="DC234" s="16" t="n">
        <v>12616.2440331577</v>
      </c>
      <c r="DD234" s="16" t="n">
        <v>11144.3333333333</v>
      </c>
      <c r="DE234" s="16" t="n">
        <v>1921.25</v>
      </c>
      <c r="DF234" s="16" t="n">
        <v>1933.80743782867</v>
      </c>
      <c r="DG234" s="16" t="n">
        <v>181.213064696269</v>
      </c>
      <c r="DH234" s="16" t="n">
        <v>0</v>
      </c>
      <c r="DI234" s="16" t="n">
        <v>46.6561558348762</v>
      </c>
    </row>
    <row r="235" customFormat="false" ht="15" hidden="false" customHeight="false" outlineLevel="0" collapsed="false">
      <c r="A235" s="0" t="s">
        <v>3450</v>
      </c>
      <c r="B235" s="16" t="n">
        <v>2465.07954157611</v>
      </c>
      <c r="C235" s="16" t="n">
        <v>8398.99914004797</v>
      </c>
      <c r="D235" s="16" t="n">
        <v>19606.6468647308</v>
      </c>
      <c r="E235" s="16" t="n">
        <v>4347.87269567017</v>
      </c>
      <c r="F235" s="16" t="n">
        <v>-1008.44711156449</v>
      </c>
      <c r="G235" s="16" t="n">
        <v>5020.35984163275</v>
      </c>
      <c r="H235" s="16" t="n">
        <v>-2076.79861934247</v>
      </c>
      <c r="I235" s="17" t="n">
        <v>0.01</v>
      </c>
      <c r="J235" s="17" t="n">
        <v>0</v>
      </c>
      <c r="K235" s="16" t="s">
        <v>116</v>
      </c>
      <c r="L235" s="16" t="n">
        <v>1000</v>
      </c>
      <c r="M235" s="16" t="n">
        <v>33783.242100301</v>
      </c>
      <c r="N235" s="16" t="n">
        <v>11318.9901602167</v>
      </c>
      <c r="O235" s="16" t="n">
        <v>1000</v>
      </c>
      <c r="P235" s="16" t="n">
        <v>951.290832135856</v>
      </c>
      <c r="Q235" s="16" t="n">
        <v>-347.589911350952</v>
      </c>
      <c r="R235" s="16" t="n">
        <v>17617.7170533315</v>
      </c>
      <c r="S235" s="16" t="n">
        <v>26946.8398872946</v>
      </c>
      <c r="T235" s="16" t="n">
        <v>-955.692204749296</v>
      </c>
      <c r="U235" s="16" t="n">
        <v>-1799.08082360092</v>
      </c>
      <c r="V235" s="16" t="n">
        <v>0.750319556751226</v>
      </c>
      <c r="W235" s="16" t="n">
        <v>45420.4248592423</v>
      </c>
      <c r="X235" s="16" t="n">
        <v>22145.6074756436</v>
      </c>
      <c r="Y235" s="16" t="n">
        <v>0</v>
      </c>
      <c r="Z235" s="16" t="n">
        <v>0</v>
      </c>
      <c r="AA235" s="16" t="n">
        <v>27.424347870838</v>
      </c>
      <c r="AB235" s="16" t="n">
        <v>25.224347870838</v>
      </c>
      <c r="AC235" s="16" t="n">
        <v>26.674347870838</v>
      </c>
      <c r="AD235" s="16" t="n">
        <v>27.2673434792775</v>
      </c>
      <c r="AE235" s="16" t="n">
        <v>674.686407680941</v>
      </c>
      <c r="AF235" s="16" t="n">
        <v>0.03</v>
      </c>
      <c r="AG235" s="16" t="n">
        <v>0.651310237703547</v>
      </c>
      <c r="AH235" s="16" t="n">
        <v>9819.91719809611</v>
      </c>
      <c r="AI235" s="16" t="n">
        <v>19606.6468647308</v>
      </c>
      <c r="AJ235" s="16" t="n">
        <v>19.2078239608802</v>
      </c>
      <c r="AK235" s="16" t="n">
        <v>0</v>
      </c>
      <c r="AL235" s="16" t="n">
        <v>1000</v>
      </c>
      <c r="AM235" s="16" t="n">
        <v>812.6073</v>
      </c>
      <c r="AN235" s="16" t="n">
        <v>20079.98904</v>
      </c>
      <c r="AO235" s="16" t="n">
        <v>-5508.72242389994</v>
      </c>
      <c r="AP235" s="16" t="n">
        <v>0.358496107957722</v>
      </c>
      <c r="AQ235" s="16" t="n">
        <v>76.529760686696</v>
      </c>
      <c r="AR235" s="16" t="n">
        <v>507.14448518365</v>
      </c>
      <c r="AS235" s="16" t="n">
        <v>314.925245</v>
      </c>
      <c r="AT235" s="16" t="n">
        <v>1000</v>
      </c>
      <c r="AU235" s="16" t="n">
        <v>12.270507</v>
      </c>
      <c r="AV235" s="16" t="n">
        <v>0</v>
      </c>
      <c r="AW235" s="16" t="n">
        <v>2254.3125</v>
      </c>
      <c r="AX235" s="16" t="n">
        <v>314.925245</v>
      </c>
      <c r="AY235" s="16" t="n">
        <v>314.925245</v>
      </c>
      <c r="AZ235" s="16" t="n">
        <v>5606.84757287369</v>
      </c>
      <c r="BA235" s="16" t="n">
        <v>0</v>
      </c>
      <c r="BB235" s="16" t="n">
        <v>417.928966666667</v>
      </c>
      <c r="BC235" s="16" t="n">
        <v>111419.179866434</v>
      </c>
      <c r="BD235" s="16" t="n">
        <v>16.6730135229878</v>
      </c>
      <c r="BE235" s="16" t="n">
        <v>25.3303061449241</v>
      </c>
      <c r="BF235" s="16" t="n">
        <v>39.5581613537266</v>
      </c>
      <c r="BG235" s="16" t="n">
        <v>-8.27711430924607</v>
      </c>
      <c r="BH235" s="16" t="n">
        <v>-7.28866183200638</v>
      </c>
      <c r="BI235" s="16" t="n">
        <v>1.09242813813745</v>
      </c>
      <c r="BJ235" s="16" t="n">
        <v>2.04083187529388</v>
      </c>
      <c r="BK235" s="16" t="n">
        <v>5.25403316350504</v>
      </c>
      <c r="BL235" s="16" t="n">
        <v>7.88491984612206</v>
      </c>
      <c r="BM235" s="16" t="n">
        <v>3.71992671744367</v>
      </c>
      <c r="BN235" s="16" t="n">
        <v>4.46573109600205</v>
      </c>
      <c r="BO235" s="16" t="n">
        <v>5.7791095890411</v>
      </c>
      <c r="BP235" s="16" t="n">
        <v>8712.70308277889</v>
      </c>
      <c r="BQ235" s="16" t="n">
        <v>8366.63240301774</v>
      </c>
      <c r="BR235" s="16" t="n">
        <v>8366.63240301774</v>
      </c>
      <c r="BS235" s="16" t="n">
        <v>507.14448518365</v>
      </c>
      <c r="BT235" s="16" t="n">
        <v>301.7195</v>
      </c>
      <c r="BU235" s="16" t="n">
        <v>1081.9108</v>
      </c>
      <c r="BV235" s="16" t="s">
        <v>3237</v>
      </c>
      <c r="BW235" s="16" t="n">
        <v>42.7692307692308</v>
      </c>
      <c r="BX235" s="16" t="n">
        <v>0.155994305554286</v>
      </c>
      <c r="BY235" s="16" t="n">
        <v>0.161741466184191</v>
      </c>
      <c r="BZ235" s="16" t="n">
        <v>13510.8578038903</v>
      </c>
      <c r="CA235" s="16" t="n">
        <v>19402.010477409</v>
      </c>
      <c r="CB235" s="16" t="n">
        <v>279.497177947522</v>
      </c>
      <c r="CC235" s="16" t="n">
        <v>0</v>
      </c>
      <c r="CD235" s="16" t="n">
        <v>950.69728</v>
      </c>
      <c r="CE235" s="16" t="n">
        <v>12000</v>
      </c>
      <c r="CF235" s="16" t="n">
        <v>24.2290889197314</v>
      </c>
      <c r="CG235" s="16" t="n">
        <v>27.3788704792965</v>
      </c>
      <c r="CH235" s="16" t="n">
        <v>2643.77364301215</v>
      </c>
      <c r="CI235" s="16" t="n">
        <v>-6.2083733271085</v>
      </c>
      <c r="CJ235" s="16" t="n">
        <v>3.00594144553374</v>
      </c>
      <c r="CK235" s="16" t="n">
        <v>38897.3038640886</v>
      </c>
      <c r="CL235" s="16" t="n">
        <v>165.15099568365</v>
      </c>
      <c r="CM235" s="16" t="n">
        <v>190.51856393365</v>
      </c>
      <c r="CN235" s="16" t="n">
        <v>1000</v>
      </c>
      <c r="CO235" s="16" t="n">
        <v>1.5535546875</v>
      </c>
      <c r="CP235" s="16" t="n">
        <v>1.09004417261298</v>
      </c>
      <c r="CQ235" s="16" t="n">
        <v>0</v>
      </c>
      <c r="CR235" s="16" t="n">
        <v>86.4786295759665</v>
      </c>
      <c r="CS235" s="16" t="n">
        <v>26.8102441746451</v>
      </c>
      <c r="CT235" s="16" t="n">
        <v>0</v>
      </c>
      <c r="CU235" s="16" t="n">
        <v>0.0113</v>
      </c>
      <c r="CV235" s="16" t="n">
        <v>3875925.28042112</v>
      </c>
      <c r="CW235" s="16" t="n">
        <v>797942.368891408</v>
      </c>
      <c r="CX235" s="16" t="n">
        <v>4673867.64931253</v>
      </c>
      <c r="CY235" s="16" t="n">
        <v>3875925.28042112</v>
      </c>
      <c r="CZ235" s="16" t="n">
        <v>1316.45612848386</v>
      </c>
      <c r="DA235" s="16" t="n">
        <v>24.2290889197314</v>
      </c>
      <c r="DB235" s="16" t="n">
        <v>16751.180906207</v>
      </c>
      <c r="DC235" s="16" t="n">
        <v>12429.3762324056</v>
      </c>
      <c r="DD235" s="16" t="n">
        <v>11144.3333333333</v>
      </c>
      <c r="DE235" s="16" t="n">
        <v>1921.25</v>
      </c>
      <c r="DF235" s="16" t="n">
        <v>3876240.20566612</v>
      </c>
      <c r="DG235" s="16" t="n">
        <v>190.51856393365</v>
      </c>
      <c r="DH235" s="16" t="n">
        <v>0</v>
      </c>
      <c r="DI235" s="16" t="n">
        <v>26.8103228375579</v>
      </c>
    </row>
    <row r="236" customFormat="false" ht="15" hidden="false" customHeight="false" outlineLevel="0" collapsed="false">
      <c r="A236" s="0" t="s">
        <v>3451</v>
      </c>
      <c r="B236" s="16" t="n">
        <v>2465.07954157611</v>
      </c>
      <c r="C236" s="16" t="n">
        <v>8503.66794892007</v>
      </c>
      <c r="D236" s="16" t="n">
        <v>20054.8534673614</v>
      </c>
      <c r="E236" s="16" t="n">
        <v>4422.18754996936</v>
      </c>
      <c r="F236" s="16" t="n">
        <v>-938.432962296926</v>
      </c>
      <c r="G236" s="16" t="n">
        <v>5020.47379430949</v>
      </c>
      <c r="H236" s="16" t="n">
        <v>-544.84606174957</v>
      </c>
      <c r="I236" s="17" t="n">
        <v>0.01</v>
      </c>
      <c r="J236" s="17" t="n">
        <v>5.00029580645232</v>
      </c>
      <c r="K236" s="16" t="s">
        <v>116</v>
      </c>
      <c r="L236" s="16" t="n">
        <v>1000</v>
      </c>
      <c r="M236" s="16" t="n">
        <v>33785.3354764784</v>
      </c>
      <c r="N236" s="16" t="n">
        <v>11659.627178216</v>
      </c>
      <c r="O236" s="16" t="n">
        <v>1000</v>
      </c>
      <c r="P236" s="16" t="n">
        <v>951.290832135856</v>
      </c>
      <c r="Q236" s="16" t="n">
        <v>-25.9157747875106</v>
      </c>
      <c r="R236" s="16" t="n">
        <v>17617.7170533315</v>
      </c>
      <c r="S236" s="16" t="n">
        <v>26955.8040193472</v>
      </c>
      <c r="T236" s="16" t="n">
        <v>-955.692204749296</v>
      </c>
      <c r="U236" s="16" t="n">
        <v>-267.128266008021</v>
      </c>
      <c r="V236" s="16" t="n">
        <v>0.750319556751226</v>
      </c>
      <c r="W236" s="16" t="n">
        <v>46105.8264873525</v>
      </c>
      <c r="X236" s="16" t="n">
        <v>22152.643498322</v>
      </c>
      <c r="Y236" s="16" t="n">
        <v>4.70388261322068</v>
      </c>
      <c r="Z236" s="16" t="n">
        <v>6.38487771525896</v>
      </c>
      <c r="AA236" s="16" t="n">
        <v>27.424347870838</v>
      </c>
      <c r="AB236" s="16" t="n">
        <v>25.224347870838</v>
      </c>
      <c r="AC236" s="16" t="n">
        <v>26.674347870838</v>
      </c>
      <c r="AD236" s="16" t="n">
        <v>27.2673434792775</v>
      </c>
      <c r="AE236" s="16" t="n">
        <v>674.686407680941</v>
      </c>
      <c r="AF236" s="16" t="n">
        <v>0.03</v>
      </c>
      <c r="AG236" s="16" t="n">
        <v>0.654147042772766</v>
      </c>
      <c r="AH236" s="16" t="n">
        <v>9819.91719809611</v>
      </c>
      <c r="AI236" s="16" t="n">
        <v>20054.8534673614</v>
      </c>
      <c r="AJ236" s="16" t="n">
        <v>19.4203674816626</v>
      </c>
      <c r="AK236" s="16" t="n">
        <v>0</v>
      </c>
      <c r="AL236" s="16" t="n">
        <v>1000</v>
      </c>
      <c r="AM236" s="16" t="n">
        <v>812.6073</v>
      </c>
      <c r="AN236" s="16" t="n">
        <v>20079.98904</v>
      </c>
      <c r="AO236" s="16" t="n">
        <v>-5508.72242389994</v>
      </c>
      <c r="AP236" s="16" t="n">
        <v>0.358496107957722</v>
      </c>
      <c r="AQ236" s="16" t="n">
        <v>78.5785299134169</v>
      </c>
      <c r="AR236" s="16" t="n">
        <v>504.003743349468</v>
      </c>
      <c r="AS236" s="16" t="n">
        <v>314.925245</v>
      </c>
      <c r="AT236" s="16" t="n">
        <v>1000</v>
      </c>
      <c r="AU236" s="16" t="n">
        <v>12.270507</v>
      </c>
      <c r="AV236" s="16" t="n">
        <v>0</v>
      </c>
      <c r="AW236" s="16" t="n">
        <v>2254.3125</v>
      </c>
      <c r="AX236" s="16" t="n">
        <v>314.925245</v>
      </c>
      <c r="AY236" s="16" t="n">
        <v>314.925245</v>
      </c>
      <c r="AZ236" s="16" t="n">
        <v>5689.41168131869</v>
      </c>
      <c r="BA236" s="16" t="n">
        <v>0</v>
      </c>
      <c r="BB236" s="16" t="n">
        <v>417.928966666667</v>
      </c>
      <c r="BC236" s="16" t="n">
        <v>111456.955210777</v>
      </c>
      <c r="BD236" s="16" t="n">
        <v>16.9351840214024</v>
      </c>
      <c r="BE236" s="16" t="n">
        <v>25.5924766433388</v>
      </c>
      <c r="BF236" s="16" t="n">
        <v>39.8203318521412</v>
      </c>
      <c r="BG236" s="16" t="n">
        <v>-8.27711430924607</v>
      </c>
      <c r="BH236" s="16" t="n">
        <v>-7.28866183200638</v>
      </c>
      <c r="BI236" s="16" t="n">
        <v>1.09242813813745</v>
      </c>
      <c r="BJ236" s="16" t="n">
        <v>2.04083187529388</v>
      </c>
      <c r="BK236" s="16" t="n">
        <v>5.25403316350504</v>
      </c>
      <c r="BL236" s="16" t="n">
        <v>7.88491984612206</v>
      </c>
      <c r="BM236" s="16" t="n">
        <v>3.71992671744367</v>
      </c>
      <c r="BN236" s="16" t="n">
        <v>4.46573109600205</v>
      </c>
      <c r="BO236" s="16" t="n">
        <v>5.7791095890411</v>
      </c>
      <c r="BP236" s="16" t="n">
        <v>8712.70308277889</v>
      </c>
      <c r="BQ236" s="16" t="n">
        <v>8471.30121188984</v>
      </c>
      <c r="BR236" s="16" t="n">
        <v>8471.30121188984</v>
      </c>
      <c r="BS236" s="16" t="n">
        <v>504.003743349468</v>
      </c>
      <c r="BT236" s="16" t="n">
        <v>301.7195</v>
      </c>
      <c r="BU236" s="16" t="n">
        <v>1081.9108</v>
      </c>
      <c r="BV236" s="16" t="s">
        <v>3237</v>
      </c>
      <c r="BW236" s="16" t="n">
        <v>42.7692307692308</v>
      </c>
      <c r="BX236" s="16" t="n">
        <v>0.155994305554286</v>
      </c>
      <c r="BY236" s="16" t="n">
        <v>0.161741466184191</v>
      </c>
      <c r="BZ236" s="16" t="n">
        <v>13510.8578038903</v>
      </c>
      <c r="CA236" s="16" t="n">
        <v>19402.010477409</v>
      </c>
      <c r="CB236" s="16" t="n">
        <v>274.742129089344</v>
      </c>
      <c r="CC236" s="16" t="n">
        <v>0</v>
      </c>
      <c r="CD236" s="16" t="n">
        <v>950.69728</v>
      </c>
      <c r="CE236" s="16" t="n">
        <v>12000</v>
      </c>
      <c r="CF236" s="16" t="n">
        <v>24.221032893753</v>
      </c>
      <c r="CG236" s="16" t="n">
        <v>27.3697671699409</v>
      </c>
      <c r="CH236" s="16" t="n">
        <v>2643.77364301215</v>
      </c>
      <c r="CI236" s="16" t="n">
        <v>-6.2083733271085</v>
      </c>
      <c r="CJ236" s="16" t="n">
        <v>3.00594144553374</v>
      </c>
      <c r="CK236" s="16" t="n">
        <v>38157.5784450736</v>
      </c>
      <c r="CL236" s="16" t="n">
        <v>162.010253849468</v>
      </c>
      <c r="CM236" s="16" t="n">
        <v>187.377822099468</v>
      </c>
      <c r="CN236" s="16" t="n">
        <v>1000</v>
      </c>
      <c r="CO236" s="16" t="n">
        <v>1.5535546875</v>
      </c>
      <c r="CP236" s="16" t="n">
        <v>1.09004417261298</v>
      </c>
      <c r="CQ236" s="16" t="n">
        <v>5.00029580645232</v>
      </c>
      <c r="CR236" s="16" t="n">
        <v>88.7937388021611</v>
      </c>
      <c r="CS236" s="16" t="n">
        <v>30.4992520146604</v>
      </c>
      <c r="CT236" s="16" t="n">
        <v>4.42504053668347</v>
      </c>
      <c r="CU236" s="16" t="n">
        <v>5.00029580645232</v>
      </c>
      <c r="CV236" s="16" t="n">
        <v>8611.13660399487</v>
      </c>
      <c r="CW236" s="16" t="n">
        <v>1803.24307150745</v>
      </c>
      <c r="CX236" s="16" t="n">
        <v>10414.3796755023</v>
      </c>
      <c r="CY236" s="16" t="n">
        <v>8611.13660399487</v>
      </c>
      <c r="CZ236" s="16" t="n">
        <v>1148.48604161807</v>
      </c>
      <c r="DA236" s="16" t="n">
        <v>24.221032893753</v>
      </c>
      <c r="DB236" s="16" t="n">
        <v>16833.745014652</v>
      </c>
      <c r="DC236" s="16" t="n">
        <v>12490.6388008718</v>
      </c>
      <c r="DD236" s="16" t="n">
        <v>11144.3333333333</v>
      </c>
      <c r="DE236" s="16" t="n">
        <v>1921.25</v>
      </c>
      <c r="DF236" s="16" t="n">
        <v>8926.06184899487</v>
      </c>
      <c r="DG236" s="16" t="n">
        <v>187.377822099468</v>
      </c>
      <c r="DH236" s="16" t="n">
        <v>0</v>
      </c>
      <c r="DI236" s="16" t="n">
        <v>30.4992784487484</v>
      </c>
    </row>
    <row r="237" customFormat="false" ht="15" hidden="false" customHeight="false" outlineLevel="0" collapsed="false">
      <c r="A237" s="0" t="s">
        <v>3452</v>
      </c>
      <c r="B237" s="16" t="n">
        <v>2465.07954157611</v>
      </c>
      <c r="C237" s="16" t="n">
        <v>8660.67116222822</v>
      </c>
      <c r="D237" s="16" t="n">
        <v>20727.1633713073</v>
      </c>
      <c r="E237" s="16" t="n">
        <v>4533.65983141815</v>
      </c>
      <c r="F237" s="16" t="n">
        <v>-833.411738395574</v>
      </c>
      <c r="G237" s="16" t="n">
        <v>5020.64472332459</v>
      </c>
      <c r="H237" s="16" t="n">
        <v>1732.32509534632</v>
      </c>
      <c r="I237" s="17" t="n">
        <v>6.38260324632871</v>
      </c>
      <c r="J237" s="17" t="n">
        <v>12.7308923001694</v>
      </c>
      <c r="K237" s="16" t="s">
        <v>116</v>
      </c>
      <c r="L237" s="16" t="n">
        <v>1000</v>
      </c>
      <c r="M237" s="16" t="n">
        <v>33788.4755407446</v>
      </c>
      <c r="N237" s="16" t="n">
        <v>12170.5827052149</v>
      </c>
      <c r="O237" s="16" t="n">
        <v>1000</v>
      </c>
      <c r="P237" s="16" t="n">
        <v>951.290832135856</v>
      </c>
      <c r="Q237" s="16" t="n">
        <v>456.59543005765</v>
      </c>
      <c r="R237" s="16" t="n">
        <v>17617.7170533315</v>
      </c>
      <c r="S237" s="16" t="n">
        <v>26969.2502174261</v>
      </c>
      <c r="T237" s="16" t="n">
        <v>-955.692204749296</v>
      </c>
      <c r="U237" s="16" t="n">
        <v>2010.04289108787</v>
      </c>
      <c r="V237" s="16" t="n">
        <v>0.750319556751226</v>
      </c>
      <c r="W237" s="16" t="n">
        <v>47133.9289295179</v>
      </c>
      <c r="X237" s="16" t="n">
        <v>22163.1975323397</v>
      </c>
      <c r="Y237" s="16" t="n">
        <v>11.9762160599134</v>
      </c>
      <c r="Z237" s="16" t="n">
        <v>16.2560763780863</v>
      </c>
      <c r="AA237" s="16" t="n">
        <v>27.424347870838</v>
      </c>
      <c r="AB237" s="16" t="n">
        <v>25.224347870838</v>
      </c>
      <c r="AC237" s="16" t="n">
        <v>26.674347870838</v>
      </c>
      <c r="AD237" s="16" t="n">
        <v>27.2673434792775</v>
      </c>
      <c r="AE237" s="16" t="n">
        <v>674.686407680941</v>
      </c>
      <c r="AF237" s="16" t="n">
        <v>0.03</v>
      </c>
      <c r="AG237" s="16" t="n">
        <v>0.658217046830445</v>
      </c>
      <c r="AH237" s="16" t="n">
        <v>9819.91719809611</v>
      </c>
      <c r="AI237" s="16" t="n">
        <v>20727.1633713073</v>
      </c>
      <c r="AJ237" s="16" t="n">
        <v>19.7391827628362</v>
      </c>
      <c r="AK237" s="16" t="n">
        <v>0</v>
      </c>
      <c r="AL237" s="16" t="n">
        <v>1000</v>
      </c>
      <c r="AM237" s="16" t="n">
        <v>812.6073</v>
      </c>
      <c r="AN237" s="16" t="n">
        <v>20079.98904</v>
      </c>
      <c r="AO237" s="16" t="n">
        <v>-5508.72242389994</v>
      </c>
      <c r="AP237" s="16" t="n">
        <v>0.358496107957722</v>
      </c>
      <c r="AQ237" s="16" t="n">
        <v>81.7148112736635</v>
      </c>
      <c r="AR237" s="16" t="n">
        <v>499.4756269261</v>
      </c>
      <c r="AS237" s="16" t="n">
        <v>314.925245</v>
      </c>
      <c r="AT237" s="16" t="n">
        <v>1000</v>
      </c>
      <c r="AU237" s="16" t="n">
        <v>12.270507</v>
      </c>
      <c r="AV237" s="16" t="n">
        <v>0</v>
      </c>
      <c r="AW237" s="16" t="n">
        <v>2254.3125</v>
      </c>
      <c r="AX237" s="16" t="n">
        <v>314.925245</v>
      </c>
      <c r="AY237" s="16" t="n">
        <v>314.925245</v>
      </c>
      <c r="AZ237" s="16" t="n">
        <v>5807.5893766769</v>
      </c>
      <c r="BA237" s="16" t="n">
        <v>0</v>
      </c>
      <c r="BB237" s="16" t="n">
        <v>417.928966666667</v>
      </c>
      <c r="BC237" s="16" t="n">
        <v>111513.618227291</v>
      </c>
      <c r="BD237" s="16" t="n">
        <v>17.3104403631359</v>
      </c>
      <c r="BE237" s="16" t="n">
        <v>25.9677329850722</v>
      </c>
      <c r="BF237" s="16" t="n">
        <v>40.1955881938747</v>
      </c>
      <c r="BG237" s="16" t="n">
        <v>-8.27711430924607</v>
      </c>
      <c r="BH237" s="16" t="n">
        <v>-7.28866183200638</v>
      </c>
      <c r="BI237" s="16" t="n">
        <v>1.09242813813745</v>
      </c>
      <c r="BJ237" s="16" t="n">
        <v>2.04083187529388</v>
      </c>
      <c r="BK237" s="16" t="n">
        <v>5.25403316350504</v>
      </c>
      <c r="BL237" s="16" t="n">
        <v>7.88491984612206</v>
      </c>
      <c r="BM237" s="16" t="n">
        <v>3.71992671744367</v>
      </c>
      <c r="BN237" s="16" t="n">
        <v>4.46573109600205</v>
      </c>
      <c r="BO237" s="16" t="n">
        <v>5.7791095890411</v>
      </c>
      <c r="BP237" s="16" t="n">
        <v>8712.70308277889</v>
      </c>
      <c r="BQ237" s="16" t="n">
        <v>8628.30442519799</v>
      </c>
      <c r="BR237" s="16" t="n">
        <v>8628.30442519799</v>
      </c>
      <c r="BS237" s="16" t="n">
        <v>499.4756269261</v>
      </c>
      <c r="BT237" s="16" t="n">
        <v>301.7195</v>
      </c>
      <c r="BU237" s="16" t="n">
        <v>1081.9108</v>
      </c>
      <c r="BV237" s="16" t="s">
        <v>3237</v>
      </c>
      <c r="BW237" s="16" t="n">
        <v>42.7692307692308</v>
      </c>
      <c r="BX237" s="16" t="n">
        <v>0.155994305554286</v>
      </c>
      <c r="BY237" s="16" t="n">
        <v>0.161741466184191</v>
      </c>
      <c r="BZ237" s="16" t="n">
        <v>13510.8578038903</v>
      </c>
      <c r="CA237" s="16" t="n">
        <v>19402.010477409</v>
      </c>
      <c r="CB237" s="16" t="n">
        <v>267.884850902871</v>
      </c>
      <c r="CC237" s="16" t="n">
        <v>0</v>
      </c>
      <c r="CD237" s="16" t="n">
        <v>950.69728</v>
      </c>
      <c r="CE237" s="16" t="n">
        <v>12000</v>
      </c>
      <c r="CF237" s="16" t="n">
        <v>24.2066942838047</v>
      </c>
      <c r="CG237" s="16" t="n">
        <v>27.3535645406993</v>
      </c>
      <c r="CH237" s="16" t="n">
        <v>2643.77364301215</v>
      </c>
      <c r="CI237" s="16" t="n">
        <v>-6.2083733271085</v>
      </c>
      <c r="CJ237" s="16" t="n">
        <v>3.00594144553374</v>
      </c>
      <c r="CK237" s="16" t="n">
        <v>37091.0906547785</v>
      </c>
      <c r="CL237" s="16" t="n">
        <v>157.4821374261</v>
      </c>
      <c r="CM237" s="16" t="n">
        <v>182.8497056761</v>
      </c>
      <c r="CN237" s="16" t="n">
        <v>1000</v>
      </c>
      <c r="CO237" s="16" t="n">
        <v>1.5535546875</v>
      </c>
      <c r="CP237" s="16" t="n">
        <v>1.09004417261298</v>
      </c>
      <c r="CQ237" s="16" t="n">
        <v>12.7308923001694</v>
      </c>
      <c r="CR237" s="16" t="n">
        <v>92.3377367392397</v>
      </c>
      <c r="CS237" s="16" t="n">
        <v>36.1278890867122</v>
      </c>
      <c r="CT237" s="16" t="n">
        <v>11.2662763718313</v>
      </c>
      <c r="CU237" s="16" t="n">
        <v>12.7308923001694</v>
      </c>
      <c r="CV237" s="16" t="n">
        <v>3298.41314099325</v>
      </c>
      <c r="CW237" s="16" t="n">
        <v>708.257406933914</v>
      </c>
      <c r="CX237" s="16" t="n">
        <v>4006.67054792716</v>
      </c>
      <c r="CY237" s="16" t="n">
        <v>3298.41314099325</v>
      </c>
      <c r="CZ237" s="16" t="n">
        <v>958.357612067537</v>
      </c>
      <c r="DA237" s="16" t="n">
        <v>24.2066942838047</v>
      </c>
      <c r="DB237" s="16" t="n">
        <v>16951.9227100102</v>
      </c>
      <c r="DC237" s="16" t="n">
        <v>12578.3266508276</v>
      </c>
      <c r="DD237" s="16" t="n">
        <v>11144.3333333333</v>
      </c>
      <c r="DE237" s="16" t="n">
        <v>1921.25</v>
      </c>
      <c r="DF237" s="16" t="n">
        <v>3613.33838599325</v>
      </c>
      <c r="DG237" s="16" t="n">
        <v>182.8497056761</v>
      </c>
      <c r="DH237" s="16" t="n">
        <v>0</v>
      </c>
      <c r="DI237" s="16" t="n">
        <v>36.1278941933852</v>
      </c>
    </row>
    <row r="238" customFormat="false" ht="15" hidden="false" customHeight="false" outlineLevel="0" collapsed="false">
      <c r="A238" s="0" t="s">
        <v>3453</v>
      </c>
      <c r="B238" s="16" t="n">
        <v>2465.07954157611</v>
      </c>
      <c r="C238" s="16" t="n">
        <v>8922.34318440847</v>
      </c>
      <c r="D238" s="16" t="n">
        <v>21847.6798778837</v>
      </c>
      <c r="E238" s="16" t="n">
        <v>4719.44696716613</v>
      </c>
      <c r="F238" s="16" t="n">
        <v>-658.376365226655</v>
      </c>
      <c r="G238" s="16" t="n">
        <v>5020.92960501644</v>
      </c>
      <c r="H238" s="16" t="n">
        <v>10088.4984282544</v>
      </c>
      <c r="I238" s="17" t="n">
        <v>32.9164345779772</v>
      </c>
      <c r="J238" s="17" t="n">
        <v>42.0444226654449</v>
      </c>
      <c r="K238" s="16" t="s">
        <v>116</v>
      </c>
      <c r="L238" s="16" t="n">
        <v>1000</v>
      </c>
      <c r="M238" s="16" t="n">
        <v>33793.7089811882</v>
      </c>
      <c r="N238" s="16" t="n">
        <v>13022.175250213</v>
      </c>
      <c r="O238" s="16" t="n">
        <v>1000</v>
      </c>
      <c r="P238" s="16" t="n">
        <v>951.290832135856</v>
      </c>
      <c r="Q238" s="16" t="n">
        <v>1260.78077146625</v>
      </c>
      <c r="R238" s="16" t="n">
        <v>17617.7170533315</v>
      </c>
      <c r="S238" s="16" t="n">
        <v>26991.6605475577</v>
      </c>
      <c r="T238" s="16" t="n">
        <v>-955.692204749296</v>
      </c>
      <c r="U238" s="16" t="n">
        <v>10366.2162239959</v>
      </c>
      <c r="V238" s="16" t="n">
        <v>0.750319556751226</v>
      </c>
      <c r="W238" s="16" t="n">
        <v>53439.473189632</v>
      </c>
      <c r="X238" s="16" t="n">
        <v>22180.7875890359</v>
      </c>
      <c r="Y238" s="16" t="n">
        <v>39.5520658005243</v>
      </c>
      <c r="Z238" s="16" t="n">
        <v>53.6865233015066</v>
      </c>
      <c r="AA238" s="16" t="n">
        <v>27.424347870838</v>
      </c>
      <c r="AB238" s="16" t="n">
        <v>25.224347870838</v>
      </c>
      <c r="AC238" s="16" t="n">
        <v>26.674347870838</v>
      </c>
      <c r="AD238" s="16" t="n">
        <v>27.2673434792775</v>
      </c>
      <c r="AE238" s="16" t="n">
        <v>674.686407680941</v>
      </c>
      <c r="AF238" s="16" t="n">
        <v>0.03</v>
      </c>
      <c r="AG238" s="16" t="n">
        <v>0.664547708614371</v>
      </c>
      <c r="AH238" s="16" t="n">
        <v>9819.91719809611</v>
      </c>
      <c r="AI238" s="16" t="n">
        <v>21847.6798778837</v>
      </c>
      <c r="AJ238" s="16" t="n">
        <v>20.2705415647922</v>
      </c>
      <c r="AK238" s="16" t="n">
        <v>0</v>
      </c>
      <c r="AL238" s="16" t="n">
        <v>1000</v>
      </c>
      <c r="AM238" s="16" t="n">
        <v>812.6073</v>
      </c>
      <c r="AN238" s="16" t="n">
        <v>20079.98904</v>
      </c>
      <c r="AO238" s="16" t="n">
        <v>-5508.72242389994</v>
      </c>
      <c r="AP238" s="16" t="n">
        <v>0.358496107957722</v>
      </c>
      <c r="AQ238" s="16" t="n">
        <v>96.4214583320198</v>
      </c>
      <c r="AR238" s="16" t="n">
        <v>493.130715508958</v>
      </c>
      <c r="AS238" s="16" t="n">
        <v>314.925245</v>
      </c>
      <c r="AT238" s="16" t="n">
        <v>1000</v>
      </c>
      <c r="AU238" s="16" t="n">
        <v>12.270507</v>
      </c>
      <c r="AV238" s="16" t="n">
        <v>0</v>
      </c>
      <c r="AW238" s="16" t="n">
        <v>2254.3125</v>
      </c>
      <c r="AX238" s="16" t="n">
        <v>314.925245</v>
      </c>
      <c r="AY238" s="16" t="n">
        <v>314.925245</v>
      </c>
      <c r="AZ238" s="16" t="n">
        <v>5990.79835055502</v>
      </c>
      <c r="BA238" s="16" t="n">
        <v>0</v>
      </c>
      <c r="BB238" s="16" t="n">
        <v>417.928966666667</v>
      </c>
      <c r="BC238" s="16" t="n">
        <v>111608.056588149</v>
      </c>
      <c r="BD238" s="16" t="n">
        <v>17.8921942135714</v>
      </c>
      <c r="BE238" s="16" t="n">
        <v>26.5494868355078</v>
      </c>
      <c r="BF238" s="16" t="n">
        <v>40.7773420443102</v>
      </c>
      <c r="BG238" s="16" t="n">
        <v>-8.27711430924607</v>
      </c>
      <c r="BH238" s="16" t="n">
        <v>-7.28866183200638</v>
      </c>
      <c r="BI238" s="16" t="n">
        <v>1.09242813813745</v>
      </c>
      <c r="BJ238" s="16" t="n">
        <v>2.04083187529388</v>
      </c>
      <c r="BK238" s="16" t="n">
        <v>5.25403316350504</v>
      </c>
      <c r="BL238" s="16" t="n">
        <v>7.88491984612206</v>
      </c>
      <c r="BM238" s="16" t="n">
        <v>3.71992671744367</v>
      </c>
      <c r="BN238" s="16" t="n">
        <v>4.46573109600205</v>
      </c>
      <c r="BO238" s="16" t="n">
        <v>5.7791095890411</v>
      </c>
      <c r="BP238" s="16" t="n">
        <v>8712.70308277889</v>
      </c>
      <c r="BQ238" s="16" t="n">
        <v>8889.97644737824</v>
      </c>
      <c r="BR238" s="16" t="n">
        <v>8889.97644737824</v>
      </c>
      <c r="BS238" s="16" t="n">
        <v>493.130715508958</v>
      </c>
      <c r="BT238" s="16" t="n">
        <v>301.7195</v>
      </c>
      <c r="BU238" s="16" t="n">
        <v>1081.9108</v>
      </c>
      <c r="BV238" s="16" t="s">
        <v>3238</v>
      </c>
      <c r="BW238" s="16" t="n">
        <v>42.7692307692308</v>
      </c>
      <c r="BX238" s="16" t="n">
        <v>0.155994305554286</v>
      </c>
      <c r="BY238" s="16" t="n">
        <v>0.161741466184191</v>
      </c>
      <c r="BZ238" s="16" t="n">
        <v>13510.8578038903</v>
      </c>
      <c r="CA238" s="16" t="n">
        <v>19402.010477409</v>
      </c>
      <c r="CB238" s="16" t="n">
        <v>257.992913697175</v>
      </c>
      <c r="CC238" s="16" t="n">
        <v>0</v>
      </c>
      <c r="CD238" s="16" t="n">
        <v>950.69728</v>
      </c>
      <c r="CE238" s="16" t="n">
        <v>12000</v>
      </c>
      <c r="CF238" s="16" t="n">
        <v>24.1957941169948</v>
      </c>
      <c r="CG238" s="16" t="n">
        <v>27.3412473522041</v>
      </c>
      <c r="CH238" s="16" t="n">
        <v>2643.77364301215</v>
      </c>
      <c r="CI238" s="16" t="n">
        <v>-6.2083733271085</v>
      </c>
      <c r="CJ238" s="16" t="n">
        <v>3.00594144553374</v>
      </c>
      <c r="CK238" s="16" t="n">
        <v>35468.7434694954</v>
      </c>
      <c r="CL238" s="16" t="n">
        <v>150.593941423358</v>
      </c>
      <c r="CM238" s="16" t="n">
        <v>175.961509673358</v>
      </c>
      <c r="CN238" s="16" t="n">
        <v>1000</v>
      </c>
      <c r="CO238" s="16" t="n">
        <v>1.5535546875</v>
      </c>
      <c r="CP238" s="16" t="n">
        <v>1.09004417261298</v>
      </c>
      <c r="CQ238" s="16" t="n">
        <v>42.0444226654449</v>
      </c>
      <c r="CR238" s="16" t="n">
        <v>108.956247915182</v>
      </c>
      <c r="CS238" s="16" t="n">
        <v>59.4830775720547</v>
      </c>
      <c r="CT238" s="16" t="n">
        <v>37.2074536862344</v>
      </c>
      <c r="CU238" s="16" t="n">
        <v>42.0444226654449</v>
      </c>
      <c r="CV238" s="16" t="n">
        <v>960.160532953253</v>
      </c>
      <c r="CW238" s="16" t="n">
        <v>214.457666364474</v>
      </c>
      <c r="CX238" s="16" t="n">
        <v>1174.61819931773</v>
      </c>
      <c r="CY238" s="16" t="n">
        <v>960.160532953253</v>
      </c>
      <c r="CZ238" s="16" t="n">
        <v>586.650685924536</v>
      </c>
      <c r="DA238" s="16" t="n">
        <v>24.1957941169948</v>
      </c>
      <c r="DB238" s="16" t="n">
        <v>17135.1316838884</v>
      </c>
      <c r="DC238" s="16" t="n">
        <v>12714.2677094452</v>
      </c>
      <c r="DD238" s="16" t="n">
        <v>11144.3333333333</v>
      </c>
      <c r="DE238" s="16" t="n">
        <v>1921.25</v>
      </c>
      <c r="DF238" s="16" t="n">
        <v>1275.08577795325</v>
      </c>
      <c r="DG238" s="16" t="n">
        <v>175.961509673358</v>
      </c>
      <c r="DH238" s="16" t="n">
        <v>0</v>
      </c>
      <c r="DI238" s="16" t="n">
        <v>59.4830775863187</v>
      </c>
    </row>
    <row r="239" customFormat="false" ht="15" hidden="false" customHeight="false" outlineLevel="0" collapsed="false">
      <c r="A239" s="0" t="s">
        <v>3454</v>
      </c>
      <c r="B239" s="16" t="n">
        <v>2465.07954157611</v>
      </c>
      <c r="C239" s="16" t="n">
        <v>7897.89373173501</v>
      </c>
      <c r="D239" s="16" t="n">
        <v>18443.6133977381</v>
      </c>
      <c r="E239" s="16" t="n">
        <v>3992.08785576797</v>
      </c>
      <c r="F239" s="16" t="n">
        <v>-1343.76544515863</v>
      </c>
      <c r="G239" s="16" t="n">
        <v>5019.9375516572</v>
      </c>
      <c r="H239" s="16" t="n">
        <v>-4684.49215106639</v>
      </c>
      <c r="I239" s="17" t="n">
        <v>0.01</v>
      </c>
      <c r="J239" s="17" t="n">
        <v>0</v>
      </c>
      <c r="K239" s="16" t="s">
        <v>116</v>
      </c>
      <c r="L239" s="16" t="n">
        <v>1000</v>
      </c>
      <c r="M239" s="16" t="n">
        <v>33773.2199921347</v>
      </c>
      <c r="N239" s="16" t="n">
        <v>10435.0847253023</v>
      </c>
      <c r="O239" s="16" t="n">
        <v>1000</v>
      </c>
      <c r="P239" s="16" t="n">
        <v>951.290832135856</v>
      </c>
      <c r="Q239" s="16" t="n">
        <v>-1181.26531238763</v>
      </c>
      <c r="R239" s="16" t="n">
        <v>17617.7170533315</v>
      </c>
      <c r="S239" s="16" t="n">
        <v>26923.5792179548</v>
      </c>
      <c r="T239" s="16" t="n">
        <v>-955.692204749296</v>
      </c>
      <c r="U239" s="16" t="n">
        <v>-4406.77435532484</v>
      </c>
      <c r="V239" s="16" t="n">
        <v>0.750319556751226</v>
      </c>
      <c r="W239" s="16" t="n">
        <v>44145.1398544729</v>
      </c>
      <c r="X239" s="16" t="n">
        <v>22129.128988859</v>
      </c>
      <c r="Y239" s="16" t="n">
        <v>0</v>
      </c>
      <c r="Z239" s="16" t="n">
        <v>0</v>
      </c>
      <c r="AA239" s="16" t="n">
        <v>27.424347870838</v>
      </c>
      <c r="AB239" s="16" t="n">
        <v>25.224347870838</v>
      </c>
      <c r="AC239" s="16" t="n">
        <v>26.674347870838</v>
      </c>
      <c r="AD239" s="16" t="n">
        <v>27.2673434792775</v>
      </c>
      <c r="AE239" s="16" t="n">
        <v>674.686407680941</v>
      </c>
      <c r="AF239" s="16" t="n">
        <v>0.03</v>
      </c>
      <c r="AG239" s="16" t="n">
        <v>0.645813345764207</v>
      </c>
      <c r="AH239" s="16" t="n">
        <v>9819.91719809611</v>
      </c>
      <c r="AI239" s="16" t="n">
        <v>18443.6133977381</v>
      </c>
      <c r="AJ239" s="16" t="n">
        <v>16</v>
      </c>
      <c r="AK239" s="16" t="n">
        <v>0</v>
      </c>
      <c r="AL239" s="16" t="n">
        <v>1000</v>
      </c>
      <c r="AM239" s="16" t="n">
        <v>812.6073</v>
      </c>
      <c r="AN239" s="16" t="n">
        <v>25825.759024</v>
      </c>
      <c r="AO239" s="16" t="n">
        <v>-7800.03602701777</v>
      </c>
      <c r="AP239" s="16" t="n">
        <v>0.414483496940676</v>
      </c>
      <c r="AQ239" s="16" t="n">
        <v>66.2117482081804</v>
      </c>
      <c r="AR239" s="16" t="n">
        <v>491.640567360983</v>
      </c>
      <c r="AS239" s="16" t="n">
        <v>314.925245</v>
      </c>
      <c r="AT239" s="16" t="n">
        <v>1000</v>
      </c>
      <c r="AU239" s="16" t="n">
        <v>12.270507</v>
      </c>
      <c r="AV239" s="16" t="n">
        <v>0</v>
      </c>
      <c r="AW239" s="16" t="n">
        <v>2254.3125</v>
      </c>
      <c r="AX239" s="16" t="n">
        <v>314.925245</v>
      </c>
      <c r="AY239" s="16" t="n">
        <v>314.925245</v>
      </c>
      <c r="AZ239" s="16" t="n">
        <v>5378.26838305987</v>
      </c>
      <c r="BA239" s="16" t="n">
        <v>0</v>
      </c>
      <c r="BB239" s="16" t="n">
        <v>417.928966666667</v>
      </c>
      <c r="BC239" s="16" t="n">
        <v>111332.458953258</v>
      </c>
      <c r="BD239" s="16" t="n">
        <v>15.9471930514857</v>
      </c>
      <c r="BE239" s="16" t="n">
        <v>24.604485673422</v>
      </c>
      <c r="BF239" s="16" t="n">
        <v>38.8323408822245</v>
      </c>
      <c r="BG239" s="16" t="n">
        <v>-8.27711430924607</v>
      </c>
      <c r="BH239" s="16" t="n">
        <v>-7.28866183200638</v>
      </c>
      <c r="BI239" s="16" t="n">
        <v>1.09242813813745</v>
      </c>
      <c r="BJ239" s="16" t="n">
        <v>2.04083187529388</v>
      </c>
      <c r="BK239" s="16" t="n">
        <v>5.25403316350504</v>
      </c>
      <c r="BL239" s="16" t="n">
        <v>7.88491984612206</v>
      </c>
      <c r="BM239" s="16" t="n">
        <v>3.71992671744367</v>
      </c>
      <c r="BN239" s="16" t="n">
        <v>4.46573109600205</v>
      </c>
      <c r="BO239" s="16" t="n">
        <v>5.7791095890411</v>
      </c>
      <c r="BP239" s="16" t="n">
        <v>8712.70308277889</v>
      </c>
      <c r="BQ239" s="16" t="n">
        <v>7865.52699470478</v>
      </c>
      <c r="BR239" s="16" t="n">
        <v>7865.52699470478</v>
      </c>
      <c r="BS239" s="16" t="n">
        <v>491.640567360983</v>
      </c>
      <c r="BT239" s="16" t="n">
        <v>301.7195</v>
      </c>
      <c r="BU239" s="16" t="n">
        <v>1081.9108</v>
      </c>
      <c r="BV239" s="16" t="s">
        <v>3237</v>
      </c>
      <c r="BW239" s="16" t="n">
        <v>42.7692307692308</v>
      </c>
      <c r="BX239" s="16" t="n">
        <v>0.155994305554286</v>
      </c>
      <c r="BY239" s="16" t="n">
        <v>0.161741466184191</v>
      </c>
      <c r="BZ239" s="16" t="n">
        <v>13510.8578038903</v>
      </c>
      <c r="CA239" s="16" t="n">
        <v>19402.010477409</v>
      </c>
      <c r="CB239" s="16" t="n">
        <v>256.286852132719</v>
      </c>
      <c r="CC239" s="16" t="n">
        <v>0</v>
      </c>
      <c r="CD239" s="16" t="n">
        <v>950.69728</v>
      </c>
      <c r="CE239" s="16" t="n">
        <v>12000</v>
      </c>
      <c r="CF239" s="16" t="n">
        <v>22.169325689198</v>
      </c>
      <c r="CG239" s="16" t="n">
        <v>25.0513380287937</v>
      </c>
      <c r="CH239" s="16" t="n">
        <v>2643.77364301215</v>
      </c>
      <c r="CI239" s="16" t="n">
        <v>-6.2083733271085</v>
      </c>
      <c r="CJ239" s="16" t="n">
        <v>3.00594144553374</v>
      </c>
      <c r="CK239" s="16" t="n">
        <v>35245.7327661625</v>
      </c>
      <c r="CL239" s="16" t="n">
        <v>149.647077860983</v>
      </c>
      <c r="CM239" s="16" t="n">
        <v>175.014646110983</v>
      </c>
      <c r="CN239" s="16" t="n">
        <v>1000</v>
      </c>
      <c r="CO239" s="16" t="n">
        <v>1.5535546875</v>
      </c>
      <c r="CP239" s="16" t="n">
        <v>1.09004417261298</v>
      </c>
      <c r="CQ239" s="16" t="n">
        <v>0</v>
      </c>
      <c r="CR239" s="16" t="n">
        <v>74.8192754752438</v>
      </c>
      <c r="CS239" s="16" t="n">
        <v>20.2903985045046</v>
      </c>
      <c r="CT239" s="16" t="n">
        <v>0</v>
      </c>
      <c r="CU239" s="16" t="n">
        <v>0.0113</v>
      </c>
      <c r="CV239" s="16" t="n">
        <v>3552777.39564889</v>
      </c>
      <c r="CW239" s="16" t="n">
        <v>797942.368891408</v>
      </c>
      <c r="CX239" s="16" t="n">
        <v>4350719.7645403</v>
      </c>
      <c r="CY239" s="16" t="n">
        <v>3552777.39564889</v>
      </c>
      <c r="CZ239" s="16" t="n">
        <v>1492.07543689522</v>
      </c>
      <c r="DA239" s="16" t="n">
        <v>22.169325689198</v>
      </c>
      <c r="DB239" s="16" t="n">
        <v>16522.6017163932</v>
      </c>
      <c r="DC239" s="16" t="n">
        <v>12259.7704735638</v>
      </c>
      <c r="DD239" s="16" t="n">
        <v>11144.3333333333</v>
      </c>
      <c r="DE239" s="16" t="n">
        <v>1921.25</v>
      </c>
      <c r="DF239" s="16" t="n">
        <v>3553092.32089389</v>
      </c>
      <c r="DG239" s="16" t="n">
        <v>175.014646110983</v>
      </c>
      <c r="DH239" s="16" t="n">
        <v>0</v>
      </c>
      <c r="DI239" s="16" t="n">
        <v>20.2905231775794</v>
      </c>
    </row>
    <row r="240" customFormat="false" ht="15" hidden="false" customHeight="false" outlineLevel="0" collapsed="false">
      <c r="A240" s="0" t="s">
        <v>3455</v>
      </c>
      <c r="B240" s="16" t="n">
        <v>2465.07954157611</v>
      </c>
      <c r="C240" s="16" t="n">
        <v>8022.43239594503</v>
      </c>
      <c r="D240" s="16" t="n">
        <v>18952.8866913586</v>
      </c>
      <c r="E240" s="16" t="n">
        <v>4080.51030735709</v>
      </c>
      <c r="F240" s="16" t="n">
        <v>-1260.45535447793</v>
      </c>
      <c r="G240" s="16" t="n">
        <v>5020.06836599722</v>
      </c>
      <c r="H240" s="16" t="n">
        <v>-2812.41987154121</v>
      </c>
      <c r="I240" s="17" t="n">
        <v>0.01</v>
      </c>
      <c r="J240" s="17" t="n">
        <v>0</v>
      </c>
      <c r="K240" s="16" t="s">
        <v>116</v>
      </c>
      <c r="L240" s="16" t="n">
        <v>1000</v>
      </c>
      <c r="M240" s="16" t="n">
        <v>33775.7107654189</v>
      </c>
      <c r="N240" s="16" t="n">
        <v>10822.1324284539</v>
      </c>
      <c r="O240" s="16" t="n">
        <v>1000</v>
      </c>
      <c r="P240" s="16" t="n">
        <v>951.290832135856</v>
      </c>
      <c r="Q240" s="16" t="n">
        <v>-815.785497735054</v>
      </c>
      <c r="R240" s="16" t="n">
        <v>17617.7170533315</v>
      </c>
      <c r="S240" s="16" t="n">
        <v>26933.7646838272</v>
      </c>
      <c r="T240" s="16" t="n">
        <v>-955.692204749296</v>
      </c>
      <c r="U240" s="16" t="n">
        <v>-2534.70207579966</v>
      </c>
      <c r="V240" s="16" t="n">
        <v>0.750319556751226</v>
      </c>
      <c r="W240" s="16" t="n">
        <v>44953.5697998913</v>
      </c>
      <c r="X240" s="16" t="n">
        <v>22137.2679042935</v>
      </c>
      <c r="Y240" s="16" t="n">
        <v>0</v>
      </c>
      <c r="Z240" s="16" t="n">
        <v>0</v>
      </c>
      <c r="AA240" s="16" t="n">
        <v>27.424347870838</v>
      </c>
      <c r="AB240" s="16" t="n">
        <v>25.224347870838</v>
      </c>
      <c r="AC240" s="16" t="n">
        <v>26.674347870838</v>
      </c>
      <c r="AD240" s="16" t="n">
        <v>27.2673434792775</v>
      </c>
      <c r="AE240" s="16" t="n">
        <v>674.686407680941</v>
      </c>
      <c r="AF240" s="16" t="n">
        <v>0.03</v>
      </c>
      <c r="AG240" s="16" t="n">
        <v>0.64936179753127</v>
      </c>
      <c r="AH240" s="16" t="n">
        <v>9819.91719809611</v>
      </c>
      <c r="AI240" s="16" t="n">
        <v>18952.8866913586</v>
      </c>
      <c r="AJ240" s="16" t="n">
        <v>16.2767</v>
      </c>
      <c r="AK240" s="16" t="n">
        <v>0</v>
      </c>
      <c r="AL240" s="16" t="n">
        <v>1000</v>
      </c>
      <c r="AM240" s="16" t="n">
        <v>812.6073</v>
      </c>
      <c r="AN240" s="16" t="n">
        <v>25825.759024</v>
      </c>
      <c r="AO240" s="16" t="n">
        <v>-7800.03602701777</v>
      </c>
      <c r="AP240" s="16" t="n">
        <v>0.414483496940676</v>
      </c>
      <c r="AQ240" s="16" t="n">
        <v>68.7944098166991</v>
      </c>
      <c r="AR240" s="16" t="n">
        <v>488.027981742834</v>
      </c>
      <c r="AS240" s="16" t="n">
        <v>314.925245</v>
      </c>
      <c r="AT240" s="16" t="n">
        <v>1000</v>
      </c>
      <c r="AU240" s="16" t="n">
        <v>12.270507</v>
      </c>
      <c r="AV240" s="16" t="n">
        <v>0</v>
      </c>
      <c r="AW240" s="16" t="n">
        <v>2254.3125</v>
      </c>
      <c r="AX240" s="16" t="n">
        <v>314.925245</v>
      </c>
      <c r="AY240" s="16" t="n">
        <v>314.925245</v>
      </c>
      <c r="AZ240" s="16" t="n">
        <v>5483.06174299578</v>
      </c>
      <c r="BA240" s="16" t="n">
        <v>0</v>
      </c>
      <c r="BB240" s="16" t="n">
        <v>417.928966666667</v>
      </c>
      <c r="BC240" s="16" t="n">
        <v>111376.238243791</v>
      </c>
      <c r="BD240" s="16" t="n">
        <v>16.279949353496</v>
      </c>
      <c r="BE240" s="16" t="n">
        <v>24.9372419754324</v>
      </c>
      <c r="BF240" s="16" t="n">
        <v>39.1650971842348</v>
      </c>
      <c r="BG240" s="16" t="n">
        <v>-8.27711430924607</v>
      </c>
      <c r="BH240" s="16" t="n">
        <v>-7.28866183200638</v>
      </c>
      <c r="BI240" s="16" t="n">
        <v>1.09242813813745</v>
      </c>
      <c r="BJ240" s="16" t="n">
        <v>2.04083187529388</v>
      </c>
      <c r="BK240" s="16" t="n">
        <v>5.25403316350504</v>
      </c>
      <c r="BL240" s="16" t="n">
        <v>7.88491984612206</v>
      </c>
      <c r="BM240" s="16" t="n">
        <v>3.71992671744367</v>
      </c>
      <c r="BN240" s="16" t="n">
        <v>4.46573109600205</v>
      </c>
      <c r="BO240" s="16" t="n">
        <v>5.7791095890411</v>
      </c>
      <c r="BP240" s="16" t="n">
        <v>8712.70308277889</v>
      </c>
      <c r="BQ240" s="16" t="n">
        <v>7990.0656589148</v>
      </c>
      <c r="BR240" s="16" t="n">
        <v>7990.0656589148</v>
      </c>
      <c r="BS240" s="16" t="n">
        <v>488.027981742834</v>
      </c>
      <c r="BT240" s="16" t="n">
        <v>301.7195</v>
      </c>
      <c r="BU240" s="16" t="n">
        <v>1081.9108</v>
      </c>
      <c r="BV240" s="16" t="s">
        <v>3237</v>
      </c>
      <c r="BW240" s="16" t="n">
        <v>42.7692307692308</v>
      </c>
      <c r="BX240" s="16" t="n">
        <v>0.155994305554286</v>
      </c>
      <c r="BY240" s="16" t="n">
        <v>0.161741466184191</v>
      </c>
      <c r="BZ240" s="16" t="n">
        <v>13510.8578038903</v>
      </c>
      <c r="CA240" s="16" t="n">
        <v>19402.010477409</v>
      </c>
      <c r="CB240" s="16" t="n">
        <v>250.8174277006</v>
      </c>
      <c r="CC240" s="16" t="n">
        <v>0</v>
      </c>
      <c r="CD240" s="16" t="n">
        <v>950.69728</v>
      </c>
      <c r="CE240" s="16" t="n">
        <v>12000</v>
      </c>
      <c r="CF240" s="16" t="n">
        <v>22.191258463773</v>
      </c>
      <c r="CG240" s="16" t="n">
        <v>25.0761220640635</v>
      </c>
      <c r="CH240" s="16" t="n">
        <v>2643.77364301215</v>
      </c>
      <c r="CI240" s="16" t="n">
        <v>-6.2083733271085</v>
      </c>
      <c r="CJ240" s="16" t="n">
        <v>3.00594144553374</v>
      </c>
      <c r="CK240" s="16" t="n">
        <v>34394.876009638</v>
      </c>
      <c r="CL240" s="16" t="n">
        <v>146.034492242834</v>
      </c>
      <c r="CM240" s="16" t="n">
        <v>171.402060492834</v>
      </c>
      <c r="CN240" s="16" t="n">
        <v>1000</v>
      </c>
      <c r="CO240" s="16" t="n">
        <v>1.5535546875</v>
      </c>
      <c r="CP240" s="16" t="n">
        <v>1.09004417261298</v>
      </c>
      <c r="CQ240" s="16" t="n">
        <v>0</v>
      </c>
      <c r="CR240" s="16" t="n">
        <v>77.73768309287</v>
      </c>
      <c r="CS240" s="16" t="n">
        <v>24.6250124639805</v>
      </c>
      <c r="CT240" s="16" t="n">
        <v>0</v>
      </c>
      <c r="CU240" s="16" t="n">
        <v>0.0113</v>
      </c>
      <c r="CV240" s="16" t="n">
        <v>3477480.33754938</v>
      </c>
      <c r="CW240" s="16" t="n">
        <v>797942.368891408</v>
      </c>
      <c r="CX240" s="16" t="n">
        <v>4275422.70644079</v>
      </c>
      <c r="CY240" s="16" t="n">
        <v>3477480.33754938</v>
      </c>
      <c r="CZ240" s="16" t="n">
        <v>1220.86027104287</v>
      </c>
      <c r="DA240" s="16" t="n">
        <v>22.191258463773</v>
      </c>
      <c r="DB240" s="16" t="n">
        <v>16627.3950763291</v>
      </c>
      <c r="DC240" s="16" t="n">
        <v>12337.5271466362</v>
      </c>
      <c r="DD240" s="16" t="n">
        <v>11144.3333333333</v>
      </c>
      <c r="DE240" s="16" t="n">
        <v>1921.25</v>
      </c>
      <c r="DF240" s="16" t="n">
        <v>3477795.26279438</v>
      </c>
      <c r="DG240" s="16" t="n">
        <v>171.402060492834</v>
      </c>
      <c r="DH240" s="16" t="n">
        <v>0</v>
      </c>
      <c r="DI240" s="16" t="n">
        <v>24.6250390692737</v>
      </c>
    </row>
    <row r="241" customFormat="false" ht="15" hidden="false" customHeight="false" outlineLevel="0" collapsed="false">
      <c r="A241" s="0" t="s">
        <v>3456</v>
      </c>
      <c r="B241" s="16" t="n">
        <v>2465.07954157611</v>
      </c>
      <c r="C241" s="16" t="n">
        <v>8209.24039226006</v>
      </c>
      <c r="D241" s="16" t="n">
        <v>19716.7966317894</v>
      </c>
      <c r="E241" s="16" t="n">
        <v>4213.14398474076</v>
      </c>
      <c r="F241" s="16" t="n">
        <v>-1135.49021845689</v>
      </c>
      <c r="G241" s="16" t="n">
        <v>5020.26458750724</v>
      </c>
      <c r="H241" s="16" t="n">
        <v>-68.7222088444987</v>
      </c>
      <c r="I241" s="17" t="n">
        <v>0.663635545943769</v>
      </c>
      <c r="J241" s="17" t="n">
        <v>4.62862528398862</v>
      </c>
      <c r="K241" s="16" t="s">
        <v>116</v>
      </c>
      <c r="L241" s="16" t="n">
        <v>1000</v>
      </c>
      <c r="M241" s="16" t="n">
        <v>33779.4469253452</v>
      </c>
      <c r="N241" s="16" t="n">
        <v>11402.7039831813</v>
      </c>
      <c r="O241" s="16" t="n">
        <v>1000</v>
      </c>
      <c r="P241" s="16" t="n">
        <v>951.290832135856</v>
      </c>
      <c r="Q241" s="16" t="n">
        <v>-267.565775756198</v>
      </c>
      <c r="R241" s="16" t="n">
        <v>17617.7170533315</v>
      </c>
      <c r="S241" s="16" t="n">
        <v>26949.0428826358</v>
      </c>
      <c r="T241" s="16" t="n">
        <v>-955.692204749296</v>
      </c>
      <c r="U241" s="16" t="n">
        <v>208.99558689705</v>
      </c>
      <c r="V241" s="16" t="n">
        <v>0.750319556751226</v>
      </c>
      <c r="W241" s="16" t="n">
        <v>46166.2147180189</v>
      </c>
      <c r="X241" s="16" t="n">
        <v>22149.4762774452</v>
      </c>
      <c r="Y241" s="16" t="n">
        <v>4.35424439657605</v>
      </c>
      <c r="Z241" s="16" t="n">
        <v>5.91029162512507</v>
      </c>
      <c r="AA241" s="16" t="n">
        <v>27.424347870838</v>
      </c>
      <c r="AB241" s="16" t="n">
        <v>25.224347870838</v>
      </c>
      <c r="AC241" s="16" t="n">
        <v>26.674347870838</v>
      </c>
      <c r="AD241" s="16" t="n">
        <v>27.2673434792775</v>
      </c>
      <c r="AE241" s="16" t="n">
        <v>674.686407680941</v>
      </c>
      <c r="AF241" s="16" t="n">
        <v>0.03</v>
      </c>
      <c r="AG241" s="16" t="n">
        <v>0.654405917289144</v>
      </c>
      <c r="AH241" s="16" t="n">
        <v>9819.91719809611</v>
      </c>
      <c r="AI241" s="16" t="n">
        <v>19716.7966317894</v>
      </c>
      <c r="AJ241" s="16" t="n">
        <v>16.69175</v>
      </c>
      <c r="AK241" s="16" t="n">
        <v>0</v>
      </c>
      <c r="AL241" s="16" t="n">
        <v>1000</v>
      </c>
      <c r="AM241" s="16" t="n">
        <v>812.6073</v>
      </c>
      <c r="AN241" s="16" t="n">
        <v>25825.759024</v>
      </c>
      <c r="AO241" s="16" t="n">
        <v>-7800.03602701777</v>
      </c>
      <c r="AP241" s="16" t="n">
        <v>0.414483496940676</v>
      </c>
      <c r="AQ241" s="16" t="n">
        <v>72.6074358423932</v>
      </c>
      <c r="AR241" s="16" t="n">
        <v>482.609103315611</v>
      </c>
      <c r="AS241" s="16" t="n">
        <v>314.925245</v>
      </c>
      <c r="AT241" s="16" t="n">
        <v>1000</v>
      </c>
      <c r="AU241" s="16" t="n">
        <v>12.270507</v>
      </c>
      <c r="AV241" s="16" t="n">
        <v>0</v>
      </c>
      <c r="AW241" s="16" t="n">
        <v>2254.3125</v>
      </c>
      <c r="AX241" s="16" t="n">
        <v>314.925245</v>
      </c>
      <c r="AY241" s="16" t="n">
        <v>314.925245</v>
      </c>
      <c r="AZ241" s="16" t="n">
        <v>5631.62619515181</v>
      </c>
      <c r="BA241" s="16" t="n">
        <v>0</v>
      </c>
      <c r="BB241" s="16" t="n">
        <v>417.928966666667</v>
      </c>
      <c r="BC241" s="16" t="n">
        <v>111441.907179589</v>
      </c>
      <c r="BD241" s="16" t="n">
        <v>16.751694488301</v>
      </c>
      <c r="BE241" s="16" t="n">
        <v>25.4089871102374</v>
      </c>
      <c r="BF241" s="16" t="n">
        <v>39.6368423190398</v>
      </c>
      <c r="BG241" s="16" t="n">
        <v>-8.27711430924607</v>
      </c>
      <c r="BH241" s="16" t="n">
        <v>-7.28866183200638</v>
      </c>
      <c r="BI241" s="16" t="n">
        <v>1.09242813813745</v>
      </c>
      <c r="BJ241" s="16" t="n">
        <v>2.04083187529388</v>
      </c>
      <c r="BK241" s="16" t="n">
        <v>5.25403316350504</v>
      </c>
      <c r="BL241" s="16" t="n">
        <v>7.88491984612206</v>
      </c>
      <c r="BM241" s="16" t="n">
        <v>3.71992671744367</v>
      </c>
      <c r="BN241" s="16" t="n">
        <v>4.46573109600205</v>
      </c>
      <c r="BO241" s="16" t="n">
        <v>5.7791095890411</v>
      </c>
      <c r="BP241" s="16" t="n">
        <v>8712.70308277889</v>
      </c>
      <c r="BQ241" s="16" t="n">
        <v>8176.87365522983</v>
      </c>
      <c r="BR241" s="16" t="n">
        <v>8176.87365522983</v>
      </c>
      <c r="BS241" s="16" t="n">
        <v>482.609103315611</v>
      </c>
      <c r="BT241" s="16" t="n">
        <v>301.7195</v>
      </c>
      <c r="BU241" s="16" t="n">
        <v>1081.9108</v>
      </c>
      <c r="BV241" s="16" t="s">
        <v>3237</v>
      </c>
      <c r="BW241" s="16" t="n">
        <v>42.7692307692308</v>
      </c>
      <c r="BX241" s="16" t="n">
        <v>0.155994305554286</v>
      </c>
      <c r="BY241" s="16" t="n">
        <v>0.161741466184191</v>
      </c>
      <c r="BZ241" s="16" t="n">
        <v>13510.8578038903</v>
      </c>
      <c r="CA241" s="16" t="n">
        <v>19402.010477409</v>
      </c>
      <c r="CB241" s="16" t="n">
        <v>242.613291052421</v>
      </c>
      <c r="CC241" s="16" t="n">
        <v>0</v>
      </c>
      <c r="CD241" s="16" t="n">
        <v>950.69728</v>
      </c>
      <c r="CE241" s="16" t="n">
        <v>12000</v>
      </c>
      <c r="CF241" s="16" t="n">
        <v>22.1967683074249</v>
      </c>
      <c r="CG241" s="16" t="n">
        <v>25.0823481873901</v>
      </c>
      <c r="CH241" s="16" t="n">
        <v>2643.77364301215</v>
      </c>
      <c r="CI241" s="16" t="n">
        <v>-6.2083733271085</v>
      </c>
      <c r="CJ241" s="16" t="n">
        <v>3.00594144553374</v>
      </c>
      <c r="CK241" s="16" t="n">
        <v>33118.5908748513</v>
      </c>
      <c r="CL241" s="16" t="n">
        <v>140.615613815611</v>
      </c>
      <c r="CM241" s="16" t="n">
        <v>165.983182065611</v>
      </c>
      <c r="CN241" s="16" t="n">
        <v>1000</v>
      </c>
      <c r="CO241" s="16" t="n">
        <v>1.5535546875</v>
      </c>
      <c r="CP241" s="16" t="n">
        <v>1.09004417261298</v>
      </c>
      <c r="CQ241" s="16" t="n">
        <v>4.62862528398862</v>
      </c>
      <c r="CR241" s="16" t="n">
        <v>82.0464025019043</v>
      </c>
      <c r="CS241" s="16" t="n">
        <v>31.1816627222043</v>
      </c>
      <c r="CT241" s="16" t="n">
        <v>4.09612856990144</v>
      </c>
      <c r="CU241" s="16" t="n">
        <v>4.62862528398862</v>
      </c>
      <c r="CV241" s="16" t="n">
        <v>8213.93833954064</v>
      </c>
      <c r="CW241" s="16" t="n">
        <v>1948.04033924797</v>
      </c>
      <c r="CX241" s="16" t="n">
        <v>10161.9786787886</v>
      </c>
      <c r="CY241" s="16" t="n">
        <v>8213.93833954064</v>
      </c>
      <c r="CZ241" s="16" t="n">
        <v>951.104536118226</v>
      </c>
      <c r="DA241" s="16" t="n">
        <v>22.1967683074249</v>
      </c>
      <c r="DB241" s="16" t="n">
        <v>16775.9595284851</v>
      </c>
      <c r="DC241" s="16" t="n">
        <v>12447.761970136</v>
      </c>
      <c r="DD241" s="16" t="n">
        <v>11144.3333333333</v>
      </c>
      <c r="DE241" s="16" t="n">
        <v>1921.25</v>
      </c>
      <c r="DF241" s="16" t="n">
        <v>8528.86358454064</v>
      </c>
      <c r="DG241" s="16" t="n">
        <v>165.983182065611</v>
      </c>
      <c r="DH241" s="16" t="n">
        <v>0</v>
      </c>
      <c r="DI241" s="16" t="n">
        <v>31.1816653558719</v>
      </c>
    </row>
    <row r="242" customFormat="false" ht="15" hidden="false" customHeight="false" outlineLevel="0" collapsed="false">
      <c r="A242" s="0" t="s">
        <v>3457</v>
      </c>
      <c r="B242" s="16" t="n">
        <v>2465.07954157611</v>
      </c>
      <c r="C242" s="16" t="n">
        <v>8520.58705278511</v>
      </c>
      <c r="D242" s="16" t="n">
        <v>20989.9798658406</v>
      </c>
      <c r="E242" s="16" t="n">
        <v>4434.20011371354</v>
      </c>
      <c r="F242" s="16" t="n">
        <v>-927.214991755157</v>
      </c>
      <c r="G242" s="16" t="n">
        <v>5020.59162335729</v>
      </c>
      <c r="H242" s="16" t="n">
        <v>6221.35938033304</v>
      </c>
      <c r="I242" s="17" t="n">
        <v>20.636888529132</v>
      </c>
      <c r="J242" s="17" t="n">
        <v>26.3633389599277</v>
      </c>
      <c r="K242" s="16" t="s">
        <v>116</v>
      </c>
      <c r="L242" s="16" t="n">
        <v>1000</v>
      </c>
      <c r="M242" s="16" t="n">
        <v>33785.6738585557</v>
      </c>
      <c r="N242" s="16" t="n">
        <v>12370.3232410602</v>
      </c>
      <c r="O242" s="16" t="n">
        <v>1000</v>
      </c>
      <c r="P242" s="16" t="n">
        <v>951.290832135856</v>
      </c>
      <c r="Q242" s="16" t="n">
        <v>646.133760875227</v>
      </c>
      <c r="R242" s="16" t="n">
        <v>17617.7170533315</v>
      </c>
      <c r="S242" s="16" t="n">
        <v>26974.5065473168</v>
      </c>
      <c r="T242" s="16" t="n">
        <v>-955.692204749296</v>
      </c>
      <c r="U242" s="16" t="n">
        <v>6499.07717607459</v>
      </c>
      <c r="V242" s="16" t="n">
        <v>0.750319556751226</v>
      </c>
      <c r="W242" s="16" t="n">
        <v>50039.6398490556</v>
      </c>
      <c r="X242" s="16" t="n">
        <v>22169.8235660314</v>
      </c>
      <c r="Y242" s="16" t="n">
        <v>24.8005431198743</v>
      </c>
      <c r="Z242" s="16" t="n">
        <v>33.6633475179316</v>
      </c>
      <c r="AA242" s="16" t="n">
        <v>27.424347870838</v>
      </c>
      <c r="AB242" s="16" t="n">
        <v>25.224347870838</v>
      </c>
      <c r="AC242" s="16" t="n">
        <v>26.674347870838</v>
      </c>
      <c r="AD242" s="16" t="n">
        <v>27.2673434792775</v>
      </c>
      <c r="AE242" s="16" t="n">
        <v>674.686407680941</v>
      </c>
      <c r="AF242" s="16" t="n">
        <v>0.03</v>
      </c>
      <c r="AG242" s="16" t="n">
        <v>0.662143845727379</v>
      </c>
      <c r="AH242" s="16" t="n">
        <v>9819.91719809611</v>
      </c>
      <c r="AI242" s="16" t="n">
        <v>20989.9798658406</v>
      </c>
      <c r="AJ242" s="16" t="n">
        <v>17.3835</v>
      </c>
      <c r="AK242" s="16" t="n">
        <v>0</v>
      </c>
      <c r="AL242" s="16" t="n">
        <v>1000</v>
      </c>
      <c r="AM242" s="16" t="n">
        <v>812.6073</v>
      </c>
      <c r="AN242" s="16" t="n">
        <v>25825.759024</v>
      </c>
      <c r="AO242" s="16" t="n">
        <v>-7800.03602701777</v>
      </c>
      <c r="AP242" s="16" t="n">
        <v>0.414483496940676</v>
      </c>
      <c r="AQ242" s="16" t="n">
        <v>82.9250793902653</v>
      </c>
      <c r="AR242" s="16" t="n">
        <v>474.020062963272</v>
      </c>
      <c r="AS242" s="16" t="n">
        <v>314.925245</v>
      </c>
      <c r="AT242" s="16" t="n">
        <v>1000</v>
      </c>
      <c r="AU242" s="16" t="n">
        <v>12.270507</v>
      </c>
      <c r="AV242" s="16" t="n">
        <v>0</v>
      </c>
      <c r="AW242" s="16" t="n">
        <v>2254.3125</v>
      </c>
      <c r="AX242" s="16" t="n">
        <v>314.925245</v>
      </c>
      <c r="AY242" s="16" t="n">
        <v>314.925245</v>
      </c>
      <c r="AZ242" s="16" t="n">
        <v>5858.69097011371</v>
      </c>
      <c r="BA242" s="16" t="n">
        <v>0</v>
      </c>
      <c r="BB242" s="16" t="n">
        <v>417.928966666667</v>
      </c>
      <c r="BC242" s="16" t="n">
        <v>111551.35540592</v>
      </c>
      <c r="BD242" s="16" t="n">
        <v>17.4727061523926</v>
      </c>
      <c r="BE242" s="16" t="n">
        <v>26.129998774329</v>
      </c>
      <c r="BF242" s="16" t="n">
        <v>40.3578539831314</v>
      </c>
      <c r="BG242" s="16" t="n">
        <v>-8.27711430924607</v>
      </c>
      <c r="BH242" s="16" t="n">
        <v>-7.28866183200638</v>
      </c>
      <c r="BI242" s="16" t="n">
        <v>1.09242813813745</v>
      </c>
      <c r="BJ242" s="16" t="n">
        <v>2.04083187529388</v>
      </c>
      <c r="BK242" s="16" t="n">
        <v>5.25403316350504</v>
      </c>
      <c r="BL242" s="16" t="n">
        <v>7.88491984612206</v>
      </c>
      <c r="BM242" s="16" t="n">
        <v>3.71992671744367</v>
      </c>
      <c r="BN242" s="16" t="n">
        <v>4.46573109600205</v>
      </c>
      <c r="BO242" s="16" t="n">
        <v>5.7791095890411</v>
      </c>
      <c r="BP242" s="16" t="n">
        <v>8712.70308277889</v>
      </c>
      <c r="BQ242" s="16" t="n">
        <v>8488.22031575488</v>
      </c>
      <c r="BR242" s="16" t="n">
        <v>8488.22031575487</v>
      </c>
      <c r="BS242" s="16" t="n">
        <v>474.020062963272</v>
      </c>
      <c r="BT242" s="16" t="n">
        <v>301.7195</v>
      </c>
      <c r="BU242" s="16" t="n">
        <v>1081.9108</v>
      </c>
      <c r="BV242" s="16" t="s">
        <v>3238</v>
      </c>
      <c r="BW242" s="16" t="n">
        <v>42.7692307692308</v>
      </c>
      <c r="BX242" s="16" t="n">
        <v>0.155994305554286</v>
      </c>
      <c r="BY242" s="16" t="n">
        <v>0.161741466184191</v>
      </c>
      <c r="BZ242" s="16" t="n">
        <v>13510.8578038903</v>
      </c>
      <c r="CA242" s="16" t="n">
        <v>19402.010477409</v>
      </c>
      <c r="CB242" s="16" t="n">
        <v>229.604836625719</v>
      </c>
      <c r="CC242" s="16" t="n">
        <v>0</v>
      </c>
      <c r="CD242" s="16" t="n">
        <v>950.69728</v>
      </c>
      <c r="CE242" s="16" t="n">
        <v>12000</v>
      </c>
      <c r="CF242" s="16" t="n">
        <v>22.1787868785397</v>
      </c>
      <c r="CG242" s="16" t="n">
        <v>25.0620291727499</v>
      </c>
      <c r="CH242" s="16" t="n">
        <v>2643.77364301215</v>
      </c>
      <c r="CI242" s="16" t="n">
        <v>-6.2083733271085</v>
      </c>
      <c r="CJ242" s="16" t="n">
        <v>3.00594144553374</v>
      </c>
      <c r="CK242" s="16" t="n">
        <v>31095.6511335386</v>
      </c>
      <c r="CL242" s="16" t="n">
        <v>132.026573463272</v>
      </c>
      <c r="CM242" s="16" t="n">
        <v>157.394141713272</v>
      </c>
      <c r="CN242" s="16" t="n">
        <v>1000</v>
      </c>
      <c r="CO242" s="16" t="n">
        <v>1.5535546875</v>
      </c>
      <c r="CP242" s="16" t="n">
        <v>1.09004417261298</v>
      </c>
      <c r="CQ242" s="16" t="n">
        <v>26.3633389599277</v>
      </c>
      <c r="CR242" s="16" t="n">
        <v>93.7053397109998</v>
      </c>
      <c r="CS242" s="16" t="n">
        <v>47.6402553668783</v>
      </c>
      <c r="CT242" s="16" t="n">
        <v>23.330388460113</v>
      </c>
      <c r="CU242" s="16" t="n">
        <v>26.3633389599277</v>
      </c>
      <c r="CV242" s="16" t="n">
        <v>1365.39241076114</v>
      </c>
      <c r="CW242" s="16" t="n">
        <v>342.01846671161</v>
      </c>
      <c r="CX242" s="16" t="n">
        <v>1707.41087747275</v>
      </c>
      <c r="CY242" s="16" t="n">
        <v>1365.39241076114</v>
      </c>
      <c r="CZ242" s="16" t="n">
        <v>614.935092188293</v>
      </c>
      <c r="DA242" s="16" t="n">
        <v>22.1787868785397</v>
      </c>
      <c r="DB242" s="16" t="n">
        <v>17003.024303447</v>
      </c>
      <c r="DC242" s="16" t="n">
        <v>12616.2440331577</v>
      </c>
      <c r="DD242" s="16" t="n">
        <v>11144.3333333333</v>
      </c>
      <c r="DE242" s="16" t="n">
        <v>1921.25</v>
      </c>
      <c r="DF242" s="16" t="n">
        <v>1680.31765576114</v>
      </c>
      <c r="DG242" s="16" t="n">
        <v>157.394141713272</v>
      </c>
      <c r="DH242" s="16" t="n">
        <v>0</v>
      </c>
      <c r="DI242" s="16" t="n">
        <v>47.6402553809586</v>
      </c>
    </row>
    <row r="243" customFormat="false" ht="15" hidden="false" customHeight="false" outlineLevel="0" collapsed="false">
      <c r="A243" s="0" t="s">
        <v>3458</v>
      </c>
      <c r="B243" s="16" t="n">
        <v>2465.07954157611</v>
      </c>
      <c r="C243" s="16" t="n">
        <v>8398.99914004797</v>
      </c>
      <c r="D243" s="16" t="n">
        <v>19606.6468647308</v>
      </c>
      <c r="E243" s="16" t="n">
        <v>4347.87269567017</v>
      </c>
      <c r="F243" s="16" t="n">
        <v>-1008.44711156449</v>
      </c>
      <c r="G243" s="16" t="n">
        <v>5020.35984163275</v>
      </c>
      <c r="H243" s="16" t="n">
        <v>-1246.70681858325</v>
      </c>
      <c r="I243" s="17" t="n">
        <v>0.01</v>
      </c>
      <c r="J243" s="17" t="n">
        <v>0.466930694836401</v>
      </c>
      <c r="K243" s="16" t="s">
        <v>116</v>
      </c>
      <c r="L243" s="16" t="n">
        <v>1000</v>
      </c>
      <c r="M243" s="16" t="n">
        <v>33783.242100301</v>
      </c>
      <c r="N243" s="16" t="n">
        <v>11318.9901602167</v>
      </c>
      <c r="O243" s="16" t="n">
        <v>1000</v>
      </c>
      <c r="P243" s="16" t="n">
        <v>951.290832135856</v>
      </c>
      <c r="Q243" s="16" t="n">
        <v>-347.589911350952</v>
      </c>
      <c r="R243" s="16" t="n">
        <v>17617.7170533315</v>
      </c>
      <c r="S243" s="16" t="n">
        <v>26946.8398872946</v>
      </c>
      <c r="T243" s="16" t="n">
        <v>-955.692204749296</v>
      </c>
      <c r="U243" s="16" t="n">
        <v>-968.989022841699</v>
      </c>
      <c r="V243" s="16" t="n">
        <v>0.750319556751226</v>
      </c>
      <c r="W243" s="16" t="n">
        <v>45420.4248592423</v>
      </c>
      <c r="X243" s="16" t="n">
        <v>22145.6074756436</v>
      </c>
      <c r="Y243" s="16" t="n">
        <v>0.439251448721456</v>
      </c>
      <c r="Z243" s="16" t="n">
        <v>0.596223804236601</v>
      </c>
      <c r="AA243" s="16" t="n">
        <v>27.424347870838</v>
      </c>
      <c r="AB243" s="16" t="n">
        <v>25.224347870838</v>
      </c>
      <c r="AC243" s="16" t="n">
        <v>26.674347870838</v>
      </c>
      <c r="AD243" s="16" t="n">
        <v>27.2673434792775</v>
      </c>
      <c r="AE243" s="16" t="n">
        <v>674.686407680941</v>
      </c>
      <c r="AF243" s="16" t="n">
        <v>0.03</v>
      </c>
      <c r="AG243" s="16" t="n">
        <v>0.651310237703547</v>
      </c>
      <c r="AH243" s="16" t="n">
        <v>9819.91719809611</v>
      </c>
      <c r="AI243" s="16" t="n">
        <v>19606.6468647308</v>
      </c>
      <c r="AJ243" s="16" t="n">
        <v>19.2078239608802</v>
      </c>
      <c r="AK243" s="16" t="n">
        <v>0</v>
      </c>
      <c r="AL243" s="16" t="n">
        <v>1000</v>
      </c>
      <c r="AM243" s="16" t="n">
        <v>812.6073</v>
      </c>
      <c r="AN243" s="16" t="n">
        <v>25825.759024</v>
      </c>
      <c r="AO243" s="16" t="n">
        <v>-7800.03602701777</v>
      </c>
      <c r="AP243" s="16" t="n">
        <v>0.358496107957722</v>
      </c>
      <c r="AQ243" s="16" t="n">
        <v>70.3956562470794</v>
      </c>
      <c r="AR243" s="16" t="n">
        <v>483.278634068464</v>
      </c>
      <c r="AS243" s="16" t="n">
        <v>314.925245</v>
      </c>
      <c r="AT243" s="16" t="n">
        <v>1000</v>
      </c>
      <c r="AU243" s="16" t="n">
        <v>12.270507</v>
      </c>
      <c r="AV243" s="16" t="n">
        <v>0</v>
      </c>
      <c r="AW243" s="16" t="n">
        <v>2254.3125</v>
      </c>
      <c r="AX243" s="16" t="n">
        <v>314.925245</v>
      </c>
      <c r="AY243" s="16" t="n">
        <v>314.925245</v>
      </c>
      <c r="AZ243" s="16" t="n">
        <v>5606.84757287369</v>
      </c>
      <c r="BA243" s="16" t="n">
        <v>0</v>
      </c>
      <c r="BB243" s="16" t="n">
        <v>417.928966666667</v>
      </c>
      <c r="BC243" s="16" t="n">
        <v>111419.179866434</v>
      </c>
      <c r="BD243" s="16" t="n">
        <v>16.6730135229878</v>
      </c>
      <c r="BE243" s="16" t="n">
        <v>25.3303061449241</v>
      </c>
      <c r="BF243" s="16" t="n">
        <v>39.5581613537266</v>
      </c>
      <c r="BG243" s="16" t="n">
        <v>-8.27711430924607</v>
      </c>
      <c r="BH243" s="16" t="n">
        <v>-7.28866183200638</v>
      </c>
      <c r="BI243" s="16" t="n">
        <v>1.09242813813745</v>
      </c>
      <c r="BJ243" s="16" t="n">
        <v>2.04083187529388</v>
      </c>
      <c r="BK243" s="16" t="n">
        <v>5.25403316350504</v>
      </c>
      <c r="BL243" s="16" t="n">
        <v>7.88491984612206</v>
      </c>
      <c r="BM243" s="16" t="n">
        <v>3.71992671744367</v>
      </c>
      <c r="BN243" s="16" t="n">
        <v>4.46573109600205</v>
      </c>
      <c r="BO243" s="16" t="n">
        <v>5.7791095890411</v>
      </c>
      <c r="BP243" s="16" t="n">
        <v>8712.70308277889</v>
      </c>
      <c r="BQ243" s="16" t="n">
        <v>8366.63240301774</v>
      </c>
      <c r="BR243" s="16" t="n">
        <v>8366.63240301774</v>
      </c>
      <c r="BS243" s="16" t="n">
        <v>483.278634068464</v>
      </c>
      <c r="BT243" s="16" t="n">
        <v>301.7195</v>
      </c>
      <c r="BU243" s="16" t="n">
        <v>1081.9108</v>
      </c>
      <c r="BV243" s="16" t="s">
        <v>3237</v>
      </c>
      <c r="BW243" s="16" t="n">
        <v>42.7692307692308</v>
      </c>
      <c r="BX243" s="16" t="n">
        <v>0.155994305554286</v>
      </c>
      <c r="BY243" s="16" t="n">
        <v>0.161741466184191</v>
      </c>
      <c r="BZ243" s="16" t="n">
        <v>13510.8578038903</v>
      </c>
      <c r="CA243" s="16" t="n">
        <v>19402.010477409</v>
      </c>
      <c r="CB243" s="16" t="n">
        <v>243.607371582505</v>
      </c>
      <c r="CC243" s="16" t="n">
        <v>0</v>
      </c>
      <c r="CD243" s="16" t="n">
        <v>950.69728</v>
      </c>
      <c r="CE243" s="16" t="n">
        <v>12000</v>
      </c>
      <c r="CF243" s="16" t="n">
        <v>22.1756931492329</v>
      </c>
      <c r="CG243" s="16" t="n">
        <v>25.0585332586332</v>
      </c>
      <c r="CH243" s="16" t="n">
        <v>2643.77364301215</v>
      </c>
      <c r="CI243" s="16" t="n">
        <v>-6.2083733271085</v>
      </c>
      <c r="CJ243" s="16" t="n">
        <v>3.00594144553374</v>
      </c>
      <c r="CK243" s="16" t="n">
        <v>33276.2825740886</v>
      </c>
      <c r="CL243" s="16" t="n">
        <v>141.285144568464</v>
      </c>
      <c r="CM243" s="16" t="n">
        <v>166.652712818464</v>
      </c>
      <c r="CN243" s="16" t="n">
        <v>1000</v>
      </c>
      <c r="CO243" s="16" t="n">
        <v>1.5535546875</v>
      </c>
      <c r="CP243" s="16" t="n">
        <v>1.09004417261298</v>
      </c>
      <c r="CQ243" s="16" t="n">
        <v>0.466930694836401</v>
      </c>
      <c r="CR243" s="16" t="n">
        <v>79.5470915591997</v>
      </c>
      <c r="CS243" s="16" t="n">
        <v>27.7324043923232</v>
      </c>
      <c r="CT243" s="16" t="n">
        <v>0.413213004280001</v>
      </c>
      <c r="CU243" s="16" t="n">
        <v>0.466930694836401</v>
      </c>
      <c r="CV243" s="16" t="n">
        <v>81761.4579656938</v>
      </c>
      <c r="CW243" s="16" t="n">
        <v>19310.6790112227</v>
      </c>
      <c r="CX243" s="16" t="n">
        <v>101072.136976916</v>
      </c>
      <c r="CY243" s="16" t="n">
        <v>81761.4579656938</v>
      </c>
      <c r="CZ243" s="16" t="n">
        <v>1066.99541719966</v>
      </c>
      <c r="DA243" s="16" t="n">
        <v>22.1756931492329</v>
      </c>
      <c r="DB243" s="16" t="n">
        <v>16751.180906207</v>
      </c>
      <c r="DC243" s="16" t="n">
        <v>12429.3762324056</v>
      </c>
      <c r="DD243" s="16" t="n">
        <v>11144.3333333333</v>
      </c>
      <c r="DE243" s="16" t="n">
        <v>1921.25</v>
      </c>
      <c r="DF243" s="16" t="n">
        <v>82076.3832106938</v>
      </c>
      <c r="DG243" s="16" t="n">
        <v>166.652712818464</v>
      </c>
      <c r="DH243" s="16" t="n">
        <v>0</v>
      </c>
      <c r="DI243" s="16" t="n">
        <v>27.7324130895913</v>
      </c>
    </row>
    <row r="244" customFormat="false" ht="15" hidden="false" customHeight="false" outlineLevel="0" collapsed="false">
      <c r="A244" s="0" t="s">
        <v>3459</v>
      </c>
      <c r="B244" s="16" t="n">
        <v>2465.07954157611</v>
      </c>
      <c r="C244" s="16" t="n">
        <v>8503.66794892007</v>
      </c>
      <c r="D244" s="16" t="n">
        <v>20054.8534673614</v>
      </c>
      <c r="E244" s="16" t="n">
        <v>4422.18754996936</v>
      </c>
      <c r="F244" s="16" t="n">
        <v>-938.432962296926</v>
      </c>
      <c r="G244" s="16" t="n">
        <v>5020.47379430949</v>
      </c>
      <c r="H244" s="16" t="n">
        <v>285.245739009652</v>
      </c>
      <c r="I244" s="17" t="n">
        <v>1.78761005568544</v>
      </c>
      <c r="J244" s="17" t="n">
        <v>5.66031509809557</v>
      </c>
      <c r="K244" s="16" t="s">
        <v>116</v>
      </c>
      <c r="L244" s="16" t="n">
        <v>1000</v>
      </c>
      <c r="M244" s="16" t="n">
        <v>33785.3354764784</v>
      </c>
      <c r="N244" s="16" t="n">
        <v>11659.627178216</v>
      </c>
      <c r="O244" s="16" t="n">
        <v>1000</v>
      </c>
      <c r="P244" s="16" t="n">
        <v>951.290832135856</v>
      </c>
      <c r="Q244" s="16" t="n">
        <v>-25.9157747875106</v>
      </c>
      <c r="R244" s="16" t="n">
        <v>17617.7170533315</v>
      </c>
      <c r="S244" s="16" t="n">
        <v>26955.8040193472</v>
      </c>
      <c r="T244" s="16" t="n">
        <v>-955.692204749296</v>
      </c>
      <c r="U244" s="16" t="n">
        <v>562.963534751201</v>
      </c>
      <c r="V244" s="16" t="n">
        <v>0.750319556751226</v>
      </c>
      <c r="W244" s="16" t="n">
        <v>46105.8264873525</v>
      </c>
      <c r="X244" s="16" t="n">
        <v>22152.643498322</v>
      </c>
      <c r="Y244" s="16" t="n">
        <v>5.32477653440525</v>
      </c>
      <c r="Z244" s="16" t="n">
        <v>7.22765634875824</v>
      </c>
      <c r="AA244" s="16" t="n">
        <v>27.424347870838</v>
      </c>
      <c r="AB244" s="16" t="n">
        <v>25.224347870838</v>
      </c>
      <c r="AC244" s="16" t="n">
        <v>26.674347870838</v>
      </c>
      <c r="AD244" s="16" t="n">
        <v>27.2673434792775</v>
      </c>
      <c r="AE244" s="16" t="n">
        <v>674.686407680941</v>
      </c>
      <c r="AF244" s="16" t="n">
        <v>0.03</v>
      </c>
      <c r="AG244" s="16" t="n">
        <v>0.654147042772766</v>
      </c>
      <c r="AH244" s="16" t="n">
        <v>9819.91719809611</v>
      </c>
      <c r="AI244" s="16" t="n">
        <v>20054.8534673614</v>
      </c>
      <c r="AJ244" s="16" t="n">
        <v>19.4203674816626</v>
      </c>
      <c r="AK244" s="16" t="n">
        <v>0</v>
      </c>
      <c r="AL244" s="16" t="n">
        <v>1000</v>
      </c>
      <c r="AM244" s="16" t="n">
        <v>812.6073</v>
      </c>
      <c r="AN244" s="16" t="n">
        <v>25825.759024</v>
      </c>
      <c r="AO244" s="16" t="n">
        <v>-7800.03602701777</v>
      </c>
      <c r="AP244" s="16" t="n">
        <v>0.358496107957722</v>
      </c>
      <c r="AQ244" s="16" t="n">
        <v>72.5126322166175</v>
      </c>
      <c r="AR244" s="16" t="n">
        <v>480.157023576752</v>
      </c>
      <c r="AS244" s="16" t="n">
        <v>314.925245</v>
      </c>
      <c r="AT244" s="16" t="n">
        <v>1000</v>
      </c>
      <c r="AU244" s="16" t="n">
        <v>12.270507</v>
      </c>
      <c r="AV244" s="16" t="n">
        <v>0</v>
      </c>
      <c r="AW244" s="16" t="n">
        <v>2254.3125</v>
      </c>
      <c r="AX244" s="16" t="n">
        <v>314.925245</v>
      </c>
      <c r="AY244" s="16" t="n">
        <v>314.925245</v>
      </c>
      <c r="AZ244" s="16" t="n">
        <v>5689.41168131869</v>
      </c>
      <c r="BA244" s="16" t="n">
        <v>0</v>
      </c>
      <c r="BB244" s="16" t="n">
        <v>417.928966666667</v>
      </c>
      <c r="BC244" s="16" t="n">
        <v>111456.955210777</v>
      </c>
      <c r="BD244" s="16" t="n">
        <v>16.9351840214024</v>
      </c>
      <c r="BE244" s="16" t="n">
        <v>25.5924766433388</v>
      </c>
      <c r="BF244" s="16" t="n">
        <v>39.8203318521412</v>
      </c>
      <c r="BG244" s="16" t="n">
        <v>-8.27711430924607</v>
      </c>
      <c r="BH244" s="16" t="n">
        <v>-7.28866183200638</v>
      </c>
      <c r="BI244" s="16" t="n">
        <v>1.09242813813745</v>
      </c>
      <c r="BJ244" s="16" t="n">
        <v>2.04083187529388</v>
      </c>
      <c r="BK244" s="16" t="n">
        <v>5.25403316350504</v>
      </c>
      <c r="BL244" s="16" t="n">
        <v>7.88491984612206</v>
      </c>
      <c r="BM244" s="16" t="n">
        <v>3.71992671744367</v>
      </c>
      <c r="BN244" s="16" t="n">
        <v>4.46573109600205</v>
      </c>
      <c r="BO244" s="16" t="n">
        <v>5.7791095890411</v>
      </c>
      <c r="BP244" s="16" t="n">
        <v>8712.70308277889</v>
      </c>
      <c r="BQ244" s="16" t="n">
        <v>8471.30121188984</v>
      </c>
      <c r="BR244" s="16" t="n">
        <v>8471.30121188984</v>
      </c>
      <c r="BS244" s="16" t="n">
        <v>480.157023576752</v>
      </c>
      <c r="BT244" s="16" t="n">
        <v>301.7195</v>
      </c>
      <c r="BU244" s="16" t="n">
        <v>1081.9108</v>
      </c>
      <c r="BV244" s="16" t="s">
        <v>3237</v>
      </c>
      <c r="BW244" s="16" t="n">
        <v>42.7692307692308</v>
      </c>
      <c r="BX244" s="16" t="n">
        <v>0.155994305554286</v>
      </c>
      <c r="BY244" s="16" t="n">
        <v>0.161741466184191</v>
      </c>
      <c r="BZ244" s="16" t="n">
        <v>13510.8578038903</v>
      </c>
      <c r="CA244" s="16" t="n">
        <v>19402.010477409</v>
      </c>
      <c r="CB244" s="16" t="n">
        <v>238.881103437656</v>
      </c>
      <c r="CC244" s="16" t="n">
        <v>0</v>
      </c>
      <c r="CD244" s="16" t="n">
        <v>950.69728</v>
      </c>
      <c r="CE244" s="16" t="n">
        <v>12000</v>
      </c>
      <c r="CF244" s="16" t="n">
        <v>22.1692831662774</v>
      </c>
      <c r="CG244" s="16" t="n">
        <v>25.0512899778935</v>
      </c>
      <c r="CH244" s="16" t="n">
        <v>2643.77364301215</v>
      </c>
      <c r="CI244" s="16" t="n">
        <v>-6.2083733271085</v>
      </c>
      <c r="CJ244" s="16" t="n">
        <v>3.00594144553374</v>
      </c>
      <c r="CK244" s="16" t="n">
        <v>32541.0630779009</v>
      </c>
      <c r="CL244" s="16" t="n">
        <v>138.163534076752</v>
      </c>
      <c r="CM244" s="16" t="n">
        <v>163.531102326752</v>
      </c>
      <c r="CN244" s="16" t="n">
        <v>1000</v>
      </c>
      <c r="CO244" s="16" t="n">
        <v>1.5535546875</v>
      </c>
      <c r="CP244" s="16" t="n">
        <v>1.09004417261298</v>
      </c>
      <c r="CQ244" s="16" t="n">
        <v>5.66031509809557</v>
      </c>
      <c r="CR244" s="16" t="n">
        <v>81.9392744047778</v>
      </c>
      <c r="CS244" s="16" t="n">
        <v>31.438042651646</v>
      </c>
      <c r="CT244" s="16" t="n">
        <v>5.00912840539431</v>
      </c>
      <c r="CU244" s="16" t="n">
        <v>5.66031509809557</v>
      </c>
      <c r="CV244" s="16" t="n">
        <v>6614.77572073121</v>
      </c>
      <c r="CW244" s="16" t="n">
        <v>1592.97647078104</v>
      </c>
      <c r="CX244" s="16" t="n">
        <v>8207.75219151224</v>
      </c>
      <c r="CY244" s="16" t="n">
        <v>6614.77572073121</v>
      </c>
      <c r="CZ244" s="16" t="n">
        <v>932.744383680339</v>
      </c>
      <c r="DA244" s="16" t="n">
        <v>22.1692831662774</v>
      </c>
      <c r="DB244" s="16" t="n">
        <v>16833.745014652</v>
      </c>
      <c r="DC244" s="16" t="n">
        <v>12490.6388008718</v>
      </c>
      <c r="DD244" s="16" t="n">
        <v>11144.3333333333</v>
      </c>
      <c r="DE244" s="16" t="n">
        <v>1921.25</v>
      </c>
      <c r="DF244" s="16" t="n">
        <v>6929.70096573121</v>
      </c>
      <c r="DG244" s="16" t="n">
        <v>163.531102326752</v>
      </c>
      <c r="DH244" s="16" t="n">
        <v>0</v>
      </c>
      <c r="DI244" s="16" t="n">
        <v>31.4380449884655</v>
      </c>
    </row>
    <row r="245" customFormat="false" ht="15" hidden="false" customHeight="false" outlineLevel="0" collapsed="false">
      <c r="A245" s="0" t="s">
        <v>3460</v>
      </c>
      <c r="B245" s="16" t="n">
        <v>2465.07954157611</v>
      </c>
      <c r="C245" s="16" t="n">
        <v>8660.67116222822</v>
      </c>
      <c r="D245" s="16" t="n">
        <v>20727.1633713073</v>
      </c>
      <c r="E245" s="16" t="n">
        <v>4533.65983141815</v>
      </c>
      <c r="F245" s="16" t="n">
        <v>-833.411738395574</v>
      </c>
      <c r="G245" s="16" t="n">
        <v>5020.64472332459</v>
      </c>
      <c r="H245" s="16" t="n">
        <v>2562.41689610555</v>
      </c>
      <c r="I245" s="17" t="n">
        <v>9.01844084251517</v>
      </c>
      <c r="J245" s="17" t="n">
        <v>13.3909115918126</v>
      </c>
      <c r="K245" s="16" t="s">
        <v>116</v>
      </c>
      <c r="L245" s="16" t="n">
        <v>1000</v>
      </c>
      <c r="M245" s="16" t="n">
        <v>33788.4755407446</v>
      </c>
      <c r="N245" s="16" t="n">
        <v>12170.5827052149</v>
      </c>
      <c r="O245" s="16" t="n">
        <v>1000</v>
      </c>
      <c r="P245" s="16" t="n">
        <v>951.290832135856</v>
      </c>
      <c r="Q245" s="16" t="n">
        <v>456.59543005765</v>
      </c>
      <c r="R245" s="16" t="n">
        <v>17617.7170533315</v>
      </c>
      <c r="S245" s="16" t="n">
        <v>26969.2502174261</v>
      </c>
      <c r="T245" s="16" t="n">
        <v>-955.692204749296</v>
      </c>
      <c r="U245" s="16" t="n">
        <v>2840.1346918471</v>
      </c>
      <c r="V245" s="16" t="n">
        <v>0.750319556751226</v>
      </c>
      <c r="W245" s="16" t="n">
        <v>47133.9289295179</v>
      </c>
      <c r="X245" s="16" t="n">
        <v>22163.1975323397</v>
      </c>
      <c r="Y245" s="16" t="n">
        <v>12.597109981098</v>
      </c>
      <c r="Z245" s="16" t="n">
        <v>17.0988550115856</v>
      </c>
      <c r="AA245" s="16" t="n">
        <v>27.424347870838</v>
      </c>
      <c r="AB245" s="16" t="n">
        <v>25.224347870838</v>
      </c>
      <c r="AC245" s="16" t="n">
        <v>26.674347870838</v>
      </c>
      <c r="AD245" s="16" t="n">
        <v>27.2673434792775</v>
      </c>
      <c r="AE245" s="16" t="n">
        <v>674.686407680941</v>
      </c>
      <c r="AF245" s="16" t="n">
        <v>0.03</v>
      </c>
      <c r="AG245" s="16" t="n">
        <v>0.658217046830445</v>
      </c>
      <c r="AH245" s="16" t="n">
        <v>9819.91719809611</v>
      </c>
      <c r="AI245" s="16" t="n">
        <v>20727.1633713073</v>
      </c>
      <c r="AJ245" s="16" t="n">
        <v>19.7391827628362</v>
      </c>
      <c r="AK245" s="16" t="n">
        <v>0</v>
      </c>
      <c r="AL245" s="16" t="n">
        <v>1000</v>
      </c>
      <c r="AM245" s="16" t="n">
        <v>812.6073</v>
      </c>
      <c r="AN245" s="16" t="n">
        <v>25825.759024</v>
      </c>
      <c r="AO245" s="16" t="n">
        <v>-7800.03602701777</v>
      </c>
      <c r="AP245" s="16" t="n">
        <v>0.358496107957722</v>
      </c>
      <c r="AQ245" s="16" t="n">
        <v>75.7484090680572</v>
      </c>
      <c r="AR245" s="16" t="n">
        <v>475.628907153385</v>
      </c>
      <c r="AS245" s="16" t="n">
        <v>314.925245</v>
      </c>
      <c r="AT245" s="16" t="n">
        <v>1000</v>
      </c>
      <c r="AU245" s="16" t="n">
        <v>12.270507</v>
      </c>
      <c r="AV245" s="16" t="n">
        <v>0</v>
      </c>
      <c r="AW245" s="16" t="n">
        <v>2254.3125</v>
      </c>
      <c r="AX245" s="16" t="n">
        <v>314.925245</v>
      </c>
      <c r="AY245" s="16" t="n">
        <v>314.925245</v>
      </c>
      <c r="AZ245" s="16" t="n">
        <v>5807.5893766769</v>
      </c>
      <c r="BA245" s="16" t="n">
        <v>0</v>
      </c>
      <c r="BB245" s="16" t="n">
        <v>417.928966666667</v>
      </c>
      <c r="BC245" s="16" t="n">
        <v>111513.618227291</v>
      </c>
      <c r="BD245" s="16" t="n">
        <v>17.3104403631359</v>
      </c>
      <c r="BE245" s="16" t="n">
        <v>25.9677329850722</v>
      </c>
      <c r="BF245" s="16" t="n">
        <v>40.1955881938747</v>
      </c>
      <c r="BG245" s="16" t="n">
        <v>-8.27711430924607</v>
      </c>
      <c r="BH245" s="16" t="n">
        <v>-7.28866183200638</v>
      </c>
      <c r="BI245" s="16" t="n">
        <v>1.09242813813745</v>
      </c>
      <c r="BJ245" s="16" t="n">
        <v>2.04083187529388</v>
      </c>
      <c r="BK245" s="16" t="n">
        <v>5.25403316350504</v>
      </c>
      <c r="BL245" s="16" t="n">
        <v>7.88491984612206</v>
      </c>
      <c r="BM245" s="16" t="n">
        <v>3.71992671744367</v>
      </c>
      <c r="BN245" s="16" t="n">
        <v>4.46573109600205</v>
      </c>
      <c r="BO245" s="16" t="n">
        <v>5.7791095890411</v>
      </c>
      <c r="BP245" s="16" t="n">
        <v>8712.70308277889</v>
      </c>
      <c r="BQ245" s="16" t="n">
        <v>8628.30442519799</v>
      </c>
      <c r="BR245" s="16" t="n">
        <v>8628.30442519799</v>
      </c>
      <c r="BS245" s="16" t="n">
        <v>475.628907153385</v>
      </c>
      <c r="BT245" s="16" t="n">
        <v>301.7195</v>
      </c>
      <c r="BU245" s="16" t="n">
        <v>1081.9108</v>
      </c>
      <c r="BV245" s="16" t="s">
        <v>3237</v>
      </c>
      <c r="BW245" s="16" t="n">
        <v>42.7692307692308</v>
      </c>
      <c r="BX245" s="16" t="n">
        <v>0.155994305554286</v>
      </c>
      <c r="BY245" s="16" t="n">
        <v>0.161741466184191</v>
      </c>
      <c r="BZ245" s="16" t="n">
        <v>13510.8578038903</v>
      </c>
      <c r="CA245" s="16" t="n">
        <v>19402.010477409</v>
      </c>
      <c r="CB245" s="16" t="n">
        <v>232.023825251183</v>
      </c>
      <c r="CC245" s="16" t="n">
        <v>0</v>
      </c>
      <c r="CD245" s="16" t="n">
        <v>950.69728</v>
      </c>
      <c r="CE245" s="16" t="n">
        <v>12000</v>
      </c>
      <c r="CF245" s="16" t="n">
        <v>22.154944556329</v>
      </c>
      <c r="CG245" s="16" t="n">
        <v>25.0350873486518</v>
      </c>
      <c r="CH245" s="16" t="n">
        <v>2643.77364301215</v>
      </c>
      <c r="CI245" s="16" t="n">
        <v>-6.2083733271085</v>
      </c>
      <c r="CJ245" s="16" t="n">
        <v>3.00594144553374</v>
      </c>
      <c r="CK245" s="16" t="n">
        <v>31474.5752876058</v>
      </c>
      <c r="CL245" s="16" t="n">
        <v>133.635417653385</v>
      </c>
      <c r="CM245" s="16" t="n">
        <v>159.002985903385</v>
      </c>
      <c r="CN245" s="16" t="n">
        <v>1000</v>
      </c>
      <c r="CO245" s="16" t="n">
        <v>1.5535546875</v>
      </c>
      <c r="CP245" s="16" t="n">
        <v>1.09004417261298</v>
      </c>
      <c r="CQ245" s="16" t="n">
        <v>13.3909115918126</v>
      </c>
      <c r="CR245" s="16" t="n">
        <v>85.5957022469046</v>
      </c>
      <c r="CS245" s="16" t="n">
        <v>37.0877880040222</v>
      </c>
      <c r="CT245" s="16" t="n">
        <v>11.8503642405422</v>
      </c>
      <c r="CU245" s="16" t="n">
        <v>13.3909115918126</v>
      </c>
      <c r="CV245" s="16" t="n">
        <v>2716.41156338572</v>
      </c>
      <c r="CW245" s="16" t="n">
        <v>673.348390559598</v>
      </c>
      <c r="CX245" s="16" t="n">
        <v>3389.75995394532</v>
      </c>
      <c r="CY245" s="16" t="n">
        <v>2716.41156338572</v>
      </c>
      <c r="CZ245" s="16" t="n">
        <v>779.568802520396</v>
      </c>
      <c r="DA245" s="16" t="n">
        <v>22.154944556329</v>
      </c>
      <c r="DB245" s="16" t="n">
        <v>16951.9227100102</v>
      </c>
      <c r="DC245" s="16" t="n">
        <v>12578.3266508276</v>
      </c>
      <c r="DD245" s="16" t="n">
        <v>11144.3333333333</v>
      </c>
      <c r="DE245" s="16" t="n">
        <v>1921.25</v>
      </c>
      <c r="DF245" s="16" t="n">
        <v>3031.33680838572</v>
      </c>
      <c r="DG245" s="16" t="n">
        <v>159.002985903385</v>
      </c>
      <c r="DH245" s="16" t="n">
        <v>0</v>
      </c>
      <c r="DI245" s="16" t="n">
        <v>37.0877883287195</v>
      </c>
    </row>
    <row r="246" customFormat="false" ht="15" hidden="false" customHeight="false" outlineLevel="0" collapsed="false">
      <c r="A246" s="0" t="s">
        <v>3461</v>
      </c>
      <c r="B246" s="16" t="n">
        <v>2465.07954157611</v>
      </c>
      <c r="C246" s="16" t="n">
        <v>8922.34318440847</v>
      </c>
      <c r="D246" s="16" t="n">
        <v>21847.6798778837</v>
      </c>
      <c r="E246" s="16" t="n">
        <v>4719.44696716613</v>
      </c>
      <c r="F246" s="16" t="n">
        <v>-658.376365226655</v>
      </c>
      <c r="G246" s="16" t="n">
        <v>5020.92960501644</v>
      </c>
      <c r="H246" s="16" t="n">
        <v>10918.5902290136</v>
      </c>
      <c r="I246" s="17" t="n">
        <v>35.5522721741637</v>
      </c>
      <c r="J246" s="17" t="n">
        <v>42.707144476495</v>
      </c>
      <c r="K246" s="16" t="s">
        <v>116</v>
      </c>
      <c r="L246" s="16" t="n">
        <v>1000</v>
      </c>
      <c r="M246" s="16" t="n">
        <v>33793.7089811882</v>
      </c>
      <c r="N246" s="16" t="n">
        <v>13022.175250213</v>
      </c>
      <c r="O246" s="16" t="n">
        <v>1000</v>
      </c>
      <c r="P246" s="16" t="n">
        <v>951.290832135856</v>
      </c>
      <c r="Q246" s="16" t="n">
        <v>1260.78077146625</v>
      </c>
      <c r="R246" s="16" t="n">
        <v>17617.7170533315</v>
      </c>
      <c r="S246" s="16" t="n">
        <v>26991.6605475577</v>
      </c>
      <c r="T246" s="16" t="n">
        <v>-955.692204749296</v>
      </c>
      <c r="U246" s="16" t="n">
        <v>11196.3080247552</v>
      </c>
      <c r="V246" s="16" t="n">
        <v>0.750319556751226</v>
      </c>
      <c r="W246" s="16" t="n">
        <v>53439.473189632</v>
      </c>
      <c r="X246" s="16" t="n">
        <v>22180.7875890359</v>
      </c>
      <c r="Y246" s="16" t="n">
        <v>40.1755020381121</v>
      </c>
      <c r="Z246" s="16" t="n">
        <v>54.5327527820364</v>
      </c>
      <c r="AA246" s="16" t="n">
        <v>27.424347870838</v>
      </c>
      <c r="AB246" s="16" t="n">
        <v>25.224347870838</v>
      </c>
      <c r="AC246" s="16" t="n">
        <v>26.674347870838</v>
      </c>
      <c r="AD246" s="16" t="n">
        <v>27.2673434792775</v>
      </c>
      <c r="AE246" s="16" t="n">
        <v>674.686407680941</v>
      </c>
      <c r="AF246" s="16" t="n">
        <v>0.03</v>
      </c>
      <c r="AG246" s="16" t="n">
        <v>0.664547708614371</v>
      </c>
      <c r="AH246" s="16" t="n">
        <v>9819.91719809611</v>
      </c>
      <c r="AI246" s="16" t="n">
        <v>21847.6798778837</v>
      </c>
      <c r="AJ246" s="16" t="n">
        <v>20.2705415647922</v>
      </c>
      <c r="AK246" s="16" t="n">
        <v>0</v>
      </c>
      <c r="AL246" s="16" t="n">
        <v>1000</v>
      </c>
      <c r="AM246" s="16" t="n">
        <v>812.6073</v>
      </c>
      <c r="AN246" s="16" t="n">
        <v>25825.759024</v>
      </c>
      <c r="AO246" s="16" t="n">
        <v>-7800.03602701777</v>
      </c>
      <c r="AP246" s="16" t="n">
        <v>0.358496107957722</v>
      </c>
      <c r="AQ246" s="16" t="n">
        <v>91.1992209938234</v>
      </c>
      <c r="AR246" s="16" t="n">
        <v>468.956922697019</v>
      </c>
      <c r="AS246" s="16" t="n">
        <v>314.925245</v>
      </c>
      <c r="AT246" s="16" t="n">
        <v>1000</v>
      </c>
      <c r="AU246" s="16" t="n">
        <v>12.270507</v>
      </c>
      <c r="AV246" s="16" t="n">
        <v>0</v>
      </c>
      <c r="AW246" s="16" t="n">
        <v>2254.3125</v>
      </c>
      <c r="AX246" s="16" t="n">
        <v>314.925245</v>
      </c>
      <c r="AY246" s="16" t="n">
        <v>314.925245</v>
      </c>
      <c r="AZ246" s="16" t="n">
        <v>5990.79835055502</v>
      </c>
      <c r="BA246" s="16" t="n">
        <v>0</v>
      </c>
      <c r="BB246" s="16" t="n">
        <v>417.928966666667</v>
      </c>
      <c r="BC246" s="16" t="n">
        <v>111608.056588149</v>
      </c>
      <c r="BD246" s="16" t="n">
        <v>17.8921942135714</v>
      </c>
      <c r="BE246" s="16" t="n">
        <v>26.5494868355078</v>
      </c>
      <c r="BF246" s="16" t="n">
        <v>40.7773420443102</v>
      </c>
      <c r="BG246" s="16" t="n">
        <v>-8.27711430924607</v>
      </c>
      <c r="BH246" s="16" t="n">
        <v>-7.28866183200638</v>
      </c>
      <c r="BI246" s="16" t="n">
        <v>1.09242813813745</v>
      </c>
      <c r="BJ246" s="16" t="n">
        <v>2.04083187529388</v>
      </c>
      <c r="BK246" s="16" t="n">
        <v>5.25403316350504</v>
      </c>
      <c r="BL246" s="16" t="n">
        <v>7.88491984612206</v>
      </c>
      <c r="BM246" s="16" t="n">
        <v>3.71992671744367</v>
      </c>
      <c r="BN246" s="16" t="n">
        <v>4.46573109600205</v>
      </c>
      <c r="BO246" s="16" t="n">
        <v>5.7791095890411</v>
      </c>
      <c r="BP246" s="16" t="n">
        <v>8712.70308277889</v>
      </c>
      <c r="BQ246" s="16" t="n">
        <v>8889.97644737824</v>
      </c>
      <c r="BR246" s="16" t="n">
        <v>8889.97644737824</v>
      </c>
      <c r="BS246" s="16" t="n">
        <v>468.956922697019</v>
      </c>
      <c r="BT246" s="16" t="n">
        <v>301.7195</v>
      </c>
      <c r="BU246" s="16" t="n">
        <v>1081.9108</v>
      </c>
      <c r="BV246" s="16" t="s">
        <v>3238</v>
      </c>
      <c r="BW246" s="16" t="n">
        <v>42.7692307692308</v>
      </c>
      <c r="BX246" s="16" t="n">
        <v>0.155994305554286</v>
      </c>
      <c r="BY246" s="16" t="n">
        <v>0.161741466184191</v>
      </c>
      <c r="BZ246" s="16" t="n">
        <v>13510.8578038903</v>
      </c>
      <c r="CA246" s="16" t="n">
        <v>19402.010477409</v>
      </c>
      <c r="CB246" s="16" t="n">
        <v>221.818713401123</v>
      </c>
      <c r="CC246" s="16" t="n">
        <v>0</v>
      </c>
      <c r="CD246" s="16" t="n">
        <v>950.69728</v>
      </c>
      <c r="CE246" s="16" t="n">
        <v>12000</v>
      </c>
      <c r="CF246" s="16" t="n">
        <v>22.1464359996137</v>
      </c>
      <c r="CG246" s="16" t="n">
        <v>25.0254726795635</v>
      </c>
      <c r="CH246" s="16" t="n">
        <v>2643.77364301215</v>
      </c>
      <c r="CI246" s="16" t="n">
        <v>-6.2083733271085</v>
      </c>
      <c r="CJ246" s="16" t="n">
        <v>3.00594144553374</v>
      </c>
      <c r="CK246" s="16" t="n">
        <v>29858.7749606789</v>
      </c>
      <c r="CL246" s="16" t="n">
        <v>126.775018440361</v>
      </c>
      <c r="CM246" s="16" t="n">
        <v>152.142586690361</v>
      </c>
      <c r="CN246" s="16" t="n">
        <v>1000</v>
      </c>
      <c r="CO246" s="16" t="n">
        <v>1.5535546875</v>
      </c>
      <c r="CP246" s="16" t="n">
        <v>1.09004417261298</v>
      </c>
      <c r="CQ246" s="16" t="n">
        <v>42.707144476495</v>
      </c>
      <c r="CR246" s="16" t="n">
        <v>103.05511972302</v>
      </c>
      <c r="CS246" s="16" t="n">
        <v>60.5020954156672</v>
      </c>
      <c r="CT246" s="16" t="n">
        <v>37.7939331650398</v>
      </c>
      <c r="CU246" s="16" t="n">
        <v>42.707144476495</v>
      </c>
      <c r="CV246" s="16" t="n">
        <v>813.901917148305</v>
      </c>
      <c r="CW246" s="16" t="n">
        <v>211.129750747806</v>
      </c>
      <c r="CX246" s="16" t="n">
        <v>1025.03166789611</v>
      </c>
      <c r="CY246" s="16" t="n">
        <v>813.901917148305</v>
      </c>
      <c r="CZ246" s="16" t="n">
        <v>482.16313690493</v>
      </c>
      <c r="DA246" s="16" t="n">
        <v>22.1464359996137</v>
      </c>
      <c r="DB246" s="16" t="n">
        <v>17135.1316838884</v>
      </c>
      <c r="DC246" s="16" t="n">
        <v>12714.2677094452</v>
      </c>
      <c r="DD246" s="16" t="n">
        <v>11144.3333333333</v>
      </c>
      <c r="DE246" s="16" t="n">
        <v>1921.25</v>
      </c>
      <c r="DF246" s="16" t="n">
        <v>1128.82716214831</v>
      </c>
      <c r="DG246" s="16" t="n">
        <v>152.142586690361</v>
      </c>
      <c r="DH246" s="16" t="n">
        <v>0</v>
      </c>
      <c r="DI246" s="16" t="n">
        <v>60.5020954159901</v>
      </c>
    </row>
    <row r="249" customFormat="false" ht="15" hidden="false" customHeight="false" outlineLevel="0" collapsed="false">
      <c r="A249" s="10" t="s">
        <v>3462</v>
      </c>
    </row>
    <row r="250" customFormat="false" ht="15" hidden="false" customHeight="false" outlineLevel="0" collapsed="false">
      <c r="B250" s="10" t="s">
        <v>521</v>
      </c>
      <c r="C250" s="10" t="s">
        <v>522</v>
      </c>
      <c r="D250" s="10" t="s">
        <v>523</v>
      </c>
    </row>
    <row r="251" customFormat="false" ht="15" hidden="false" customHeight="false" outlineLevel="0" collapsed="false">
      <c r="A251" s="0" t="s">
        <v>3463</v>
      </c>
      <c r="B251" s="16" t="n">
        <v>-2272.68412323814</v>
      </c>
      <c r="C251" s="16" t="n">
        <v>-1135.49021845689</v>
      </c>
      <c r="D251" s="16" t="n">
        <v>-377.360948602724</v>
      </c>
    </row>
    <row r="252" customFormat="false" ht="15" hidden="false" customHeight="false" outlineLevel="0" collapsed="false">
      <c r="A252" s="0" t="s">
        <v>3464</v>
      </c>
      <c r="B252" s="47" t="n">
        <f aca="false">SkEBIT4</f>
        <v>820</v>
      </c>
      <c r="C252" s="47" t="n">
        <f aca="false">SkEBIT5</f>
        <v>1980</v>
      </c>
      <c r="D252" s="47" t="n">
        <f aca="false">SkEBIT6</f>
        <v>2750</v>
      </c>
    </row>
    <row r="253" customFormat="false" ht="15" hidden="false" customHeight="false" outlineLevel="0" collapsed="false">
      <c r="A253" s="0" t="s">
        <v>2750</v>
      </c>
      <c r="B253" s="16" t="n">
        <f aca="false">B251-B252</f>
        <v>-3092.68412323814</v>
      </c>
      <c r="C253" s="16" t="n">
        <f aca="false">C251-C252</f>
        <v>-3115.49021845689</v>
      </c>
      <c r="D253" s="16" t="n">
        <f aca="false">D251-D252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3465</v>
      </c>
    </row>
    <row r="3" customFormat="false" ht="15" hidden="false" customHeight="false" outlineLevel="0" collapsed="false">
      <c r="A3" s="0" t="s">
        <v>690</v>
      </c>
      <c r="B3" s="0" t="s">
        <v>3466</v>
      </c>
      <c r="C3" s="0" t="s">
        <v>3467</v>
      </c>
    </row>
    <row r="4" customFormat="false" ht="15" hidden="false" customHeight="false" outlineLevel="0" collapsed="false">
      <c r="A4" s="0" t="s">
        <v>3468</v>
      </c>
      <c r="B4" s="0" t="s">
        <v>3469</v>
      </c>
      <c r="C4" s="0" t="s">
        <v>820</v>
      </c>
    </row>
    <row r="5" customFormat="false" ht="15" hidden="false" customHeight="false" outlineLevel="0" collapsed="false">
      <c r="A5" s="0" t="s">
        <v>1965</v>
      </c>
      <c r="B5" s="0" t="s">
        <v>3470</v>
      </c>
      <c r="C5" s="0" t="s">
        <v>820</v>
      </c>
    </row>
    <row r="6" customFormat="false" ht="15" hidden="false" customHeight="false" outlineLevel="0" collapsed="false">
      <c r="A6" s="0" t="s">
        <v>3471</v>
      </c>
      <c r="B6" s="0" t="s">
        <v>3472</v>
      </c>
      <c r="C6" s="0" t="s">
        <v>683</v>
      </c>
    </row>
    <row r="7" customFormat="false" ht="15" hidden="false" customHeight="false" outlineLevel="0" collapsed="false">
      <c r="A7" s="0" t="s">
        <v>736</v>
      </c>
      <c r="B7" s="0" t="s">
        <v>3473</v>
      </c>
      <c r="C7" s="0" t="s">
        <v>3474</v>
      </c>
    </row>
    <row r="8" customFormat="false" ht="15" hidden="false" customHeight="false" outlineLevel="0" collapsed="false">
      <c r="A8" s="0" t="s">
        <v>3475</v>
      </c>
      <c r="B8" s="0" t="s">
        <v>3476</v>
      </c>
      <c r="C8" s="0" t="s">
        <v>736</v>
      </c>
    </row>
    <row r="9" customFormat="false" ht="15" hidden="false" customHeight="false" outlineLevel="0" collapsed="false">
      <c r="A9" s="0" t="s">
        <v>1165</v>
      </c>
      <c r="B9" s="0" t="s">
        <v>3477</v>
      </c>
      <c r="C9" s="0" t="s">
        <v>736</v>
      </c>
    </row>
    <row r="10" customFormat="false" ht="15" hidden="false" customHeight="false" outlineLevel="0" collapsed="false">
      <c r="A10" s="0" t="s">
        <v>3478</v>
      </c>
      <c r="B10" s="0" t="s">
        <v>3479</v>
      </c>
      <c r="C10" s="0" t="s">
        <v>820</v>
      </c>
    </row>
    <row r="11" customFormat="false" ht="15" hidden="false" customHeight="false" outlineLevel="0" collapsed="false">
      <c r="A11" s="0" t="s">
        <v>3480</v>
      </c>
      <c r="B11" s="0" t="s">
        <v>3481</v>
      </c>
      <c r="C11" s="0" t="s">
        <v>820</v>
      </c>
    </row>
    <row r="12" customFormat="false" ht="15" hidden="false" customHeight="false" outlineLevel="0" collapsed="false">
      <c r="A12" s="0" t="s">
        <v>3482</v>
      </c>
      <c r="B12" s="0" t="s">
        <v>3483</v>
      </c>
      <c r="C12" s="0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2026-10-05T05:23:48Z</dcterms:created>
  <dc:creator>openpyxl</dc:creator>
  <dc:description/>
  <dc:language>en-US</dc:language>
  <cp:lastModifiedBy/>
  <dcterms:modified xsi:type="dcterms:W3CDTF">2026-10-05T05:41:20Z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